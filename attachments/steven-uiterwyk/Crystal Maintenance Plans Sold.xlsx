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17AF8CF5-78C3-9D4D-9DC6-501253E70451}" xr6:coauthVersionLast="47" xr6:coauthVersionMax="47" xr10:uidLastSave="{00000000-0000-0000-0000-000000000000}"/>
  <bookViews>
    <workbookView xWindow="0" yWindow="760" windowWidth="30240" windowHeight="17200" activeTab="2" xr2:uid="{00000000-000D-0000-FFFF-FFFF00000000}"/>
  </bookViews>
  <sheets>
    <sheet name="Invoiced Date" sheetId="1" r:id="rId1"/>
    <sheet name="Stores" sheetId="2" r:id="rId2"/>
    <sheet name="Grid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3" l="1"/>
</calcChain>
</file>

<file path=xl/sharedStrings.xml><?xml version="1.0" encoding="utf-8"?>
<sst xmlns="http://schemas.openxmlformats.org/spreadsheetml/2006/main" count="608" uniqueCount="296">
  <si>
    <t>InvoiceDate</t>
  </si>
  <si>
    <t>From</t>
  </si>
  <si>
    <t>To</t>
  </si>
  <si>
    <t>MultiLocationName</t>
  </si>
  <si>
    <t>CAIRO, GA</t>
  </si>
  <si>
    <t>CHIEFLAND</t>
  </si>
  <si>
    <t>DELAND</t>
  </si>
  <si>
    <t>HASTINGS</t>
  </si>
  <si>
    <t>HOMOSASSA</t>
  </si>
  <si>
    <t>JACKSONVILLE</t>
  </si>
  <si>
    <t>LECANTO</t>
  </si>
  <si>
    <t>LEESBURG</t>
  </si>
  <si>
    <t>LIVE OAK</t>
  </si>
  <si>
    <t>MADISON</t>
  </si>
  <si>
    <t>OCALA</t>
  </si>
  <si>
    <t>PALATKA</t>
  </si>
  <si>
    <t>PANAMA CITY</t>
  </si>
  <si>
    <t>SEBRING</t>
  </si>
  <si>
    <t>SPRING HILL</t>
  </si>
  <si>
    <t>STARKE</t>
  </si>
  <si>
    <t>TALLAHASSEE</t>
  </si>
  <si>
    <t>Customer</t>
  </si>
  <si>
    <t>Store</t>
  </si>
  <si>
    <t>Invoice #</t>
  </si>
  <si>
    <t>Invoice Date</t>
  </si>
  <si>
    <t>Make</t>
  </si>
  <si>
    <t>Model</t>
  </si>
  <si>
    <t>Stock #</t>
  </si>
  <si>
    <t>Plans Sold</t>
  </si>
  <si>
    <t>Margin</t>
  </si>
  <si>
    <t>Selling Price</t>
  </si>
  <si>
    <t>Term</t>
  </si>
  <si>
    <t>Hours/Odometer</t>
  </si>
  <si>
    <t>Equipment Class</t>
  </si>
  <si>
    <t>Service Location</t>
  </si>
  <si>
    <t>Starting Odometer/Hours</t>
  </si>
  <si>
    <t>Beaty Ranch, LLC</t>
  </si>
  <si>
    <t>Inv-20251016-BEATY011-29719</t>
  </si>
  <si>
    <t>KUBOTA</t>
  </si>
  <si>
    <t>M4-071HDC12</t>
  </si>
  <si>
    <t>M096069</t>
  </si>
  <si>
    <t>60</t>
  </si>
  <si>
    <t>500</t>
  </si>
  <si>
    <t>Utility under 75 MX&amp;M</t>
  </si>
  <si>
    <t>Service in Shop</t>
  </si>
  <si>
    <t>Z252KW-54</t>
  </si>
  <si>
    <t>M102792</t>
  </si>
  <si>
    <t>300</t>
  </si>
  <si>
    <t>Zero Turn Gas</t>
  </si>
  <si>
    <t>BENNIE JACKSON</t>
  </si>
  <si>
    <t>Inv-20251125-BENNI010-32063</t>
  </si>
  <si>
    <t>Z242KW-48</t>
  </si>
  <si>
    <t>M102794</t>
  </si>
  <si>
    <t>36</t>
  </si>
  <si>
    <t>Charlie Watson</t>
  </si>
  <si>
    <t>Inv-20250826-WATSO142-26377</t>
  </si>
  <si>
    <t>RTVX1130RLA</t>
  </si>
  <si>
    <t>T100440</t>
  </si>
  <si>
    <t>18</t>
  </si>
  <si>
    <t>200</t>
  </si>
  <si>
    <t>RTV</t>
  </si>
  <si>
    <t>Chris Berry</t>
  </si>
  <si>
    <t>Inv-20250924-null-28498</t>
  </si>
  <si>
    <t>MAHINDRA</t>
  </si>
  <si>
    <t>ROXOR BASE</t>
  </si>
  <si>
    <t>K062675</t>
  </si>
  <si>
    <t>72</t>
  </si>
  <si>
    <t>Chris Pope</t>
  </si>
  <si>
    <t>Inv-20251031-POPE017-27409</t>
  </si>
  <si>
    <t>SANY AMERICA</t>
  </si>
  <si>
    <t>SY50U</t>
  </si>
  <si>
    <t>K102390</t>
  </si>
  <si>
    <t>150</t>
  </si>
  <si>
    <t>Sany SY up to 60</t>
  </si>
  <si>
    <t>D2 RANCH LLC</t>
  </si>
  <si>
    <t>Inv-20250827-D2001-25771</t>
  </si>
  <si>
    <t>M6-141DTCF1</t>
  </si>
  <si>
    <t>R097171</t>
  </si>
  <si>
    <t>24</t>
  </si>
  <si>
    <t>Large Ag M6</t>
  </si>
  <si>
    <t>Service in Field</t>
  </si>
  <si>
    <t>Daniel Salazar</t>
  </si>
  <si>
    <t>Inv-20251114-null-31467</t>
  </si>
  <si>
    <t>SCL1000</t>
  </si>
  <si>
    <t>N107580</t>
  </si>
  <si>
    <t>100</t>
  </si>
  <si>
    <t>SCL - DIESEL</t>
  </si>
  <si>
    <t>DAVID HARDCASTLE</t>
  </si>
  <si>
    <t>Inv-20250901-HARDC002-26787</t>
  </si>
  <si>
    <t>21264FHIL</t>
  </si>
  <si>
    <t>K099320</t>
  </si>
  <si>
    <t>Mahindra 1600 Series</t>
  </si>
  <si>
    <t>David Knight</t>
  </si>
  <si>
    <t>Inv-20250827-null-23714</t>
  </si>
  <si>
    <t>Z422KWTNC-60</t>
  </si>
  <si>
    <t>L101453</t>
  </si>
  <si>
    <t>DENNIS GOUVEIA</t>
  </si>
  <si>
    <t>Inv-20251017-GOUVE001-29784</t>
  </si>
  <si>
    <t>Z232KW-42</t>
  </si>
  <si>
    <t>D105602</t>
  </si>
  <si>
    <t>Elizabeth Kelly</t>
  </si>
  <si>
    <t>Inv-20250826-null-25317</t>
  </si>
  <si>
    <t>GRAVELY</t>
  </si>
  <si>
    <t>ZT HD 44</t>
  </si>
  <si>
    <t>N077387</t>
  </si>
  <si>
    <t>L2502DT</t>
  </si>
  <si>
    <t>N085296</t>
  </si>
  <si>
    <t>250</t>
  </si>
  <si>
    <t>Compact L series</t>
  </si>
  <si>
    <t>Ellen Ailene Williams</t>
  </si>
  <si>
    <t>Inv-20250630-null-21985</t>
  </si>
  <si>
    <t>SVL97-2HFC</t>
  </si>
  <si>
    <t>R100027</t>
  </si>
  <si>
    <t>1000</t>
  </si>
  <si>
    <t>Skid Steer</t>
  </si>
  <si>
    <t>ellie mae farm animal rescue inc.</t>
  </si>
  <si>
    <t>Inv-20251115-null-31355</t>
  </si>
  <si>
    <t>RTVX4SCLA1</t>
  </si>
  <si>
    <t>R102758</t>
  </si>
  <si>
    <t>600</t>
  </si>
  <si>
    <t>EMMA BOYLES</t>
  </si>
  <si>
    <t>Inv-20250813-MARES002-24984</t>
  </si>
  <si>
    <t>60654FPAL65B</t>
  </si>
  <si>
    <t>S067293</t>
  </si>
  <si>
    <t>800</t>
  </si>
  <si>
    <t>Mahindra 6000</t>
  </si>
  <si>
    <t>ENFINGER PLUMBING COMPANY, INC.</t>
  </si>
  <si>
    <t>Inv-20251031-ENFIN018-30730</t>
  </si>
  <si>
    <t>KX040-5R3AP</t>
  </si>
  <si>
    <t>T105473</t>
  </si>
  <si>
    <t>Excavator - over 3.5 ton</t>
  </si>
  <si>
    <t>Eugene Joseph Berthiaume</t>
  </si>
  <si>
    <t>Inv-20250830-null-26763</t>
  </si>
  <si>
    <t>L2502HST</t>
  </si>
  <si>
    <t>L100979</t>
  </si>
  <si>
    <t>Frank Miller</t>
  </si>
  <si>
    <t>Inv-20251024-null-30419</t>
  </si>
  <si>
    <t>PROTURN ZX60</t>
  </si>
  <si>
    <t>B105543</t>
  </si>
  <si>
    <t>GARY WARD</t>
  </si>
  <si>
    <t>Inv-20250905-WARD0021-26890</t>
  </si>
  <si>
    <t>N098890</t>
  </si>
  <si>
    <t>GLENN FENNER</t>
  </si>
  <si>
    <t>Inv-20250924-FENN001-28395</t>
  </si>
  <si>
    <t>45404FGIL</t>
  </si>
  <si>
    <t>C095710</t>
  </si>
  <si>
    <t>Mahindra 4500</t>
  </si>
  <si>
    <t>Hope Ridge Cattle Comapny LLC</t>
  </si>
  <si>
    <t>Inv-20251021-null-29249</t>
  </si>
  <si>
    <t>M7060HD</t>
  </si>
  <si>
    <t>R083778</t>
  </si>
  <si>
    <t>Issac Booker</t>
  </si>
  <si>
    <t>Inv-20250812-null-25192</t>
  </si>
  <si>
    <t>H087048</t>
  </si>
  <si>
    <t>J&amp;M AMERICA SOLUTION, LLC</t>
  </si>
  <si>
    <t>Inv-20250904-null-27026</t>
  </si>
  <si>
    <t>SY16C</t>
  </si>
  <si>
    <t>K091889</t>
  </si>
  <si>
    <t>Jason Dzindolet</t>
  </si>
  <si>
    <t>Inv-20250812-null-25118</t>
  </si>
  <si>
    <t>H087050</t>
  </si>
  <si>
    <t>Jennifer Brock</t>
  </si>
  <si>
    <t>Inv-20251025--30488</t>
  </si>
  <si>
    <t>TORO</t>
  </si>
  <si>
    <t>TITAN 54</t>
  </si>
  <si>
    <t>C106750</t>
  </si>
  <si>
    <t>Jennifer L Bley</t>
  </si>
  <si>
    <t>Inv-20250811-null-24606</t>
  </si>
  <si>
    <t>S099421</t>
  </si>
  <si>
    <t>84</t>
  </si>
  <si>
    <t>400</t>
  </si>
  <si>
    <t>Jimmy Turner</t>
  </si>
  <si>
    <t>Inv-20251007-null-29297</t>
  </si>
  <si>
    <t>K095633</t>
  </si>
  <si>
    <t>JOHN HUBERT MOORE</t>
  </si>
  <si>
    <t>Inv-20250924-JOHN032-28509</t>
  </si>
  <si>
    <t>L3560HST-LE</t>
  </si>
  <si>
    <t>M098024</t>
  </si>
  <si>
    <t>JOHN MOORE</t>
  </si>
  <si>
    <t>Inv-20251022-JOHN032-30165</t>
  </si>
  <si>
    <t>L4060HSTC-LE</t>
  </si>
  <si>
    <t>M092219</t>
  </si>
  <si>
    <t>Joseph Kelley</t>
  </si>
  <si>
    <t>Inv-20251017-null-29953</t>
  </si>
  <si>
    <t>Z726XKWNC60</t>
  </si>
  <si>
    <t>T102897</t>
  </si>
  <si>
    <t>JUSTIN LAMB</t>
  </si>
  <si>
    <t>Inv-20250803-LAMB0004-24627</t>
  </si>
  <si>
    <t>RTV-X1100CRL</t>
  </si>
  <si>
    <t>G077505</t>
  </si>
  <si>
    <t>Inv-20250804-LAMB0004-24644</t>
  </si>
  <si>
    <t>RTVXG850GLAS</t>
  </si>
  <si>
    <t>H075718</t>
  </si>
  <si>
    <t>750</t>
  </si>
  <si>
    <t>Inv-20250804-LAMB0004-24677</t>
  </si>
  <si>
    <t>Kenia Solis</t>
  </si>
  <si>
    <t>Inv-20251009-null-29583</t>
  </si>
  <si>
    <t>H083918</t>
  </si>
  <si>
    <t>Kenneth Haddad</t>
  </si>
  <si>
    <t>Inv-20250812-HADDA002-25208</t>
  </si>
  <si>
    <t>ZD1211-3-60</t>
  </si>
  <si>
    <t>T084218</t>
  </si>
  <si>
    <t>700</t>
  </si>
  <si>
    <t>Zero Turn Diesel</t>
  </si>
  <si>
    <t>LANNIS FRANK ZAPPIA</t>
  </si>
  <si>
    <t>Inv-20251111-ZAPPI001-31315</t>
  </si>
  <si>
    <t>RTVXG850WDLA</t>
  </si>
  <si>
    <t>R099256</t>
  </si>
  <si>
    <t>LUIS BARCENAS</t>
  </si>
  <si>
    <t>Inv-20250905-null-27234</t>
  </si>
  <si>
    <t>11264FHIL</t>
  </si>
  <si>
    <t>K093641</t>
  </si>
  <si>
    <t>29</t>
  </si>
  <si>
    <t>450</t>
  </si>
  <si>
    <t>Mahindra Emax</t>
  </si>
  <si>
    <t>MARCO MARTINEZ</t>
  </si>
  <si>
    <t>Inv-20250814-MARCO019-25476</t>
  </si>
  <si>
    <t>HUSTLER</t>
  </si>
  <si>
    <t>943795</t>
  </si>
  <si>
    <t>K096288</t>
  </si>
  <si>
    <t>MARINE-WERKS CORP</t>
  </si>
  <si>
    <t>Inv-20250830-null-26551</t>
  </si>
  <si>
    <t>SVL973HFCC</t>
  </si>
  <si>
    <t>B103177</t>
  </si>
  <si>
    <t>Mario Jermaine Lopey</t>
  </si>
  <si>
    <t>Inv-20251004-LOPEY001-29011</t>
  </si>
  <si>
    <t>Z422KWNC54</t>
  </si>
  <si>
    <t>B090025</t>
  </si>
  <si>
    <t>MARK PASCHALL</t>
  </si>
  <si>
    <t>Inv-20250816-MARKP002-25374</t>
  </si>
  <si>
    <t>939702</t>
  </si>
  <si>
    <t>K101774</t>
  </si>
  <si>
    <t>Michael Anthony Gribble</t>
  </si>
  <si>
    <t>Inv-20251105-null-30946</t>
  </si>
  <si>
    <t>L4802HST</t>
  </si>
  <si>
    <t>M108007</t>
  </si>
  <si>
    <t>Michael Menchion</t>
  </si>
  <si>
    <t>Inv-20251027-null-30572</t>
  </si>
  <si>
    <t>L3902HST</t>
  </si>
  <si>
    <t>T104304</t>
  </si>
  <si>
    <t>Miranda McMillian-Smith</t>
  </si>
  <si>
    <t>Inv-20251111-null-31340</t>
  </si>
  <si>
    <t>BX23SLB-R-1</t>
  </si>
  <si>
    <t>H101895</t>
  </si>
  <si>
    <t>Sub Compact BX</t>
  </si>
  <si>
    <t>MONIQUE HENRY</t>
  </si>
  <si>
    <t>Inv-20250814-null-25381</t>
  </si>
  <si>
    <t>PROSTANCE 52</t>
  </si>
  <si>
    <t>R073544</t>
  </si>
  <si>
    <t>NATHANAEL STERLING PIPER</t>
  </si>
  <si>
    <t>Inv-20250905-null-27142</t>
  </si>
  <si>
    <t>SPARTAN MOWERS</t>
  </si>
  <si>
    <t>SHIELD 42</t>
  </si>
  <si>
    <t>O100854</t>
  </si>
  <si>
    <t>Patricia Corcoran</t>
  </si>
  <si>
    <t>Inv-20251023-CORCO008-30358</t>
  </si>
  <si>
    <t>ZT X 52</t>
  </si>
  <si>
    <t>K103699</t>
  </si>
  <si>
    <t>Raimund Manzo</t>
  </si>
  <si>
    <t>Inv-20251004-null-27188</t>
  </si>
  <si>
    <t>L3302HST</t>
  </si>
  <si>
    <t>T104295</t>
  </si>
  <si>
    <t>Reliable Tree and Landscaping solut</t>
  </si>
  <si>
    <t>Inv-20251008-RELIA024-29437</t>
  </si>
  <si>
    <t>R540R41</t>
  </si>
  <si>
    <t>N095264</t>
  </si>
  <si>
    <t>Wheel Loader</t>
  </si>
  <si>
    <t>RICKY COOK</t>
  </si>
  <si>
    <t>Inv-20250820-null-25916</t>
  </si>
  <si>
    <t>ZT 42</t>
  </si>
  <si>
    <t>G099263</t>
  </si>
  <si>
    <t>SAM WAYNE TRIVETT</t>
  </si>
  <si>
    <t>Inv-20251209-null-31424</t>
  </si>
  <si>
    <t>LX3520HSDC</t>
  </si>
  <si>
    <t>D109260</t>
  </si>
  <si>
    <t>SANDRA MAZZA</t>
  </si>
  <si>
    <t>Inv-20251203-MAZZA008-32487</t>
  </si>
  <si>
    <t>T105585</t>
  </si>
  <si>
    <t>SIDNEY JEFFERSON JR MACARAGES</t>
  </si>
  <si>
    <t>Inv-20251118-null-31735</t>
  </si>
  <si>
    <t>Kubota</t>
  </si>
  <si>
    <t>KBGHGEM0PSGD21545</t>
  </si>
  <si>
    <t>TAGLE LANDSCAPING SERVICES LLC</t>
  </si>
  <si>
    <t>Inv-20251024-MARTI317-30445</t>
  </si>
  <si>
    <t>SZ26NC612</t>
  </si>
  <si>
    <t>20161</t>
  </si>
  <si>
    <t>tri-n construction services LLC</t>
  </si>
  <si>
    <t>Inv-20251107-trn construction services LLC-31176</t>
  </si>
  <si>
    <t>SVL75-3W</t>
  </si>
  <si>
    <t>D096465</t>
  </si>
  <si>
    <t>Turf Titan Lawn Maintenance LLC</t>
  </si>
  <si>
    <t>Inv-20251008-null-29209</t>
  </si>
  <si>
    <t>RT PRO 54</t>
  </si>
  <si>
    <t>A083449</t>
  </si>
  <si>
    <t>Count = 57</t>
  </si>
  <si>
    <t>Sum = 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</si>
</sst>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/d/yyyy"/>
    <numFmt numFmtId="165" formatCode="#0;\-#0;#0"/>
    <numFmt numFmtId="166" formatCode="\$#0;\(\$#0\);\$#0"/>
    <numFmt numFmtId="167" formatCode="#,##0;\-#,##0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RowHeight="16" x14ac:dyDescent="0.2"/>
  <cols>
    <col min="1" max="2" width="12.6640625" customWidth="1"/>
  </cols>
  <sheetData>
    <row r="1" spans="1:2" ht="15" x14ac:dyDescent="0.2">
      <c r="A1" t="s">
        <v>0</v>
      </c>
    </row>
    <row r="2" spans="1:2" ht="15" x14ac:dyDescent="0.2">
      <c r="A2" t="s">
        <v>1</v>
      </c>
      <c r="B2" t="s">
        <v>2</v>
      </c>
    </row>
    <row r="3" spans="1:2" ht="15" x14ac:dyDescent="0.2">
      <c r="A3" s="1">
        <v>45658</v>
      </c>
      <c r="B3" s="1">
        <v>46022.999999988424</v>
      </c>
    </row>
  </sheetData>
  <pageMargins left="0.7" right="0.7" top="0.75" bottom="0.75" header="0.3" footer="0.3"/>
  <pageSetup fitToWidth="0" fitToHeight="0" orientation="portrait"/>
  <headerFooter>
    <oddHeader>Invoiced Date</oddHeader>
    <evenFooter>Invoiced Date</evenFooter>
    <firstHeader>Invoiced Date</firstHeader>
  </headerFooter>
  <ignoredErrors>
    <ignoredError sqref="A1: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8"/>
  <sheetViews>
    <sheetView workbookViewId="0"/>
  </sheetViews>
  <sheetFormatPr baseColWidth="10" defaultRowHeight="16" x14ac:dyDescent="0.2"/>
  <cols>
    <col min="1" max="1" width="12.6640625" customWidth="1"/>
  </cols>
  <sheetData>
    <row r="1" spans="1:1" ht="15" x14ac:dyDescent="0.2">
      <c r="A1" t="s">
        <v>3</v>
      </c>
    </row>
    <row r="2" spans="1:1" ht="15" x14ac:dyDescent="0.2">
      <c r="A2" t="s">
        <v>4</v>
      </c>
    </row>
    <row r="3" spans="1:1" ht="15" x14ac:dyDescent="0.2">
      <c r="A3" t="s">
        <v>5</v>
      </c>
    </row>
    <row r="4" spans="1:1" ht="15" x14ac:dyDescent="0.2">
      <c r="A4" t="s">
        <v>6</v>
      </c>
    </row>
    <row r="5" spans="1:1" ht="15" x14ac:dyDescent="0.2">
      <c r="A5" t="s">
        <v>7</v>
      </c>
    </row>
    <row r="6" spans="1:1" ht="15" x14ac:dyDescent="0.2">
      <c r="A6" t="s">
        <v>8</v>
      </c>
    </row>
    <row r="7" spans="1:1" ht="15" x14ac:dyDescent="0.2">
      <c r="A7" t="s">
        <v>9</v>
      </c>
    </row>
    <row r="8" spans="1:1" ht="15" x14ac:dyDescent="0.2">
      <c r="A8" t="s">
        <v>10</v>
      </c>
    </row>
    <row r="9" spans="1:1" ht="15" x14ac:dyDescent="0.2">
      <c r="A9" t="s">
        <v>11</v>
      </c>
    </row>
    <row r="10" spans="1:1" ht="15" x14ac:dyDescent="0.2">
      <c r="A10" t="s">
        <v>12</v>
      </c>
    </row>
    <row r="11" spans="1:1" ht="15" x14ac:dyDescent="0.2">
      <c r="A11" t="s">
        <v>13</v>
      </c>
    </row>
    <row r="12" spans="1:1" ht="15" x14ac:dyDescent="0.2">
      <c r="A12" t="s">
        <v>14</v>
      </c>
    </row>
    <row r="13" spans="1:1" ht="15" x14ac:dyDescent="0.2">
      <c r="A13" t="s">
        <v>15</v>
      </c>
    </row>
    <row r="14" spans="1:1" ht="15" x14ac:dyDescent="0.2">
      <c r="A14" t="s">
        <v>16</v>
      </c>
    </row>
    <row r="15" spans="1:1" ht="15" x14ac:dyDescent="0.2">
      <c r="A15" t="s">
        <v>17</v>
      </c>
    </row>
    <row r="16" spans="1:1" ht="15" x14ac:dyDescent="0.2">
      <c r="A16" t="s">
        <v>18</v>
      </c>
    </row>
    <row r="17" spans="1:1" ht="15" x14ac:dyDescent="0.2">
      <c r="A17" t="s">
        <v>19</v>
      </c>
    </row>
    <row r="18" spans="1:1" ht="15" x14ac:dyDescent="0.2">
      <c r="A18" t="s">
        <v>20</v>
      </c>
    </row>
  </sheetData>
  <pageMargins left="0.7" right="0.7" top="0.75" bottom="0.75" header="0.3" footer="0.3"/>
  <pageSetup fitToWidth="0" fitToHeight="0" orientation="portrait"/>
  <headerFooter>
    <oddHeader>Stores</oddHeader>
    <evenFooter>Stores</evenFooter>
    <firstHeader>Stores</firstHeader>
  </headerFooter>
  <ignoredErrors>
    <ignoredError sqref="A1:A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59"/>
  <sheetViews>
    <sheetView tabSelected="1" workbookViewId="0">
      <selection activeCell="J60" sqref="J60"/>
    </sheetView>
  </sheetViews>
  <sheetFormatPr baseColWidth="10" defaultRowHeight="16" x14ac:dyDescent="0.2"/>
  <cols>
    <col min="1" max="1" width="30.6640625" customWidth="1"/>
    <col min="2" max="2" width="24.5" customWidth="1"/>
    <col min="3" max="3" width="28.6640625" customWidth="1"/>
    <col min="4" max="4" width="20.1640625" style="1" customWidth="1"/>
    <col min="5" max="5" width="21.1640625" customWidth="1"/>
    <col min="6" max="6" width="20.5" customWidth="1"/>
    <col min="7" max="7" width="12.6640625" customWidth="1"/>
    <col min="8" max="8" width="12.6640625" style="2" customWidth="1"/>
    <col min="9" max="9" width="12.6640625" style="3" customWidth="1"/>
    <col min="10" max="10" width="12.6640625" style="5" customWidth="1"/>
    <col min="11" max="12" width="12.6640625" customWidth="1"/>
    <col min="13" max="13" width="21.83203125" customWidth="1"/>
    <col min="14" max="14" width="19.83203125" customWidth="1"/>
    <col min="15" max="15" width="30.33203125" style="4" customWidth="1"/>
  </cols>
  <sheetData>
    <row r="1" spans="1:15" ht="15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s="5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ht="15" x14ac:dyDescent="0.2">
      <c r="A2" t="s">
        <v>36</v>
      </c>
      <c r="B2" t="s">
        <v>13</v>
      </c>
      <c r="C2" t="s">
        <v>37</v>
      </c>
      <c r="D2" s="1">
        <v>45946.631815451387</v>
      </c>
      <c r="E2" t="s">
        <v>38</v>
      </c>
      <c r="F2" t="s">
        <v>39</v>
      </c>
      <c r="G2" t="s">
        <v>40</v>
      </c>
      <c r="H2" s="2">
        <v>1</v>
      </c>
      <c r="I2" s="3">
        <v>0</v>
      </c>
      <c r="J2" s="5">
        <v>2690.96</v>
      </c>
      <c r="K2" t="s">
        <v>41</v>
      </c>
      <c r="L2" t="s">
        <v>42</v>
      </c>
      <c r="M2" t="s">
        <v>43</v>
      </c>
      <c r="N2" t="s">
        <v>44</v>
      </c>
    </row>
    <row r="3" spans="1:15" ht="15" x14ac:dyDescent="0.2">
      <c r="A3" t="s">
        <v>36</v>
      </c>
      <c r="B3" t="s">
        <v>13</v>
      </c>
      <c r="C3" t="s">
        <v>37</v>
      </c>
      <c r="D3" s="1">
        <v>45946.631815451387</v>
      </c>
      <c r="E3" t="s">
        <v>38</v>
      </c>
      <c r="F3" t="s">
        <v>45</v>
      </c>
      <c r="G3" t="s">
        <v>46</v>
      </c>
      <c r="H3" s="2">
        <v>1</v>
      </c>
      <c r="I3" s="3">
        <v>0</v>
      </c>
      <c r="J3" s="5">
        <v>2475.34</v>
      </c>
      <c r="K3" t="s">
        <v>41</v>
      </c>
      <c r="L3" t="s">
        <v>47</v>
      </c>
      <c r="M3" t="s">
        <v>48</v>
      </c>
      <c r="N3" t="s">
        <v>44</v>
      </c>
    </row>
    <row r="4" spans="1:15" ht="15" x14ac:dyDescent="0.2">
      <c r="A4" t="s">
        <v>49</v>
      </c>
      <c r="B4" t="s">
        <v>13</v>
      </c>
      <c r="C4" t="s">
        <v>50</v>
      </c>
      <c r="D4" s="1">
        <v>46014.558287731481</v>
      </c>
      <c r="E4" t="s">
        <v>38</v>
      </c>
      <c r="F4" t="s">
        <v>51</v>
      </c>
      <c r="G4" t="s">
        <v>52</v>
      </c>
      <c r="H4" s="2">
        <v>1</v>
      </c>
      <c r="I4" s="3">
        <v>0</v>
      </c>
      <c r="J4" s="5">
        <v>1349.87</v>
      </c>
      <c r="K4" t="s">
        <v>53</v>
      </c>
      <c r="L4" t="s">
        <v>47</v>
      </c>
      <c r="M4" t="s">
        <v>48</v>
      </c>
      <c r="N4" t="s">
        <v>44</v>
      </c>
    </row>
    <row r="5" spans="1:15" ht="15" x14ac:dyDescent="0.2">
      <c r="A5" t="s">
        <v>54</v>
      </c>
      <c r="B5" t="s">
        <v>20</v>
      </c>
      <c r="C5" t="s">
        <v>55</v>
      </c>
      <c r="D5" s="1">
        <v>45895.521278356478</v>
      </c>
      <c r="E5" t="s">
        <v>38</v>
      </c>
      <c r="F5" t="s">
        <v>56</v>
      </c>
      <c r="G5" t="s">
        <v>57</v>
      </c>
      <c r="H5" s="2">
        <v>1</v>
      </c>
      <c r="I5" s="3">
        <v>0</v>
      </c>
      <c r="J5" s="5">
        <v>1522.25</v>
      </c>
      <c r="K5" t="s">
        <v>58</v>
      </c>
      <c r="L5" t="s">
        <v>59</v>
      </c>
      <c r="M5" t="s">
        <v>60</v>
      </c>
      <c r="N5" t="s">
        <v>44</v>
      </c>
    </row>
    <row r="6" spans="1:15" ht="15" x14ac:dyDescent="0.2">
      <c r="A6" t="s">
        <v>61</v>
      </c>
      <c r="B6" t="s">
        <v>8</v>
      </c>
      <c r="C6" t="s">
        <v>62</v>
      </c>
      <c r="D6" s="1">
        <v>45924.548322592593</v>
      </c>
      <c r="E6" t="s">
        <v>63</v>
      </c>
      <c r="F6" t="s">
        <v>64</v>
      </c>
      <c r="G6" t="s">
        <v>65</v>
      </c>
      <c r="H6" s="2">
        <v>1</v>
      </c>
      <c r="I6" s="3">
        <v>0</v>
      </c>
      <c r="J6" s="5">
        <v>2477.02</v>
      </c>
      <c r="K6" t="s">
        <v>66</v>
      </c>
      <c r="L6" t="s">
        <v>47</v>
      </c>
      <c r="M6" t="s">
        <v>60</v>
      </c>
      <c r="N6" t="s">
        <v>44</v>
      </c>
    </row>
    <row r="7" spans="1:15" ht="15" x14ac:dyDescent="0.2">
      <c r="A7" t="s">
        <v>67</v>
      </c>
      <c r="B7" t="s">
        <v>20</v>
      </c>
      <c r="C7" t="s">
        <v>68</v>
      </c>
      <c r="D7" s="1">
        <v>45961.722727673608</v>
      </c>
      <c r="E7" t="s">
        <v>69</v>
      </c>
      <c r="F7" t="s">
        <v>70</v>
      </c>
      <c r="G7" t="s">
        <v>71</v>
      </c>
      <c r="H7" s="2">
        <v>1</v>
      </c>
      <c r="I7" s="3">
        <v>0</v>
      </c>
      <c r="J7" s="5">
        <v>1489.33</v>
      </c>
      <c r="K7" t="s">
        <v>58</v>
      </c>
      <c r="L7" t="s">
        <v>72</v>
      </c>
      <c r="M7" t="s">
        <v>73</v>
      </c>
      <c r="N7" t="s">
        <v>44</v>
      </c>
      <c r="O7" s="4">
        <v>0</v>
      </c>
    </row>
    <row r="8" spans="1:15" ht="15" x14ac:dyDescent="0.2">
      <c r="A8" t="s">
        <v>74</v>
      </c>
      <c r="B8" t="s">
        <v>8</v>
      </c>
      <c r="C8" t="s">
        <v>75</v>
      </c>
      <c r="D8" s="1">
        <v>45896.455385370369</v>
      </c>
      <c r="E8" t="s">
        <v>38</v>
      </c>
      <c r="F8" t="s">
        <v>76</v>
      </c>
      <c r="G8" t="s">
        <v>77</v>
      </c>
      <c r="H8" s="2">
        <v>1</v>
      </c>
      <c r="I8" s="3">
        <v>0</v>
      </c>
      <c r="J8" s="5">
        <v>5766.94</v>
      </c>
      <c r="K8" t="s">
        <v>78</v>
      </c>
      <c r="L8" t="s">
        <v>42</v>
      </c>
      <c r="M8" t="s">
        <v>79</v>
      </c>
      <c r="N8" t="s">
        <v>80</v>
      </c>
    </row>
    <row r="9" spans="1:15" ht="15" x14ac:dyDescent="0.2">
      <c r="A9" t="s">
        <v>81</v>
      </c>
      <c r="B9" t="s">
        <v>20</v>
      </c>
      <c r="C9" t="s">
        <v>82</v>
      </c>
      <c r="D9" s="1">
        <v>45975.449867337964</v>
      </c>
      <c r="E9" t="s">
        <v>38</v>
      </c>
      <c r="F9" t="s">
        <v>83</v>
      </c>
      <c r="G9" t="s">
        <v>84</v>
      </c>
      <c r="H9" s="2">
        <v>1</v>
      </c>
      <c r="I9" s="3">
        <v>0</v>
      </c>
      <c r="J9" s="5">
        <v>885.03</v>
      </c>
      <c r="K9" t="s">
        <v>58</v>
      </c>
      <c r="L9" t="s">
        <v>85</v>
      </c>
      <c r="M9" t="s">
        <v>86</v>
      </c>
      <c r="N9" t="s">
        <v>44</v>
      </c>
    </row>
    <row r="10" spans="1:15" ht="15" x14ac:dyDescent="0.2">
      <c r="A10" t="s">
        <v>87</v>
      </c>
      <c r="B10" t="s">
        <v>19</v>
      </c>
      <c r="C10" t="s">
        <v>88</v>
      </c>
      <c r="D10" s="1">
        <v>45901.484460995373</v>
      </c>
      <c r="E10" t="s">
        <v>63</v>
      </c>
      <c r="F10" t="s">
        <v>89</v>
      </c>
      <c r="G10" t="s">
        <v>90</v>
      </c>
      <c r="H10" s="2">
        <v>1</v>
      </c>
      <c r="I10" s="3">
        <v>0</v>
      </c>
      <c r="J10" s="5">
        <v>1892.79</v>
      </c>
      <c r="K10" t="s">
        <v>78</v>
      </c>
      <c r="L10" t="s">
        <v>72</v>
      </c>
      <c r="M10" t="s">
        <v>91</v>
      </c>
      <c r="N10" t="s">
        <v>44</v>
      </c>
    </row>
    <row r="11" spans="1:15" ht="15" x14ac:dyDescent="0.2">
      <c r="A11" t="s">
        <v>92</v>
      </c>
      <c r="B11" t="s">
        <v>20</v>
      </c>
      <c r="C11" t="s">
        <v>93</v>
      </c>
      <c r="D11" s="1">
        <v>45896.42601052083</v>
      </c>
      <c r="E11" t="s">
        <v>38</v>
      </c>
      <c r="F11" t="s">
        <v>94</v>
      </c>
      <c r="G11" t="s">
        <v>95</v>
      </c>
      <c r="H11" s="2">
        <v>1</v>
      </c>
      <c r="I11" s="3">
        <v>0</v>
      </c>
      <c r="J11" s="5">
        <v>751.78</v>
      </c>
      <c r="K11" t="s">
        <v>58</v>
      </c>
      <c r="L11" t="s">
        <v>72</v>
      </c>
      <c r="M11" t="s">
        <v>48</v>
      </c>
      <c r="N11" t="s">
        <v>44</v>
      </c>
    </row>
    <row r="12" spans="1:15" ht="15" x14ac:dyDescent="0.2">
      <c r="A12" t="s">
        <v>96</v>
      </c>
      <c r="B12" t="s">
        <v>6</v>
      </c>
      <c r="C12" t="s">
        <v>97</v>
      </c>
      <c r="D12" s="1">
        <v>45947.354271759257</v>
      </c>
      <c r="E12" t="s">
        <v>38</v>
      </c>
      <c r="F12" t="s">
        <v>98</v>
      </c>
      <c r="G12" t="s">
        <v>99</v>
      </c>
      <c r="H12" s="2">
        <v>1</v>
      </c>
      <c r="I12" s="3">
        <v>0</v>
      </c>
      <c r="J12" s="5">
        <v>1349.87</v>
      </c>
      <c r="K12" t="s">
        <v>53</v>
      </c>
      <c r="L12" t="s">
        <v>47</v>
      </c>
      <c r="M12" t="s">
        <v>48</v>
      </c>
      <c r="N12" t="s">
        <v>44</v>
      </c>
      <c r="O12" s="4">
        <v>1</v>
      </c>
    </row>
    <row r="13" spans="1:15" ht="15" x14ac:dyDescent="0.2">
      <c r="A13" t="s">
        <v>100</v>
      </c>
      <c r="B13" t="s">
        <v>20</v>
      </c>
      <c r="C13" t="s">
        <v>101</v>
      </c>
      <c r="D13" s="1">
        <v>45895.7365584375</v>
      </c>
      <c r="E13" t="s">
        <v>102</v>
      </c>
      <c r="F13" t="s">
        <v>103</v>
      </c>
      <c r="G13" t="s">
        <v>104</v>
      </c>
      <c r="H13" s="2">
        <v>1</v>
      </c>
      <c r="I13" s="3">
        <v>0</v>
      </c>
      <c r="J13" s="5">
        <v>751.78</v>
      </c>
      <c r="K13" t="s">
        <v>58</v>
      </c>
      <c r="L13" t="s">
        <v>72</v>
      </c>
      <c r="M13" t="s">
        <v>48</v>
      </c>
      <c r="N13" t="s">
        <v>44</v>
      </c>
    </row>
    <row r="14" spans="1:15" ht="15" x14ac:dyDescent="0.2">
      <c r="A14" t="s">
        <v>100</v>
      </c>
      <c r="B14" t="s">
        <v>20</v>
      </c>
      <c r="C14" t="s">
        <v>101</v>
      </c>
      <c r="D14" s="1">
        <v>45895.7365584375</v>
      </c>
      <c r="E14" t="s">
        <v>38</v>
      </c>
      <c r="F14" t="s">
        <v>105</v>
      </c>
      <c r="G14" t="s">
        <v>106</v>
      </c>
      <c r="H14" s="2">
        <v>1</v>
      </c>
      <c r="I14" s="3">
        <v>0</v>
      </c>
      <c r="J14" s="5">
        <v>1305.1600000000001</v>
      </c>
      <c r="K14" t="s">
        <v>58</v>
      </c>
      <c r="L14" t="s">
        <v>107</v>
      </c>
      <c r="M14" t="s">
        <v>108</v>
      </c>
      <c r="N14" t="s">
        <v>44</v>
      </c>
    </row>
    <row r="15" spans="1:15" ht="15" x14ac:dyDescent="0.2">
      <c r="A15" t="s">
        <v>109</v>
      </c>
      <c r="B15" t="s">
        <v>20</v>
      </c>
      <c r="C15" t="s">
        <v>110</v>
      </c>
      <c r="D15" s="1">
        <v>45838.729449432867</v>
      </c>
      <c r="E15" t="s">
        <v>38</v>
      </c>
      <c r="F15" t="s">
        <v>111</v>
      </c>
      <c r="G15" t="s">
        <v>112</v>
      </c>
      <c r="H15" s="2">
        <v>1</v>
      </c>
      <c r="I15" s="3">
        <v>0</v>
      </c>
      <c r="J15" s="5">
        <v>5758.08</v>
      </c>
      <c r="K15" t="s">
        <v>53</v>
      </c>
      <c r="L15" t="s">
        <v>113</v>
      </c>
      <c r="M15" t="s">
        <v>114</v>
      </c>
      <c r="N15" t="s">
        <v>44</v>
      </c>
      <c r="O15" s="4">
        <v>332</v>
      </c>
    </row>
    <row r="16" spans="1:15" ht="15" x14ac:dyDescent="0.2">
      <c r="A16" t="s">
        <v>115</v>
      </c>
      <c r="B16" t="s">
        <v>7</v>
      </c>
      <c r="C16" t="s">
        <v>116</v>
      </c>
      <c r="D16" s="1">
        <v>45976.330295891203</v>
      </c>
      <c r="E16" t="s">
        <v>38</v>
      </c>
      <c r="F16" t="s">
        <v>117</v>
      </c>
      <c r="G16" t="s">
        <v>118</v>
      </c>
      <c r="H16" s="2">
        <v>1</v>
      </c>
      <c r="I16" s="3">
        <v>0</v>
      </c>
      <c r="J16" s="5">
        <v>2389.3000000000002</v>
      </c>
      <c r="K16" t="s">
        <v>53</v>
      </c>
      <c r="L16" t="s">
        <v>119</v>
      </c>
      <c r="M16" t="s">
        <v>60</v>
      </c>
      <c r="N16" t="s">
        <v>44</v>
      </c>
      <c r="O16" s="4">
        <v>0</v>
      </c>
    </row>
    <row r="17" spans="1:15" ht="15" x14ac:dyDescent="0.2">
      <c r="A17" t="s">
        <v>120</v>
      </c>
      <c r="B17" t="s">
        <v>19</v>
      </c>
      <c r="C17" t="s">
        <v>121</v>
      </c>
      <c r="D17" s="1">
        <v>45882.716233819447</v>
      </c>
      <c r="E17" t="s">
        <v>63</v>
      </c>
      <c r="F17" t="s">
        <v>122</v>
      </c>
      <c r="G17" t="s">
        <v>123</v>
      </c>
      <c r="H17" s="2">
        <v>1</v>
      </c>
      <c r="I17" s="3">
        <v>0</v>
      </c>
      <c r="J17" s="5">
        <v>2896.68</v>
      </c>
      <c r="K17" t="s">
        <v>53</v>
      </c>
      <c r="L17" t="s">
        <v>124</v>
      </c>
      <c r="M17" t="s">
        <v>125</v>
      </c>
      <c r="N17" t="s">
        <v>44</v>
      </c>
    </row>
    <row r="18" spans="1:15" ht="15" x14ac:dyDescent="0.2">
      <c r="A18" t="s">
        <v>126</v>
      </c>
      <c r="B18" t="s">
        <v>20</v>
      </c>
      <c r="C18" t="s">
        <v>127</v>
      </c>
      <c r="D18" s="1">
        <v>45961.758734212963</v>
      </c>
      <c r="E18" t="s">
        <v>38</v>
      </c>
      <c r="F18" t="s">
        <v>128</v>
      </c>
      <c r="G18" t="s">
        <v>129</v>
      </c>
      <c r="H18" s="2">
        <v>1</v>
      </c>
      <c r="I18" s="3">
        <v>0</v>
      </c>
      <c r="J18" s="5">
        <v>3028.98</v>
      </c>
      <c r="K18" t="s">
        <v>78</v>
      </c>
      <c r="L18" t="s">
        <v>42</v>
      </c>
      <c r="M18" t="s">
        <v>130</v>
      </c>
      <c r="N18" t="s">
        <v>80</v>
      </c>
    </row>
    <row r="19" spans="1:15" ht="15" x14ac:dyDescent="0.2">
      <c r="A19" t="s">
        <v>131</v>
      </c>
      <c r="B19" t="s">
        <v>20</v>
      </c>
      <c r="C19" t="s">
        <v>132</v>
      </c>
      <c r="D19" s="1">
        <v>45903.64844597222</v>
      </c>
      <c r="E19" t="s">
        <v>38</v>
      </c>
      <c r="F19" t="s">
        <v>133</v>
      </c>
      <c r="G19" t="s">
        <v>134</v>
      </c>
      <c r="H19" s="2">
        <v>1</v>
      </c>
      <c r="I19" s="3">
        <v>0</v>
      </c>
      <c r="J19" s="5">
        <v>1305.1600000000001</v>
      </c>
      <c r="K19" t="s">
        <v>78</v>
      </c>
      <c r="L19" t="s">
        <v>47</v>
      </c>
      <c r="M19" t="s">
        <v>108</v>
      </c>
      <c r="N19" t="s">
        <v>44</v>
      </c>
    </row>
    <row r="20" spans="1:15" ht="15" x14ac:dyDescent="0.2">
      <c r="A20" t="s">
        <v>135</v>
      </c>
      <c r="B20" t="s">
        <v>11</v>
      </c>
      <c r="C20" t="s">
        <v>136</v>
      </c>
      <c r="D20" s="1">
        <v>45954.695123078702</v>
      </c>
      <c r="E20" t="s">
        <v>102</v>
      </c>
      <c r="F20" t="s">
        <v>137</v>
      </c>
      <c r="G20" t="s">
        <v>138</v>
      </c>
      <c r="H20" s="2">
        <v>1</v>
      </c>
      <c r="I20" s="3">
        <v>0</v>
      </c>
      <c r="J20" s="5">
        <v>1050.82</v>
      </c>
      <c r="K20" t="s">
        <v>78</v>
      </c>
      <c r="L20" t="s">
        <v>107</v>
      </c>
      <c r="M20" t="s">
        <v>48</v>
      </c>
      <c r="N20" t="s">
        <v>44</v>
      </c>
    </row>
    <row r="21" spans="1:15" ht="15" x14ac:dyDescent="0.2">
      <c r="A21" t="s">
        <v>139</v>
      </c>
      <c r="B21" t="s">
        <v>6</v>
      </c>
      <c r="C21" t="s">
        <v>140</v>
      </c>
      <c r="D21" s="1">
        <v>45905.538561921298</v>
      </c>
      <c r="E21" t="s">
        <v>38</v>
      </c>
      <c r="F21" t="s">
        <v>98</v>
      </c>
      <c r="G21" t="s">
        <v>141</v>
      </c>
      <c r="H21" s="2">
        <v>1</v>
      </c>
      <c r="I21" s="3">
        <v>0</v>
      </c>
      <c r="J21" s="5">
        <v>1349.87</v>
      </c>
      <c r="K21" t="s">
        <v>53</v>
      </c>
      <c r="L21" t="s">
        <v>47</v>
      </c>
      <c r="M21" t="s">
        <v>48</v>
      </c>
      <c r="N21" t="s">
        <v>44</v>
      </c>
    </row>
    <row r="22" spans="1:15" ht="15" x14ac:dyDescent="0.2">
      <c r="A22" t="s">
        <v>142</v>
      </c>
      <c r="B22" t="s">
        <v>5</v>
      </c>
      <c r="C22" t="s">
        <v>143</v>
      </c>
      <c r="D22" s="1">
        <v>45924.658638611108</v>
      </c>
      <c r="E22" t="s">
        <v>63</v>
      </c>
      <c r="F22" t="s">
        <v>144</v>
      </c>
      <c r="G22" t="s">
        <v>145</v>
      </c>
      <c r="H22" s="2">
        <v>1</v>
      </c>
      <c r="I22" s="3">
        <v>0</v>
      </c>
      <c r="J22" s="5">
        <v>1692.48</v>
      </c>
      <c r="K22" t="s">
        <v>53</v>
      </c>
      <c r="L22" t="s">
        <v>107</v>
      </c>
      <c r="M22" t="s">
        <v>146</v>
      </c>
      <c r="N22" t="s">
        <v>44</v>
      </c>
    </row>
    <row r="23" spans="1:15" ht="15" x14ac:dyDescent="0.2">
      <c r="A23" t="s">
        <v>147</v>
      </c>
      <c r="B23" t="s">
        <v>18</v>
      </c>
      <c r="C23" t="s">
        <v>148</v>
      </c>
      <c r="D23" s="1">
        <v>45951.556734432874</v>
      </c>
      <c r="E23" t="s">
        <v>38</v>
      </c>
      <c r="F23" t="s">
        <v>149</v>
      </c>
      <c r="G23" t="s">
        <v>150</v>
      </c>
      <c r="H23" s="2">
        <v>1</v>
      </c>
      <c r="I23" s="3">
        <v>0</v>
      </c>
      <c r="J23" s="5">
        <v>6299.22</v>
      </c>
      <c r="K23" t="s">
        <v>53</v>
      </c>
      <c r="L23" t="s">
        <v>42</v>
      </c>
      <c r="M23" t="s">
        <v>79</v>
      </c>
      <c r="N23" t="s">
        <v>80</v>
      </c>
    </row>
    <row r="24" spans="1:15" ht="15" x14ac:dyDescent="0.2">
      <c r="A24" t="s">
        <v>151</v>
      </c>
      <c r="B24" t="s">
        <v>19</v>
      </c>
      <c r="C24" t="s">
        <v>152</v>
      </c>
      <c r="D24" s="1">
        <v>45881.379968634261</v>
      </c>
      <c r="E24" t="s">
        <v>38</v>
      </c>
      <c r="F24" t="s">
        <v>98</v>
      </c>
      <c r="G24" t="s">
        <v>153</v>
      </c>
      <c r="H24" s="2">
        <v>1</v>
      </c>
      <c r="I24" s="3">
        <v>0</v>
      </c>
      <c r="J24" s="5">
        <v>751.78</v>
      </c>
      <c r="K24" t="s">
        <v>58</v>
      </c>
      <c r="L24" t="s">
        <v>72</v>
      </c>
      <c r="M24" t="s">
        <v>48</v>
      </c>
      <c r="N24" t="s">
        <v>44</v>
      </c>
    </row>
    <row r="25" spans="1:15" ht="15" x14ac:dyDescent="0.2">
      <c r="A25" t="s">
        <v>154</v>
      </c>
      <c r="B25" t="s">
        <v>19</v>
      </c>
      <c r="C25" t="s">
        <v>155</v>
      </c>
      <c r="D25" s="1">
        <v>45904.654379768515</v>
      </c>
      <c r="E25" t="s">
        <v>69</v>
      </c>
      <c r="F25" t="s">
        <v>156</v>
      </c>
      <c r="G25" t="s">
        <v>157</v>
      </c>
      <c r="H25" s="2">
        <v>1</v>
      </c>
      <c r="I25" s="3">
        <v>0</v>
      </c>
      <c r="J25" s="5">
        <v>2873.41</v>
      </c>
      <c r="K25" t="s">
        <v>53</v>
      </c>
      <c r="L25" t="s">
        <v>113</v>
      </c>
      <c r="M25" t="s">
        <v>73</v>
      </c>
      <c r="N25" t="s">
        <v>44</v>
      </c>
    </row>
    <row r="26" spans="1:15" ht="15" x14ac:dyDescent="0.2">
      <c r="A26" t="s">
        <v>158</v>
      </c>
      <c r="B26" t="s">
        <v>19</v>
      </c>
      <c r="C26" t="s">
        <v>159</v>
      </c>
      <c r="D26" s="1">
        <v>45881.434573379629</v>
      </c>
      <c r="E26" t="s">
        <v>38</v>
      </c>
      <c r="F26" t="s">
        <v>98</v>
      </c>
      <c r="G26" t="s">
        <v>160</v>
      </c>
      <c r="H26" s="2">
        <v>1</v>
      </c>
      <c r="I26" s="3">
        <v>0</v>
      </c>
      <c r="J26" s="5">
        <v>751.78</v>
      </c>
      <c r="K26" t="s">
        <v>58</v>
      </c>
      <c r="L26" t="s">
        <v>72</v>
      </c>
      <c r="M26" t="s">
        <v>48</v>
      </c>
      <c r="N26" t="s">
        <v>44</v>
      </c>
    </row>
    <row r="27" spans="1:15" ht="15" x14ac:dyDescent="0.2">
      <c r="A27" t="s">
        <v>161</v>
      </c>
      <c r="B27" t="s">
        <v>5</v>
      </c>
      <c r="C27" t="s">
        <v>162</v>
      </c>
      <c r="D27" s="1">
        <v>45961.590405995368</v>
      </c>
      <c r="E27" t="s">
        <v>163</v>
      </c>
      <c r="F27" t="s">
        <v>164</v>
      </c>
      <c r="G27" t="s">
        <v>165</v>
      </c>
      <c r="H27" s="2">
        <v>1</v>
      </c>
      <c r="I27" s="3">
        <v>0</v>
      </c>
      <c r="J27" s="5">
        <v>1050.82</v>
      </c>
      <c r="K27" t="s">
        <v>78</v>
      </c>
      <c r="L27" t="s">
        <v>107</v>
      </c>
      <c r="M27" t="s">
        <v>48</v>
      </c>
      <c r="N27" t="s">
        <v>44</v>
      </c>
    </row>
    <row r="28" spans="1:15" ht="15" x14ac:dyDescent="0.2">
      <c r="A28" t="s">
        <v>166</v>
      </c>
      <c r="B28" t="s">
        <v>18</v>
      </c>
      <c r="C28" t="s">
        <v>167</v>
      </c>
      <c r="D28" s="1">
        <v>45880.70898787037</v>
      </c>
      <c r="E28" t="s">
        <v>38</v>
      </c>
      <c r="F28" t="s">
        <v>105</v>
      </c>
      <c r="G28" t="s">
        <v>168</v>
      </c>
      <c r="H28" s="2">
        <v>1</v>
      </c>
      <c r="I28" s="3">
        <v>0</v>
      </c>
      <c r="J28" s="5">
        <v>4005.18</v>
      </c>
      <c r="K28" t="s">
        <v>169</v>
      </c>
      <c r="L28" t="s">
        <v>170</v>
      </c>
      <c r="M28" t="s">
        <v>108</v>
      </c>
      <c r="N28" t="s">
        <v>80</v>
      </c>
    </row>
    <row r="29" spans="1:15" ht="15" x14ac:dyDescent="0.2">
      <c r="A29" t="s">
        <v>171</v>
      </c>
      <c r="B29" t="s">
        <v>19</v>
      </c>
      <c r="C29" t="s">
        <v>172</v>
      </c>
      <c r="D29" s="1">
        <v>45938.358515046297</v>
      </c>
      <c r="E29" t="s">
        <v>63</v>
      </c>
      <c r="F29" t="s">
        <v>144</v>
      </c>
      <c r="G29" t="s">
        <v>173</v>
      </c>
      <c r="H29" s="2">
        <v>1</v>
      </c>
      <c r="I29" s="3">
        <v>0</v>
      </c>
      <c r="J29" s="5">
        <v>1397.63</v>
      </c>
      <c r="K29" t="s">
        <v>78</v>
      </c>
      <c r="L29" t="s">
        <v>107</v>
      </c>
      <c r="M29" t="s">
        <v>146</v>
      </c>
      <c r="N29" t="s">
        <v>44</v>
      </c>
      <c r="O29" s="4">
        <v>1</v>
      </c>
    </row>
    <row r="30" spans="1:15" ht="15" x14ac:dyDescent="0.2">
      <c r="A30" t="s">
        <v>174</v>
      </c>
      <c r="B30" t="s">
        <v>13</v>
      </c>
      <c r="C30" t="s">
        <v>175</v>
      </c>
      <c r="D30" s="1">
        <v>45924.605390393517</v>
      </c>
      <c r="E30" t="s">
        <v>38</v>
      </c>
      <c r="F30" t="s">
        <v>176</v>
      </c>
      <c r="G30" t="s">
        <v>177</v>
      </c>
      <c r="H30" s="2">
        <v>1</v>
      </c>
      <c r="I30" s="3">
        <v>0</v>
      </c>
      <c r="J30" s="5">
        <v>2193.23</v>
      </c>
      <c r="K30" t="s">
        <v>53</v>
      </c>
      <c r="L30" t="s">
        <v>170</v>
      </c>
      <c r="M30" t="s">
        <v>108</v>
      </c>
      <c r="N30" t="s">
        <v>44</v>
      </c>
    </row>
    <row r="31" spans="1:15" ht="15" x14ac:dyDescent="0.2">
      <c r="A31" t="s">
        <v>178</v>
      </c>
      <c r="B31" t="s">
        <v>13</v>
      </c>
      <c r="C31" t="s">
        <v>179</v>
      </c>
      <c r="D31" s="1">
        <v>45952.667209016203</v>
      </c>
      <c r="E31" t="s">
        <v>38</v>
      </c>
      <c r="F31" t="s">
        <v>180</v>
      </c>
      <c r="G31" t="s">
        <v>181</v>
      </c>
      <c r="H31" s="2">
        <v>1</v>
      </c>
      <c r="I31" s="3">
        <v>0</v>
      </c>
      <c r="J31" s="5">
        <v>2193.23</v>
      </c>
      <c r="K31" t="s">
        <v>53</v>
      </c>
      <c r="L31" t="s">
        <v>42</v>
      </c>
      <c r="M31" t="s">
        <v>108</v>
      </c>
      <c r="N31" t="s">
        <v>44</v>
      </c>
    </row>
    <row r="32" spans="1:15" ht="15" x14ac:dyDescent="0.2">
      <c r="A32" t="s">
        <v>182</v>
      </c>
      <c r="B32" t="s">
        <v>20</v>
      </c>
      <c r="C32" t="s">
        <v>183</v>
      </c>
      <c r="D32" s="1">
        <v>45947.64508278935</v>
      </c>
      <c r="E32" t="s">
        <v>38</v>
      </c>
      <c r="F32" t="s">
        <v>184</v>
      </c>
      <c r="G32" t="s">
        <v>185</v>
      </c>
      <c r="H32" s="2">
        <v>1</v>
      </c>
      <c r="I32" s="3">
        <v>0</v>
      </c>
      <c r="J32" s="5">
        <v>751.78</v>
      </c>
      <c r="K32" t="s">
        <v>58</v>
      </c>
      <c r="L32" t="s">
        <v>72</v>
      </c>
      <c r="M32" t="s">
        <v>48</v>
      </c>
      <c r="N32" t="s">
        <v>44</v>
      </c>
    </row>
    <row r="33" spans="1:14" ht="15" x14ac:dyDescent="0.2">
      <c r="A33" t="s">
        <v>186</v>
      </c>
      <c r="B33" t="s">
        <v>9</v>
      </c>
      <c r="C33" t="s">
        <v>187</v>
      </c>
      <c r="D33" s="1">
        <v>45872.377216724541</v>
      </c>
      <c r="E33" t="s">
        <v>38</v>
      </c>
      <c r="F33" t="s">
        <v>188</v>
      </c>
      <c r="G33" t="s">
        <v>189</v>
      </c>
      <c r="H33" s="2">
        <v>1</v>
      </c>
      <c r="I33" s="3">
        <v>0</v>
      </c>
      <c r="J33" s="5">
        <v>5843.08</v>
      </c>
      <c r="K33" t="s">
        <v>169</v>
      </c>
      <c r="L33" t="s">
        <v>113</v>
      </c>
      <c r="M33" t="s">
        <v>60</v>
      </c>
      <c r="N33" t="s">
        <v>44</v>
      </c>
    </row>
    <row r="34" spans="1:14" ht="15" x14ac:dyDescent="0.2">
      <c r="A34" t="s">
        <v>186</v>
      </c>
      <c r="B34" t="s">
        <v>9</v>
      </c>
      <c r="C34" t="s">
        <v>190</v>
      </c>
      <c r="D34" s="1">
        <v>45873.410946805554</v>
      </c>
      <c r="E34" t="s">
        <v>38</v>
      </c>
      <c r="F34" t="s">
        <v>191</v>
      </c>
      <c r="G34" t="s">
        <v>192</v>
      </c>
      <c r="H34" s="2">
        <v>1</v>
      </c>
      <c r="I34" s="3">
        <v>0</v>
      </c>
      <c r="J34" s="5">
        <v>2389.3000000000002</v>
      </c>
      <c r="K34" t="s">
        <v>53</v>
      </c>
      <c r="L34" t="s">
        <v>193</v>
      </c>
      <c r="M34" t="s">
        <v>60</v>
      </c>
      <c r="N34" t="s">
        <v>44</v>
      </c>
    </row>
    <row r="35" spans="1:14" ht="15" x14ac:dyDescent="0.2">
      <c r="A35" t="s">
        <v>186</v>
      </c>
      <c r="B35" t="s">
        <v>9</v>
      </c>
      <c r="C35" t="s">
        <v>194</v>
      </c>
      <c r="D35" s="1">
        <v>45873.49191428208</v>
      </c>
      <c r="E35" t="s">
        <v>38</v>
      </c>
      <c r="F35" t="s">
        <v>188</v>
      </c>
      <c r="G35" t="s">
        <v>189</v>
      </c>
      <c r="H35" s="2">
        <v>1</v>
      </c>
      <c r="I35" s="3">
        <v>0</v>
      </c>
      <c r="J35" s="5">
        <v>4172.2299999999996</v>
      </c>
      <c r="K35" t="s">
        <v>53</v>
      </c>
      <c r="L35" t="s">
        <v>113</v>
      </c>
      <c r="M35" t="s">
        <v>60</v>
      </c>
      <c r="N35" t="s">
        <v>44</v>
      </c>
    </row>
    <row r="36" spans="1:14" ht="15" x14ac:dyDescent="0.2">
      <c r="A36" t="s">
        <v>195</v>
      </c>
      <c r="B36" t="s">
        <v>7</v>
      </c>
      <c r="C36" t="s">
        <v>196</v>
      </c>
      <c r="D36" s="1">
        <v>45947.472990636576</v>
      </c>
      <c r="E36" t="s">
        <v>38</v>
      </c>
      <c r="F36" t="s">
        <v>51</v>
      </c>
      <c r="G36" t="s">
        <v>197</v>
      </c>
      <c r="H36" s="2">
        <v>1</v>
      </c>
      <c r="I36" s="3">
        <v>0</v>
      </c>
      <c r="J36" s="5">
        <v>1050.82</v>
      </c>
      <c r="K36" t="s">
        <v>78</v>
      </c>
      <c r="L36" t="s">
        <v>107</v>
      </c>
      <c r="M36" t="s">
        <v>48</v>
      </c>
      <c r="N36" t="s">
        <v>44</v>
      </c>
    </row>
    <row r="37" spans="1:14" ht="15" x14ac:dyDescent="0.2">
      <c r="A37" t="s">
        <v>198</v>
      </c>
      <c r="B37" t="s">
        <v>20</v>
      </c>
      <c r="C37" t="s">
        <v>199</v>
      </c>
      <c r="D37" s="1">
        <v>45881.658378425927</v>
      </c>
      <c r="E37" t="s">
        <v>38</v>
      </c>
      <c r="F37" t="s">
        <v>200</v>
      </c>
      <c r="G37" t="s">
        <v>201</v>
      </c>
      <c r="H37" s="2">
        <v>1</v>
      </c>
      <c r="I37" s="3">
        <v>0</v>
      </c>
      <c r="J37" s="5">
        <v>2685.71</v>
      </c>
      <c r="K37" t="s">
        <v>41</v>
      </c>
      <c r="L37" t="s">
        <v>202</v>
      </c>
      <c r="M37" t="s">
        <v>203</v>
      </c>
      <c r="N37" t="s">
        <v>44</v>
      </c>
    </row>
    <row r="38" spans="1:14" ht="15" x14ac:dyDescent="0.2">
      <c r="A38" t="s">
        <v>204</v>
      </c>
      <c r="B38" t="s">
        <v>4</v>
      </c>
      <c r="C38" t="s">
        <v>205</v>
      </c>
      <c r="D38" s="1">
        <v>45972.532692083332</v>
      </c>
      <c r="E38" t="s">
        <v>38</v>
      </c>
      <c r="F38" t="s">
        <v>206</v>
      </c>
      <c r="G38" t="s">
        <v>207</v>
      </c>
      <c r="H38" s="2">
        <v>1</v>
      </c>
      <c r="I38" s="3">
        <v>0</v>
      </c>
      <c r="J38" s="5">
        <v>3069.21</v>
      </c>
      <c r="K38" t="s">
        <v>41</v>
      </c>
      <c r="L38" t="s">
        <v>42</v>
      </c>
      <c r="M38" t="s">
        <v>60</v>
      </c>
      <c r="N38" t="s">
        <v>44</v>
      </c>
    </row>
    <row r="39" spans="1:14" ht="15" x14ac:dyDescent="0.2">
      <c r="A39" t="s">
        <v>208</v>
      </c>
      <c r="B39" t="s">
        <v>19</v>
      </c>
      <c r="C39" t="s">
        <v>209</v>
      </c>
      <c r="D39" s="1">
        <v>45905.741458032404</v>
      </c>
      <c r="E39" t="s">
        <v>63</v>
      </c>
      <c r="F39" t="s">
        <v>210</v>
      </c>
      <c r="G39" t="s">
        <v>211</v>
      </c>
      <c r="H39" s="2">
        <v>1</v>
      </c>
      <c r="I39" s="3">
        <v>0</v>
      </c>
      <c r="J39" s="5">
        <v>1653.55</v>
      </c>
      <c r="K39" t="s">
        <v>212</v>
      </c>
      <c r="L39" t="s">
        <v>213</v>
      </c>
      <c r="M39" t="s">
        <v>214</v>
      </c>
      <c r="N39" t="s">
        <v>44</v>
      </c>
    </row>
    <row r="40" spans="1:14" ht="15" x14ac:dyDescent="0.2">
      <c r="A40" t="s">
        <v>215</v>
      </c>
      <c r="B40" t="s">
        <v>19</v>
      </c>
      <c r="C40" t="s">
        <v>216</v>
      </c>
      <c r="D40" s="1">
        <v>45883.519958530094</v>
      </c>
      <c r="E40" t="s">
        <v>217</v>
      </c>
      <c r="F40" t="s">
        <v>218</v>
      </c>
      <c r="G40" t="s">
        <v>219</v>
      </c>
      <c r="H40" s="2">
        <v>1</v>
      </c>
      <c r="I40" s="3">
        <v>0</v>
      </c>
      <c r="J40" s="5">
        <v>2117.3000000000002</v>
      </c>
      <c r="K40" t="s">
        <v>53</v>
      </c>
      <c r="L40" t="s">
        <v>42</v>
      </c>
      <c r="M40" t="s">
        <v>48</v>
      </c>
      <c r="N40" t="s">
        <v>44</v>
      </c>
    </row>
    <row r="41" spans="1:14" ht="15" x14ac:dyDescent="0.2">
      <c r="A41" t="s">
        <v>220</v>
      </c>
      <c r="B41" t="s">
        <v>11</v>
      </c>
      <c r="C41" t="s">
        <v>221</v>
      </c>
      <c r="D41" s="1">
        <v>45951.374316875001</v>
      </c>
      <c r="E41" t="s">
        <v>38</v>
      </c>
      <c r="F41" t="s">
        <v>222</v>
      </c>
      <c r="G41" t="s">
        <v>223</v>
      </c>
      <c r="H41" s="2">
        <v>1</v>
      </c>
      <c r="I41" s="3">
        <v>0</v>
      </c>
      <c r="J41" s="5">
        <v>3769.06</v>
      </c>
      <c r="K41" t="s">
        <v>53</v>
      </c>
      <c r="L41" t="s">
        <v>42</v>
      </c>
      <c r="M41" t="s">
        <v>114</v>
      </c>
      <c r="N41" t="s">
        <v>80</v>
      </c>
    </row>
    <row r="42" spans="1:14" ht="15" x14ac:dyDescent="0.2">
      <c r="A42" t="s">
        <v>224</v>
      </c>
      <c r="B42" t="s">
        <v>18</v>
      </c>
      <c r="C42" t="s">
        <v>225</v>
      </c>
      <c r="D42" s="1">
        <v>45934.403453703701</v>
      </c>
      <c r="E42" t="s">
        <v>38</v>
      </c>
      <c r="F42" t="s">
        <v>226</v>
      </c>
      <c r="G42" t="s">
        <v>227</v>
      </c>
      <c r="H42" s="2">
        <v>1</v>
      </c>
      <c r="I42" s="3">
        <v>0</v>
      </c>
      <c r="J42" s="5">
        <v>1050.82</v>
      </c>
      <c r="K42" t="s">
        <v>78</v>
      </c>
      <c r="L42" t="s">
        <v>107</v>
      </c>
      <c r="M42" t="s">
        <v>48</v>
      </c>
      <c r="N42" t="s">
        <v>44</v>
      </c>
    </row>
    <row r="43" spans="1:14" ht="15" x14ac:dyDescent="0.2">
      <c r="A43" t="s">
        <v>228</v>
      </c>
      <c r="B43" t="s">
        <v>19</v>
      </c>
      <c r="C43" t="s">
        <v>229</v>
      </c>
      <c r="D43" s="1">
        <v>45885.663471111111</v>
      </c>
      <c r="E43" t="s">
        <v>217</v>
      </c>
      <c r="F43" t="s">
        <v>230</v>
      </c>
      <c r="G43" t="s">
        <v>231</v>
      </c>
      <c r="H43" s="2">
        <v>1</v>
      </c>
      <c r="I43" s="3">
        <v>0</v>
      </c>
      <c r="J43" s="5">
        <v>751.78</v>
      </c>
      <c r="K43" t="s">
        <v>58</v>
      </c>
      <c r="L43" t="s">
        <v>72</v>
      </c>
      <c r="M43" t="s">
        <v>48</v>
      </c>
      <c r="N43" t="s">
        <v>44</v>
      </c>
    </row>
    <row r="44" spans="1:14" ht="15" x14ac:dyDescent="0.2">
      <c r="A44" t="s">
        <v>232</v>
      </c>
      <c r="B44" t="s">
        <v>13</v>
      </c>
      <c r="C44" t="s">
        <v>233</v>
      </c>
      <c r="D44" s="1">
        <v>45966.594048171297</v>
      </c>
      <c r="E44" t="s">
        <v>38</v>
      </c>
      <c r="F44" t="s">
        <v>234</v>
      </c>
      <c r="G44" t="s">
        <v>235</v>
      </c>
      <c r="H44" s="2">
        <v>1</v>
      </c>
      <c r="I44" s="3">
        <v>0</v>
      </c>
      <c r="J44" s="5">
        <v>3683.94</v>
      </c>
      <c r="K44" t="s">
        <v>41</v>
      </c>
      <c r="L44" t="s">
        <v>113</v>
      </c>
      <c r="M44" t="s">
        <v>108</v>
      </c>
      <c r="N44" t="s">
        <v>44</v>
      </c>
    </row>
    <row r="45" spans="1:14" ht="15" x14ac:dyDescent="0.2">
      <c r="A45" t="s">
        <v>236</v>
      </c>
      <c r="B45" t="s">
        <v>20</v>
      </c>
      <c r="C45" t="s">
        <v>237</v>
      </c>
      <c r="D45" s="1">
        <v>45957.606162407406</v>
      </c>
      <c r="E45" t="s">
        <v>38</v>
      </c>
      <c r="F45" t="s">
        <v>238</v>
      </c>
      <c r="G45" t="s">
        <v>239</v>
      </c>
      <c r="H45" s="2">
        <v>1</v>
      </c>
      <c r="I45" s="3">
        <v>0</v>
      </c>
      <c r="J45" s="5">
        <v>1035.0999999999999</v>
      </c>
      <c r="K45" t="s">
        <v>58</v>
      </c>
      <c r="L45" t="s">
        <v>72</v>
      </c>
      <c r="M45" t="s">
        <v>108</v>
      </c>
      <c r="N45" t="s">
        <v>44</v>
      </c>
    </row>
    <row r="46" spans="1:14" ht="15" x14ac:dyDescent="0.2">
      <c r="A46" t="s">
        <v>240</v>
      </c>
      <c r="B46" t="s">
        <v>7</v>
      </c>
      <c r="C46" t="s">
        <v>241</v>
      </c>
      <c r="D46" s="1">
        <v>45973.69184521991</v>
      </c>
      <c r="E46" t="s">
        <v>38</v>
      </c>
      <c r="F46" t="s">
        <v>242</v>
      </c>
      <c r="G46" t="s">
        <v>243</v>
      </c>
      <c r="H46" s="2">
        <v>1</v>
      </c>
      <c r="I46" s="3">
        <v>0</v>
      </c>
      <c r="J46" s="5">
        <v>2338.59</v>
      </c>
      <c r="K46" t="s">
        <v>53</v>
      </c>
      <c r="L46" t="s">
        <v>119</v>
      </c>
      <c r="M46" t="s">
        <v>244</v>
      </c>
      <c r="N46" t="s">
        <v>44</v>
      </c>
    </row>
    <row r="47" spans="1:14" ht="15" x14ac:dyDescent="0.2">
      <c r="A47" t="s">
        <v>245</v>
      </c>
      <c r="B47" t="s">
        <v>19</v>
      </c>
      <c r="C47" t="s">
        <v>246</v>
      </c>
      <c r="D47" s="1">
        <v>45883.373911875002</v>
      </c>
      <c r="E47" t="s">
        <v>102</v>
      </c>
      <c r="F47" t="s">
        <v>247</v>
      </c>
      <c r="G47" t="s">
        <v>248</v>
      </c>
      <c r="H47" s="2">
        <v>1</v>
      </c>
      <c r="I47" s="3">
        <v>0</v>
      </c>
      <c r="J47" s="5">
        <v>751.78</v>
      </c>
      <c r="K47" t="s">
        <v>58</v>
      </c>
      <c r="L47" t="s">
        <v>72</v>
      </c>
      <c r="M47" t="s">
        <v>48</v>
      </c>
      <c r="N47" t="s">
        <v>44</v>
      </c>
    </row>
    <row r="48" spans="1:14" ht="15" x14ac:dyDescent="0.2">
      <c r="A48" t="s">
        <v>249</v>
      </c>
      <c r="B48" t="s">
        <v>14</v>
      </c>
      <c r="C48" t="s">
        <v>250</v>
      </c>
      <c r="D48" s="1">
        <v>45905.569755416669</v>
      </c>
      <c r="E48" t="s">
        <v>251</v>
      </c>
      <c r="F48" t="s">
        <v>252</v>
      </c>
      <c r="G48" t="s">
        <v>253</v>
      </c>
      <c r="H48" s="2">
        <v>1</v>
      </c>
      <c r="I48" s="3">
        <v>0</v>
      </c>
      <c r="J48" s="5">
        <v>1349.87</v>
      </c>
      <c r="K48" t="s">
        <v>53</v>
      </c>
      <c r="L48" t="s">
        <v>47</v>
      </c>
      <c r="M48" t="s">
        <v>48</v>
      </c>
      <c r="N48" t="s">
        <v>44</v>
      </c>
    </row>
    <row r="49" spans="1:15" ht="15" x14ac:dyDescent="0.2">
      <c r="A49" t="s">
        <v>254</v>
      </c>
      <c r="B49" t="s">
        <v>19</v>
      </c>
      <c r="C49" t="s">
        <v>255</v>
      </c>
      <c r="D49" s="1">
        <v>45953.508316493055</v>
      </c>
      <c r="E49" t="s">
        <v>102</v>
      </c>
      <c r="F49" t="s">
        <v>256</v>
      </c>
      <c r="G49" t="s">
        <v>257</v>
      </c>
      <c r="H49" s="2">
        <v>1</v>
      </c>
      <c r="I49" s="3">
        <v>0</v>
      </c>
      <c r="J49" s="5">
        <v>751.78</v>
      </c>
      <c r="K49" t="s">
        <v>58</v>
      </c>
      <c r="L49" t="s">
        <v>72</v>
      </c>
      <c r="M49" t="s">
        <v>48</v>
      </c>
      <c r="N49" t="s">
        <v>44</v>
      </c>
    </row>
    <row r="50" spans="1:15" ht="15" x14ac:dyDescent="0.2">
      <c r="A50" t="s">
        <v>258</v>
      </c>
      <c r="B50" t="s">
        <v>20</v>
      </c>
      <c r="C50" t="s">
        <v>259</v>
      </c>
      <c r="D50" s="1">
        <v>45934.581465659721</v>
      </c>
      <c r="E50" t="s">
        <v>38</v>
      </c>
      <c r="F50" t="s">
        <v>260</v>
      </c>
      <c r="G50" t="s">
        <v>261</v>
      </c>
      <c r="H50" s="2">
        <v>1</v>
      </c>
      <c r="I50" s="3">
        <v>0</v>
      </c>
      <c r="J50" s="5">
        <v>1035.0999999999999</v>
      </c>
      <c r="K50" t="s">
        <v>58</v>
      </c>
      <c r="L50" t="s">
        <v>72</v>
      </c>
      <c r="M50" t="s">
        <v>108</v>
      </c>
      <c r="N50" t="s">
        <v>44</v>
      </c>
      <c r="O50" s="4">
        <v>0</v>
      </c>
    </row>
    <row r="51" spans="1:15" ht="15" x14ac:dyDescent="0.2">
      <c r="A51" t="s">
        <v>262</v>
      </c>
      <c r="B51" t="s">
        <v>20</v>
      </c>
      <c r="C51" t="s">
        <v>263</v>
      </c>
      <c r="D51" s="1">
        <v>45938.488773819445</v>
      </c>
      <c r="E51" t="s">
        <v>38</v>
      </c>
      <c r="F51" t="s">
        <v>264</v>
      </c>
      <c r="G51" t="s">
        <v>265</v>
      </c>
      <c r="H51" s="2">
        <v>1</v>
      </c>
      <c r="I51" s="3">
        <v>0</v>
      </c>
      <c r="J51" s="5">
        <v>2701.63</v>
      </c>
      <c r="K51" t="s">
        <v>53</v>
      </c>
      <c r="L51" t="s">
        <v>42</v>
      </c>
      <c r="M51" t="s">
        <v>266</v>
      </c>
      <c r="N51" t="s">
        <v>44</v>
      </c>
    </row>
    <row r="52" spans="1:15" ht="15" x14ac:dyDescent="0.2">
      <c r="A52" t="s">
        <v>267</v>
      </c>
      <c r="B52" t="s">
        <v>9</v>
      </c>
      <c r="C52" t="s">
        <v>268</v>
      </c>
      <c r="D52" s="1">
        <v>45889.484611261571</v>
      </c>
      <c r="E52" t="s">
        <v>102</v>
      </c>
      <c r="F52" t="s">
        <v>269</v>
      </c>
      <c r="G52" t="s">
        <v>270</v>
      </c>
      <c r="H52" s="2">
        <v>1</v>
      </c>
      <c r="I52" s="3">
        <v>0</v>
      </c>
      <c r="J52" s="5">
        <v>751.78</v>
      </c>
      <c r="K52" t="s">
        <v>58</v>
      </c>
      <c r="L52" t="s">
        <v>72</v>
      </c>
      <c r="M52" t="s">
        <v>48</v>
      </c>
      <c r="N52" t="s">
        <v>44</v>
      </c>
      <c r="O52" s="4">
        <v>5</v>
      </c>
    </row>
    <row r="53" spans="1:15" ht="15" x14ac:dyDescent="0.2">
      <c r="A53" t="s">
        <v>271</v>
      </c>
      <c r="B53" t="s">
        <v>6</v>
      </c>
      <c r="C53" t="s">
        <v>272</v>
      </c>
      <c r="D53" s="1">
        <v>46021.434820439812</v>
      </c>
      <c r="E53" t="s">
        <v>38</v>
      </c>
      <c r="F53" t="s">
        <v>273</v>
      </c>
      <c r="G53" t="s">
        <v>274</v>
      </c>
      <c r="H53" s="2">
        <v>1</v>
      </c>
      <c r="I53" s="3">
        <v>0</v>
      </c>
      <c r="J53" s="5">
        <v>3683.94</v>
      </c>
      <c r="K53" t="s">
        <v>41</v>
      </c>
      <c r="L53" t="s">
        <v>113</v>
      </c>
      <c r="M53" t="s">
        <v>108</v>
      </c>
      <c r="N53" t="s">
        <v>44</v>
      </c>
    </row>
    <row r="54" spans="1:15" ht="15" x14ac:dyDescent="0.2">
      <c r="A54" t="s">
        <v>275</v>
      </c>
      <c r="B54" t="s">
        <v>20</v>
      </c>
      <c r="C54" t="s">
        <v>276</v>
      </c>
      <c r="D54" s="1">
        <v>45994.756377731479</v>
      </c>
      <c r="E54" t="s">
        <v>38</v>
      </c>
      <c r="F54" t="s">
        <v>51</v>
      </c>
      <c r="G54" t="s">
        <v>277</v>
      </c>
      <c r="H54" s="2">
        <v>1</v>
      </c>
      <c r="I54" s="3">
        <v>0</v>
      </c>
      <c r="J54" s="5">
        <v>1201.97</v>
      </c>
      <c r="K54" t="s">
        <v>58</v>
      </c>
      <c r="L54" t="s">
        <v>85</v>
      </c>
      <c r="M54" t="s">
        <v>48</v>
      </c>
      <c r="N54" t="s">
        <v>44</v>
      </c>
    </row>
    <row r="55" spans="1:15" ht="15" x14ac:dyDescent="0.2">
      <c r="A55" t="s">
        <v>278</v>
      </c>
      <c r="B55" t="s">
        <v>13</v>
      </c>
      <c r="C55" t="s">
        <v>279</v>
      </c>
      <c r="D55" s="1">
        <v>45979.607385150463</v>
      </c>
      <c r="E55" t="s">
        <v>280</v>
      </c>
      <c r="F55" t="s">
        <v>51</v>
      </c>
      <c r="G55" t="s">
        <v>281</v>
      </c>
      <c r="H55" s="2">
        <v>1</v>
      </c>
      <c r="I55" s="3">
        <v>0</v>
      </c>
      <c r="J55" s="5">
        <v>1349.87</v>
      </c>
      <c r="K55" t="s">
        <v>53</v>
      </c>
      <c r="L55" t="s">
        <v>47</v>
      </c>
      <c r="M55" t="s">
        <v>48</v>
      </c>
      <c r="N55" t="s">
        <v>44</v>
      </c>
    </row>
    <row r="56" spans="1:15" ht="15" x14ac:dyDescent="0.2">
      <c r="A56" t="s">
        <v>282</v>
      </c>
      <c r="B56" t="s">
        <v>7</v>
      </c>
      <c r="C56" t="s">
        <v>283</v>
      </c>
      <c r="D56" s="1">
        <v>45954.603976446757</v>
      </c>
      <c r="E56" t="s">
        <v>38</v>
      </c>
      <c r="F56" t="s">
        <v>284</v>
      </c>
      <c r="G56" t="s">
        <v>285</v>
      </c>
      <c r="H56" s="2">
        <v>1</v>
      </c>
      <c r="I56" s="3">
        <v>0</v>
      </c>
      <c r="J56" s="5">
        <v>1050.82</v>
      </c>
      <c r="K56" t="s">
        <v>78</v>
      </c>
      <c r="L56" t="s">
        <v>107</v>
      </c>
      <c r="M56" t="s">
        <v>48</v>
      </c>
      <c r="N56" t="s">
        <v>44</v>
      </c>
    </row>
    <row r="57" spans="1:15" ht="15" x14ac:dyDescent="0.2">
      <c r="A57" t="s">
        <v>286</v>
      </c>
      <c r="B57" t="s">
        <v>18</v>
      </c>
      <c r="C57" t="s">
        <v>287</v>
      </c>
      <c r="D57" s="1">
        <v>45968.543150150464</v>
      </c>
      <c r="E57" t="s">
        <v>38</v>
      </c>
      <c r="F57" t="s">
        <v>288</v>
      </c>
      <c r="G57" t="s">
        <v>289</v>
      </c>
      <c r="H57" s="2">
        <v>1</v>
      </c>
      <c r="I57" s="3">
        <v>0</v>
      </c>
      <c r="J57" s="5">
        <v>2193.23</v>
      </c>
      <c r="K57" t="s">
        <v>53</v>
      </c>
      <c r="L57" t="s">
        <v>42</v>
      </c>
      <c r="M57" t="s">
        <v>108</v>
      </c>
      <c r="N57" t="s">
        <v>44</v>
      </c>
    </row>
    <row r="58" spans="1:15" ht="15" x14ac:dyDescent="0.2">
      <c r="A58" t="s">
        <v>290</v>
      </c>
      <c r="B58" t="s">
        <v>14</v>
      </c>
      <c r="C58" t="s">
        <v>291</v>
      </c>
      <c r="D58" s="1">
        <v>45938.554277835647</v>
      </c>
      <c r="E58" t="s">
        <v>251</v>
      </c>
      <c r="F58" t="s">
        <v>292</v>
      </c>
      <c r="G58" t="s">
        <v>293</v>
      </c>
      <c r="H58" s="2">
        <v>1</v>
      </c>
      <c r="I58" s="3">
        <v>0</v>
      </c>
      <c r="J58" s="5">
        <v>1050.82</v>
      </c>
      <c r="K58" t="s">
        <v>78</v>
      </c>
      <c r="L58" t="s">
        <v>107</v>
      </c>
      <c r="M58" t="s">
        <v>48</v>
      </c>
      <c r="N58" t="s">
        <v>44</v>
      </c>
    </row>
    <row r="59" spans="1:15" ht="15" x14ac:dyDescent="0.2">
      <c r="H59" s="2" t="s">
        <v>294</v>
      </c>
      <c r="I59" s="3" t="s">
        <v>295</v>
      </c>
      <c r="J59" s="5">
        <f>SUM(J2:J58)</f>
        <v>119930.63000000005</v>
      </c>
    </row>
  </sheetData>
  <pageMargins left="0.7" right="0.7" top="0.75" bottom="0.75" header="0.3" footer="0.3"/>
  <pageSetup fitToWidth="0" fitToHeight="0" orientation="portrait"/>
  <headerFooter>
    <oddHeader>Grid 1</oddHeader>
    <evenFooter>Grid 1</evenFooter>
    <firstHeader>Grid 1</firstHeader>
  </headerFooter>
  <ignoredErrors>
    <ignoredError sqref="A1:O58 A59:I59 K59:O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Invoiced Date</vt:lpstr>
      <vt:lpstr>Stores</vt:lpstr>
      <vt:lpstr>Grid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2025-12-30T20:46:15Z</dcterms:created>
  <dcterms:modified xsi:type="dcterms:W3CDTF">2025-12-30T20:48:38Z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25.1.6.0</vt:lpwstr>
  </property>
</Properties>
</file>