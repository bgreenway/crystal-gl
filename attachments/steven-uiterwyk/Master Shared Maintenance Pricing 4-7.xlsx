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stevenuiterwyk/Library/Mobile Documents/com~apple~CloudDocs/Documents/Crystal/"/>
    </mc:Choice>
  </mc:AlternateContent>
  <xr:revisionPtr revIDLastSave="0" documentId="13_ncr:1_{ADAC3C4A-7AA2-A44E-AC14-A98BAAE50207}" xr6:coauthVersionLast="47" xr6:coauthVersionMax="47" xr10:uidLastSave="{00000000-0000-0000-0000-000000000000}"/>
  <bookViews>
    <workbookView xWindow="160" yWindow="920" windowWidth="29940" windowHeight="16900" xr2:uid="{00000000-000D-0000-FFFF-FFFF00000000}"/>
  </bookViews>
  <sheets>
    <sheet name="Plan Summary" sheetId="1" r:id="rId1"/>
    <sheet name="Interval Summary" sheetId="2" r:id="rId2"/>
    <sheet name="Scheduled Intervals" sheetId="3" r:id="rId3"/>
    <sheet name="Hours Per Job" sheetId="4" r:id="rId4"/>
    <sheet name="Parts Cost Per Job" sheetId="5" r:id="rId5"/>
    <sheet name="Total Cost Per Service)" sheetId="6" r:id="rId6"/>
    <sheet name="Included @ Interval" sheetId="7" r:id="rId7"/>
    <sheet name="Interval Reimb" sheetId="8" r:id="rId8"/>
    <sheet name="Total Cost for Plan" sheetId="9" r:id="rId9"/>
    <sheet name="Plan Set Up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9" l="1"/>
  <c r="A32" i="8"/>
  <c r="A32" i="7"/>
  <c r="A32" i="6"/>
  <c r="A32" i="5"/>
  <c r="A32" i="4"/>
  <c r="BP32" i="7"/>
  <c r="BO32" i="7"/>
  <c r="BN32" i="7"/>
  <c r="BN32" i="8" s="1"/>
  <c r="BM32" i="7"/>
  <c r="BL32" i="7"/>
  <c r="BK32" i="7"/>
  <c r="BK32" i="8" s="1"/>
  <c r="BJ32" i="7"/>
  <c r="BI32" i="7"/>
  <c r="BH32" i="7"/>
  <c r="BG32" i="7"/>
  <c r="BF32" i="7"/>
  <c r="BE32" i="7"/>
  <c r="BD32" i="7"/>
  <c r="BC32" i="7"/>
  <c r="BB32" i="7"/>
  <c r="BA32" i="7"/>
  <c r="BA32" i="8" s="1"/>
  <c r="AZ32" i="7"/>
  <c r="AZ32" i="8" s="1"/>
  <c r="AY32" i="7"/>
  <c r="AY32" i="8" s="1"/>
  <c r="AX32" i="7"/>
  <c r="AW32" i="7"/>
  <c r="AV32" i="7"/>
  <c r="AU32" i="7"/>
  <c r="AT32" i="7"/>
  <c r="AS32" i="7"/>
  <c r="AR32" i="7"/>
  <c r="AQ32" i="7"/>
  <c r="AQ32" i="8" s="1"/>
  <c r="AP32" i="7"/>
  <c r="AP32" i="8" s="1"/>
  <c r="AO32" i="7"/>
  <c r="AO32" i="8" s="1"/>
  <c r="AN32" i="7"/>
  <c r="AM32" i="7"/>
  <c r="AL32" i="7"/>
  <c r="AK32" i="7"/>
  <c r="AJ32" i="7"/>
  <c r="AJ32" i="8" s="1"/>
  <c r="AI32" i="7"/>
  <c r="AH32" i="7"/>
  <c r="AG32" i="7"/>
  <c r="AG32" i="8" s="1"/>
  <c r="AF32" i="7"/>
  <c r="AF32" i="8" s="1"/>
  <c r="AE32" i="7"/>
  <c r="AE32" i="8" s="1"/>
  <c r="AD32" i="7"/>
  <c r="AC32" i="7"/>
  <c r="AB32" i="7"/>
  <c r="AA32" i="7"/>
  <c r="Z32" i="7"/>
  <c r="Y32" i="7"/>
  <c r="X32" i="7"/>
  <c r="W32" i="7"/>
  <c r="W32" i="8" s="1"/>
  <c r="V32" i="7"/>
  <c r="V32" i="8" s="1"/>
  <c r="U32" i="7"/>
  <c r="T32" i="7"/>
  <c r="S32" i="7"/>
  <c r="R32" i="7"/>
  <c r="Q32" i="7"/>
  <c r="P32" i="7"/>
  <c r="P32" i="8" s="1"/>
  <c r="O32" i="7"/>
  <c r="N32" i="7"/>
  <c r="M32" i="7"/>
  <c r="M32" i="8" s="1"/>
  <c r="L32" i="7"/>
  <c r="L32" i="8" s="1"/>
  <c r="K32" i="7"/>
  <c r="K32" i="8" s="1"/>
  <c r="J32" i="7"/>
  <c r="I32" i="7"/>
  <c r="H32" i="7"/>
  <c r="G32" i="7"/>
  <c r="F32" i="7"/>
  <c r="F32" i="8" s="1"/>
  <c r="E32" i="7"/>
  <c r="D32" i="7"/>
  <c r="C32" i="7"/>
  <c r="C32" i="8" s="1"/>
  <c r="B32" i="7"/>
  <c r="B32" i="8" s="1"/>
  <c r="BP32" i="8"/>
  <c r="BO32" i="8"/>
  <c r="BM32" i="8"/>
  <c r="BL32" i="8"/>
  <c r="BG32" i="8"/>
  <c r="BF32" i="8"/>
  <c r="BE32" i="8"/>
  <c r="BC32" i="8"/>
  <c r="AX32" i="8"/>
  <c r="AW32" i="8"/>
  <c r="AV32" i="8"/>
  <c r="AU32" i="8"/>
  <c r="AS32" i="8"/>
  <c r="AR32" i="8"/>
  <c r="AN32" i="8"/>
  <c r="AM32" i="8"/>
  <c r="AL32" i="8"/>
  <c r="AK32" i="8"/>
  <c r="AI32" i="8"/>
  <c r="AH32" i="8"/>
  <c r="AD32" i="8"/>
  <c r="AC32" i="8"/>
  <c r="AB32" i="8"/>
  <c r="AA32" i="8"/>
  <c r="Y32" i="8"/>
  <c r="X32" i="8"/>
  <c r="T32" i="8"/>
  <c r="S32" i="8"/>
  <c r="R32" i="8"/>
  <c r="Q32" i="8"/>
  <c r="O32" i="8"/>
  <c r="N32" i="8"/>
  <c r="J32" i="8"/>
  <c r="I32" i="8"/>
  <c r="H32" i="8"/>
  <c r="G32" i="8"/>
  <c r="E32" i="8"/>
  <c r="D32" i="8"/>
  <c r="BM32" i="9"/>
  <c r="BL32" i="9"/>
  <c r="BK32" i="9"/>
  <c r="BG32" i="9"/>
  <c r="BF32" i="9"/>
  <c r="BE32" i="9"/>
  <c r="BC32" i="9"/>
  <c r="BA32" i="9"/>
  <c r="AZ32" i="9"/>
  <c r="AY32" i="9"/>
  <c r="AX32" i="9"/>
  <c r="AW32" i="9"/>
  <c r="AV32" i="9"/>
  <c r="AU32" i="9"/>
  <c r="AS32" i="9"/>
  <c r="AR32" i="9"/>
  <c r="AQ32" i="9"/>
  <c r="AP32" i="9"/>
  <c r="AO32" i="9"/>
  <c r="AN32" i="9"/>
  <c r="AM32" i="9"/>
  <c r="AL32" i="9"/>
  <c r="AK32" i="9"/>
  <c r="AJ32" i="9"/>
  <c r="AI32" i="9"/>
  <c r="AH32" i="9"/>
  <c r="AG32" i="9"/>
  <c r="AF32" i="9"/>
  <c r="AE32" i="9"/>
  <c r="AD32" i="9"/>
  <c r="AA32" i="9"/>
  <c r="Y32" i="9"/>
  <c r="X32" i="9"/>
  <c r="W32" i="9"/>
  <c r="V32" i="9"/>
  <c r="A40" i="3" l="1"/>
  <c r="A37" i="3"/>
  <c r="BL36" i="3" s="1"/>
  <c r="BQ41" i="3"/>
  <c r="BM104" i="9"/>
  <c r="BL104" i="9"/>
  <c r="BK104" i="9"/>
  <c r="BI104" i="9"/>
  <c r="BG104" i="9"/>
  <c r="BF104" i="9"/>
  <c r="BE104" i="9"/>
  <c r="BD104" i="9"/>
  <c r="BA104" i="9"/>
  <c r="AZ104" i="9"/>
  <c r="AY104" i="9"/>
  <c r="AX104" i="9"/>
  <c r="AW104" i="9"/>
  <c r="AV104" i="9"/>
  <c r="AU104" i="9"/>
  <c r="AS104" i="9"/>
  <c r="AR104" i="9"/>
  <c r="AQ104" i="9"/>
  <c r="AP104" i="9"/>
  <c r="AO104" i="9"/>
  <c r="AN104" i="9"/>
  <c r="AM104" i="9"/>
  <c r="AK104" i="9"/>
  <c r="AJ104" i="9"/>
  <c r="AI104" i="9"/>
  <c r="AH104" i="9"/>
  <c r="AF104" i="9"/>
  <c r="AD104" i="9"/>
  <c r="AA104" i="9"/>
  <c r="Y104" i="9"/>
  <c r="X104" i="9"/>
  <c r="A104" i="9"/>
  <c r="BP103" i="9"/>
  <c r="BO103" i="9"/>
  <c r="BN103" i="9"/>
  <c r="BM103" i="9"/>
  <c r="BL103" i="9"/>
  <c r="BK103" i="9"/>
  <c r="BI103" i="9"/>
  <c r="BG103" i="9"/>
  <c r="BF103" i="9"/>
  <c r="BE103" i="9"/>
  <c r="BD103" i="9"/>
  <c r="BA103" i="9"/>
  <c r="AZ103" i="9"/>
  <c r="AY103" i="9"/>
  <c r="AX103" i="9"/>
  <c r="AW103" i="9"/>
  <c r="AV103" i="9"/>
  <c r="AU103" i="9"/>
  <c r="AS103" i="9"/>
  <c r="AR103" i="9"/>
  <c r="AQ103" i="9"/>
  <c r="AP103" i="9"/>
  <c r="AO103" i="9"/>
  <c r="AN103" i="9"/>
  <c r="AM103" i="9"/>
  <c r="AL103" i="9"/>
  <c r="AK103" i="9"/>
  <c r="AJ103" i="9"/>
  <c r="AH103" i="9"/>
  <c r="AE103" i="9"/>
  <c r="AD103" i="9"/>
  <c r="AC103" i="9"/>
  <c r="AB103" i="9"/>
  <c r="AA103" i="9"/>
  <c r="Y103" i="9"/>
  <c r="X103" i="9"/>
  <c r="W103" i="9"/>
  <c r="V103" i="9"/>
  <c r="A103" i="9"/>
  <c r="BP102" i="9"/>
  <c r="BO102" i="9"/>
  <c r="BN102" i="9"/>
  <c r="BM102" i="9"/>
  <c r="BL102" i="9"/>
  <c r="BK102" i="9"/>
  <c r="BG102" i="9"/>
  <c r="BF102" i="9"/>
  <c r="BE102" i="9"/>
  <c r="BD102" i="9"/>
  <c r="BA102" i="9"/>
  <c r="AZ102" i="9"/>
  <c r="AY102" i="9"/>
  <c r="AX102" i="9"/>
  <c r="AV102" i="9"/>
  <c r="AU102" i="9"/>
  <c r="AS102" i="9"/>
  <c r="AR102" i="9"/>
  <c r="AQ102" i="9"/>
  <c r="AP102" i="9"/>
  <c r="AO102" i="9"/>
  <c r="AN102" i="9"/>
  <c r="AM102" i="9"/>
  <c r="AL102" i="9"/>
  <c r="AK102" i="9"/>
  <c r="AJ102" i="9"/>
  <c r="AI102" i="9"/>
  <c r="AH102" i="9"/>
  <c r="AG102" i="9"/>
  <c r="AF102" i="9"/>
  <c r="AD102" i="9"/>
  <c r="AA102" i="9"/>
  <c r="Y102" i="9"/>
  <c r="W102" i="9"/>
  <c r="V102" i="9"/>
  <c r="A102" i="9"/>
  <c r="BP101" i="9"/>
  <c r="BO101" i="9"/>
  <c r="BN101" i="9"/>
  <c r="BM101" i="9"/>
  <c r="BI101" i="9"/>
  <c r="BG101" i="9"/>
  <c r="BF101" i="9"/>
  <c r="BE101" i="9"/>
  <c r="BD101" i="9"/>
  <c r="BA101" i="9"/>
  <c r="AZ101" i="9"/>
  <c r="AY101" i="9"/>
  <c r="AX101" i="9"/>
  <c r="AW101" i="9"/>
  <c r="AV101" i="9"/>
  <c r="AU101" i="9"/>
  <c r="AS101" i="9"/>
  <c r="AR101" i="9"/>
  <c r="AQ101" i="9"/>
  <c r="AP101" i="9"/>
  <c r="AO101" i="9"/>
  <c r="AN101" i="9"/>
  <c r="AM101" i="9"/>
  <c r="AL101" i="9"/>
  <c r="AK101" i="9"/>
  <c r="AE101" i="9"/>
  <c r="AD101" i="9"/>
  <c r="AA101" i="9"/>
  <c r="Y101" i="9"/>
  <c r="X101" i="9"/>
  <c r="W101" i="9"/>
  <c r="V101" i="9"/>
  <c r="A101" i="9"/>
  <c r="BL100" i="9"/>
  <c r="BI100" i="9"/>
  <c r="BG100" i="9"/>
  <c r="BF100" i="9"/>
  <c r="BE100" i="9"/>
  <c r="BD100" i="9"/>
  <c r="BA100" i="9"/>
  <c r="AZ100" i="9"/>
  <c r="AY100" i="9"/>
  <c r="AX100" i="9"/>
  <c r="AW100" i="9"/>
  <c r="AV100" i="9"/>
  <c r="AU100" i="9"/>
  <c r="AS100" i="9"/>
  <c r="AR100" i="9"/>
  <c r="AQ100" i="9"/>
  <c r="AP100" i="9"/>
  <c r="AO100" i="9"/>
  <c r="AN100" i="9"/>
  <c r="AM100" i="9"/>
  <c r="AL100" i="9"/>
  <c r="AK100" i="9"/>
  <c r="AE100" i="9"/>
  <c r="AD100" i="9"/>
  <c r="AC100" i="9"/>
  <c r="AB100" i="9"/>
  <c r="AA100" i="9"/>
  <c r="Y100" i="9"/>
  <c r="X100" i="9"/>
  <c r="W100" i="9"/>
  <c r="V100" i="9"/>
  <c r="A100" i="9"/>
  <c r="BM99" i="9"/>
  <c r="BL99" i="9"/>
  <c r="BI99" i="9"/>
  <c r="BG99" i="9"/>
  <c r="BF99" i="9"/>
  <c r="BE99" i="9"/>
  <c r="BD99" i="9"/>
  <c r="BC99" i="9"/>
  <c r="BA99" i="9"/>
  <c r="AZ99" i="9"/>
  <c r="AY99" i="9"/>
  <c r="AX99" i="9"/>
  <c r="AW99" i="9"/>
  <c r="AV99" i="9"/>
  <c r="AU99" i="9"/>
  <c r="AS99" i="9"/>
  <c r="AR99" i="9"/>
  <c r="AQ99" i="9"/>
  <c r="AP99" i="9"/>
  <c r="AO99" i="9"/>
  <c r="AN99" i="9"/>
  <c r="AM99" i="9"/>
  <c r="AL99" i="9"/>
  <c r="AK99" i="9"/>
  <c r="AE99" i="9"/>
  <c r="AD99" i="9"/>
  <c r="AC99" i="9"/>
  <c r="AB99" i="9"/>
  <c r="AA99" i="9"/>
  <c r="Y99" i="9"/>
  <c r="X99" i="9"/>
  <c r="W99" i="9"/>
  <c r="V99" i="9"/>
  <c r="A99" i="9"/>
  <c r="BM98" i="9"/>
  <c r="BL98" i="9"/>
  <c r="BI98" i="9"/>
  <c r="BG98" i="9"/>
  <c r="BF98" i="9"/>
  <c r="BE98" i="9"/>
  <c r="BD98" i="9"/>
  <c r="BC98" i="9"/>
  <c r="BA98" i="9"/>
  <c r="AZ98" i="9"/>
  <c r="AY98" i="9"/>
  <c r="AX98" i="9"/>
  <c r="AW98" i="9"/>
  <c r="AV98" i="9"/>
  <c r="AU98" i="9"/>
  <c r="AS98" i="9"/>
  <c r="AR98" i="9"/>
  <c r="AQ98" i="9"/>
  <c r="AP98" i="9"/>
  <c r="AO98" i="9"/>
  <c r="AN98" i="9"/>
  <c r="AM98" i="9"/>
  <c r="AL98" i="9"/>
  <c r="AJ98" i="9"/>
  <c r="AE98" i="9"/>
  <c r="AD98" i="9"/>
  <c r="AC98" i="9"/>
  <c r="AB98" i="9"/>
  <c r="AA98" i="9"/>
  <c r="Y98" i="9"/>
  <c r="X98" i="9"/>
  <c r="W98" i="9"/>
  <c r="V98" i="9"/>
  <c r="A98" i="9"/>
  <c r="BP97" i="9"/>
  <c r="BO97" i="9"/>
  <c r="BN97" i="9"/>
  <c r="BM97" i="9"/>
  <c r="BL97" i="9"/>
  <c r="BK97" i="9"/>
  <c r="BI97" i="9"/>
  <c r="BG97" i="9"/>
  <c r="BF97" i="9"/>
  <c r="BE97" i="9"/>
  <c r="BD97" i="9"/>
  <c r="BC97" i="9"/>
  <c r="BA97" i="9"/>
  <c r="AZ97" i="9"/>
  <c r="AY97" i="9"/>
  <c r="AX97" i="9"/>
  <c r="AW97" i="9"/>
  <c r="AV97" i="9"/>
  <c r="AU97" i="9"/>
  <c r="AS97" i="9"/>
  <c r="AR97" i="9"/>
  <c r="AQ97" i="9"/>
  <c r="AP97" i="9"/>
  <c r="AO97" i="9"/>
  <c r="AN97" i="9"/>
  <c r="AM97" i="9"/>
  <c r="AL97" i="9"/>
  <c r="AJ97" i="9"/>
  <c r="AE97" i="9"/>
  <c r="AD97" i="9"/>
  <c r="AC97" i="9"/>
  <c r="AB97" i="9"/>
  <c r="AA97" i="9"/>
  <c r="Y97" i="9"/>
  <c r="W97" i="9"/>
  <c r="V97" i="9"/>
  <c r="A97" i="9"/>
  <c r="BP96" i="9"/>
  <c r="BO96" i="9"/>
  <c r="BN96" i="9"/>
  <c r="BM96" i="9"/>
  <c r="BL96" i="9"/>
  <c r="BK96" i="9"/>
  <c r="BI96" i="9"/>
  <c r="BG96" i="9"/>
  <c r="BF96" i="9"/>
  <c r="BE96" i="9"/>
  <c r="BD96" i="9"/>
  <c r="BC96" i="9"/>
  <c r="BA96" i="9"/>
  <c r="AZ96" i="9"/>
  <c r="AY96" i="9"/>
  <c r="AX96" i="9"/>
  <c r="AW96" i="9"/>
  <c r="AV96" i="9"/>
  <c r="AU96" i="9"/>
  <c r="AS96" i="9"/>
  <c r="AR96" i="9"/>
  <c r="AQ96" i="9"/>
  <c r="AP96" i="9"/>
  <c r="AO96" i="9"/>
  <c r="AN96" i="9"/>
  <c r="AM96" i="9"/>
  <c r="AL96" i="9"/>
  <c r="AJ96" i="9"/>
  <c r="AE96" i="9"/>
  <c r="AD96" i="9"/>
  <c r="AC96" i="9"/>
  <c r="AB96" i="9"/>
  <c r="AA96" i="9"/>
  <c r="Y96" i="9"/>
  <c r="W96" i="9"/>
  <c r="V96" i="9"/>
  <c r="A96" i="9"/>
  <c r="BP95" i="9"/>
  <c r="BO95" i="9"/>
  <c r="BN95" i="9"/>
  <c r="BM95" i="9"/>
  <c r="BL95" i="9"/>
  <c r="BK95" i="9"/>
  <c r="BI95" i="9"/>
  <c r="BG95" i="9"/>
  <c r="BE95" i="9"/>
  <c r="BD95" i="9"/>
  <c r="BA95" i="9"/>
  <c r="AY95" i="9"/>
  <c r="AX95" i="9"/>
  <c r="AV95" i="9"/>
  <c r="AU95" i="9"/>
  <c r="AS95" i="9"/>
  <c r="AR95" i="9"/>
  <c r="AQ95" i="9"/>
  <c r="AO95" i="9"/>
  <c r="AN95" i="9"/>
  <c r="AM95" i="9"/>
  <c r="AL95" i="9"/>
  <c r="AK95" i="9"/>
  <c r="AJ95" i="9"/>
  <c r="AI95" i="9"/>
  <c r="AE95" i="9"/>
  <c r="AD95" i="9"/>
  <c r="AC95" i="9"/>
  <c r="AA95" i="9"/>
  <c r="Y95" i="9"/>
  <c r="W95" i="9"/>
  <c r="V95" i="9"/>
  <c r="A95" i="9"/>
  <c r="BM94" i="9"/>
  <c r="BL94" i="9"/>
  <c r="BK94" i="9"/>
  <c r="BI94" i="9"/>
  <c r="BG94" i="9"/>
  <c r="BE94" i="9"/>
  <c r="BD94" i="9"/>
  <c r="BA94" i="9"/>
  <c r="AZ94" i="9"/>
  <c r="AY94" i="9"/>
  <c r="AX94" i="9"/>
  <c r="AV94" i="9"/>
  <c r="AU94" i="9"/>
  <c r="AS94" i="9"/>
  <c r="AR94" i="9"/>
  <c r="AQ94" i="9"/>
  <c r="AO94" i="9"/>
  <c r="AN94" i="9"/>
  <c r="AM94" i="9"/>
  <c r="AK94" i="9"/>
  <c r="AJ94" i="9"/>
  <c r="AI94" i="9"/>
  <c r="AE94" i="9"/>
  <c r="AD94" i="9"/>
  <c r="AC94" i="9"/>
  <c r="AA94" i="9"/>
  <c r="Y94" i="9"/>
  <c r="W94" i="9"/>
  <c r="V94" i="9"/>
  <c r="A94" i="9"/>
  <c r="BP93" i="9"/>
  <c r="BO93" i="9"/>
  <c r="BN93" i="9"/>
  <c r="BM93" i="9"/>
  <c r="BL93" i="9"/>
  <c r="BK93" i="9"/>
  <c r="BI93" i="9"/>
  <c r="BE93" i="9"/>
  <c r="BD93" i="9"/>
  <c r="BA93" i="9"/>
  <c r="AZ93" i="9"/>
  <c r="AY93" i="9"/>
  <c r="AX93" i="9"/>
  <c r="AV93" i="9"/>
  <c r="AU93" i="9"/>
  <c r="AS93" i="9"/>
  <c r="AR93" i="9"/>
  <c r="AQ93" i="9"/>
  <c r="AO93" i="9"/>
  <c r="AN93" i="9"/>
  <c r="AM93" i="9"/>
  <c r="AL93" i="9"/>
  <c r="AK93" i="9"/>
  <c r="AI93" i="9"/>
  <c r="AE93" i="9"/>
  <c r="AD93" i="9"/>
  <c r="AC93" i="9"/>
  <c r="AA93" i="9"/>
  <c r="Y93" i="9"/>
  <c r="W93" i="9"/>
  <c r="V93" i="9"/>
  <c r="A93" i="9"/>
  <c r="BM92" i="9"/>
  <c r="BL92" i="9"/>
  <c r="BK92" i="9"/>
  <c r="BI92" i="9"/>
  <c r="BE92" i="9"/>
  <c r="BD92" i="9"/>
  <c r="BC92" i="9"/>
  <c r="BA92" i="9"/>
  <c r="AZ92" i="9"/>
  <c r="AY92" i="9"/>
  <c r="AX92" i="9"/>
  <c r="AV92" i="9"/>
  <c r="AU92" i="9"/>
  <c r="AS92" i="9"/>
  <c r="AR92" i="9"/>
  <c r="AO92" i="9"/>
  <c r="AN92" i="9"/>
  <c r="AM92" i="9"/>
  <c r="AK92" i="9"/>
  <c r="AJ92" i="9"/>
  <c r="AF92" i="9"/>
  <c r="AE92" i="9"/>
  <c r="AD92" i="9"/>
  <c r="AC92" i="9"/>
  <c r="AB92" i="9"/>
  <c r="AA92" i="9"/>
  <c r="Y92" i="9"/>
  <c r="A92" i="9"/>
  <c r="BM91" i="9"/>
  <c r="BL91" i="9"/>
  <c r="BK91" i="9"/>
  <c r="BI91" i="9"/>
  <c r="BG91" i="9"/>
  <c r="BE91" i="9"/>
  <c r="BD91" i="9"/>
  <c r="BA91" i="9"/>
  <c r="AZ91" i="9"/>
  <c r="AY91" i="9"/>
  <c r="AX91" i="9"/>
  <c r="AV91" i="9"/>
  <c r="AU91" i="9"/>
  <c r="AS91" i="9"/>
  <c r="AR91" i="9"/>
  <c r="AQ91" i="9"/>
  <c r="AP91" i="9"/>
  <c r="AO91" i="9"/>
  <c r="AN91" i="9"/>
  <c r="AM91" i="9"/>
  <c r="AK91" i="9"/>
  <c r="AJ91" i="9"/>
  <c r="AH91" i="9"/>
  <c r="AG91" i="9"/>
  <c r="AF91" i="9"/>
  <c r="AE91" i="9"/>
  <c r="AD91" i="9"/>
  <c r="AA91" i="9"/>
  <c r="Y91" i="9"/>
  <c r="X91" i="9"/>
  <c r="W91" i="9"/>
  <c r="V91" i="9"/>
  <c r="A91" i="9"/>
  <c r="BP90" i="9"/>
  <c r="BO90" i="9"/>
  <c r="BN90" i="9"/>
  <c r="BM90" i="9"/>
  <c r="BL90" i="9"/>
  <c r="BK90" i="9"/>
  <c r="BI90" i="9"/>
  <c r="BG90" i="9"/>
  <c r="BE90" i="9"/>
  <c r="BD90" i="9"/>
  <c r="BA90" i="9"/>
  <c r="AZ90" i="9"/>
  <c r="AY90" i="9"/>
  <c r="AX90" i="9"/>
  <c r="AW90" i="9"/>
  <c r="AV90" i="9"/>
  <c r="AU90" i="9"/>
  <c r="AS90" i="9"/>
  <c r="AR90" i="9"/>
  <c r="AQ90" i="9"/>
  <c r="AP90" i="9"/>
  <c r="AO90" i="9"/>
  <c r="AN90" i="9"/>
  <c r="AM90" i="9"/>
  <c r="AK90" i="9"/>
  <c r="AJ90" i="9"/>
  <c r="AH90" i="9"/>
  <c r="AG90" i="9"/>
  <c r="AF90" i="9"/>
  <c r="AE90" i="9"/>
  <c r="AD90" i="9"/>
  <c r="AA90" i="9"/>
  <c r="Y90" i="9"/>
  <c r="X90" i="9"/>
  <c r="W90" i="9"/>
  <c r="V90" i="9"/>
  <c r="A90" i="9"/>
  <c r="BM89" i="9"/>
  <c r="BL89" i="9"/>
  <c r="BK89" i="9"/>
  <c r="BI89" i="9"/>
  <c r="BG89" i="9"/>
  <c r="BE89" i="9"/>
  <c r="BD89" i="9"/>
  <c r="BA89" i="9"/>
  <c r="AZ89" i="9"/>
  <c r="AY89" i="9"/>
  <c r="AX89" i="9"/>
  <c r="AV89" i="9"/>
  <c r="AU89" i="9"/>
  <c r="AS89" i="9"/>
  <c r="AR89" i="9"/>
  <c r="AQ89" i="9"/>
  <c r="AP89" i="9"/>
  <c r="AO89" i="9"/>
  <c r="AN89" i="9"/>
  <c r="AM89" i="9"/>
  <c r="AK89" i="9"/>
  <c r="AJ89" i="9"/>
  <c r="AI89" i="9"/>
  <c r="AH89" i="9"/>
  <c r="AG89" i="9"/>
  <c r="AF89" i="9"/>
  <c r="AD89" i="9"/>
  <c r="AA89" i="9"/>
  <c r="Y89" i="9"/>
  <c r="X89" i="9"/>
  <c r="W89" i="9"/>
  <c r="V89" i="9"/>
  <c r="A89" i="9"/>
  <c r="BP88" i="9"/>
  <c r="BO88" i="9"/>
  <c r="BN88" i="9"/>
  <c r="BM88" i="9"/>
  <c r="BL88" i="9"/>
  <c r="BK88" i="9"/>
  <c r="BI88" i="9"/>
  <c r="BG88" i="9"/>
  <c r="BF88" i="9"/>
  <c r="BE88" i="9"/>
  <c r="BD88" i="9"/>
  <c r="BC88" i="9"/>
  <c r="BA88" i="9"/>
  <c r="AZ88" i="9"/>
  <c r="AY88" i="9"/>
  <c r="AX88" i="9"/>
  <c r="AV88" i="9"/>
  <c r="AU88" i="9"/>
  <c r="AS88" i="9"/>
  <c r="AR88" i="9"/>
  <c r="AQ88" i="9"/>
  <c r="AP88" i="9"/>
  <c r="AO88" i="9"/>
  <c r="AN88" i="9"/>
  <c r="AM88" i="9"/>
  <c r="AK88" i="9"/>
  <c r="AJ88" i="9"/>
  <c r="AI88" i="9"/>
  <c r="AH88" i="9"/>
  <c r="AG88" i="9"/>
  <c r="AF88" i="9"/>
  <c r="AD88" i="9"/>
  <c r="AC88" i="9"/>
  <c r="AA88" i="9"/>
  <c r="Y88" i="9"/>
  <c r="X88" i="9"/>
  <c r="V88" i="9"/>
  <c r="A88" i="9"/>
  <c r="BP87" i="9"/>
  <c r="BO87" i="9"/>
  <c r="BN87" i="9"/>
  <c r="BM87" i="9"/>
  <c r="BL87" i="9"/>
  <c r="BK87" i="9"/>
  <c r="BI87" i="9"/>
  <c r="BG87" i="9"/>
  <c r="BF87" i="9"/>
  <c r="BE87" i="9"/>
  <c r="BD87" i="9"/>
  <c r="BC87" i="9"/>
  <c r="BA87" i="9"/>
  <c r="AZ87" i="9"/>
  <c r="AY87" i="9"/>
  <c r="AX87" i="9"/>
  <c r="AW87" i="9"/>
  <c r="AV87" i="9"/>
  <c r="AU87" i="9"/>
  <c r="AS87" i="9"/>
  <c r="AR87" i="9"/>
  <c r="AQ87" i="9"/>
  <c r="AP87" i="9"/>
  <c r="AO87" i="9"/>
  <c r="AN87" i="9"/>
  <c r="AM87" i="9"/>
  <c r="AK87" i="9"/>
  <c r="AJ87" i="9"/>
  <c r="AI87" i="9"/>
  <c r="AH87" i="9"/>
  <c r="AG87" i="9"/>
  <c r="AF87" i="9"/>
  <c r="AD87" i="9"/>
  <c r="AC87" i="9"/>
  <c r="AA87" i="9"/>
  <c r="Y87" i="9"/>
  <c r="X87" i="9"/>
  <c r="W87" i="9"/>
  <c r="V87" i="9"/>
  <c r="A87" i="9"/>
  <c r="BM86" i="9"/>
  <c r="BL86" i="9"/>
  <c r="BK86" i="9"/>
  <c r="BI86" i="9"/>
  <c r="BG86" i="9"/>
  <c r="BF86" i="9"/>
  <c r="BD86" i="9"/>
  <c r="BC86" i="9"/>
  <c r="BA86" i="9"/>
  <c r="AZ86" i="9"/>
  <c r="AY86" i="9"/>
  <c r="AX86" i="9"/>
  <c r="AV86" i="9"/>
  <c r="AU86" i="9"/>
  <c r="AR86" i="9"/>
  <c r="AQ86" i="9"/>
  <c r="AO86" i="9"/>
  <c r="AN86" i="9"/>
  <c r="AM86" i="9"/>
  <c r="AL86" i="9"/>
  <c r="AK86" i="9"/>
  <c r="AJ86" i="9"/>
  <c r="AH86" i="9"/>
  <c r="AF86" i="9"/>
  <c r="AE86" i="9"/>
  <c r="AD86" i="9"/>
  <c r="AC86" i="9"/>
  <c r="AB86" i="9"/>
  <c r="AA86" i="9"/>
  <c r="V86" i="9"/>
  <c r="A86" i="9"/>
  <c r="BM85" i="9"/>
  <c r="BL85" i="9"/>
  <c r="BK85" i="9"/>
  <c r="BI85" i="9"/>
  <c r="BG85" i="9"/>
  <c r="BF85" i="9"/>
  <c r="BD85" i="9"/>
  <c r="BC85" i="9"/>
  <c r="BA85" i="9"/>
  <c r="AZ85" i="9"/>
  <c r="AY85" i="9"/>
  <c r="AX85" i="9"/>
  <c r="AV85" i="9"/>
  <c r="AU85" i="9"/>
  <c r="AR85" i="9"/>
  <c r="AQ85" i="9"/>
  <c r="AO85" i="9"/>
  <c r="AN85" i="9"/>
  <c r="AM85" i="9"/>
  <c r="AL85" i="9"/>
  <c r="AK85" i="9"/>
  <c r="AH85" i="9"/>
  <c r="AF85" i="9"/>
  <c r="AE85" i="9"/>
  <c r="AD85" i="9"/>
  <c r="AC85" i="9"/>
  <c r="AB85" i="9"/>
  <c r="AA85" i="9"/>
  <c r="Y85" i="9"/>
  <c r="W85" i="9"/>
  <c r="A85" i="9"/>
  <c r="BM84" i="9"/>
  <c r="BL84" i="9"/>
  <c r="BK84" i="9"/>
  <c r="BI84" i="9"/>
  <c r="BG84" i="9"/>
  <c r="BF84" i="9"/>
  <c r="BE84" i="9"/>
  <c r="BD84" i="9"/>
  <c r="BC84" i="9"/>
  <c r="BA84" i="9"/>
  <c r="AY84" i="9"/>
  <c r="AX84" i="9"/>
  <c r="AV84" i="9"/>
  <c r="AU84" i="9"/>
  <c r="AR84" i="9"/>
  <c r="AO84" i="9"/>
  <c r="AN84" i="9"/>
  <c r="AM84" i="9"/>
  <c r="AK84" i="9"/>
  <c r="AJ84" i="9"/>
  <c r="AE84" i="9"/>
  <c r="AD84" i="9"/>
  <c r="AC84" i="9"/>
  <c r="AB84" i="9"/>
  <c r="AA84" i="9"/>
  <c r="Y84" i="9"/>
  <c r="W84" i="9"/>
  <c r="A84" i="9"/>
  <c r="BM83" i="9"/>
  <c r="BL83" i="9"/>
  <c r="BK83" i="9"/>
  <c r="BI83" i="9"/>
  <c r="BG83" i="9"/>
  <c r="BF83" i="9"/>
  <c r="BE83" i="9"/>
  <c r="BD83" i="9"/>
  <c r="BC83" i="9"/>
  <c r="BA83" i="9"/>
  <c r="AY83" i="9"/>
  <c r="AX83" i="9"/>
  <c r="AV83" i="9"/>
  <c r="AU83" i="9"/>
  <c r="AR83" i="9"/>
  <c r="AO83" i="9"/>
  <c r="AN83" i="9"/>
  <c r="AM83" i="9"/>
  <c r="AK83" i="9"/>
  <c r="AJ83" i="9"/>
  <c r="AE83" i="9"/>
  <c r="AD83" i="9"/>
  <c r="AC83" i="9"/>
  <c r="AB83" i="9"/>
  <c r="AA83" i="9"/>
  <c r="Y83" i="9"/>
  <c r="W83" i="9"/>
  <c r="A83" i="9"/>
  <c r="BM82" i="9"/>
  <c r="BL82" i="9"/>
  <c r="BK82" i="9"/>
  <c r="BI82" i="9"/>
  <c r="BE82" i="9"/>
  <c r="BD82" i="9"/>
  <c r="BC82" i="9"/>
  <c r="BA82" i="9"/>
  <c r="AZ82" i="9"/>
  <c r="AY82" i="9"/>
  <c r="AX82" i="9"/>
  <c r="AV82" i="9"/>
  <c r="AU82" i="9"/>
  <c r="AR82" i="9"/>
  <c r="AQ82" i="9"/>
  <c r="AP82" i="9"/>
  <c r="AO82" i="9"/>
  <c r="AN82" i="9"/>
  <c r="AM82" i="9"/>
  <c r="AL82" i="9"/>
  <c r="AK82" i="9"/>
  <c r="AJ82" i="9"/>
  <c r="AH82" i="9"/>
  <c r="AD82" i="9"/>
  <c r="AC82" i="9"/>
  <c r="AA82" i="9"/>
  <c r="X82" i="9"/>
  <c r="W82" i="9"/>
  <c r="A82" i="9"/>
  <c r="BM81" i="9"/>
  <c r="BL81" i="9"/>
  <c r="BI81" i="9"/>
  <c r="BE81" i="9"/>
  <c r="BD81" i="9"/>
  <c r="BC81" i="9"/>
  <c r="AZ81" i="9"/>
  <c r="AY81" i="9"/>
  <c r="AX81" i="9"/>
  <c r="AV81" i="9"/>
  <c r="AU81" i="9"/>
  <c r="AS81" i="9"/>
  <c r="AR81" i="9"/>
  <c r="AQ81" i="9"/>
  <c r="AP81" i="9"/>
  <c r="AO81" i="9"/>
  <c r="AN81" i="9"/>
  <c r="AM81" i="9"/>
  <c r="AJ81" i="9"/>
  <c r="AH81" i="9"/>
  <c r="AF81" i="9"/>
  <c r="AE81" i="9"/>
  <c r="AD81" i="9"/>
  <c r="AA81" i="9"/>
  <c r="W81" i="9"/>
  <c r="A81" i="9"/>
  <c r="BM80" i="9"/>
  <c r="BL80" i="9"/>
  <c r="BK80" i="9"/>
  <c r="BI80" i="9"/>
  <c r="BE80" i="9"/>
  <c r="BD80" i="9"/>
  <c r="BC80" i="9"/>
  <c r="BA80" i="9"/>
  <c r="AZ80" i="9"/>
  <c r="AY80" i="9"/>
  <c r="AX80" i="9"/>
  <c r="AV80" i="9"/>
  <c r="AU80" i="9"/>
  <c r="AR80" i="9"/>
  <c r="AQ80" i="9"/>
  <c r="AP80" i="9"/>
  <c r="AO80" i="9"/>
  <c r="AN80" i="9"/>
  <c r="AM80" i="9"/>
  <c r="AL80" i="9"/>
  <c r="AK80" i="9"/>
  <c r="AI80" i="9"/>
  <c r="AH80" i="9"/>
  <c r="AG80" i="9"/>
  <c r="AF80" i="9"/>
  <c r="AD80" i="9"/>
  <c r="AC80" i="9"/>
  <c r="AA80" i="9"/>
  <c r="X80" i="9"/>
  <c r="A80" i="9"/>
  <c r="BM79" i="9"/>
  <c r="BL79" i="9"/>
  <c r="BK79" i="9"/>
  <c r="BI79" i="9"/>
  <c r="BE79" i="9"/>
  <c r="BD79" i="9"/>
  <c r="BA79" i="9"/>
  <c r="AZ79" i="9"/>
  <c r="AY79" i="9"/>
  <c r="AX79" i="9"/>
  <c r="AW79" i="9"/>
  <c r="AV79" i="9"/>
  <c r="AU79" i="9"/>
  <c r="AR79" i="9"/>
  <c r="AO79" i="9"/>
  <c r="AN79" i="9"/>
  <c r="AM79" i="9"/>
  <c r="AK79" i="9"/>
  <c r="AJ79" i="9"/>
  <c r="AI79" i="9"/>
  <c r="AH79" i="9"/>
  <c r="AG79" i="9"/>
  <c r="AF79" i="9"/>
  <c r="AD79" i="9"/>
  <c r="AC79" i="9"/>
  <c r="AA79" i="9"/>
  <c r="X79" i="9"/>
  <c r="A79" i="9"/>
  <c r="BP78" i="9"/>
  <c r="BO78" i="9"/>
  <c r="BN78" i="9"/>
  <c r="BM78" i="9"/>
  <c r="BL78" i="9"/>
  <c r="BK78" i="9"/>
  <c r="BI78" i="9"/>
  <c r="BG78" i="9"/>
  <c r="BF78" i="9"/>
  <c r="BE78" i="9"/>
  <c r="BD78" i="9"/>
  <c r="BC78" i="9"/>
  <c r="BA78" i="9"/>
  <c r="AZ78" i="9"/>
  <c r="AY78" i="9"/>
  <c r="AX78" i="9"/>
  <c r="AV78" i="9"/>
  <c r="AU78" i="9"/>
  <c r="AS78" i="9"/>
  <c r="AR78" i="9"/>
  <c r="AO78" i="9"/>
  <c r="AN78" i="9"/>
  <c r="AM78" i="9"/>
  <c r="AK78" i="9"/>
  <c r="AJ78" i="9"/>
  <c r="AI78" i="9"/>
  <c r="AH78" i="9"/>
  <c r="AG78" i="9"/>
  <c r="AF78" i="9"/>
  <c r="AD78" i="9"/>
  <c r="AA78" i="9"/>
  <c r="Y78" i="9"/>
  <c r="X78" i="9"/>
  <c r="W78" i="9"/>
  <c r="V78" i="9"/>
  <c r="A78" i="9"/>
  <c r="BP77" i="9"/>
  <c r="BO77" i="9"/>
  <c r="BN77" i="9"/>
  <c r="BM77" i="9"/>
  <c r="BL77" i="9"/>
  <c r="BK77" i="9"/>
  <c r="BG77" i="9"/>
  <c r="BF77" i="9"/>
  <c r="BE77" i="9"/>
  <c r="BD77" i="9"/>
  <c r="BA77" i="9"/>
  <c r="AZ77" i="9"/>
  <c r="AY77" i="9"/>
  <c r="AX77" i="9"/>
  <c r="AV77" i="9"/>
  <c r="AU77" i="9"/>
  <c r="AS77" i="9"/>
  <c r="AR77" i="9"/>
  <c r="AQ77" i="9"/>
  <c r="AP77" i="9"/>
  <c r="AO77" i="9"/>
  <c r="AN77" i="9"/>
  <c r="AM77" i="9"/>
  <c r="AL77" i="9"/>
  <c r="AK77" i="9"/>
  <c r="AJ77" i="9"/>
  <c r="AI77" i="9"/>
  <c r="AH77" i="9"/>
  <c r="AG77" i="9"/>
  <c r="AF77" i="9"/>
  <c r="AD77" i="9"/>
  <c r="AA77" i="9"/>
  <c r="Y77" i="9"/>
  <c r="W77" i="9"/>
  <c r="V77" i="9"/>
  <c r="A77" i="9"/>
  <c r="BP76" i="9"/>
  <c r="BO76" i="9"/>
  <c r="BN76" i="9"/>
  <c r="BM76" i="9"/>
  <c r="BL76" i="9"/>
  <c r="BK76" i="9"/>
  <c r="BG76" i="9"/>
  <c r="BF76" i="9"/>
  <c r="BE76" i="9"/>
  <c r="BC76" i="9"/>
  <c r="BA76" i="9"/>
  <c r="AZ76" i="9"/>
  <c r="AY76" i="9"/>
  <c r="AX76" i="9"/>
  <c r="AW76" i="9"/>
  <c r="AV76" i="9"/>
  <c r="AU76" i="9"/>
  <c r="AS76" i="9"/>
  <c r="AR76" i="9"/>
  <c r="AQ76" i="9"/>
  <c r="AP76" i="9"/>
  <c r="AO76" i="9"/>
  <c r="AN76" i="9"/>
  <c r="AM76" i="9"/>
  <c r="AL76" i="9"/>
  <c r="AK76" i="9"/>
  <c r="AJ76" i="9"/>
  <c r="AI76" i="9"/>
  <c r="AH76" i="9"/>
  <c r="AG76" i="9"/>
  <c r="AF76" i="9"/>
  <c r="AE76" i="9"/>
  <c r="AD76" i="9"/>
  <c r="AA76" i="9"/>
  <c r="Y76" i="9"/>
  <c r="X76" i="9"/>
  <c r="W76" i="9"/>
  <c r="V76" i="9"/>
  <c r="A76" i="9"/>
  <c r="BP75" i="9"/>
  <c r="BO75" i="9"/>
  <c r="BN75" i="9"/>
  <c r="BM75" i="9"/>
  <c r="BL75" i="9"/>
  <c r="BK75" i="9"/>
  <c r="BI75" i="9"/>
  <c r="BG75" i="9"/>
  <c r="BF75" i="9"/>
  <c r="BE75" i="9"/>
  <c r="BA75" i="9"/>
  <c r="AZ75" i="9"/>
  <c r="AY75" i="9"/>
  <c r="AX75" i="9"/>
  <c r="AV75" i="9"/>
  <c r="AU75" i="9"/>
  <c r="AS75" i="9"/>
  <c r="AR75" i="9"/>
  <c r="AQ75" i="9"/>
  <c r="AP75" i="9"/>
  <c r="AO75" i="9"/>
  <c r="AN75" i="9"/>
  <c r="AM75" i="9"/>
  <c r="AK75" i="9"/>
  <c r="AJ75" i="9"/>
  <c r="AH75" i="9"/>
  <c r="AG75" i="9"/>
  <c r="AF75" i="9"/>
  <c r="AD75" i="9"/>
  <c r="AA75" i="9"/>
  <c r="X75" i="9"/>
  <c r="W75" i="9"/>
  <c r="V75" i="9"/>
  <c r="A75" i="9"/>
  <c r="BM70" i="9"/>
  <c r="BL70" i="9"/>
  <c r="BK70" i="9"/>
  <c r="BI70" i="9"/>
  <c r="BG70" i="9"/>
  <c r="BF70" i="9"/>
  <c r="BE70" i="9"/>
  <c r="BD70" i="9"/>
  <c r="BA70" i="9"/>
  <c r="AZ70" i="9"/>
  <c r="AY70" i="9"/>
  <c r="AX70" i="9"/>
  <c r="AW70" i="9"/>
  <c r="AV70" i="9"/>
  <c r="AU70" i="9"/>
  <c r="AS70" i="9"/>
  <c r="AR70" i="9"/>
  <c r="AQ70" i="9"/>
  <c r="AP70" i="9"/>
  <c r="AO70" i="9"/>
  <c r="AN70" i="9"/>
  <c r="AM70" i="9"/>
  <c r="AK70" i="9"/>
  <c r="AJ70" i="9"/>
  <c r="AI70" i="9"/>
  <c r="AH70" i="9"/>
  <c r="AF70" i="9"/>
  <c r="AD70" i="9"/>
  <c r="AA70" i="9"/>
  <c r="Y70" i="9"/>
  <c r="X70" i="9"/>
  <c r="A70" i="9"/>
  <c r="BM69" i="9"/>
  <c r="BL69" i="9"/>
  <c r="BK69" i="9"/>
  <c r="BI69" i="9"/>
  <c r="BG69" i="9"/>
  <c r="BF69" i="9"/>
  <c r="BE69" i="9"/>
  <c r="BD69" i="9"/>
  <c r="BA69" i="9"/>
  <c r="AZ69" i="9"/>
  <c r="AY69" i="9"/>
  <c r="AX69" i="9"/>
  <c r="AW69" i="9"/>
  <c r="AV69" i="9"/>
  <c r="AU69" i="9"/>
  <c r="AS69" i="9"/>
  <c r="AR69" i="9"/>
  <c r="AQ69" i="9"/>
  <c r="AP69" i="9"/>
  <c r="AO69" i="9"/>
  <c r="AN69" i="9"/>
  <c r="AM69" i="9"/>
  <c r="AL69" i="9"/>
  <c r="AK69" i="9"/>
  <c r="AJ69" i="9"/>
  <c r="AH69" i="9"/>
  <c r="AE69" i="9"/>
  <c r="AD69" i="9"/>
  <c r="AC69" i="9"/>
  <c r="AB69" i="9"/>
  <c r="AA69" i="9"/>
  <c r="Y69" i="9"/>
  <c r="X69" i="9"/>
  <c r="W69" i="9"/>
  <c r="V69" i="9"/>
  <c r="A69" i="9"/>
  <c r="BM68" i="9"/>
  <c r="BL68" i="9"/>
  <c r="BK68" i="9"/>
  <c r="BG68" i="9"/>
  <c r="BF68" i="9"/>
  <c r="BE68" i="9"/>
  <c r="BD68" i="9"/>
  <c r="BA68" i="9"/>
  <c r="AZ68" i="9"/>
  <c r="AY68" i="9"/>
  <c r="AX68" i="9"/>
  <c r="AV68" i="9"/>
  <c r="AU68" i="9"/>
  <c r="AS68" i="9"/>
  <c r="AR68" i="9"/>
  <c r="AQ68" i="9"/>
  <c r="AP68" i="9"/>
  <c r="AO68" i="9"/>
  <c r="AN68" i="9"/>
  <c r="AM68" i="9"/>
  <c r="AL68" i="9"/>
  <c r="AK68" i="9"/>
  <c r="AJ68" i="9"/>
  <c r="AI68" i="9"/>
  <c r="AH68" i="9"/>
  <c r="AG68" i="9"/>
  <c r="AF68" i="9"/>
  <c r="AD68" i="9"/>
  <c r="AA68" i="9"/>
  <c r="Y68" i="9"/>
  <c r="W68" i="9"/>
  <c r="V68" i="9"/>
  <c r="A68" i="9"/>
  <c r="BM67" i="9"/>
  <c r="BI67" i="9"/>
  <c r="BG67" i="9"/>
  <c r="BF67" i="9"/>
  <c r="BE67" i="9"/>
  <c r="BD67" i="9"/>
  <c r="BA67" i="9"/>
  <c r="AZ67" i="9"/>
  <c r="AY67" i="9"/>
  <c r="AX67" i="9"/>
  <c r="AW67" i="9"/>
  <c r="AV67" i="9"/>
  <c r="AU67" i="9"/>
  <c r="AS67" i="9"/>
  <c r="AR67" i="9"/>
  <c r="AQ67" i="9"/>
  <c r="AP67" i="9"/>
  <c r="AO67" i="9"/>
  <c r="AN67" i="9"/>
  <c r="AM67" i="9"/>
  <c r="AL67" i="9"/>
  <c r="AK67" i="9"/>
  <c r="AE67" i="9"/>
  <c r="AD67" i="9"/>
  <c r="AA67" i="9"/>
  <c r="Y67" i="9"/>
  <c r="X67" i="9"/>
  <c r="W67" i="9"/>
  <c r="V67" i="9"/>
  <c r="A67" i="9"/>
  <c r="BL66" i="9"/>
  <c r="BI66" i="9"/>
  <c r="BG66" i="9"/>
  <c r="BF66" i="9"/>
  <c r="BE66" i="9"/>
  <c r="BD66" i="9"/>
  <c r="BA66" i="9"/>
  <c r="AZ66" i="9"/>
  <c r="AY66" i="9"/>
  <c r="AX66" i="9"/>
  <c r="AW66" i="9"/>
  <c r="AV66" i="9"/>
  <c r="AU66" i="9"/>
  <c r="AS66" i="9"/>
  <c r="AR66" i="9"/>
  <c r="AQ66" i="9"/>
  <c r="AP66" i="9"/>
  <c r="AO66" i="9"/>
  <c r="AN66" i="9"/>
  <c r="AM66" i="9"/>
  <c r="AL66" i="9"/>
  <c r="AK66" i="9"/>
  <c r="AE66" i="9"/>
  <c r="AD66" i="9"/>
  <c r="AC66" i="9"/>
  <c r="AB66" i="9"/>
  <c r="AA66" i="9"/>
  <c r="Y66" i="9"/>
  <c r="X66" i="9"/>
  <c r="W66" i="9"/>
  <c r="V66" i="9"/>
  <c r="A66" i="9"/>
  <c r="BM65" i="9"/>
  <c r="BL65" i="9"/>
  <c r="BI65" i="9"/>
  <c r="BG65" i="9"/>
  <c r="BF65" i="9"/>
  <c r="BE65" i="9"/>
  <c r="BD65" i="9"/>
  <c r="BC65" i="9"/>
  <c r="BA65" i="9"/>
  <c r="AZ65" i="9"/>
  <c r="AY65" i="9"/>
  <c r="AX65" i="9"/>
  <c r="AW65" i="9"/>
  <c r="AV65" i="9"/>
  <c r="AU65" i="9"/>
  <c r="AS65" i="9"/>
  <c r="AR65" i="9"/>
  <c r="AQ65" i="9"/>
  <c r="AP65" i="9"/>
  <c r="AO65" i="9"/>
  <c r="AN65" i="9"/>
  <c r="AM65" i="9"/>
  <c r="AL65" i="9"/>
  <c r="AK65" i="9"/>
  <c r="AE65" i="9"/>
  <c r="AD65" i="9"/>
  <c r="AC65" i="9"/>
  <c r="AB65" i="9"/>
  <c r="AA65" i="9"/>
  <c r="Y65" i="9"/>
  <c r="X65" i="9"/>
  <c r="W65" i="9"/>
  <c r="V65" i="9"/>
  <c r="A65" i="9"/>
  <c r="BM64" i="9"/>
  <c r="BL64" i="9"/>
  <c r="BI64" i="9"/>
  <c r="BG64" i="9"/>
  <c r="BF64" i="9"/>
  <c r="BE64" i="9"/>
  <c r="BD64" i="9"/>
  <c r="BC64" i="9"/>
  <c r="BA64" i="9"/>
  <c r="AZ64" i="9"/>
  <c r="AY64" i="9"/>
  <c r="AX64" i="9"/>
  <c r="AW64" i="9"/>
  <c r="AV64" i="9"/>
  <c r="AU64" i="9"/>
  <c r="AS64" i="9"/>
  <c r="AR64" i="9"/>
  <c r="AQ64" i="9"/>
  <c r="AP64" i="9"/>
  <c r="AO64" i="9"/>
  <c r="AN64" i="9"/>
  <c r="AM64" i="9"/>
  <c r="AL64" i="9"/>
  <c r="AJ64" i="9"/>
  <c r="AE64" i="9"/>
  <c r="AD64" i="9"/>
  <c r="AC64" i="9"/>
  <c r="AB64" i="9"/>
  <c r="AA64" i="9"/>
  <c r="Y64" i="9"/>
  <c r="X64" i="9"/>
  <c r="W64" i="9"/>
  <c r="V64" i="9"/>
  <c r="A64" i="9"/>
  <c r="BM63" i="9"/>
  <c r="BL63" i="9"/>
  <c r="BK63" i="9"/>
  <c r="BI63" i="9"/>
  <c r="BG63" i="9"/>
  <c r="BF63" i="9"/>
  <c r="BE63" i="9"/>
  <c r="BD63" i="9"/>
  <c r="BC63" i="9"/>
  <c r="BA63" i="9"/>
  <c r="AZ63" i="9"/>
  <c r="AY63" i="9"/>
  <c r="AX63" i="9"/>
  <c r="AW63" i="9"/>
  <c r="AV63" i="9"/>
  <c r="AU63" i="9"/>
  <c r="AS63" i="9"/>
  <c r="AR63" i="9"/>
  <c r="AQ63" i="9"/>
  <c r="AP63" i="9"/>
  <c r="AO63" i="9"/>
  <c r="AN63" i="9"/>
  <c r="AM63" i="9"/>
  <c r="AL63" i="9"/>
  <c r="AJ63" i="9"/>
  <c r="AE63" i="9"/>
  <c r="AD63" i="9"/>
  <c r="AC63" i="9"/>
  <c r="AB63" i="9"/>
  <c r="AA63" i="9"/>
  <c r="Y63" i="9"/>
  <c r="W63" i="9"/>
  <c r="V63" i="9"/>
  <c r="A63" i="9"/>
  <c r="BM62" i="9"/>
  <c r="BL62" i="9"/>
  <c r="BK62" i="9"/>
  <c r="BI62" i="9"/>
  <c r="BG62" i="9"/>
  <c r="BF62" i="9"/>
  <c r="BE62" i="9"/>
  <c r="BD62" i="9"/>
  <c r="BC62" i="9"/>
  <c r="BA62" i="9"/>
  <c r="AZ62" i="9"/>
  <c r="AY62" i="9"/>
  <c r="AX62" i="9"/>
  <c r="AW62" i="9"/>
  <c r="AV62" i="9"/>
  <c r="AU62" i="9"/>
  <c r="AS62" i="9"/>
  <c r="AR62" i="9"/>
  <c r="AQ62" i="9"/>
  <c r="AP62" i="9"/>
  <c r="AO62" i="9"/>
  <c r="AN62" i="9"/>
  <c r="AM62" i="9"/>
  <c r="AL62" i="9"/>
  <c r="AJ62" i="9"/>
  <c r="AE62" i="9"/>
  <c r="AD62" i="9"/>
  <c r="AC62" i="9"/>
  <c r="AB62" i="9"/>
  <c r="AA62" i="9"/>
  <c r="Y62" i="9"/>
  <c r="W62" i="9"/>
  <c r="V62" i="9"/>
  <c r="A62" i="9"/>
  <c r="BM61" i="9"/>
  <c r="BL61" i="9"/>
  <c r="BK61" i="9"/>
  <c r="BI61" i="9"/>
  <c r="BG61" i="9"/>
  <c r="BE61" i="9"/>
  <c r="BD61" i="9"/>
  <c r="BA61" i="9"/>
  <c r="AY61" i="9"/>
  <c r="AX61" i="9"/>
  <c r="AV61" i="9"/>
  <c r="AU61" i="9"/>
  <c r="AS61" i="9"/>
  <c r="AR61" i="9"/>
  <c r="AQ61" i="9"/>
  <c r="AO61" i="9"/>
  <c r="AN61" i="9"/>
  <c r="AM61" i="9"/>
  <c r="AL61" i="9"/>
  <c r="AK61" i="9"/>
  <c r="AJ61" i="9"/>
  <c r="AI61" i="9"/>
  <c r="AE61" i="9"/>
  <c r="AD61" i="9"/>
  <c r="AC61" i="9"/>
  <c r="AA61" i="9"/>
  <c r="Y61" i="9"/>
  <c r="W61" i="9"/>
  <c r="V61" i="9"/>
  <c r="A61" i="9"/>
  <c r="BM60" i="9"/>
  <c r="BL60" i="9"/>
  <c r="BK60" i="9"/>
  <c r="BI60" i="9"/>
  <c r="BG60" i="9"/>
  <c r="BE60" i="9"/>
  <c r="BD60" i="9"/>
  <c r="BA60" i="9"/>
  <c r="AZ60" i="9"/>
  <c r="AY60" i="9"/>
  <c r="AX60" i="9"/>
  <c r="AV60" i="9"/>
  <c r="AU60" i="9"/>
  <c r="AS60" i="9"/>
  <c r="AR60" i="9"/>
  <c r="AQ60" i="9"/>
  <c r="AO60" i="9"/>
  <c r="AN60" i="9"/>
  <c r="AM60" i="9"/>
  <c r="AK60" i="9"/>
  <c r="AJ60" i="9"/>
  <c r="AI60" i="9"/>
  <c r="AE60" i="9"/>
  <c r="AD60" i="9"/>
  <c r="AC60" i="9"/>
  <c r="AA60" i="9"/>
  <c r="Y60" i="9"/>
  <c r="W60" i="9"/>
  <c r="V60" i="9"/>
  <c r="A60" i="9"/>
  <c r="BM59" i="9"/>
  <c r="BL59" i="9"/>
  <c r="BK59" i="9"/>
  <c r="BI59" i="9"/>
  <c r="BE59" i="9"/>
  <c r="BD59" i="9"/>
  <c r="BA59" i="9"/>
  <c r="AZ59" i="9"/>
  <c r="AY59" i="9"/>
  <c r="AX59" i="9"/>
  <c r="AV59" i="9"/>
  <c r="AU59" i="9"/>
  <c r="AS59" i="9"/>
  <c r="AR59" i="9"/>
  <c r="AQ59" i="9"/>
  <c r="AO59" i="9"/>
  <c r="AN59" i="9"/>
  <c r="AM59" i="9"/>
  <c r="AL59" i="9"/>
  <c r="AK59" i="9"/>
  <c r="AI59" i="9"/>
  <c r="AE59" i="9"/>
  <c r="AD59" i="9"/>
  <c r="AC59" i="9"/>
  <c r="AA59" i="9"/>
  <c r="Y59" i="9"/>
  <c r="W59" i="9"/>
  <c r="V59" i="9"/>
  <c r="A59" i="9"/>
  <c r="BM58" i="9"/>
  <c r="BL58" i="9"/>
  <c r="BK58" i="9"/>
  <c r="BI58" i="9"/>
  <c r="BE58" i="9"/>
  <c r="BD58" i="9"/>
  <c r="BC58" i="9"/>
  <c r="BA58" i="9"/>
  <c r="AZ58" i="9"/>
  <c r="AY58" i="9"/>
  <c r="AX58" i="9"/>
  <c r="AV58" i="9"/>
  <c r="AU58" i="9"/>
  <c r="AS58" i="9"/>
  <c r="AR58" i="9"/>
  <c r="AO58" i="9"/>
  <c r="AN58" i="9"/>
  <c r="AM58" i="9"/>
  <c r="AK58" i="9"/>
  <c r="AJ58" i="9"/>
  <c r="AF58" i="9"/>
  <c r="AE58" i="9"/>
  <c r="AD58" i="9"/>
  <c r="AC58" i="9"/>
  <c r="AB58" i="9"/>
  <c r="AA58" i="9"/>
  <c r="Y58" i="9"/>
  <c r="A58" i="9"/>
  <c r="BM57" i="9"/>
  <c r="BL57" i="9"/>
  <c r="BK57" i="9"/>
  <c r="BI57" i="9"/>
  <c r="BG57" i="9"/>
  <c r="BE57" i="9"/>
  <c r="BD57" i="9"/>
  <c r="BA57" i="9"/>
  <c r="AZ57" i="9"/>
  <c r="AY57" i="9"/>
  <c r="AX57" i="9"/>
  <c r="AV57" i="9"/>
  <c r="AU57" i="9"/>
  <c r="AS57" i="9"/>
  <c r="AR57" i="9"/>
  <c r="AQ57" i="9"/>
  <c r="AP57" i="9"/>
  <c r="AO57" i="9"/>
  <c r="AN57" i="9"/>
  <c r="AM57" i="9"/>
  <c r="AK57" i="9"/>
  <c r="AJ57" i="9"/>
  <c r="AH57" i="9"/>
  <c r="AG57" i="9"/>
  <c r="AF57" i="9"/>
  <c r="AE57" i="9"/>
  <c r="AD57" i="9"/>
  <c r="AA57" i="9"/>
  <c r="Y57" i="9"/>
  <c r="X57" i="9"/>
  <c r="W57" i="9"/>
  <c r="V57" i="9"/>
  <c r="A57" i="9"/>
  <c r="BM56" i="9"/>
  <c r="BL56" i="9"/>
  <c r="BK56" i="9"/>
  <c r="BI56" i="9"/>
  <c r="BG56" i="9"/>
  <c r="BE56" i="9"/>
  <c r="BD56" i="9"/>
  <c r="BA56" i="9"/>
  <c r="AZ56" i="9"/>
  <c r="AY56" i="9"/>
  <c r="AX56" i="9"/>
  <c r="AW56" i="9"/>
  <c r="AV56" i="9"/>
  <c r="AU56" i="9"/>
  <c r="AS56" i="9"/>
  <c r="AR56" i="9"/>
  <c r="AQ56" i="9"/>
  <c r="AP56" i="9"/>
  <c r="AO56" i="9"/>
  <c r="AN56" i="9"/>
  <c r="AM56" i="9"/>
  <c r="AK56" i="9"/>
  <c r="AJ56" i="9"/>
  <c r="AH56" i="9"/>
  <c r="AG56" i="9"/>
  <c r="AF56" i="9"/>
  <c r="AE56" i="9"/>
  <c r="AD56" i="9"/>
  <c r="AA56" i="9"/>
  <c r="Y56" i="9"/>
  <c r="X56" i="9"/>
  <c r="W56" i="9"/>
  <c r="V56" i="9"/>
  <c r="A56" i="9"/>
  <c r="BM55" i="9"/>
  <c r="BL55" i="9"/>
  <c r="BK55" i="9"/>
  <c r="BI55" i="9"/>
  <c r="BG55" i="9"/>
  <c r="BE55" i="9"/>
  <c r="BD55" i="9"/>
  <c r="BA55" i="9"/>
  <c r="AZ55" i="9"/>
  <c r="AY55" i="9"/>
  <c r="AX55" i="9"/>
  <c r="AV55" i="9"/>
  <c r="AU55" i="9"/>
  <c r="AS55" i="9"/>
  <c r="AR55" i="9"/>
  <c r="AQ55" i="9"/>
  <c r="AP55" i="9"/>
  <c r="AO55" i="9"/>
  <c r="AN55" i="9"/>
  <c r="AM55" i="9"/>
  <c r="AK55" i="9"/>
  <c r="AJ55" i="9"/>
  <c r="AI55" i="9"/>
  <c r="AH55" i="9"/>
  <c r="AG55" i="9"/>
  <c r="AF55" i="9"/>
  <c r="AD55" i="9"/>
  <c r="AA55" i="9"/>
  <c r="Y55" i="9"/>
  <c r="X55" i="9"/>
  <c r="W55" i="9"/>
  <c r="V55" i="9"/>
  <c r="A55" i="9"/>
  <c r="BM54" i="9"/>
  <c r="BL54" i="9"/>
  <c r="BK54" i="9"/>
  <c r="BI54" i="9"/>
  <c r="BG54" i="9"/>
  <c r="BF54" i="9"/>
  <c r="BE54" i="9"/>
  <c r="BD54" i="9"/>
  <c r="BC54" i="9"/>
  <c r="BA54" i="9"/>
  <c r="AZ54" i="9"/>
  <c r="AY54" i="9"/>
  <c r="AX54" i="9"/>
  <c r="AV54" i="9"/>
  <c r="AU54" i="9"/>
  <c r="AS54" i="9"/>
  <c r="AR54" i="9"/>
  <c r="AQ54" i="9"/>
  <c r="AP54" i="9"/>
  <c r="AO54" i="9"/>
  <c r="AN54" i="9"/>
  <c r="AM54" i="9"/>
  <c r="AK54" i="9"/>
  <c r="AJ54" i="9"/>
  <c r="AI54" i="9"/>
  <c r="AH54" i="9"/>
  <c r="AG54" i="9"/>
  <c r="AF54" i="9"/>
  <c r="AD54" i="9"/>
  <c r="AC54" i="9"/>
  <c r="AA54" i="9"/>
  <c r="Y54" i="9"/>
  <c r="X54" i="9"/>
  <c r="V54" i="9"/>
  <c r="A54" i="9"/>
  <c r="BM53" i="9"/>
  <c r="BL53" i="9"/>
  <c r="BK53" i="9"/>
  <c r="BI53" i="9"/>
  <c r="BG53" i="9"/>
  <c r="BF53" i="9"/>
  <c r="BE53" i="9"/>
  <c r="BD53" i="9"/>
  <c r="BC53" i="9"/>
  <c r="BA53" i="9"/>
  <c r="AZ53" i="9"/>
  <c r="AY53" i="9"/>
  <c r="AX53" i="9"/>
  <c r="AW53" i="9"/>
  <c r="AV53" i="9"/>
  <c r="AU53" i="9"/>
  <c r="AS53" i="9"/>
  <c r="AR53" i="9"/>
  <c r="AQ53" i="9"/>
  <c r="AP53" i="9"/>
  <c r="AO53" i="9"/>
  <c r="AN53" i="9"/>
  <c r="AM53" i="9"/>
  <c r="AK53" i="9"/>
  <c r="AJ53" i="9"/>
  <c r="AI53" i="9"/>
  <c r="AH53" i="9"/>
  <c r="AG53" i="9"/>
  <c r="AF53" i="9"/>
  <c r="AD53" i="9"/>
  <c r="AC53" i="9"/>
  <c r="AA53" i="9"/>
  <c r="Y53" i="9"/>
  <c r="X53" i="9"/>
  <c r="W53" i="9"/>
  <c r="V53" i="9"/>
  <c r="A53" i="9"/>
  <c r="BM52" i="9"/>
  <c r="BL52" i="9"/>
  <c r="BK52" i="9"/>
  <c r="BI52" i="9"/>
  <c r="BG52" i="9"/>
  <c r="BF52" i="9"/>
  <c r="BD52" i="9"/>
  <c r="BC52" i="9"/>
  <c r="BA52" i="9"/>
  <c r="AZ52" i="9"/>
  <c r="AY52" i="9"/>
  <c r="AX52" i="9"/>
  <c r="AV52" i="9"/>
  <c r="AU52" i="9"/>
  <c r="AR52" i="9"/>
  <c r="AQ52" i="9"/>
  <c r="AO52" i="9"/>
  <c r="AN52" i="9"/>
  <c r="AM52" i="9"/>
  <c r="AL52" i="9"/>
  <c r="AK52" i="9"/>
  <c r="AJ52" i="9"/>
  <c r="AH52" i="9"/>
  <c r="AF52" i="9"/>
  <c r="AE52" i="9"/>
  <c r="AD52" i="9"/>
  <c r="AC52" i="9"/>
  <c r="AB52" i="9"/>
  <c r="AA52" i="9"/>
  <c r="V52" i="9"/>
  <c r="A52" i="9"/>
  <c r="BM51" i="9"/>
  <c r="BL51" i="9"/>
  <c r="BK51" i="9"/>
  <c r="BI51" i="9"/>
  <c r="BG51" i="9"/>
  <c r="BF51" i="9"/>
  <c r="BD51" i="9"/>
  <c r="BC51" i="9"/>
  <c r="BA51" i="9"/>
  <c r="AZ51" i="9"/>
  <c r="AY51" i="9"/>
  <c r="AX51" i="9"/>
  <c r="AV51" i="9"/>
  <c r="AU51" i="9"/>
  <c r="AR51" i="9"/>
  <c r="AQ51" i="9"/>
  <c r="AO51" i="9"/>
  <c r="AN51" i="9"/>
  <c r="AM51" i="9"/>
  <c r="AL51" i="9"/>
  <c r="AK51" i="9"/>
  <c r="AH51" i="9"/>
  <c r="AF51" i="9"/>
  <c r="AE51" i="9"/>
  <c r="AD51" i="9"/>
  <c r="AC51" i="9"/>
  <c r="AB51" i="9"/>
  <c r="AA51" i="9"/>
  <c r="Y51" i="9"/>
  <c r="W51" i="9"/>
  <c r="A51" i="9"/>
  <c r="BM50" i="9"/>
  <c r="BL50" i="9"/>
  <c r="BK50" i="9"/>
  <c r="BI50" i="9"/>
  <c r="BG50" i="9"/>
  <c r="BF50" i="9"/>
  <c r="BE50" i="9"/>
  <c r="BD50" i="9"/>
  <c r="BC50" i="9"/>
  <c r="BA50" i="9"/>
  <c r="AY50" i="9"/>
  <c r="AX50" i="9"/>
  <c r="AV50" i="9"/>
  <c r="AU50" i="9"/>
  <c r="AR50" i="9"/>
  <c r="AO50" i="9"/>
  <c r="AN50" i="9"/>
  <c r="AM50" i="9"/>
  <c r="AK50" i="9"/>
  <c r="AJ50" i="9"/>
  <c r="AE50" i="9"/>
  <c r="AD50" i="9"/>
  <c r="AC50" i="9"/>
  <c r="AB50" i="9"/>
  <c r="AA50" i="9"/>
  <c r="Y50" i="9"/>
  <c r="W50" i="9"/>
  <c r="A50" i="9"/>
  <c r="BM49" i="9"/>
  <c r="BL49" i="9"/>
  <c r="BK49" i="9"/>
  <c r="BI49" i="9"/>
  <c r="BG49" i="9"/>
  <c r="BF49" i="9"/>
  <c r="BE49" i="9"/>
  <c r="BD49" i="9"/>
  <c r="BC49" i="9"/>
  <c r="BA49" i="9"/>
  <c r="AY49" i="9"/>
  <c r="AX49" i="9"/>
  <c r="AV49" i="9"/>
  <c r="AU49" i="9"/>
  <c r="AR49" i="9"/>
  <c r="AO49" i="9"/>
  <c r="AN49" i="9"/>
  <c r="AM49" i="9"/>
  <c r="AK49" i="9"/>
  <c r="AJ49" i="9"/>
  <c r="AE49" i="9"/>
  <c r="AD49" i="9"/>
  <c r="AC49" i="9"/>
  <c r="AB49" i="9"/>
  <c r="AA49" i="9"/>
  <c r="Y49" i="9"/>
  <c r="W49" i="9"/>
  <c r="A49" i="9"/>
  <c r="BM48" i="9"/>
  <c r="BL48" i="9"/>
  <c r="BK48" i="9"/>
  <c r="BI48" i="9"/>
  <c r="BE48" i="9"/>
  <c r="BD48" i="9"/>
  <c r="BC48" i="9"/>
  <c r="BA48" i="9"/>
  <c r="AZ48" i="9"/>
  <c r="AY48" i="9"/>
  <c r="AX48" i="9"/>
  <c r="AV48" i="9"/>
  <c r="AU48" i="9"/>
  <c r="AR48" i="9"/>
  <c r="AQ48" i="9"/>
  <c r="AP48" i="9"/>
  <c r="AO48" i="9"/>
  <c r="AN48" i="9"/>
  <c r="AM48" i="9"/>
  <c r="AL48" i="9"/>
  <c r="AK48" i="9"/>
  <c r="AJ48" i="9"/>
  <c r="AH48" i="9"/>
  <c r="AD48" i="9"/>
  <c r="AC48" i="9"/>
  <c r="AA48" i="9"/>
  <c r="X48" i="9"/>
  <c r="W48" i="9"/>
  <c r="A48" i="9"/>
  <c r="BM47" i="9"/>
  <c r="BL47" i="9"/>
  <c r="BI47" i="9"/>
  <c r="BE47" i="9"/>
  <c r="BD47" i="9"/>
  <c r="BC47" i="9"/>
  <c r="AZ47" i="9"/>
  <c r="AY47" i="9"/>
  <c r="AX47" i="9"/>
  <c r="AV47" i="9"/>
  <c r="AU47" i="9"/>
  <c r="AS47" i="9"/>
  <c r="AR47" i="9"/>
  <c r="AQ47" i="9"/>
  <c r="AP47" i="9"/>
  <c r="AO47" i="9"/>
  <c r="AN47" i="9"/>
  <c r="AM47" i="9"/>
  <c r="AJ47" i="9"/>
  <c r="AH47" i="9"/>
  <c r="AF47" i="9"/>
  <c r="AE47" i="9"/>
  <c r="AD47" i="9"/>
  <c r="AA47" i="9"/>
  <c r="W47" i="9"/>
  <c r="A47" i="9"/>
  <c r="BM46" i="9"/>
  <c r="BL46" i="9"/>
  <c r="BK46" i="9"/>
  <c r="BI46" i="9"/>
  <c r="BE46" i="9"/>
  <c r="BD46" i="9"/>
  <c r="BC46" i="9"/>
  <c r="BA46" i="9"/>
  <c r="AZ46" i="9"/>
  <c r="AY46" i="9"/>
  <c r="AX46" i="9"/>
  <c r="AV46" i="9"/>
  <c r="AU46" i="9"/>
  <c r="AR46" i="9"/>
  <c r="AQ46" i="9"/>
  <c r="AP46" i="9"/>
  <c r="AO46" i="9"/>
  <c r="AN46" i="9"/>
  <c r="AM46" i="9"/>
  <c r="AL46" i="9"/>
  <c r="AK46" i="9"/>
  <c r="AI46" i="9"/>
  <c r="AH46" i="9"/>
  <c r="AG46" i="9"/>
  <c r="AF46" i="9"/>
  <c r="AD46" i="9"/>
  <c r="AC46" i="9"/>
  <c r="AA46" i="9"/>
  <c r="X46" i="9"/>
  <c r="A46" i="9"/>
  <c r="BM45" i="9"/>
  <c r="BL45" i="9"/>
  <c r="BK45" i="9"/>
  <c r="BI45" i="9"/>
  <c r="BE45" i="9"/>
  <c r="BD45" i="9"/>
  <c r="BA45" i="9"/>
  <c r="AZ45" i="9"/>
  <c r="AY45" i="9"/>
  <c r="AX45" i="9"/>
  <c r="AW45" i="9"/>
  <c r="AV45" i="9"/>
  <c r="AU45" i="9"/>
  <c r="AR45" i="9"/>
  <c r="AO45" i="9"/>
  <c r="AN45" i="9"/>
  <c r="AM45" i="9"/>
  <c r="AK45" i="9"/>
  <c r="AJ45" i="9"/>
  <c r="AI45" i="9"/>
  <c r="AH45" i="9"/>
  <c r="AG45" i="9"/>
  <c r="AF45" i="9"/>
  <c r="AD45" i="9"/>
  <c r="AC45" i="9"/>
  <c r="AA45" i="9"/>
  <c r="X45" i="9"/>
  <c r="A45" i="9"/>
  <c r="BM44" i="9"/>
  <c r="BL44" i="9"/>
  <c r="BK44" i="9"/>
  <c r="BI44" i="9"/>
  <c r="BG44" i="9"/>
  <c r="BF44" i="9"/>
  <c r="BE44" i="9"/>
  <c r="BD44" i="9"/>
  <c r="BC44" i="9"/>
  <c r="BA44" i="9"/>
  <c r="AZ44" i="9"/>
  <c r="AY44" i="9"/>
  <c r="AX44" i="9"/>
  <c r="AV44" i="9"/>
  <c r="AU44" i="9"/>
  <c r="AS44" i="9"/>
  <c r="AR44" i="9"/>
  <c r="AO44" i="9"/>
  <c r="AN44" i="9"/>
  <c r="AM44" i="9"/>
  <c r="AK44" i="9"/>
  <c r="AJ44" i="9"/>
  <c r="AI44" i="9"/>
  <c r="AH44" i="9"/>
  <c r="AG44" i="9"/>
  <c r="AF44" i="9"/>
  <c r="AD44" i="9"/>
  <c r="AA44" i="9"/>
  <c r="Y44" i="9"/>
  <c r="X44" i="9"/>
  <c r="W44" i="9"/>
  <c r="V44" i="9"/>
  <c r="A44" i="9"/>
  <c r="BM43" i="9"/>
  <c r="BL43" i="9"/>
  <c r="BK43" i="9"/>
  <c r="BG43" i="9"/>
  <c r="BF43" i="9"/>
  <c r="BE43" i="9"/>
  <c r="BD43" i="9"/>
  <c r="BA43" i="9"/>
  <c r="AZ43" i="9"/>
  <c r="AY43" i="9"/>
  <c r="AX43" i="9"/>
  <c r="AV43" i="9"/>
  <c r="AU43" i="9"/>
  <c r="AS43" i="9"/>
  <c r="AR43" i="9"/>
  <c r="AQ43" i="9"/>
  <c r="AP43" i="9"/>
  <c r="AO43" i="9"/>
  <c r="AN43" i="9"/>
  <c r="AM43" i="9"/>
  <c r="AL43" i="9"/>
  <c r="AK43" i="9"/>
  <c r="AJ43" i="9"/>
  <c r="AI43" i="9"/>
  <c r="AH43" i="9"/>
  <c r="AG43" i="9"/>
  <c r="AF43" i="9"/>
  <c r="AD43" i="9"/>
  <c r="AA43" i="9"/>
  <c r="Y43" i="9"/>
  <c r="W43" i="9"/>
  <c r="V43" i="9"/>
  <c r="A43" i="9"/>
  <c r="BM42" i="9"/>
  <c r="BL42" i="9"/>
  <c r="BK42" i="9"/>
  <c r="BG42" i="9"/>
  <c r="BF42" i="9"/>
  <c r="BE42" i="9"/>
  <c r="BC42" i="9"/>
  <c r="BA42" i="9"/>
  <c r="AZ42" i="9"/>
  <c r="AY42" i="9"/>
  <c r="AX42" i="9"/>
  <c r="AW42" i="9"/>
  <c r="AV42" i="9"/>
  <c r="AU42" i="9"/>
  <c r="AS42" i="9"/>
  <c r="AR42" i="9"/>
  <c r="AQ42" i="9"/>
  <c r="AP42" i="9"/>
  <c r="AO42" i="9"/>
  <c r="AN42" i="9"/>
  <c r="AM42" i="9"/>
  <c r="AL42" i="9"/>
  <c r="AK42" i="9"/>
  <c r="AJ42" i="9"/>
  <c r="AI42" i="9"/>
  <c r="AH42" i="9"/>
  <c r="AG42" i="9"/>
  <c r="AF42" i="9"/>
  <c r="AE42" i="9"/>
  <c r="AD42" i="9"/>
  <c r="AA42" i="9"/>
  <c r="Y42" i="9"/>
  <c r="X42" i="9"/>
  <c r="W42" i="9"/>
  <c r="V42" i="9"/>
  <c r="A42" i="9"/>
  <c r="BM41" i="9"/>
  <c r="BL41" i="9"/>
  <c r="BK41" i="9"/>
  <c r="BI41" i="9"/>
  <c r="BG41" i="9"/>
  <c r="BF41" i="9"/>
  <c r="BE41" i="9"/>
  <c r="BA41" i="9"/>
  <c r="AZ41" i="9"/>
  <c r="AY41" i="9"/>
  <c r="AX41" i="9"/>
  <c r="AV41" i="9"/>
  <c r="AU41" i="9"/>
  <c r="AS41" i="9"/>
  <c r="AR41" i="9"/>
  <c r="AQ41" i="9"/>
  <c r="AP41" i="9"/>
  <c r="AO41" i="9"/>
  <c r="AN41" i="9"/>
  <c r="AM41" i="9"/>
  <c r="AK41" i="9"/>
  <c r="AJ41" i="9"/>
  <c r="AH41" i="9"/>
  <c r="AG41" i="9"/>
  <c r="AF41" i="9"/>
  <c r="AD41" i="9"/>
  <c r="AA41" i="9"/>
  <c r="X41" i="9"/>
  <c r="W41" i="9"/>
  <c r="V41" i="9"/>
  <c r="A41" i="9"/>
  <c r="B38" i="9"/>
  <c r="B37" i="9"/>
  <c r="BM34" i="9"/>
  <c r="BL34" i="9"/>
  <c r="BK34" i="9"/>
  <c r="BI34" i="9"/>
  <c r="BG34" i="9"/>
  <c r="BF34" i="9"/>
  <c r="BE34" i="9"/>
  <c r="BD34" i="9"/>
  <c r="BA34" i="9"/>
  <c r="AZ34" i="9"/>
  <c r="AY34" i="9"/>
  <c r="AX34" i="9"/>
  <c r="AW34" i="9"/>
  <c r="AV34" i="9"/>
  <c r="AU34" i="9"/>
  <c r="AS34" i="9"/>
  <c r="AR34" i="9"/>
  <c r="AQ34" i="9"/>
  <c r="AP34" i="9"/>
  <c r="AO34" i="9"/>
  <c r="AN34" i="9"/>
  <c r="AM34" i="9"/>
  <c r="AK34" i="9"/>
  <c r="AJ34" i="9"/>
  <c r="AI34" i="9"/>
  <c r="AH34" i="9"/>
  <c r="AF34" i="9"/>
  <c r="AD34" i="9"/>
  <c r="AA34" i="9"/>
  <c r="Y34" i="9"/>
  <c r="X34" i="9"/>
  <c r="A34" i="9"/>
  <c r="BM33" i="9"/>
  <c r="BL33" i="9"/>
  <c r="BK33" i="9"/>
  <c r="BI33" i="9"/>
  <c r="BG33" i="9"/>
  <c r="BF33" i="9"/>
  <c r="BE33" i="9"/>
  <c r="BD33" i="9"/>
  <c r="BA33" i="9"/>
  <c r="AZ33" i="9"/>
  <c r="AY33" i="9"/>
  <c r="AX33" i="9"/>
  <c r="AW33" i="9"/>
  <c r="AV33" i="9"/>
  <c r="AU33" i="9"/>
  <c r="AS33" i="9"/>
  <c r="AR33" i="9"/>
  <c r="AQ33" i="9"/>
  <c r="AP33" i="9"/>
  <c r="AO33" i="9"/>
  <c r="AN33" i="9"/>
  <c r="AM33" i="9"/>
  <c r="AL33" i="9"/>
  <c r="AK33" i="9"/>
  <c r="AJ33" i="9"/>
  <c r="AH33" i="9"/>
  <c r="AE33" i="9"/>
  <c r="AD33" i="9"/>
  <c r="AC33" i="9"/>
  <c r="AB33" i="9"/>
  <c r="AA33" i="9"/>
  <c r="Y33" i="9"/>
  <c r="X33" i="9"/>
  <c r="W33" i="9"/>
  <c r="V33" i="9"/>
  <c r="A33" i="9"/>
  <c r="BM31" i="9"/>
  <c r="BL31" i="9"/>
  <c r="BK31" i="9"/>
  <c r="BG31" i="9"/>
  <c r="BF31" i="9"/>
  <c r="BE31" i="9"/>
  <c r="BD31" i="9"/>
  <c r="BA31" i="9"/>
  <c r="AZ31" i="9"/>
  <c r="AY31" i="9"/>
  <c r="AX31" i="9"/>
  <c r="AV31" i="9"/>
  <c r="AU31" i="9"/>
  <c r="AS31" i="9"/>
  <c r="AR31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D31" i="9"/>
  <c r="AA31" i="9"/>
  <c r="Y31" i="9"/>
  <c r="W31" i="9"/>
  <c r="V31" i="9"/>
  <c r="A31" i="9"/>
  <c r="BM30" i="9"/>
  <c r="BI30" i="9"/>
  <c r="BG30" i="9"/>
  <c r="BF30" i="9"/>
  <c r="BE30" i="9"/>
  <c r="BD30" i="9"/>
  <c r="BA30" i="9"/>
  <c r="AZ30" i="9"/>
  <c r="AY30" i="9"/>
  <c r="AX30" i="9"/>
  <c r="AW30" i="9"/>
  <c r="AV30" i="9"/>
  <c r="AU30" i="9"/>
  <c r="AS30" i="9"/>
  <c r="AR30" i="9"/>
  <c r="AQ30" i="9"/>
  <c r="AP30" i="9"/>
  <c r="AO30" i="9"/>
  <c r="AN30" i="9"/>
  <c r="AM30" i="9"/>
  <c r="AL30" i="9"/>
  <c r="AK30" i="9"/>
  <c r="AE30" i="9"/>
  <c r="AD30" i="9"/>
  <c r="AA30" i="9"/>
  <c r="Y30" i="9"/>
  <c r="X30" i="9"/>
  <c r="W30" i="9"/>
  <c r="V30" i="9"/>
  <c r="A30" i="9"/>
  <c r="BL29" i="9"/>
  <c r="BI29" i="9"/>
  <c r="BG29" i="9"/>
  <c r="BF29" i="9"/>
  <c r="BE29" i="9"/>
  <c r="BD29" i="9"/>
  <c r="BA29" i="9"/>
  <c r="AZ29" i="9"/>
  <c r="AY29" i="9"/>
  <c r="AX29" i="9"/>
  <c r="AW29" i="9"/>
  <c r="AV29" i="9"/>
  <c r="AU29" i="9"/>
  <c r="AS29" i="9"/>
  <c r="AR29" i="9"/>
  <c r="AQ29" i="9"/>
  <c r="AP29" i="9"/>
  <c r="AO29" i="9"/>
  <c r="AN29" i="9"/>
  <c r="AM29" i="9"/>
  <c r="AL29" i="9"/>
  <c r="AK29" i="9"/>
  <c r="AE29" i="9"/>
  <c r="AD29" i="9"/>
  <c r="AC29" i="9"/>
  <c r="AB29" i="9"/>
  <c r="AA29" i="9"/>
  <c r="Y29" i="9"/>
  <c r="X29" i="9"/>
  <c r="W29" i="9"/>
  <c r="V29" i="9"/>
  <c r="A29" i="9"/>
  <c r="BM28" i="9"/>
  <c r="BL28" i="9"/>
  <c r="BI28" i="9"/>
  <c r="BG28" i="9"/>
  <c r="BF28" i="9"/>
  <c r="BE28" i="9"/>
  <c r="BD28" i="9"/>
  <c r="BC28" i="9"/>
  <c r="BA28" i="9"/>
  <c r="AZ28" i="9"/>
  <c r="AY28" i="9"/>
  <c r="AX28" i="9"/>
  <c r="AW28" i="9"/>
  <c r="AV28" i="9"/>
  <c r="AU28" i="9"/>
  <c r="AS28" i="9"/>
  <c r="AR28" i="9"/>
  <c r="AQ28" i="9"/>
  <c r="AP28" i="9"/>
  <c r="AO28" i="9"/>
  <c r="AN28" i="9"/>
  <c r="AM28" i="9"/>
  <c r="AL28" i="9"/>
  <c r="AK28" i="9"/>
  <c r="AE28" i="9"/>
  <c r="AD28" i="9"/>
  <c r="AC28" i="9"/>
  <c r="AB28" i="9"/>
  <c r="AA28" i="9"/>
  <c r="Y28" i="9"/>
  <c r="X28" i="9"/>
  <c r="W28" i="9"/>
  <c r="V28" i="9"/>
  <c r="A28" i="9"/>
  <c r="BM27" i="9"/>
  <c r="BL27" i="9"/>
  <c r="BI27" i="9"/>
  <c r="BG27" i="9"/>
  <c r="BF27" i="9"/>
  <c r="BE27" i="9"/>
  <c r="BD27" i="9"/>
  <c r="BC27" i="9"/>
  <c r="BA27" i="9"/>
  <c r="AZ27" i="9"/>
  <c r="AY27" i="9"/>
  <c r="AX27" i="9"/>
  <c r="AW27" i="9"/>
  <c r="AV27" i="9"/>
  <c r="AU27" i="9"/>
  <c r="AS27" i="9"/>
  <c r="AR27" i="9"/>
  <c r="AQ27" i="9"/>
  <c r="AP27" i="9"/>
  <c r="AO27" i="9"/>
  <c r="AN27" i="9"/>
  <c r="AM27" i="9"/>
  <c r="AL27" i="9"/>
  <c r="AJ27" i="9"/>
  <c r="AE27" i="9"/>
  <c r="AD27" i="9"/>
  <c r="AC27" i="9"/>
  <c r="AB27" i="9"/>
  <c r="AA27" i="9"/>
  <c r="Y27" i="9"/>
  <c r="X27" i="9"/>
  <c r="W27" i="9"/>
  <c r="V27" i="9"/>
  <c r="A27" i="9"/>
  <c r="BM26" i="9"/>
  <c r="BL26" i="9"/>
  <c r="BK26" i="9"/>
  <c r="BI26" i="9"/>
  <c r="BG26" i="9"/>
  <c r="BF26" i="9"/>
  <c r="BE26" i="9"/>
  <c r="BD26" i="9"/>
  <c r="BC26" i="9"/>
  <c r="BA26" i="9"/>
  <c r="AZ26" i="9"/>
  <c r="AY26" i="9"/>
  <c r="AX26" i="9"/>
  <c r="AW26" i="9"/>
  <c r="AV26" i="9"/>
  <c r="AU26" i="9"/>
  <c r="AS26" i="9"/>
  <c r="AR26" i="9"/>
  <c r="AQ26" i="9"/>
  <c r="AP26" i="9"/>
  <c r="AO26" i="9"/>
  <c r="AN26" i="9"/>
  <c r="AM26" i="9"/>
  <c r="AL26" i="9"/>
  <c r="AJ26" i="9"/>
  <c r="AE26" i="9"/>
  <c r="AD26" i="9"/>
  <c r="AC26" i="9"/>
  <c r="AB26" i="9"/>
  <c r="AA26" i="9"/>
  <c r="Y26" i="9"/>
  <c r="W26" i="9"/>
  <c r="V26" i="9"/>
  <c r="A26" i="9"/>
  <c r="BM25" i="9"/>
  <c r="BL25" i="9"/>
  <c r="BK25" i="9"/>
  <c r="BI25" i="9"/>
  <c r="BG25" i="9"/>
  <c r="BF25" i="9"/>
  <c r="BE25" i="9"/>
  <c r="BD25" i="9"/>
  <c r="BC25" i="9"/>
  <c r="BA25" i="9"/>
  <c r="AZ25" i="9"/>
  <c r="AY25" i="9"/>
  <c r="AX25" i="9"/>
  <c r="AW25" i="9"/>
  <c r="AV25" i="9"/>
  <c r="AU25" i="9"/>
  <c r="AS25" i="9"/>
  <c r="AR25" i="9"/>
  <c r="AQ25" i="9"/>
  <c r="AP25" i="9"/>
  <c r="AO25" i="9"/>
  <c r="AN25" i="9"/>
  <c r="AM25" i="9"/>
  <c r="AL25" i="9"/>
  <c r="AJ25" i="9"/>
  <c r="AE25" i="9"/>
  <c r="AD25" i="9"/>
  <c r="AC25" i="9"/>
  <c r="AB25" i="9"/>
  <c r="AA25" i="9"/>
  <c r="Y25" i="9"/>
  <c r="W25" i="9"/>
  <c r="V25" i="9"/>
  <c r="A25" i="9"/>
  <c r="BM24" i="9"/>
  <c r="BL24" i="9"/>
  <c r="BK24" i="9"/>
  <c r="BI24" i="9"/>
  <c r="BG24" i="9"/>
  <c r="BE24" i="9"/>
  <c r="BD24" i="9"/>
  <c r="BA24" i="9"/>
  <c r="AY24" i="9"/>
  <c r="AX24" i="9"/>
  <c r="AV24" i="9"/>
  <c r="AU24" i="9"/>
  <c r="AS24" i="9"/>
  <c r="AR24" i="9"/>
  <c r="AQ24" i="9"/>
  <c r="AO24" i="9"/>
  <c r="AN24" i="9"/>
  <c r="AM24" i="9"/>
  <c r="AL24" i="9"/>
  <c r="AK24" i="9"/>
  <c r="AJ24" i="9"/>
  <c r="AI24" i="9"/>
  <c r="AE24" i="9"/>
  <c r="AD24" i="9"/>
  <c r="AC24" i="9"/>
  <c r="AA24" i="9"/>
  <c r="Y24" i="9"/>
  <c r="W24" i="9"/>
  <c r="V24" i="9"/>
  <c r="A24" i="9"/>
  <c r="BM23" i="9"/>
  <c r="BL23" i="9"/>
  <c r="BK23" i="9"/>
  <c r="BI23" i="9"/>
  <c r="BG23" i="9"/>
  <c r="BE23" i="9"/>
  <c r="BD23" i="9"/>
  <c r="BA23" i="9"/>
  <c r="AZ23" i="9"/>
  <c r="AY23" i="9"/>
  <c r="AX23" i="9"/>
  <c r="AV23" i="9"/>
  <c r="AU23" i="9"/>
  <c r="AS23" i="9"/>
  <c r="AR23" i="9"/>
  <c r="AQ23" i="9"/>
  <c r="AO23" i="9"/>
  <c r="AN23" i="9"/>
  <c r="AM23" i="9"/>
  <c r="AK23" i="9"/>
  <c r="AJ23" i="9"/>
  <c r="AI23" i="9"/>
  <c r="AE23" i="9"/>
  <c r="AD23" i="9"/>
  <c r="AC23" i="9"/>
  <c r="AA23" i="9"/>
  <c r="Y23" i="9"/>
  <c r="W23" i="9"/>
  <c r="V23" i="9"/>
  <c r="A23" i="9"/>
  <c r="BM22" i="9"/>
  <c r="BL22" i="9"/>
  <c r="BK22" i="9"/>
  <c r="BI22" i="9"/>
  <c r="BE22" i="9"/>
  <c r="BD22" i="9"/>
  <c r="BA22" i="9"/>
  <c r="AZ22" i="9"/>
  <c r="AY22" i="9"/>
  <c r="AX22" i="9"/>
  <c r="AV22" i="9"/>
  <c r="AU22" i="9"/>
  <c r="AS22" i="9"/>
  <c r="AR22" i="9"/>
  <c r="AQ22" i="9"/>
  <c r="AO22" i="9"/>
  <c r="AN22" i="9"/>
  <c r="AM22" i="9"/>
  <c r="AL22" i="9"/>
  <c r="AK22" i="9"/>
  <c r="AI22" i="9"/>
  <c r="AE22" i="9"/>
  <c r="AD22" i="9"/>
  <c r="AC22" i="9"/>
  <c r="AA22" i="9"/>
  <c r="Y22" i="9"/>
  <c r="W22" i="9"/>
  <c r="V22" i="9"/>
  <c r="A22" i="9"/>
  <c r="BM21" i="9"/>
  <c r="BL21" i="9"/>
  <c r="BK21" i="9"/>
  <c r="BI21" i="9"/>
  <c r="BE21" i="9"/>
  <c r="BD21" i="9"/>
  <c r="BC21" i="9"/>
  <c r="BA21" i="9"/>
  <c r="AZ21" i="9"/>
  <c r="AY21" i="9"/>
  <c r="AX21" i="9"/>
  <c r="AV21" i="9"/>
  <c r="AU21" i="9"/>
  <c r="AS21" i="9"/>
  <c r="AR21" i="9"/>
  <c r="AO21" i="9"/>
  <c r="AN21" i="9"/>
  <c r="AM21" i="9"/>
  <c r="AK21" i="9"/>
  <c r="AJ21" i="9"/>
  <c r="AF21" i="9"/>
  <c r="AE21" i="9"/>
  <c r="AD21" i="9"/>
  <c r="AC21" i="9"/>
  <c r="AB21" i="9"/>
  <c r="AA21" i="9"/>
  <c r="Y21" i="9"/>
  <c r="A21" i="9"/>
  <c r="BM20" i="9"/>
  <c r="BL20" i="9"/>
  <c r="BK20" i="9"/>
  <c r="BI20" i="9"/>
  <c r="BG20" i="9"/>
  <c r="BE20" i="9"/>
  <c r="BD20" i="9"/>
  <c r="BA20" i="9"/>
  <c r="AZ20" i="9"/>
  <c r="AY20" i="9"/>
  <c r="AX20" i="9"/>
  <c r="AV20" i="9"/>
  <c r="AU20" i="9"/>
  <c r="AS20" i="9"/>
  <c r="AR20" i="9"/>
  <c r="AQ20" i="9"/>
  <c r="AP20" i="9"/>
  <c r="AO20" i="9"/>
  <c r="AN20" i="9"/>
  <c r="AM20" i="9"/>
  <c r="AK20" i="9"/>
  <c r="AJ20" i="9"/>
  <c r="AH20" i="9"/>
  <c r="AG20" i="9"/>
  <c r="AF20" i="9"/>
  <c r="AE20" i="9"/>
  <c r="AD20" i="9"/>
  <c r="AA20" i="9"/>
  <c r="Y20" i="9"/>
  <c r="X20" i="9"/>
  <c r="W20" i="9"/>
  <c r="V20" i="9"/>
  <c r="A20" i="9"/>
  <c r="BM19" i="9"/>
  <c r="BL19" i="9"/>
  <c r="BK19" i="9"/>
  <c r="BI19" i="9"/>
  <c r="BG19" i="9"/>
  <c r="BE19" i="9"/>
  <c r="BD19" i="9"/>
  <c r="BA19" i="9"/>
  <c r="AZ19" i="9"/>
  <c r="AY19" i="9"/>
  <c r="AX19" i="9"/>
  <c r="AW19" i="9"/>
  <c r="AV19" i="9"/>
  <c r="AU19" i="9"/>
  <c r="AS19" i="9"/>
  <c r="AR19" i="9"/>
  <c r="AQ19" i="9"/>
  <c r="AP19" i="9"/>
  <c r="AO19" i="9"/>
  <c r="AN19" i="9"/>
  <c r="AM19" i="9"/>
  <c r="AK19" i="9"/>
  <c r="AJ19" i="9"/>
  <c r="AH19" i="9"/>
  <c r="AG19" i="9"/>
  <c r="AF19" i="9"/>
  <c r="AE19" i="9"/>
  <c r="AD19" i="9"/>
  <c r="AA19" i="9"/>
  <c r="Y19" i="9"/>
  <c r="X19" i="9"/>
  <c r="W19" i="9"/>
  <c r="V19" i="9"/>
  <c r="A19" i="9"/>
  <c r="BM18" i="9"/>
  <c r="BL18" i="9"/>
  <c r="BK18" i="9"/>
  <c r="BI18" i="9"/>
  <c r="BG18" i="9"/>
  <c r="BE18" i="9"/>
  <c r="BD18" i="9"/>
  <c r="BA18" i="9"/>
  <c r="AZ18" i="9"/>
  <c r="AY18" i="9"/>
  <c r="AX18" i="9"/>
  <c r="AV18" i="9"/>
  <c r="AU18" i="9"/>
  <c r="AS18" i="9"/>
  <c r="AR18" i="9"/>
  <c r="AQ18" i="9"/>
  <c r="AP18" i="9"/>
  <c r="AO18" i="9"/>
  <c r="AN18" i="9"/>
  <c r="AM18" i="9"/>
  <c r="AK18" i="9"/>
  <c r="AJ18" i="9"/>
  <c r="AI18" i="9"/>
  <c r="AH18" i="9"/>
  <c r="AG18" i="9"/>
  <c r="AF18" i="9"/>
  <c r="AD18" i="9"/>
  <c r="AA18" i="9"/>
  <c r="Y18" i="9"/>
  <c r="X18" i="9"/>
  <c r="W18" i="9"/>
  <c r="V18" i="9"/>
  <c r="A18" i="9"/>
  <c r="BM17" i="9"/>
  <c r="BL17" i="9"/>
  <c r="BK17" i="9"/>
  <c r="BI17" i="9"/>
  <c r="BG17" i="9"/>
  <c r="BF17" i="9"/>
  <c r="BE17" i="9"/>
  <c r="BD17" i="9"/>
  <c r="BC17" i="9"/>
  <c r="BA17" i="9"/>
  <c r="AZ17" i="9"/>
  <c r="AY17" i="9"/>
  <c r="AX17" i="9"/>
  <c r="AV17" i="9"/>
  <c r="AU17" i="9"/>
  <c r="AS17" i="9"/>
  <c r="AR17" i="9"/>
  <c r="AQ17" i="9"/>
  <c r="AP17" i="9"/>
  <c r="AO17" i="9"/>
  <c r="AN17" i="9"/>
  <c r="AM17" i="9"/>
  <c r="AK17" i="9"/>
  <c r="AJ17" i="9"/>
  <c r="AI17" i="9"/>
  <c r="AH17" i="9"/>
  <c r="AG17" i="9"/>
  <c r="AF17" i="9"/>
  <c r="AD17" i="9"/>
  <c r="AC17" i="9"/>
  <c r="AA17" i="9"/>
  <c r="Y17" i="9"/>
  <c r="X17" i="9"/>
  <c r="V17" i="9"/>
  <c r="A17" i="9"/>
  <c r="BM16" i="9"/>
  <c r="BL16" i="9"/>
  <c r="BK16" i="9"/>
  <c r="BI16" i="9"/>
  <c r="BG16" i="9"/>
  <c r="BF16" i="9"/>
  <c r="BE16" i="9"/>
  <c r="BD16" i="9"/>
  <c r="BC16" i="9"/>
  <c r="BA16" i="9"/>
  <c r="AZ16" i="9"/>
  <c r="AY16" i="9"/>
  <c r="AX16" i="9"/>
  <c r="AW16" i="9"/>
  <c r="AV16" i="9"/>
  <c r="AU16" i="9"/>
  <c r="AS16" i="9"/>
  <c r="AR16" i="9"/>
  <c r="AQ16" i="9"/>
  <c r="AP16" i="9"/>
  <c r="AO16" i="9"/>
  <c r="AN16" i="9"/>
  <c r="AM16" i="9"/>
  <c r="AK16" i="9"/>
  <c r="AJ16" i="9"/>
  <c r="AI16" i="9"/>
  <c r="AH16" i="9"/>
  <c r="AG16" i="9"/>
  <c r="AF16" i="9"/>
  <c r="AD16" i="9"/>
  <c r="AC16" i="9"/>
  <c r="AA16" i="9"/>
  <c r="Y16" i="9"/>
  <c r="X16" i="9"/>
  <c r="W16" i="9"/>
  <c r="V16" i="9"/>
  <c r="A16" i="9"/>
  <c r="BM15" i="9"/>
  <c r="BL15" i="9"/>
  <c r="BK15" i="9"/>
  <c r="BI15" i="9"/>
  <c r="BG15" i="9"/>
  <c r="BF15" i="9"/>
  <c r="BD15" i="9"/>
  <c r="BC15" i="9"/>
  <c r="BA15" i="9"/>
  <c r="AZ15" i="9"/>
  <c r="AY15" i="9"/>
  <c r="AX15" i="9"/>
  <c r="AV15" i="9"/>
  <c r="AU15" i="9"/>
  <c r="AR15" i="9"/>
  <c r="AQ15" i="9"/>
  <c r="AO15" i="9"/>
  <c r="AN15" i="9"/>
  <c r="AM15" i="9"/>
  <c r="AL15" i="9"/>
  <c r="AK15" i="9"/>
  <c r="AJ15" i="9"/>
  <c r="AH15" i="9"/>
  <c r="AF15" i="9"/>
  <c r="AE15" i="9"/>
  <c r="AD15" i="9"/>
  <c r="AC15" i="9"/>
  <c r="AB15" i="9"/>
  <c r="AA15" i="9"/>
  <c r="V15" i="9"/>
  <c r="A15" i="9"/>
  <c r="BM14" i="9"/>
  <c r="BL14" i="9"/>
  <c r="BK14" i="9"/>
  <c r="BI14" i="9"/>
  <c r="BG14" i="9"/>
  <c r="BF14" i="9"/>
  <c r="BD14" i="9"/>
  <c r="BC14" i="9"/>
  <c r="BA14" i="9"/>
  <c r="AZ14" i="9"/>
  <c r="AY14" i="9"/>
  <c r="AX14" i="9"/>
  <c r="AV14" i="9"/>
  <c r="AU14" i="9"/>
  <c r="AR14" i="9"/>
  <c r="AQ14" i="9"/>
  <c r="AO14" i="9"/>
  <c r="AN14" i="9"/>
  <c r="AM14" i="9"/>
  <c r="AL14" i="9"/>
  <c r="AK14" i="9"/>
  <c r="AH14" i="9"/>
  <c r="AF14" i="9"/>
  <c r="AE14" i="9"/>
  <c r="AD14" i="9"/>
  <c r="AC14" i="9"/>
  <c r="AB14" i="9"/>
  <c r="AA14" i="9"/>
  <c r="Y14" i="9"/>
  <c r="W14" i="9"/>
  <c r="A14" i="9"/>
  <c r="BM13" i="9"/>
  <c r="BL13" i="9"/>
  <c r="BK13" i="9"/>
  <c r="BI13" i="9"/>
  <c r="BG13" i="9"/>
  <c r="BF13" i="9"/>
  <c r="BE13" i="9"/>
  <c r="BD13" i="9"/>
  <c r="BC13" i="9"/>
  <c r="BA13" i="9"/>
  <c r="AY13" i="9"/>
  <c r="AX13" i="9"/>
  <c r="AV13" i="9"/>
  <c r="AU13" i="9"/>
  <c r="AR13" i="9"/>
  <c r="AO13" i="9"/>
  <c r="AN13" i="9"/>
  <c r="AM13" i="9"/>
  <c r="AK13" i="9"/>
  <c r="AJ13" i="9"/>
  <c r="AE13" i="9"/>
  <c r="AD13" i="9"/>
  <c r="AC13" i="9"/>
  <c r="AB13" i="9"/>
  <c r="AA13" i="9"/>
  <c r="Y13" i="9"/>
  <c r="W13" i="9"/>
  <c r="A13" i="9"/>
  <c r="BM12" i="9"/>
  <c r="BL12" i="9"/>
  <c r="BK12" i="9"/>
  <c r="BI12" i="9"/>
  <c r="BG12" i="9"/>
  <c r="BF12" i="9"/>
  <c r="BE12" i="9"/>
  <c r="BD12" i="9"/>
  <c r="BC12" i="9"/>
  <c r="BA12" i="9"/>
  <c r="AY12" i="9"/>
  <c r="AX12" i="9"/>
  <c r="AV12" i="9"/>
  <c r="AU12" i="9"/>
  <c r="AR12" i="9"/>
  <c r="AO12" i="9"/>
  <c r="AN12" i="9"/>
  <c r="AM12" i="9"/>
  <c r="AK12" i="9"/>
  <c r="AJ12" i="9"/>
  <c r="AE12" i="9"/>
  <c r="AD12" i="9"/>
  <c r="AC12" i="9"/>
  <c r="AB12" i="9"/>
  <c r="AA12" i="9"/>
  <c r="Y12" i="9"/>
  <c r="W12" i="9"/>
  <c r="A12" i="9"/>
  <c r="BM11" i="9"/>
  <c r="BL11" i="9"/>
  <c r="BK11" i="9"/>
  <c r="BI11" i="9"/>
  <c r="BE11" i="9"/>
  <c r="BD11" i="9"/>
  <c r="BC11" i="9"/>
  <c r="BA11" i="9"/>
  <c r="AZ11" i="9"/>
  <c r="AY11" i="9"/>
  <c r="AX11" i="9"/>
  <c r="AV11" i="9"/>
  <c r="AU11" i="9"/>
  <c r="AR11" i="9"/>
  <c r="AQ11" i="9"/>
  <c r="AP11" i="9"/>
  <c r="AO11" i="9"/>
  <c r="AN11" i="9"/>
  <c r="AM11" i="9"/>
  <c r="AL11" i="9"/>
  <c r="AK11" i="9"/>
  <c r="AJ11" i="9"/>
  <c r="AH11" i="9"/>
  <c r="AD11" i="9"/>
  <c r="AC11" i="9"/>
  <c r="AA11" i="9"/>
  <c r="X11" i="9"/>
  <c r="W11" i="9"/>
  <c r="A11" i="9"/>
  <c r="BM10" i="9"/>
  <c r="BL10" i="9"/>
  <c r="BI10" i="9"/>
  <c r="BE10" i="9"/>
  <c r="BD10" i="9"/>
  <c r="BC10" i="9"/>
  <c r="AZ10" i="9"/>
  <c r="AY10" i="9"/>
  <c r="AX10" i="9"/>
  <c r="AV10" i="9"/>
  <c r="AU10" i="9"/>
  <c r="AS10" i="9"/>
  <c r="AR10" i="9"/>
  <c r="AQ10" i="9"/>
  <c r="AP10" i="9"/>
  <c r="AO10" i="9"/>
  <c r="AN10" i="9"/>
  <c r="AM10" i="9"/>
  <c r="AJ10" i="9"/>
  <c r="AH10" i="9"/>
  <c r="AF10" i="9"/>
  <c r="AE10" i="9"/>
  <c r="AD10" i="9"/>
  <c r="AA10" i="9"/>
  <c r="W10" i="9"/>
  <c r="A10" i="9"/>
  <c r="BM9" i="9"/>
  <c r="BL9" i="9"/>
  <c r="BK9" i="9"/>
  <c r="BI9" i="9"/>
  <c r="BE9" i="9"/>
  <c r="BD9" i="9"/>
  <c r="BC9" i="9"/>
  <c r="BA9" i="9"/>
  <c r="AZ9" i="9"/>
  <c r="AY9" i="9"/>
  <c r="AX9" i="9"/>
  <c r="AV9" i="9"/>
  <c r="AU9" i="9"/>
  <c r="AR9" i="9"/>
  <c r="AQ9" i="9"/>
  <c r="AP9" i="9"/>
  <c r="AO9" i="9"/>
  <c r="AN9" i="9"/>
  <c r="AM9" i="9"/>
  <c r="AL9" i="9"/>
  <c r="AK9" i="9"/>
  <c r="AI9" i="9"/>
  <c r="AH9" i="9"/>
  <c r="AG9" i="9"/>
  <c r="AF9" i="9"/>
  <c r="AD9" i="9"/>
  <c r="AC9" i="9"/>
  <c r="AA9" i="9"/>
  <c r="X9" i="9"/>
  <c r="A9" i="9"/>
  <c r="BM8" i="9"/>
  <c r="BL8" i="9"/>
  <c r="BK8" i="9"/>
  <c r="BI8" i="9"/>
  <c r="BE8" i="9"/>
  <c r="BD8" i="9"/>
  <c r="BA8" i="9"/>
  <c r="AZ8" i="9"/>
  <c r="AY8" i="9"/>
  <c r="AX8" i="9"/>
  <c r="AW8" i="9"/>
  <c r="AV8" i="9"/>
  <c r="AU8" i="9"/>
  <c r="AR8" i="9"/>
  <c r="AO8" i="9"/>
  <c r="AN8" i="9"/>
  <c r="AM8" i="9"/>
  <c r="AK8" i="9"/>
  <c r="AJ8" i="9"/>
  <c r="AI8" i="9"/>
  <c r="AH8" i="9"/>
  <c r="AG8" i="9"/>
  <c r="AF8" i="9"/>
  <c r="AD8" i="9"/>
  <c r="AC8" i="9"/>
  <c r="AA8" i="9"/>
  <c r="X8" i="9"/>
  <c r="A8" i="9"/>
  <c r="BM7" i="9"/>
  <c r="BL7" i="9"/>
  <c r="BK7" i="9"/>
  <c r="BI7" i="9"/>
  <c r="BG7" i="9"/>
  <c r="BF7" i="9"/>
  <c r="BE7" i="9"/>
  <c r="BD7" i="9"/>
  <c r="BC7" i="9"/>
  <c r="BA7" i="9"/>
  <c r="AZ7" i="9"/>
  <c r="AY7" i="9"/>
  <c r="AX7" i="9"/>
  <c r="AV7" i="9"/>
  <c r="AU7" i="9"/>
  <c r="AS7" i="9"/>
  <c r="AR7" i="9"/>
  <c r="AO7" i="9"/>
  <c r="AN7" i="9"/>
  <c r="AM7" i="9"/>
  <c r="AK7" i="9"/>
  <c r="AJ7" i="9"/>
  <c r="AI7" i="9"/>
  <c r="AH7" i="9"/>
  <c r="AG7" i="9"/>
  <c r="AF7" i="9"/>
  <c r="AD7" i="9"/>
  <c r="AA7" i="9"/>
  <c r="Y7" i="9"/>
  <c r="X7" i="9"/>
  <c r="W7" i="9"/>
  <c r="V7" i="9"/>
  <c r="A7" i="9"/>
  <c r="BM6" i="9"/>
  <c r="BL6" i="9"/>
  <c r="BK6" i="9"/>
  <c r="BG6" i="9"/>
  <c r="BF6" i="9"/>
  <c r="BE6" i="9"/>
  <c r="BD6" i="9"/>
  <c r="BA6" i="9"/>
  <c r="AZ6" i="9"/>
  <c r="AY6" i="9"/>
  <c r="AX6" i="9"/>
  <c r="AV6" i="9"/>
  <c r="AU6" i="9"/>
  <c r="AS6" i="9"/>
  <c r="AR6" i="9"/>
  <c r="AQ6" i="9"/>
  <c r="AP6" i="9"/>
  <c r="AO6" i="9"/>
  <c r="AN6" i="9"/>
  <c r="AM6" i="9"/>
  <c r="AL6" i="9"/>
  <c r="AK6" i="9"/>
  <c r="AJ6" i="9"/>
  <c r="AI6" i="9"/>
  <c r="AH6" i="9"/>
  <c r="AG6" i="9"/>
  <c r="AF6" i="9"/>
  <c r="AD6" i="9"/>
  <c r="AA6" i="9"/>
  <c r="Y6" i="9"/>
  <c r="W6" i="9"/>
  <c r="V6" i="9"/>
  <c r="A6" i="9"/>
  <c r="BM5" i="9"/>
  <c r="BL5" i="9"/>
  <c r="BK5" i="9"/>
  <c r="BG5" i="9"/>
  <c r="BF5" i="9"/>
  <c r="BE5" i="9"/>
  <c r="BC5" i="9"/>
  <c r="BA5" i="9"/>
  <c r="AZ5" i="9"/>
  <c r="AY5" i="9"/>
  <c r="AX5" i="9"/>
  <c r="AW5" i="9"/>
  <c r="AV5" i="9"/>
  <c r="AU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A5" i="9"/>
  <c r="Y5" i="9"/>
  <c r="X5" i="9"/>
  <c r="W5" i="9"/>
  <c r="V5" i="9"/>
  <c r="A5" i="9"/>
  <c r="BM4" i="9"/>
  <c r="BL4" i="9"/>
  <c r="BK4" i="9"/>
  <c r="BI4" i="9"/>
  <c r="BG4" i="9"/>
  <c r="BF4" i="9"/>
  <c r="BE4" i="9"/>
  <c r="BA4" i="9"/>
  <c r="AZ4" i="9"/>
  <c r="AY4" i="9"/>
  <c r="AX4" i="9"/>
  <c r="AV4" i="9"/>
  <c r="AU4" i="9"/>
  <c r="AS4" i="9"/>
  <c r="AR4" i="9"/>
  <c r="AQ4" i="9"/>
  <c r="AP4" i="9"/>
  <c r="AO4" i="9"/>
  <c r="AN4" i="9"/>
  <c r="AM4" i="9"/>
  <c r="AK4" i="9"/>
  <c r="AJ4" i="9"/>
  <c r="AH4" i="9"/>
  <c r="AG4" i="9"/>
  <c r="AF4" i="9"/>
  <c r="AD4" i="9"/>
  <c r="AA4" i="9"/>
  <c r="X4" i="9"/>
  <c r="W4" i="9"/>
  <c r="V4" i="9"/>
  <c r="A4" i="9"/>
  <c r="BP2" i="9"/>
  <c r="BO2" i="9"/>
  <c r="BN2" i="9"/>
  <c r="BM2" i="9"/>
  <c r="BL2" i="9"/>
  <c r="BK2" i="9"/>
  <c r="BJ2" i="9"/>
  <c r="BI2" i="9"/>
  <c r="BH2" i="9"/>
  <c r="BG2" i="9"/>
  <c r="BF2" i="9"/>
  <c r="BE2" i="9"/>
  <c r="BD2" i="9"/>
  <c r="BC2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B1" i="9"/>
  <c r="B40" i="8"/>
  <c r="B39" i="8"/>
  <c r="AT32" i="8" s="1"/>
  <c r="A34" i="8"/>
  <c r="A71" i="8" s="1"/>
  <c r="A33" i="8"/>
  <c r="A70" i="8" s="1"/>
  <c r="A31" i="8"/>
  <c r="A69" i="8" s="1"/>
  <c r="A30" i="8"/>
  <c r="A68" i="8" s="1"/>
  <c r="A29" i="8"/>
  <c r="A67" i="8" s="1"/>
  <c r="A28" i="8"/>
  <c r="A66" i="8" s="1"/>
  <c r="A27" i="8"/>
  <c r="A65" i="8" s="1"/>
  <c r="A26" i="8"/>
  <c r="A64" i="8" s="1"/>
  <c r="A25" i="8"/>
  <c r="A63" i="8" s="1"/>
  <c r="A24" i="8"/>
  <c r="A62" i="8" s="1"/>
  <c r="A23" i="8"/>
  <c r="A61" i="8" s="1"/>
  <c r="A22" i="8"/>
  <c r="A60" i="8" s="1"/>
  <c r="A21" i="8"/>
  <c r="A59" i="8" s="1"/>
  <c r="A20" i="8"/>
  <c r="A58" i="8" s="1"/>
  <c r="A19" i="8"/>
  <c r="A57" i="8" s="1"/>
  <c r="A18" i="8"/>
  <c r="A56" i="8" s="1"/>
  <c r="A17" i="8"/>
  <c r="A55" i="8" s="1"/>
  <c r="A16" i="8"/>
  <c r="A54" i="8" s="1"/>
  <c r="A15" i="8"/>
  <c r="A53" i="8" s="1"/>
  <c r="A14" i="8"/>
  <c r="A52" i="8" s="1"/>
  <c r="A13" i="8"/>
  <c r="A51" i="8" s="1"/>
  <c r="A12" i="8"/>
  <c r="A50" i="8" s="1"/>
  <c r="A11" i="8"/>
  <c r="A49" i="8" s="1"/>
  <c r="A10" i="8"/>
  <c r="A48" i="8" s="1"/>
  <c r="A9" i="8"/>
  <c r="A47" i="8" s="1"/>
  <c r="A8" i="8"/>
  <c r="A46" i="8" s="1"/>
  <c r="A7" i="8"/>
  <c r="A45" i="8" s="1"/>
  <c r="A6" i="8"/>
  <c r="A44" i="8" s="1"/>
  <c r="A5" i="8"/>
  <c r="A43" i="8" s="1"/>
  <c r="A4" i="8"/>
  <c r="A42" i="8" s="1"/>
  <c r="BP2" i="8"/>
  <c r="BO2" i="8"/>
  <c r="BN2" i="8"/>
  <c r="BM2" i="8"/>
  <c r="BL2" i="8"/>
  <c r="BK2" i="8"/>
  <c r="BJ2" i="8"/>
  <c r="BI2" i="8"/>
  <c r="BH2" i="8"/>
  <c r="BG2" i="8"/>
  <c r="BF2" i="8"/>
  <c r="BE2" i="8"/>
  <c r="BD2" i="8"/>
  <c r="BC2" i="8"/>
  <c r="BB2" i="8"/>
  <c r="BA2" i="8"/>
  <c r="AZ2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A36" i="7"/>
  <c r="T34" i="7"/>
  <c r="T34" i="8" s="1"/>
  <c r="T71" i="8" s="1"/>
  <c r="S34" i="7"/>
  <c r="S34" i="8" s="1"/>
  <c r="S71" i="8" s="1"/>
  <c r="R34" i="7"/>
  <c r="R34" i="8" s="1"/>
  <c r="R71" i="8" s="1"/>
  <c r="Q34" i="7"/>
  <c r="Q34" i="8" s="1"/>
  <c r="Q71" i="8" s="1"/>
  <c r="P34" i="7"/>
  <c r="P34" i="8" s="1"/>
  <c r="P71" i="8" s="1"/>
  <c r="O34" i="7"/>
  <c r="O34" i="8" s="1"/>
  <c r="O71" i="8" s="1"/>
  <c r="N34" i="7"/>
  <c r="N34" i="8" s="1"/>
  <c r="N71" i="8" s="1"/>
  <c r="M34" i="7"/>
  <c r="M34" i="8" s="1"/>
  <c r="M71" i="8" s="1"/>
  <c r="L34" i="7"/>
  <c r="L34" i="8" s="1"/>
  <c r="L71" i="8" s="1"/>
  <c r="K34" i="7"/>
  <c r="K34" i="8" s="1"/>
  <c r="K71" i="8" s="1"/>
  <c r="J34" i="7"/>
  <c r="J34" i="8" s="1"/>
  <c r="J71" i="8" s="1"/>
  <c r="G34" i="7"/>
  <c r="G34" i="8" s="1"/>
  <c r="G71" i="8" s="1"/>
  <c r="F34" i="7"/>
  <c r="F34" i="8" s="1"/>
  <c r="F71" i="8" s="1"/>
  <c r="E34" i="7"/>
  <c r="E34" i="8" s="1"/>
  <c r="E71" i="8" s="1"/>
  <c r="D34" i="7"/>
  <c r="D34" i="8" s="1"/>
  <c r="D71" i="8" s="1"/>
  <c r="C34" i="7"/>
  <c r="C34" i="8" s="1"/>
  <c r="C71" i="8" s="1"/>
  <c r="A34" i="7"/>
  <c r="T33" i="7"/>
  <c r="T33" i="8" s="1"/>
  <c r="T70" i="8" s="1"/>
  <c r="S33" i="7"/>
  <c r="S33" i="8" s="1"/>
  <c r="S70" i="8" s="1"/>
  <c r="R33" i="7"/>
  <c r="R33" i="8" s="1"/>
  <c r="R70" i="8" s="1"/>
  <c r="Q33" i="7"/>
  <c r="Q33" i="8" s="1"/>
  <c r="Q70" i="8" s="1"/>
  <c r="P33" i="7"/>
  <c r="P33" i="8" s="1"/>
  <c r="P70" i="8" s="1"/>
  <c r="O33" i="7"/>
  <c r="O33" i="8" s="1"/>
  <c r="O70" i="8" s="1"/>
  <c r="N33" i="7"/>
  <c r="N33" i="8" s="1"/>
  <c r="N70" i="8" s="1"/>
  <c r="M33" i="7"/>
  <c r="M33" i="8" s="1"/>
  <c r="M70" i="8" s="1"/>
  <c r="L33" i="7"/>
  <c r="L33" i="8" s="1"/>
  <c r="L70" i="8" s="1"/>
  <c r="K33" i="7"/>
  <c r="K33" i="8" s="1"/>
  <c r="K70" i="8" s="1"/>
  <c r="J33" i="7"/>
  <c r="J33" i="8" s="1"/>
  <c r="J70" i="8" s="1"/>
  <c r="G33" i="7"/>
  <c r="G33" i="8" s="1"/>
  <c r="G70" i="8" s="1"/>
  <c r="E33" i="7"/>
  <c r="E33" i="8" s="1"/>
  <c r="E70" i="8" s="1"/>
  <c r="D33" i="7"/>
  <c r="D33" i="8" s="1"/>
  <c r="D70" i="8" s="1"/>
  <c r="C33" i="7"/>
  <c r="C33" i="8" s="1"/>
  <c r="C70" i="8" s="1"/>
  <c r="A33" i="7"/>
  <c r="T31" i="7"/>
  <c r="T31" i="8" s="1"/>
  <c r="T69" i="8" s="1"/>
  <c r="S31" i="7"/>
  <c r="S31" i="8" s="1"/>
  <c r="S69" i="8" s="1"/>
  <c r="R31" i="7"/>
  <c r="R31" i="8" s="1"/>
  <c r="R69" i="8" s="1"/>
  <c r="Q31" i="7"/>
  <c r="Q31" i="8" s="1"/>
  <c r="Q69" i="8" s="1"/>
  <c r="P31" i="7"/>
  <c r="P31" i="8" s="1"/>
  <c r="P69" i="8" s="1"/>
  <c r="O31" i="7"/>
  <c r="O31" i="8" s="1"/>
  <c r="O69" i="8" s="1"/>
  <c r="N31" i="7"/>
  <c r="N31" i="8" s="1"/>
  <c r="N69" i="8" s="1"/>
  <c r="M31" i="7"/>
  <c r="M31" i="8" s="1"/>
  <c r="M69" i="8" s="1"/>
  <c r="L31" i="7"/>
  <c r="L31" i="8" s="1"/>
  <c r="L69" i="8" s="1"/>
  <c r="K31" i="7"/>
  <c r="K31" i="8" s="1"/>
  <c r="K69" i="8" s="1"/>
  <c r="J31" i="7"/>
  <c r="J31" i="8" s="1"/>
  <c r="J69" i="8" s="1"/>
  <c r="G31" i="7"/>
  <c r="G31" i="8" s="1"/>
  <c r="G69" i="8" s="1"/>
  <c r="E31" i="7"/>
  <c r="E31" i="8" s="1"/>
  <c r="E69" i="8" s="1"/>
  <c r="D31" i="7"/>
  <c r="D31" i="8" s="1"/>
  <c r="D69" i="8" s="1"/>
  <c r="C31" i="7"/>
  <c r="C31" i="8" s="1"/>
  <c r="C69" i="8" s="1"/>
  <c r="A31" i="7"/>
  <c r="T30" i="7"/>
  <c r="T30" i="8" s="1"/>
  <c r="T68" i="8" s="1"/>
  <c r="S30" i="7"/>
  <c r="S30" i="8" s="1"/>
  <c r="S68" i="8" s="1"/>
  <c r="R30" i="7"/>
  <c r="R30" i="8" s="1"/>
  <c r="R68" i="8" s="1"/>
  <c r="Q30" i="7"/>
  <c r="Q30" i="8" s="1"/>
  <c r="Q68" i="8" s="1"/>
  <c r="P30" i="7"/>
  <c r="P30" i="8" s="1"/>
  <c r="P68" i="8" s="1"/>
  <c r="O30" i="7"/>
  <c r="O30" i="8" s="1"/>
  <c r="O68" i="8" s="1"/>
  <c r="L30" i="7"/>
  <c r="L30" i="8" s="1"/>
  <c r="L68" i="8" s="1"/>
  <c r="J30" i="7"/>
  <c r="J30" i="8" s="1"/>
  <c r="J68" i="8" s="1"/>
  <c r="G30" i="7"/>
  <c r="G30" i="8" s="1"/>
  <c r="G68" i="8" s="1"/>
  <c r="F30" i="7"/>
  <c r="F30" i="8" s="1"/>
  <c r="F68" i="8" s="1"/>
  <c r="C30" i="7"/>
  <c r="C30" i="8" s="1"/>
  <c r="C68" i="8" s="1"/>
  <c r="A30" i="7"/>
  <c r="T29" i="7"/>
  <c r="T29" i="8" s="1"/>
  <c r="T67" i="8" s="1"/>
  <c r="S29" i="7"/>
  <c r="S29" i="8" s="1"/>
  <c r="S67" i="8" s="1"/>
  <c r="P29" i="7"/>
  <c r="P29" i="8" s="1"/>
  <c r="P67" i="8" s="1"/>
  <c r="O29" i="7"/>
  <c r="O29" i="8" s="1"/>
  <c r="O67" i="8" s="1"/>
  <c r="N29" i="7"/>
  <c r="N29" i="8" s="1"/>
  <c r="N67" i="8" s="1"/>
  <c r="M29" i="7"/>
  <c r="M29" i="8" s="1"/>
  <c r="M67" i="8" s="1"/>
  <c r="L29" i="7"/>
  <c r="L29" i="8" s="1"/>
  <c r="L67" i="8" s="1"/>
  <c r="K29" i="7"/>
  <c r="K29" i="8" s="1"/>
  <c r="K67" i="8" s="1"/>
  <c r="J29" i="7"/>
  <c r="J29" i="8" s="1"/>
  <c r="J67" i="8" s="1"/>
  <c r="G29" i="7"/>
  <c r="G29" i="8" s="1"/>
  <c r="G67" i="8" s="1"/>
  <c r="F29" i="7"/>
  <c r="F29" i="8" s="1"/>
  <c r="F67" i="8" s="1"/>
  <c r="E29" i="7"/>
  <c r="E29" i="8" s="1"/>
  <c r="E67" i="8" s="1"/>
  <c r="C29" i="7"/>
  <c r="C29" i="8" s="1"/>
  <c r="C67" i="8" s="1"/>
  <c r="A29" i="7"/>
  <c r="T28" i="7"/>
  <c r="T28" i="8" s="1"/>
  <c r="T66" i="8" s="1"/>
  <c r="S28" i="7"/>
  <c r="S28" i="8" s="1"/>
  <c r="S66" i="8" s="1"/>
  <c r="P28" i="7"/>
  <c r="P28" i="8" s="1"/>
  <c r="P66" i="8" s="1"/>
  <c r="O28" i="7"/>
  <c r="O28" i="8" s="1"/>
  <c r="O66" i="8" s="1"/>
  <c r="N28" i="7"/>
  <c r="N28" i="8" s="1"/>
  <c r="N66" i="8" s="1"/>
  <c r="M28" i="7"/>
  <c r="M28" i="8" s="1"/>
  <c r="M66" i="8" s="1"/>
  <c r="L28" i="7"/>
  <c r="L28" i="8" s="1"/>
  <c r="L66" i="8" s="1"/>
  <c r="K28" i="7"/>
  <c r="K28" i="8" s="1"/>
  <c r="K66" i="8" s="1"/>
  <c r="J28" i="7"/>
  <c r="J28" i="8" s="1"/>
  <c r="J66" i="8" s="1"/>
  <c r="G28" i="7"/>
  <c r="G28" i="8" s="1"/>
  <c r="G66" i="8" s="1"/>
  <c r="F28" i="7"/>
  <c r="F28" i="8" s="1"/>
  <c r="F66" i="8" s="1"/>
  <c r="E28" i="7"/>
  <c r="E28" i="8" s="1"/>
  <c r="E66" i="8" s="1"/>
  <c r="C28" i="7"/>
  <c r="C28" i="8" s="1"/>
  <c r="C66" i="8" s="1"/>
  <c r="A28" i="7"/>
  <c r="T27" i="7"/>
  <c r="T27" i="8" s="1"/>
  <c r="T65" i="8" s="1"/>
  <c r="S27" i="7"/>
  <c r="S27" i="8" s="1"/>
  <c r="S65" i="8" s="1"/>
  <c r="R27" i="7"/>
  <c r="R27" i="8" s="1"/>
  <c r="R65" i="8" s="1"/>
  <c r="P27" i="7"/>
  <c r="P27" i="8" s="1"/>
  <c r="P65" i="8" s="1"/>
  <c r="O27" i="7"/>
  <c r="O27" i="8" s="1"/>
  <c r="O65" i="8" s="1"/>
  <c r="N27" i="7"/>
  <c r="N27" i="8" s="1"/>
  <c r="N65" i="8" s="1"/>
  <c r="M27" i="7"/>
  <c r="M27" i="8" s="1"/>
  <c r="M65" i="8" s="1"/>
  <c r="L27" i="7"/>
  <c r="L27" i="8" s="1"/>
  <c r="L65" i="8" s="1"/>
  <c r="K27" i="7"/>
  <c r="K27" i="8" s="1"/>
  <c r="K65" i="8" s="1"/>
  <c r="G27" i="7"/>
  <c r="G27" i="8" s="1"/>
  <c r="G65" i="8" s="1"/>
  <c r="F27" i="7"/>
  <c r="F27" i="8" s="1"/>
  <c r="F65" i="8" s="1"/>
  <c r="E27" i="7"/>
  <c r="E27" i="8" s="1"/>
  <c r="E65" i="8" s="1"/>
  <c r="C27" i="7"/>
  <c r="C27" i="8" s="1"/>
  <c r="C65" i="8" s="1"/>
  <c r="A27" i="7"/>
  <c r="T26" i="7"/>
  <c r="T26" i="8" s="1"/>
  <c r="T64" i="8" s="1"/>
  <c r="S26" i="7"/>
  <c r="S26" i="8" s="1"/>
  <c r="S64" i="8" s="1"/>
  <c r="P26" i="7"/>
  <c r="P26" i="8" s="1"/>
  <c r="P64" i="8" s="1"/>
  <c r="O26" i="7"/>
  <c r="O26" i="8" s="1"/>
  <c r="O64" i="8" s="1"/>
  <c r="N26" i="7"/>
  <c r="N26" i="8" s="1"/>
  <c r="N64" i="8" s="1"/>
  <c r="M26" i="7"/>
  <c r="M26" i="8" s="1"/>
  <c r="M64" i="8" s="1"/>
  <c r="L26" i="7"/>
  <c r="L26" i="8" s="1"/>
  <c r="L64" i="8" s="1"/>
  <c r="K26" i="7"/>
  <c r="K26" i="8" s="1"/>
  <c r="K64" i="8" s="1"/>
  <c r="J26" i="7"/>
  <c r="J26" i="8" s="1"/>
  <c r="J64" i="8" s="1"/>
  <c r="G26" i="7"/>
  <c r="G26" i="8" s="1"/>
  <c r="G64" i="8" s="1"/>
  <c r="F26" i="7"/>
  <c r="F26" i="8" s="1"/>
  <c r="F64" i="8" s="1"/>
  <c r="E26" i="7"/>
  <c r="E26" i="8" s="1"/>
  <c r="E64" i="8" s="1"/>
  <c r="C26" i="7"/>
  <c r="C26" i="8" s="1"/>
  <c r="C64" i="8" s="1"/>
  <c r="A26" i="7"/>
  <c r="T25" i="7"/>
  <c r="T25" i="8" s="1"/>
  <c r="T63" i="8" s="1"/>
  <c r="S25" i="7"/>
  <c r="S25" i="8" s="1"/>
  <c r="S63" i="8" s="1"/>
  <c r="P25" i="7"/>
  <c r="P25" i="8" s="1"/>
  <c r="P63" i="8" s="1"/>
  <c r="O25" i="7"/>
  <c r="O25" i="8" s="1"/>
  <c r="O63" i="8" s="1"/>
  <c r="N25" i="7"/>
  <c r="N25" i="8" s="1"/>
  <c r="N63" i="8" s="1"/>
  <c r="M25" i="7"/>
  <c r="M25" i="8" s="1"/>
  <c r="M63" i="8" s="1"/>
  <c r="L25" i="7"/>
  <c r="L25" i="8" s="1"/>
  <c r="L63" i="8" s="1"/>
  <c r="K25" i="7"/>
  <c r="K25" i="8" s="1"/>
  <c r="K63" i="8" s="1"/>
  <c r="J25" i="7"/>
  <c r="J25" i="8" s="1"/>
  <c r="J63" i="8" s="1"/>
  <c r="G25" i="7"/>
  <c r="G25" i="8" s="1"/>
  <c r="G63" i="8" s="1"/>
  <c r="F25" i="7"/>
  <c r="F25" i="8" s="1"/>
  <c r="F63" i="8" s="1"/>
  <c r="E25" i="7"/>
  <c r="E25" i="8" s="1"/>
  <c r="E63" i="8" s="1"/>
  <c r="C25" i="7"/>
  <c r="C25" i="8" s="1"/>
  <c r="C63" i="8" s="1"/>
  <c r="A25" i="7"/>
  <c r="T24" i="7"/>
  <c r="T24" i="8" s="1"/>
  <c r="T62" i="8" s="1"/>
  <c r="S24" i="7"/>
  <c r="S24" i="8" s="1"/>
  <c r="S62" i="8" s="1"/>
  <c r="R24" i="7"/>
  <c r="R24" i="8" s="1"/>
  <c r="R62" i="8" s="1"/>
  <c r="P24" i="7"/>
  <c r="P24" i="8" s="1"/>
  <c r="P62" i="8" s="1"/>
  <c r="O24" i="7"/>
  <c r="O24" i="8" s="1"/>
  <c r="O62" i="8" s="1"/>
  <c r="N24" i="7"/>
  <c r="N24" i="8" s="1"/>
  <c r="N62" i="8" s="1"/>
  <c r="M24" i="7"/>
  <c r="M24" i="8" s="1"/>
  <c r="M62" i="8" s="1"/>
  <c r="L24" i="7"/>
  <c r="L24" i="8" s="1"/>
  <c r="L62" i="8" s="1"/>
  <c r="K24" i="7"/>
  <c r="K24" i="8" s="1"/>
  <c r="K62" i="8" s="1"/>
  <c r="J24" i="7"/>
  <c r="J24" i="8" s="1"/>
  <c r="J62" i="8" s="1"/>
  <c r="G24" i="7"/>
  <c r="G24" i="8" s="1"/>
  <c r="G62" i="8" s="1"/>
  <c r="F24" i="7"/>
  <c r="F24" i="8" s="1"/>
  <c r="F62" i="8" s="1"/>
  <c r="E24" i="7"/>
  <c r="E24" i="8" s="1"/>
  <c r="E62" i="8" s="1"/>
  <c r="D24" i="7"/>
  <c r="D24" i="8" s="1"/>
  <c r="D62" i="8" s="1"/>
  <c r="C24" i="7"/>
  <c r="C24" i="8" s="1"/>
  <c r="C62" i="8" s="1"/>
  <c r="A24" i="7"/>
  <c r="T23" i="7"/>
  <c r="T23" i="8" s="1"/>
  <c r="T61" i="8" s="1"/>
  <c r="S23" i="7"/>
  <c r="S23" i="8" s="1"/>
  <c r="S61" i="8" s="1"/>
  <c r="P23" i="7"/>
  <c r="P23" i="8" s="1"/>
  <c r="P61" i="8" s="1"/>
  <c r="O23" i="7"/>
  <c r="O23" i="8" s="1"/>
  <c r="O61" i="8" s="1"/>
  <c r="N23" i="7"/>
  <c r="N23" i="8" s="1"/>
  <c r="N61" i="8" s="1"/>
  <c r="M23" i="7"/>
  <c r="M23" i="8" s="1"/>
  <c r="M61" i="8" s="1"/>
  <c r="L23" i="7"/>
  <c r="L23" i="8" s="1"/>
  <c r="L61" i="8" s="1"/>
  <c r="K23" i="7"/>
  <c r="K23" i="8" s="1"/>
  <c r="K61" i="8" s="1"/>
  <c r="J23" i="7"/>
  <c r="J23" i="8" s="1"/>
  <c r="J61" i="8" s="1"/>
  <c r="G23" i="7"/>
  <c r="G23" i="8" s="1"/>
  <c r="G61" i="8" s="1"/>
  <c r="F23" i="7"/>
  <c r="F23" i="8" s="1"/>
  <c r="F61" i="8" s="1"/>
  <c r="E23" i="7"/>
  <c r="E23" i="8" s="1"/>
  <c r="E61" i="8" s="1"/>
  <c r="C23" i="7"/>
  <c r="C23" i="8" s="1"/>
  <c r="C61" i="8" s="1"/>
  <c r="A23" i="7"/>
  <c r="T22" i="7"/>
  <c r="T22" i="8" s="1"/>
  <c r="T60" i="8" s="1"/>
  <c r="S22" i="7"/>
  <c r="S22" i="8" s="1"/>
  <c r="S60" i="8" s="1"/>
  <c r="P22" i="7"/>
  <c r="P22" i="8" s="1"/>
  <c r="P60" i="8" s="1"/>
  <c r="O22" i="7"/>
  <c r="O22" i="8" s="1"/>
  <c r="O60" i="8" s="1"/>
  <c r="N22" i="7"/>
  <c r="N22" i="8" s="1"/>
  <c r="N60" i="8" s="1"/>
  <c r="M22" i="7"/>
  <c r="M22" i="8" s="1"/>
  <c r="M60" i="8" s="1"/>
  <c r="L22" i="7"/>
  <c r="L22" i="8" s="1"/>
  <c r="L60" i="8" s="1"/>
  <c r="K22" i="7"/>
  <c r="K22" i="8" s="1"/>
  <c r="K60" i="8" s="1"/>
  <c r="J22" i="7"/>
  <c r="J22" i="8" s="1"/>
  <c r="J60" i="8" s="1"/>
  <c r="G22" i="7"/>
  <c r="G22" i="8" s="1"/>
  <c r="G60" i="8" s="1"/>
  <c r="F22" i="7"/>
  <c r="F22" i="8" s="1"/>
  <c r="F60" i="8" s="1"/>
  <c r="E22" i="7"/>
  <c r="E22" i="8" s="1"/>
  <c r="E60" i="8" s="1"/>
  <c r="D22" i="7"/>
  <c r="D22" i="8" s="1"/>
  <c r="D60" i="8" s="1"/>
  <c r="A22" i="7"/>
  <c r="T21" i="7"/>
  <c r="T21" i="8" s="1"/>
  <c r="T59" i="8" s="1"/>
  <c r="S21" i="7"/>
  <c r="S21" i="8" s="1"/>
  <c r="S59" i="8" s="1"/>
  <c r="R21" i="7"/>
  <c r="R21" i="8" s="1"/>
  <c r="R59" i="8" s="1"/>
  <c r="Q21" i="7"/>
  <c r="Q21" i="8" s="1"/>
  <c r="Q59" i="8" s="1"/>
  <c r="O21" i="7"/>
  <c r="O21" i="8" s="1"/>
  <c r="O59" i="8" s="1"/>
  <c r="N21" i="7"/>
  <c r="N21" i="8" s="1"/>
  <c r="N59" i="8" s="1"/>
  <c r="L21" i="7"/>
  <c r="L21" i="8" s="1"/>
  <c r="L59" i="8" s="1"/>
  <c r="K21" i="7"/>
  <c r="K21" i="8" s="1"/>
  <c r="K59" i="8" s="1"/>
  <c r="J21" i="7"/>
  <c r="J21" i="8" s="1"/>
  <c r="J59" i="8" s="1"/>
  <c r="G21" i="7"/>
  <c r="G21" i="8" s="1"/>
  <c r="G59" i="8" s="1"/>
  <c r="E21" i="7"/>
  <c r="E21" i="8" s="1"/>
  <c r="E59" i="8" s="1"/>
  <c r="A21" i="7"/>
  <c r="T20" i="7"/>
  <c r="T20" i="8" s="1"/>
  <c r="T58" i="8" s="1"/>
  <c r="S20" i="7"/>
  <c r="S20" i="8" s="1"/>
  <c r="S58" i="8" s="1"/>
  <c r="R20" i="7"/>
  <c r="R20" i="8" s="1"/>
  <c r="R58" i="8" s="1"/>
  <c r="Q20" i="7"/>
  <c r="Q20" i="8" s="1"/>
  <c r="Q58" i="8" s="1"/>
  <c r="P20" i="7"/>
  <c r="P20" i="8" s="1"/>
  <c r="P58" i="8" s="1"/>
  <c r="O20" i="7"/>
  <c r="O20" i="8" s="1"/>
  <c r="O58" i="8" s="1"/>
  <c r="N20" i="7"/>
  <c r="N20" i="8" s="1"/>
  <c r="N58" i="8" s="1"/>
  <c r="M20" i="7"/>
  <c r="M20" i="8" s="1"/>
  <c r="M58" i="8" s="1"/>
  <c r="L20" i="7"/>
  <c r="L20" i="8" s="1"/>
  <c r="L58" i="8" s="1"/>
  <c r="K20" i="7"/>
  <c r="K20" i="8" s="1"/>
  <c r="K58" i="8" s="1"/>
  <c r="J20" i="7"/>
  <c r="J20" i="8" s="1"/>
  <c r="J58" i="8" s="1"/>
  <c r="G20" i="7"/>
  <c r="G20" i="8" s="1"/>
  <c r="G58" i="8" s="1"/>
  <c r="E20" i="7"/>
  <c r="E20" i="8" s="1"/>
  <c r="E58" i="8" s="1"/>
  <c r="D20" i="7"/>
  <c r="D20" i="8" s="1"/>
  <c r="D58" i="8" s="1"/>
  <c r="C20" i="7"/>
  <c r="C20" i="8" s="1"/>
  <c r="C58" i="8" s="1"/>
  <c r="A20" i="7"/>
  <c r="T19" i="7"/>
  <c r="T19" i="8" s="1"/>
  <c r="T57" i="8" s="1"/>
  <c r="S19" i="7"/>
  <c r="S19" i="8" s="1"/>
  <c r="S57" i="8" s="1"/>
  <c r="R19" i="7"/>
  <c r="R19" i="8" s="1"/>
  <c r="R57" i="8" s="1"/>
  <c r="Q19" i="7"/>
  <c r="Q19" i="8" s="1"/>
  <c r="Q57" i="8" s="1"/>
  <c r="P19" i="7"/>
  <c r="P19" i="8" s="1"/>
  <c r="P57" i="8" s="1"/>
  <c r="O19" i="7"/>
  <c r="O19" i="8" s="1"/>
  <c r="O57" i="8" s="1"/>
  <c r="N19" i="7"/>
  <c r="N19" i="8" s="1"/>
  <c r="N57" i="8" s="1"/>
  <c r="M19" i="7"/>
  <c r="M19" i="8" s="1"/>
  <c r="M57" i="8" s="1"/>
  <c r="L19" i="7"/>
  <c r="L19" i="8" s="1"/>
  <c r="L57" i="8" s="1"/>
  <c r="K19" i="7"/>
  <c r="K19" i="8" s="1"/>
  <c r="K57" i="8" s="1"/>
  <c r="J19" i="7"/>
  <c r="J19" i="8" s="1"/>
  <c r="J57" i="8" s="1"/>
  <c r="G19" i="7"/>
  <c r="G19" i="8" s="1"/>
  <c r="G57" i="8" s="1"/>
  <c r="E19" i="7"/>
  <c r="E19" i="8" s="1"/>
  <c r="E57" i="8" s="1"/>
  <c r="D19" i="7"/>
  <c r="D19" i="8" s="1"/>
  <c r="D57" i="8" s="1"/>
  <c r="C19" i="7"/>
  <c r="C19" i="8" s="1"/>
  <c r="C57" i="8" s="1"/>
  <c r="A19" i="7"/>
  <c r="T18" i="7"/>
  <c r="T18" i="8" s="1"/>
  <c r="T56" i="8" s="1"/>
  <c r="S18" i="7"/>
  <c r="S18" i="8" s="1"/>
  <c r="S56" i="8" s="1"/>
  <c r="R18" i="7"/>
  <c r="R18" i="8" s="1"/>
  <c r="R56" i="8" s="1"/>
  <c r="Q18" i="7"/>
  <c r="Q18" i="8" s="1"/>
  <c r="Q56" i="8" s="1"/>
  <c r="P18" i="7"/>
  <c r="P18" i="8" s="1"/>
  <c r="P56" i="8" s="1"/>
  <c r="O18" i="7"/>
  <c r="O18" i="8" s="1"/>
  <c r="O56" i="8" s="1"/>
  <c r="N18" i="7"/>
  <c r="N18" i="8" s="1"/>
  <c r="N56" i="8" s="1"/>
  <c r="M18" i="7"/>
  <c r="M18" i="8" s="1"/>
  <c r="M56" i="8" s="1"/>
  <c r="L18" i="7"/>
  <c r="L18" i="8" s="1"/>
  <c r="L56" i="8" s="1"/>
  <c r="K18" i="7"/>
  <c r="K18" i="8" s="1"/>
  <c r="K56" i="8" s="1"/>
  <c r="J18" i="7"/>
  <c r="J18" i="8" s="1"/>
  <c r="J56" i="8" s="1"/>
  <c r="G18" i="7"/>
  <c r="G18" i="8" s="1"/>
  <c r="G56" i="8" s="1"/>
  <c r="E18" i="7"/>
  <c r="E18" i="8" s="1"/>
  <c r="E56" i="8" s="1"/>
  <c r="D18" i="7"/>
  <c r="D18" i="8" s="1"/>
  <c r="D56" i="8" s="1"/>
  <c r="C18" i="7"/>
  <c r="C18" i="8" s="1"/>
  <c r="C56" i="8" s="1"/>
  <c r="A18" i="7"/>
  <c r="T17" i="7"/>
  <c r="T17" i="8" s="1"/>
  <c r="T55" i="8" s="1"/>
  <c r="S17" i="7"/>
  <c r="S17" i="8" s="1"/>
  <c r="S55" i="8" s="1"/>
  <c r="R17" i="7"/>
  <c r="R17" i="8" s="1"/>
  <c r="R55" i="8" s="1"/>
  <c r="Q17" i="7"/>
  <c r="Q17" i="8" s="1"/>
  <c r="Q55" i="8" s="1"/>
  <c r="P17" i="7"/>
  <c r="P17" i="8" s="1"/>
  <c r="P55" i="8" s="1"/>
  <c r="O17" i="7"/>
  <c r="O17" i="8" s="1"/>
  <c r="O55" i="8" s="1"/>
  <c r="N17" i="7"/>
  <c r="N17" i="8" s="1"/>
  <c r="N55" i="8" s="1"/>
  <c r="M17" i="7"/>
  <c r="M17" i="8" s="1"/>
  <c r="M55" i="8" s="1"/>
  <c r="J17" i="7"/>
  <c r="J17" i="8" s="1"/>
  <c r="J55" i="8" s="1"/>
  <c r="G17" i="7"/>
  <c r="G17" i="8" s="1"/>
  <c r="G55" i="8" s="1"/>
  <c r="D17" i="7"/>
  <c r="D17" i="8" s="1"/>
  <c r="D55" i="8" s="1"/>
  <c r="A17" i="7"/>
  <c r="T16" i="7"/>
  <c r="T16" i="8" s="1"/>
  <c r="T54" i="8" s="1"/>
  <c r="S16" i="7"/>
  <c r="S16" i="8" s="1"/>
  <c r="S54" i="8" s="1"/>
  <c r="R16" i="7"/>
  <c r="R16" i="8" s="1"/>
  <c r="R54" i="8" s="1"/>
  <c r="Q16" i="7"/>
  <c r="Q16" i="8" s="1"/>
  <c r="Q54" i="8" s="1"/>
  <c r="P16" i="7"/>
  <c r="P16" i="8" s="1"/>
  <c r="P54" i="8" s="1"/>
  <c r="O16" i="7"/>
  <c r="O16" i="8" s="1"/>
  <c r="O54" i="8" s="1"/>
  <c r="N16" i="7"/>
  <c r="N16" i="8" s="1"/>
  <c r="N54" i="8" s="1"/>
  <c r="M16" i="7"/>
  <c r="M16" i="8" s="1"/>
  <c r="M54" i="8" s="1"/>
  <c r="K16" i="7"/>
  <c r="K16" i="8" s="1"/>
  <c r="K54" i="8" s="1"/>
  <c r="J16" i="7"/>
  <c r="J16" i="8" s="1"/>
  <c r="J54" i="8" s="1"/>
  <c r="G16" i="7"/>
  <c r="G16" i="8" s="1"/>
  <c r="G54" i="8" s="1"/>
  <c r="D16" i="7"/>
  <c r="D16" i="8" s="1"/>
  <c r="D54" i="8" s="1"/>
  <c r="C16" i="7"/>
  <c r="C16" i="8" s="1"/>
  <c r="C54" i="8" s="1"/>
  <c r="A16" i="7"/>
  <c r="T15" i="7"/>
  <c r="T15" i="8" s="1"/>
  <c r="T53" i="8" s="1"/>
  <c r="S15" i="7"/>
  <c r="S15" i="8" s="1"/>
  <c r="S53" i="8" s="1"/>
  <c r="Q15" i="7"/>
  <c r="Q15" i="8" s="1"/>
  <c r="Q53" i="8" s="1"/>
  <c r="P15" i="7"/>
  <c r="P15" i="8" s="1"/>
  <c r="P53" i="8" s="1"/>
  <c r="O15" i="7"/>
  <c r="O15" i="8" s="1"/>
  <c r="O53" i="8" s="1"/>
  <c r="N15" i="7"/>
  <c r="N15" i="8" s="1"/>
  <c r="N53" i="8" s="1"/>
  <c r="M15" i="7"/>
  <c r="M15" i="8" s="1"/>
  <c r="M53" i="8" s="1"/>
  <c r="L15" i="7"/>
  <c r="L15" i="8" s="1"/>
  <c r="L53" i="8" s="1"/>
  <c r="K15" i="7"/>
  <c r="K15" i="8" s="1"/>
  <c r="K53" i="8" s="1"/>
  <c r="J15" i="7"/>
  <c r="J15" i="8" s="1"/>
  <c r="J53" i="8" s="1"/>
  <c r="G15" i="7"/>
  <c r="G15" i="8" s="1"/>
  <c r="G53" i="8" s="1"/>
  <c r="F15" i="7"/>
  <c r="F15" i="8" s="1"/>
  <c r="F53" i="8" s="1"/>
  <c r="E15" i="7"/>
  <c r="E15" i="8" s="1"/>
  <c r="E53" i="8" s="1"/>
  <c r="A15" i="7"/>
  <c r="T14" i="7"/>
  <c r="T14" i="8" s="1"/>
  <c r="T52" i="8" s="1"/>
  <c r="S14" i="7"/>
  <c r="S14" i="8" s="1"/>
  <c r="S52" i="8" s="1"/>
  <c r="Q14" i="7"/>
  <c r="Q14" i="8" s="1"/>
  <c r="Q52" i="8" s="1"/>
  <c r="P14" i="7"/>
  <c r="P14" i="8" s="1"/>
  <c r="P52" i="8" s="1"/>
  <c r="O14" i="7"/>
  <c r="O14" i="8" s="1"/>
  <c r="O52" i="8" s="1"/>
  <c r="N14" i="7"/>
  <c r="N14" i="8" s="1"/>
  <c r="N52" i="8" s="1"/>
  <c r="M14" i="7"/>
  <c r="M14" i="8" s="1"/>
  <c r="M52" i="8" s="1"/>
  <c r="L14" i="7"/>
  <c r="L14" i="8" s="1"/>
  <c r="L52" i="8" s="1"/>
  <c r="K14" i="7"/>
  <c r="K14" i="8" s="1"/>
  <c r="K52" i="8" s="1"/>
  <c r="J14" i="7"/>
  <c r="J14" i="8" s="1"/>
  <c r="J52" i="8" s="1"/>
  <c r="G14" i="7"/>
  <c r="G14" i="8" s="1"/>
  <c r="G52" i="8" s="1"/>
  <c r="F14" i="7"/>
  <c r="F14" i="8" s="1"/>
  <c r="F52" i="8" s="1"/>
  <c r="E14" i="7"/>
  <c r="E14" i="8" s="1"/>
  <c r="E52" i="8" s="1"/>
  <c r="A14" i="7"/>
  <c r="T13" i="7"/>
  <c r="T13" i="8" s="1"/>
  <c r="T51" i="8" s="1"/>
  <c r="S13" i="7"/>
  <c r="S13" i="8" s="1"/>
  <c r="S51" i="8" s="1"/>
  <c r="R13" i="7"/>
  <c r="R13" i="8" s="1"/>
  <c r="R51" i="8" s="1"/>
  <c r="P13" i="7"/>
  <c r="P13" i="8" s="1"/>
  <c r="P51" i="8" s="1"/>
  <c r="O13" i="7"/>
  <c r="O13" i="8" s="1"/>
  <c r="O51" i="8" s="1"/>
  <c r="N13" i="7"/>
  <c r="N13" i="8" s="1"/>
  <c r="N51" i="8" s="1"/>
  <c r="M13" i="7"/>
  <c r="M13" i="8" s="1"/>
  <c r="M51" i="8" s="1"/>
  <c r="L13" i="7"/>
  <c r="L13" i="8" s="1"/>
  <c r="L51" i="8" s="1"/>
  <c r="K13" i="7"/>
  <c r="K13" i="8" s="1"/>
  <c r="K51" i="8" s="1"/>
  <c r="J13" i="7"/>
  <c r="J13" i="8" s="1"/>
  <c r="J51" i="8" s="1"/>
  <c r="G13" i="7"/>
  <c r="G13" i="8" s="1"/>
  <c r="G51" i="8" s="1"/>
  <c r="F13" i="7"/>
  <c r="F13" i="8" s="1"/>
  <c r="F51" i="8" s="1"/>
  <c r="E13" i="7"/>
  <c r="E13" i="8" s="1"/>
  <c r="E51" i="8" s="1"/>
  <c r="A13" i="7"/>
  <c r="T12" i="7"/>
  <c r="T12" i="8" s="1"/>
  <c r="T50" i="8" s="1"/>
  <c r="S12" i="7"/>
  <c r="S12" i="8" s="1"/>
  <c r="S50" i="8" s="1"/>
  <c r="R12" i="7"/>
  <c r="R12" i="8" s="1"/>
  <c r="R50" i="8" s="1"/>
  <c r="P12" i="7"/>
  <c r="P12" i="8" s="1"/>
  <c r="P50" i="8" s="1"/>
  <c r="O12" i="7"/>
  <c r="O12" i="8" s="1"/>
  <c r="O50" i="8" s="1"/>
  <c r="N12" i="7"/>
  <c r="N12" i="8" s="1"/>
  <c r="N50" i="8" s="1"/>
  <c r="M12" i="7"/>
  <c r="M12" i="8" s="1"/>
  <c r="M50" i="8" s="1"/>
  <c r="L12" i="7"/>
  <c r="L12" i="8" s="1"/>
  <c r="L50" i="8" s="1"/>
  <c r="K12" i="7"/>
  <c r="K12" i="8" s="1"/>
  <c r="K50" i="8" s="1"/>
  <c r="J12" i="7"/>
  <c r="J12" i="8" s="1"/>
  <c r="J50" i="8" s="1"/>
  <c r="G12" i="7"/>
  <c r="G12" i="8" s="1"/>
  <c r="G50" i="8" s="1"/>
  <c r="F12" i="7"/>
  <c r="F12" i="8" s="1"/>
  <c r="F50" i="8" s="1"/>
  <c r="E12" i="7"/>
  <c r="E12" i="8" s="1"/>
  <c r="E50" i="8" s="1"/>
  <c r="A12" i="7"/>
  <c r="T11" i="7"/>
  <c r="T11" i="8" s="1"/>
  <c r="T49" i="8" s="1"/>
  <c r="S11" i="7"/>
  <c r="S11" i="8" s="1"/>
  <c r="S49" i="8" s="1"/>
  <c r="R11" i="7"/>
  <c r="R11" i="8" s="1"/>
  <c r="R49" i="8" s="1"/>
  <c r="P11" i="7"/>
  <c r="P11" i="8" s="1"/>
  <c r="P49" i="8" s="1"/>
  <c r="O11" i="7"/>
  <c r="O11" i="8" s="1"/>
  <c r="O49" i="8" s="1"/>
  <c r="N11" i="7"/>
  <c r="N11" i="8" s="1"/>
  <c r="N49" i="8" s="1"/>
  <c r="M11" i="7"/>
  <c r="M11" i="8" s="1"/>
  <c r="M49" i="8" s="1"/>
  <c r="L11" i="7"/>
  <c r="L11" i="8" s="1"/>
  <c r="L49" i="8" s="1"/>
  <c r="K11" i="7"/>
  <c r="K11" i="8" s="1"/>
  <c r="K49" i="8" s="1"/>
  <c r="G11" i="7"/>
  <c r="G11" i="8" s="1"/>
  <c r="G49" i="8" s="1"/>
  <c r="E11" i="7"/>
  <c r="E11" i="8" s="1"/>
  <c r="E49" i="8" s="1"/>
  <c r="C11" i="7"/>
  <c r="C11" i="8" s="1"/>
  <c r="C49" i="8" s="1"/>
  <c r="A11" i="7"/>
  <c r="T10" i="7"/>
  <c r="T10" i="8" s="1"/>
  <c r="T48" i="8" s="1"/>
  <c r="S10" i="7"/>
  <c r="S10" i="8" s="1"/>
  <c r="S48" i="8" s="1"/>
  <c r="R10" i="7"/>
  <c r="R10" i="8" s="1"/>
  <c r="R48" i="8" s="1"/>
  <c r="Q10" i="7"/>
  <c r="Q10" i="8" s="1"/>
  <c r="Q48" i="8" s="1"/>
  <c r="P10" i="7"/>
  <c r="P10" i="8" s="1"/>
  <c r="P48" i="8" s="1"/>
  <c r="O10" i="7"/>
  <c r="O10" i="8" s="1"/>
  <c r="O48" i="8" s="1"/>
  <c r="N10" i="7"/>
  <c r="N10" i="8" s="1"/>
  <c r="N48" i="8" s="1"/>
  <c r="M10" i="7"/>
  <c r="M10" i="8" s="1"/>
  <c r="M48" i="8" s="1"/>
  <c r="L10" i="7"/>
  <c r="L10" i="8" s="1"/>
  <c r="L48" i="8" s="1"/>
  <c r="K10" i="7"/>
  <c r="K10" i="8" s="1"/>
  <c r="K48" i="8" s="1"/>
  <c r="J10" i="7"/>
  <c r="J10" i="8" s="1"/>
  <c r="J48" i="8" s="1"/>
  <c r="G10" i="7"/>
  <c r="G10" i="8" s="1"/>
  <c r="G48" i="8" s="1"/>
  <c r="E10" i="7"/>
  <c r="E10" i="8" s="1"/>
  <c r="E48" i="8" s="1"/>
  <c r="D10" i="7"/>
  <c r="D10" i="8" s="1"/>
  <c r="D48" i="8" s="1"/>
  <c r="A10" i="7"/>
  <c r="T9" i="7"/>
  <c r="T9" i="8" s="1"/>
  <c r="T47" i="8" s="1"/>
  <c r="S9" i="7"/>
  <c r="S9" i="8" s="1"/>
  <c r="S47" i="8" s="1"/>
  <c r="R9" i="7"/>
  <c r="R9" i="8" s="1"/>
  <c r="R47" i="8" s="1"/>
  <c r="Q9" i="7"/>
  <c r="Q9" i="8" s="1"/>
  <c r="Q47" i="8" s="1"/>
  <c r="P9" i="7"/>
  <c r="P9" i="8" s="1"/>
  <c r="P47" i="8" s="1"/>
  <c r="O9" i="7"/>
  <c r="O9" i="8" s="1"/>
  <c r="O47" i="8" s="1"/>
  <c r="N9" i="7"/>
  <c r="N9" i="8" s="1"/>
  <c r="N47" i="8" s="1"/>
  <c r="M9" i="7"/>
  <c r="M9" i="8" s="1"/>
  <c r="M47" i="8" s="1"/>
  <c r="L9" i="7"/>
  <c r="L9" i="8" s="1"/>
  <c r="L47" i="8" s="1"/>
  <c r="K9" i="7"/>
  <c r="K9" i="8" s="1"/>
  <c r="K47" i="8" s="1"/>
  <c r="J9" i="7"/>
  <c r="J9" i="8" s="1"/>
  <c r="J47" i="8" s="1"/>
  <c r="G9" i="7"/>
  <c r="G9" i="8" s="1"/>
  <c r="G47" i="8" s="1"/>
  <c r="F9" i="7"/>
  <c r="F9" i="8" s="1"/>
  <c r="F47" i="8" s="1"/>
  <c r="E9" i="7"/>
  <c r="E9" i="8" s="1"/>
  <c r="E47" i="8" s="1"/>
  <c r="D9" i="7"/>
  <c r="D9" i="8" s="1"/>
  <c r="D47" i="8" s="1"/>
  <c r="C9" i="7"/>
  <c r="C9" i="8" s="1"/>
  <c r="C47" i="8" s="1"/>
  <c r="A9" i="7"/>
  <c r="T8" i="7"/>
  <c r="T8" i="8" s="1"/>
  <c r="T46" i="8" s="1"/>
  <c r="S8" i="7"/>
  <c r="S8" i="8" s="1"/>
  <c r="S46" i="8" s="1"/>
  <c r="R8" i="7"/>
  <c r="R8" i="8" s="1"/>
  <c r="R46" i="8" s="1"/>
  <c r="Q8" i="7"/>
  <c r="Q8" i="8" s="1"/>
  <c r="Q46" i="8" s="1"/>
  <c r="P8" i="7"/>
  <c r="P8" i="8" s="1"/>
  <c r="P46" i="8" s="1"/>
  <c r="O8" i="7"/>
  <c r="O8" i="8" s="1"/>
  <c r="O46" i="8" s="1"/>
  <c r="N8" i="7"/>
  <c r="N8" i="8" s="1"/>
  <c r="N46" i="8" s="1"/>
  <c r="M8" i="7"/>
  <c r="M8" i="8" s="1"/>
  <c r="M46" i="8" s="1"/>
  <c r="L8" i="7"/>
  <c r="L8" i="8" s="1"/>
  <c r="L46" i="8" s="1"/>
  <c r="K8" i="7"/>
  <c r="K8" i="8" s="1"/>
  <c r="K46" i="8" s="1"/>
  <c r="J8" i="7"/>
  <c r="J8" i="8" s="1"/>
  <c r="J46" i="8" s="1"/>
  <c r="G8" i="7"/>
  <c r="G8" i="8" s="1"/>
  <c r="G46" i="8" s="1"/>
  <c r="E8" i="7"/>
  <c r="E8" i="8" s="1"/>
  <c r="E46" i="8" s="1"/>
  <c r="D8" i="7"/>
  <c r="D8" i="8" s="1"/>
  <c r="D46" i="8" s="1"/>
  <c r="C8" i="7"/>
  <c r="C8" i="8" s="1"/>
  <c r="C46" i="8" s="1"/>
  <c r="A8" i="7"/>
  <c r="T7" i="7"/>
  <c r="T7" i="8" s="1"/>
  <c r="T45" i="8" s="1"/>
  <c r="S7" i="7"/>
  <c r="S7" i="8" s="1"/>
  <c r="S45" i="8" s="1"/>
  <c r="R7" i="7"/>
  <c r="R7" i="8" s="1"/>
  <c r="R45" i="8" s="1"/>
  <c r="Q7" i="7"/>
  <c r="Q7" i="8" s="1"/>
  <c r="Q45" i="8" s="1"/>
  <c r="P7" i="7"/>
  <c r="P7" i="8" s="1"/>
  <c r="P45" i="8" s="1"/>
  <c r="O7" i="7"/>
  <c r="O7" i="8" s="1"/>
  <c r="O45" i="8" s="1"/>
  <c r="N7" i="7"/>
  <c r="N7" i="8" s="1"/>
  <c r="N45" i="8" s="1"/>
  <c r="L7" i="7"/>
  <c r="L7" i="8" s="1"/>
  <c r="L45" i="8" s="1"/>
  <c r="K7" i="7"/>
  <c r="K7" i="8" s="1"/>
  <c r="K45" i="8" s="1"/>
  <c r="J7" i="7"/>
  <c r="J7" i="8" s="1"/>
  <c r="J45" i="8" s="1"/>
  <c r="G7" i="7"/>
  <c r="G7" i="8" s="1"/>
  <c r="G45" i="8" s="1"/>
  <c r="E7" i="7"/>
  <c r="E7" i="8" s="1"/>
  <c r="E45" i="8" s="1"/>
  <c r="D7" i="7"/>
  <c r="D7" i="8" s="1"/>
  <c r="D45" i="8" s="1"/>
  <c r="C7" i="7"/>
  <c r="C7" i="8" s="1"/>
  <c r="C45" i="8" s="1"/>
  <c r="A7" i="7"/>
  <c r="T6" i="7"/>
  <c r="T6" i="8" s="1"/>
  <c r="T44" i="8" s="1"/>
  <c r="S6" i="7"/>
  <c r="S6" i="8" s="1"/>
  <c r="S44" i="8" s="1"/>
  <c r="R6" i="7"/>
  <c r="R6" i="8" s="1"/>
  <c r="R44" i="8" s="1"/>
  <c r="Q6" i="7"/>
  <c r="Q6" i="8" s="1"/>
  <c r="Q44" i="8" s="1"/>
  <c r="P6" i="7"/>
  <c r="P6" i="8" s="1"/>
  <c r="P44" i="8" s="1"/>
  <c r="O6" i="7"/>
  <c r="O6" i="8" s="1"/>
  <c r="O44" i="8" s="1"/>
  <c r="N6" i="7"/>
  <c r="N6" i="8" s="1"/>
  <c r="N44" i="8" s="1"/>
  <c r="M6" i="7"/>
  <c r="M6" i="8" s="1"/>
  <c r="M44" i="8" s="1"/>
  <c r="L6" i="7"/>
  <c r="L6" i="8" s="1"/>
  <c r="L44" i="8" s="1"/>
  <c r="K6" i="7"/>
  <c r="K6" i="8" s="1"/>
  <c r="K44" i="8" s="1"/>
  <c r="J6" i="7"/>
  <c r="J6" i="8" s="1"/>
  <c r="J44" i="8" s="1"/>
  <c r="G6" i="7"/>
  <c r="G6" i="8" s="1"/>
  <c r="G44" i="8" s="1"/>
  <c r="E6" i="7"/>
  <c r="E6" i="8" s="1"/>
  <c r="E44" i="8" s="1"/>
  <c r="D6" i="7"/>
  <c r="D6" i="8" s="1"/>
  <c r="D44" i="8" s="1"/>
  <c r="C6" i="7"/>
  <c r="C6" i="8" s="1"/>
  <c r="C44" i="8" s="1"/>
  <c r="A6" i="7"/>
  <c r="T5" i="7"/>
  <c r="T5" i="8" s="1"/>
  <c r="T43" i="8" s="1"/>
  <c r="R5" i="7"/>
  <c r="R5" i="8" s="1"/>
  <c r="R43" i="8" s="1"/>
  <c r="Q5" i="7"/>
  <c r="Q5" i="8" s="1"/>
  <c r="Q43" i="8" s="1"/>
  <c r="P5" i="7"/>
  <c r="P5" i="8" s="1"/>
  <c r="P43" i="8" s="1"/>
  <c r="O5" i="7"/>
  <c r="O5" i="8" s="1"/>
  <c r="O43" i="8" s="1"/>
  <c r="N5" i="7"/>
  <c r="N5" i="8" s="1"/>
  <c r="N43" i="8" s="1"/>
  <c r="M5" i="7"/>
  <c r="M5" i="8" s="1"/>
  <c r="M43" i="8" s="1"/>
  <c r="L5" i="7"/>
  <c r="L5" i="8" s="1"/>
  <c r="L43" i="8" s="1"/>
  <c r="K5" i="7"/>
  <c r="K5" i="8" s="1"/>
  <c r="K43" i="8" s="1"/>
  <c r="J5" i="7"/>
  <c r="J5" i="8" s="1"/>
  <c r="J43" i="8" s="1"/>
  <c r="G5" i="7"/>
  <c r="G5" i="8" s="1"/>
  <c r="G43" i="8" s="1"/>
  <c r="F5" i="7"/>
  <c r="F5" i="8" s="1"/>
  <c r="F43" i="8" s="1"/>
  <c r="E5" i="7"/>
  <c r="E5" i="8" s="1"/>
  <c r="E43" i="8" s="1"/>
  <c r="D5" i="7"/>
  <c r="D5" i="8" s="1"/>
  <c r="D43" i="8" s="1"/>
  <c r="C5" i="7"/>
  <c r="C5" i="8" s="1"/>
  <c r="C43" i="8" s="1"/>
  <c r="A5" i="7"/>
  <c r="T4" i="7"/>
  <c r="T4" i="8" s="1"/>
  <c r="T42" i="8" s="1"/>
  <c r="S4" i="7"/>
  <c r="S4" i="8" s="1"/>
  <c r="S42" i="8" s="1"/>
  <c r="R4" i="7"/>
  <c r="R4" i="8" s="1"/>
  <c r="R42" i="8" s="1"/>
  <c r="Q4" i="7"/>
  <c r="Q4" i="8" s="1"/>
  <c r="Q42" i="8" s="1"/>
  <c r="O4" i="7"/>
  <c r="O4" i="8" s="1"/>
  <c r="O42" i="8" s="1"/>
  <c r="N4" i="7"/>
  <c r="N4" i="8" s="1"/>
  <c r="N42" i="8" s="1"/>
  <c r="M4" i="7"/>
  <c r="M4" i="8" s="1"/>
  <c r="M42" i="8" s="1"/>
  <c r="L4" i="7"/>
  <c r="L4" i="8" s="1"/>
  <c r="L42" i="8" s="1"/>
  <c r="K4" i="7"/>
  <c r="K4" i="8" s="1"/>
  <c r="K42" i="8" s="1"/>
  <c r="J4" i="7"/>
  <c r="J4" i="8" s="1"/>
  <c r="J42" i="8" s="1"/>
  <c r="G4" i="7"/>
  <c r="G4" i="8" s="1"/>
  <c r="G42" i="8" s="1"/>
  <c r="E4" i="7"/>
  <c r="E4" i="8" s="1"/>
  <c r="E42" i="8" s="1"/>
  <c r="D4" i="7"/>
  <c r="D4" i="8" s="1"/>
  <c r="D42" i="8" s="1"/>
  <c r="C4" i="7"/>
  <c r="C4" i="8" s="1"/>
  <c r="C42" i="8" s="1"/>
  <c r="A4" i="7"/>
  <c r="BP3" i="7"/>
  <c r="BO3" i="7"/>
  <c r="BN3" i="7"/>
  <c r="BM3" i="7"/>
  <c r="BL3" i="7"/>
  <c r="BK3" i="7"/>
  <c r="BJ3" i="7"/>
  <c r="BI3" i="7"/>
  <c r="BH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BP2" i="7"/>
  <c r="BO2" i="7"/>
  <c r="BN2" i="7"/>
  <c r="BM2" i="7"/>
  <c r="BL2" i="7"/>
  <c r="BK2" i="7"/>
  <c r="BJ2" i="7"/>
  <c r="BI2" i="7"/>
  <c r="BH2" i="7"/>
  <c r="BG2" i="7"/>
  <c r="BF2" i="7"/>
  <c r="BE2" i="7"/>
  <c r="BD2" i="7"/>
  <c r="BC2" i="7"/>
  <c r="BB2" i="7"/>
  <c r="BA2" i="7"/>
  <c r="AZ2" i="7"/>
  <c r="AY2" i="7"/>
  <c r="AX2" i="7"/>
  <c r="AW2" i="7"/>
  <c r="AV2" i="7"/>
  <c r="AU2" i="7"/>
  <c r="AT2" i="7"/>
  <c r="AS2" i="7"/>
  <c r="AR2" i="7"/>
  <c r="AQ2" i="7"/>
  <c r="AP2" i="7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A2" i="7"/>
  <c r="AX6" i="7" s="1"/>
  <c r="AX6" i="8" s="1"/>
  <c r="AX44" i="8" s="1"/>
  <c r="B38" i="6"/>
  <c r="B37" i="6"/>
  <c r="A34" i="6"/>
  <c r="A33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R3" i="6"/>
  <c r="BP66" i="5"/>
  <c r="BO66" i="5"/>
  <c r="BN66" i="5"/>
  <c r="BM66" i="5"/>
  <c r="BL66" i="5"/>
  <c r="BK66" i="5"/>
  <c r="BJ66" i="5"/>
  <c r="BI66" i="5"/>
  <c r="BH66" i="5"/>
  <c r="BG66" i="5"/>
  <c r="BF66" i="5"/>
  <c r="BE66" i="5"/>
  <c r="BD66" i="5"/>
  <c r="BC66" i="5"/>
  <c r="BB66" i="5"/>
  <c r="BA66" i="5"/>
  <c r="AZ66" i="5"/>
  <c r="AY66" i="5"/>
  <c r="AX66" i="5"/>
  <c r="AW66" i="5"/>
  <c r="AV66" i="5"/>
  <c r="AU66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BP65" i="5"/>
  <c r="BO65" i="5"/>
  <c r="BN65" i="5"/>
  <c r="BM65" i="5"/>
  <c r="BL65" i="5"/>
  <c r="BK65" i="5"/>
  <c r="BJ65" i="5"/>
  <c r="BI65" i="5"/>
  <c r="BH65" i="5"/>
  <c r="BG65" i="5"/>
  <c r="BF65" i="5"/>
  <c r="BE65" i="5"/>
  <c r="BD65" i="5"/>
  <c r="BC65" i="5"/>
  <c r="BB65" i="5"/>
  <c r="BA65" i="5"/>
  <c r="AZ65" i="5"/>
  <c r="AY65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BP64" i="5"/>
  <c r="BO64" i="5"/>
  <c r="BN64" i="5"/>
  <c r="BM64" i="5"/>
  <c r="BL64" i="5"/>
  <c r="BK64" i="5"/>
  <c r="BJ64" i="5"/>
  <c r="BI64" i="5"/>
  <c r="BH64" i="5"/>
  <c r="BG64" i="5"/>
  <c r="BF64" i="5"/>
  <c r="BE64" i="5"/>
  <c r="BD64" i="5"/>
  <c r="BC64" i="5"/>
  <c r="BB64" i="5"/>
  <c r="BA64" i="5"/>
  <c r="AZ64" i="5"/>
  <c r="AY64" i="5"/>
  <c r="AX64" i="5"/>
  <c r="AW64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H64" i="5"/>
  <c r="AG64" i="5"/>
  <c r="AF64" i="5"/>
  <c r="AE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BP63" i="5"/>
  <c r="BO63" i="5"/>
  <c r="BN63" i="5"/>
  <c r="BM63" i="5"/>
  <c r="BL63" i="5"/>
  <c r="BK63" i="5"/>
  <c r="BJ63" i="5"/>
  <c r="BI63" i="5"/>
  <c r="BH63" i="5"/>
  <c r="BG63" i="5"/>
  <c r="BF63" i="5"/>
  <c r="BE63" i="5"/>
  <c r="BD63" i="5"/>
  <c r="BC63" i="5"/>
  <c r="BB63" i="5"/>
  <c r="BA63" i="5"/>
  <c r="AZ63" i="5"/>
  <c r="AY63" i="5"/>
  <c r="AX63" i="5"/>
  <c r="AW63" i="5"/>
  <c r="AV63" i="5"/>
  <c r="AU63" i="5"/>
  <c r="AT63" i="5"/>
  <c r="AS63" i="5"/>
  <c r="AR63" i="5"/>
  <c r="AQ63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BP62" i="5"/>
  <c r="BO62" i="5"/>
  <c r="BN62" i="5"/>
  <c r="BM62" i="5"/>
  <c r="BL62" i="5"/>
  <c r="BK62" i="5"/>
  <c r="BJ62" i="5"/>
  <c r="BI62" i="5"/>
  <c r="BH62" i="5"/>
  <c r="BG62" i="5"/>
  <c r="BF62" i="5"/>
  <c r="BE62" i="5"/>
  <c r="BD62" i="5"/>
  <c r="BC62" i="5"/>
  <c r="BB62" i="5"/>
  <c r="BA62" i="5"/>
  <c r="AZ62" i="5"/>
  <c r="AY62" i="5"/>
  <c r="AX62" i="5"/>
  <c r="AW62" i="5"/>
  <c r="AV62" i="5"/>
  <c r="AU62" i="5"/>
  <c r="AT62" i="5"/>
  <c r="AS62" i="5"/>
  <c r="AR62" i="5"/>
  <c r="AQ62" i="5"/>
  <c r="AP62" i="5"/>
  <c r="AO62" i="5"/>
  <c r="AN62" i="5"/>
  <c r="AM62" i="5"/>
  <c r="AL62" i="5"/>
  <c r="AK62" i="5"/>
  <c r="AJ62" i="5"/>
  <c r="AI62" i="5"/>
  <c r="AH62" i="5"/>
  <c r="AG62" i="5"/>
  <c r="AF62" i="5"/>
  <c r="AE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BP61" i="5"/>
  <c r="BO61" i="5"/>
  <c r="BN61" i="5"/>
  <c r="BM61" i="5"/>
  <c r="BL61" i="5"/>
  <c r="BK61" i="5"/>
  <c r="BJ61" i="5"/>
  <c r="BI61" i="5"/>
  <c r="BH61" i="5"/>
  <c r="BG61" i="5"/>
  <c r="BF61" i="5"/>
  <c r="BE61" i="5"/>
  <c r="BD61" i="5"/>
  <c r="BC61" i="5"/>
  <c r="BB61" i="5"/>
  <c r="BA61" i="5"/>
  <c r="AZ61" i="5"/>
  <c r="AY61" i="5"/>
  <c r="AX61" i="5"/>
  <c r="AW61" i="5"/>
  <c r="AV61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BP60" i="5"/>
  <c r="BO60" i="5"/>
  <c r="BN60" i="5"/>
  <c r="BM60" i="5"/>
  <c r="BL60" i="5"/>
  <c r="BK60" i="5"/>
  <c r="BJ60" i="5"/>
  <c r="BI60" i="5"/>
  <c r="BH60" i="5"/>
  <c r="BG60" i="5"/>
  <c r="BF60" i="5"/>
  <c r="BE60" i="5"/>
  <c r="BD60" i="5"/>
  <c r="BC60" i="5"/>
  <c r="BB60" i="5"/>
  <c r="BA60" i="5"/>
  <c r="AZ60" i="5"/>
  <c r="AY60" i="5"/>
  <c r="AX60" i="5"/>
  <c r="AW60" i="5"/>
  <c r="AV60" i="5"/>
  <c r="AU60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BP59" i="5"/>
  <c r="BO59" i="5"/>
  <c r="BN59" i="5"/>
  <c r="BM59" i="5"/>
  <c r="BL59" i="5"/>
  <c r="BK59" i="5"/>
  <c r="BJ59" i="5"/>
  <c r="BI59" i="5"/>
  <c r="BH59" i="5"/>
  <c r="BG59" i="5"/>
  <c r="BF59" i="5"/>
  <c r="BE59" i="5"/>
  <c r="BD59" i="5"/>
  <c r="BC59" i="5"/>
  <c r="BB59" i="5"/>
  <c r="BA59" i="5"/>
  <c r="AZ59" i="5"/>
  <c r="AY59" i="5"/>
  <c r="AX59" i="5"/>
  <c r="AW59" i="5"/>
  <c r="AV59" i="5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BP58" i="5"/>
  <c r="BO58" i="5"/>
  <c r="BN58" i="5"/>
  <c r="BM58" i="5"/>
  <c r="BL58" i="5"/>
  <c r="BK58" i="5"/>
  <c r="BJ58" i="5"/>
  <c r="BI58" i="5"/>
  <c r="BH58" i="5"/>
  <c r="BG58" i="5"/>
  <c r="BF58" i="5"/>
  <c r="BE58" i="5"/>
  <c r="BD58" i="5"/>
  <c r="BC58" i="5"/>
  <c r="BB58" i="5"/>
  <c r="BA58" i="5"/>
  <c r="AZ58" i="5"/>
  <c r="AY58" i="5"/>
  <c r="AX58" i="5"/>
  <c r="AW58" i="5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BP57" i="5"/>
  <c r="BO57" i="5"/>
  <c r="BN57" i="5"/>
  <c r="BM57" i="5"/>
  <c r="BL57" i="5"/>
  <c r="BK57" i="5"/>
  <c r="BJ57" i="5"/>
  <c r="BI57" i="5"/>
  <c r="BH57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BP56" i="5"/>
  <c r="BO56" i="5"/>
  <c r="BN56" i="5"/>
  <c r="BM56" i="5"/>
  <c r="BL56" i="5"/>
  <c r="BK56" i="5"/>
  <c r="BJ56" i="5"/>
  <c r="BI56" i="5"/>
  <c r="BH56" i="5"/>
  <c r="BG56" i="5"/>
  <c r="BF56" i="5"/>
  <c r="BE56" i="5"/>
  <c r="BD56" i="5"/>
  <c r="BC56" i="5"/>
  <c r="BB56" i="5"/>
  <c r="BA56" i="5"/>
  <c r="AZ56" i="5"/>
  <c r="AY56" i="5"/>
  <c r="AX56" i="5"/>
  <c r="AW56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BP55" i="5"/>
  <c r="BO55" i="5"/>
  <c r="BN55" i="5"/>
  <c r="BM55" i="5"/>
  <c r="BL55" i="5"/>
  <c r="BK55" i="5"/>
  <c r="BJ55" i="5"/>
  <c r="BI55" i="5"/>
  <c r="BH55" i="5"/>
  <c r="BG55" i="5"/>
  <c r="BF55" i="5"/>
  <c r="BE55" i="5"/>
  <c r="BD55" i="5"/>
  <c r="BC55" i="5"/>
  <c r="BB55" i="5"/>
  <c r="BA55" i="5"/>
  <c r="AZ55" i="5"/>
  <c r="AY55" i="5"/>
  <c r="AX55" i="5"/>
  <c r="AW55" i="5"/>
  <c r="AV55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BP54" i="5"/>
  <c r="BO54" i="5"/>
  <c r="BN54" i="5"/>
  <c r="BM54" i="5"/>
  <c r="BL54" i="5"/>
  <c r="BK54" i="5"/>
  <c r="BJ54" i="5"/>
  <c r="BI54" i="5"/>
  <c r="BH54" i="5"/>
  <c r="BG54" i="5"/>
  <c r="BF54" i="5"/>
  <c r="BE54" i="5"/>
  <c r="BD54" i="5"/>
  <c r="BC54" i="5"/>
  <c r="BB54" i="5"/>
  <c r="BA54" i="5"/>
  <c r="AZ54" i="5"/>
  <c r="AY54" i="5"/>
  <c r="AX54" i="5"/>
  <c r="AW54" i="5"/>
  <c r="AV54" i="5"/>
  <c r="AU54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BP53" i="5"/>
  <c r="BO53" i="5"/>
  <c r="BN53" i="5"/>
  <c r="BM53" i="5"/>
  <c r="BL53" i="5"/>
  <c r="BK53" i="5"/>
  <c r="BJ53" i="5"/>
  <c r="BI53" i="5"/>
  <c r="BH53" i="5"/>
  <c r="BG53" i="5"/>
  <c r="BF53" i="5"/>
  <c r="BE53" i="5"/>
  <c r="BD53" i="5"/>
  <c r="BC53" i="5"/>
  <c r="BB53" i="5"/>
  <c r="BA53" i="5"/>
  <c r="AZ53" i="5"/>
  <c r="AY53" i="5"/>
  <c r="AX53" i="5"/>
  <c r="AW53" i="5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C52" i="5"/>
  <c r="BB52" i="5"/>
  <c r="BA52" i="5"/>
  <c r="AZ52" i="5"/>
  <c r="AY52" i="5"/>
  <c r="AX52" i="5"/>
  <c r="AW52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BP51" i="5"/>
  <c r="BO51" i="5"/>
  <c r="BN51" i="5"/>
  <c r="BM51" i="5"/>
  <c r="BL51" i="5"/>
  <c r="BK51" i="5"/>
  <c r="BJ51" i="5"/>
  <c r="BI51" i="5"/>
  <c r="BH51" i="5"/>
  <c r="BG51" i="5"/>
  <c r="BF51" i="5"/>
  <c r="BE51" i="5"/>
  <c r="BD51" i="5"/>
  <c r="BC51" i="5"/>
  <c r="BB51" i="5"/>
  <c r="BA51" i="5"/>
  <c r="AZ51" i="5"/>
  <c r="AY51" i="5"/>
  <c r="AX51" i="5"/>
  <c r="AW51" i="5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BP50" i="5"/>
  <c r="BO50" i="5"/>
  <c r="BN50" i="5"/>
  <c r="BM50" i="5"/>
  <c r="BL50" i="5"/>
  <c r="BK50" i="5"/>
  <c r="BJ50" i="5"/>
  <c r="BI50" i="5"/>
  <c r="BH50" i="5"/>
  <c r="BG50" i="5"/>
  <c r="BF50" i="5"/>
  <c r="BE50" i="5"/>
  <c r="BD50" i="5"/>
  <c r="BC50" i="5"/>
  <c r="BB50" i="5"/>
  <c r="BA50" i="5"/>
  <c r="AZ50" i="5"/>
  <c r="AY50" i="5"/>
  <c r="AX50" i="5"/>
  <c r="AW50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BP49" i="5"/>
  <c r="BO49" i="5"/>
  <c r="BN49" i="5"/>
  <c r="BM49" i="5"/>
  <c r="BL49" i="5"/>
  <c r="BK49" i="5"/>
  <c r="BJ49" i="5"/>
  <c r="BI49" i="5"/>
  <c r="BH49" i="5"/>
  <c r="BG49" i="5"/>
  <c r="BF49" i="5"/>
  <c r="BE49" i="5"/>
  <c r="BD49" i="5"/>
  <c r="BC49" i="5"/>
  <c r="BB49" i="5"/>
  <c r="BA49" i="5"/>
  <c r="AZ49" i="5"/>
  <c r="AY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BP48" i="5"/>
  <c r="BO48" i="5"/>
  <c r="BN48" i="5"/>
  <c r="BM48" i="5"/>
  <c r="BL48" i="5"/>
  <c r="BK48" i="5"/>
  <c r="BJ48" i="5"/>
  <c r="BI48" i="5"/>
  <c r="BH48" i="5"/>
  <c r="BG48" i="5"/>
  <c r="BF48" i="5"/>
  <c r="BE48" i="5"/>
  <c r="BD48" i="5"/>
  <c r="BC48" i="5"/>
  <c r="BB48" i="5"/>
  <c r="BA48" i="5"/>
  <c r="AZ48" i="5"/>
  <c r="AY48" i="5"/>
  <c r="AX48" i="5"/>
  <c r="AW48" i="5"/>
  <c r="AV48" i="5"/>
  <c r="AU48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BP47" i="5"/>
  <c r="BO47" i="5"/>
  <c r="BN47" i="5"/>
  <c r="BM47" i="5"/>
  <c r="BL47" i="5"/>
  <c r="BK47" i="5"/>
  <c r="BJ47" i="5"/>
  <c r="BI47" i="5"/>
  <c r="BH47" i="5"/>
  <c r="BG47" i="5"/>
  <c r="BF47" i="5"/>
  <c r="BE47" i="5"/>
  <c r="BD47" i="5"/>
  <c r="BC47" i="5"/>
  <c r="BB47" i="5"/>
  <c r="BA47" i="5"/>
  <c r="AZ47" i="5"/>
  <c r="AY47" i="5"/>
  <c r="AX47" i="5"/>
  <c r="AW47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BP46" i="5"/>
  <c r="BO46" i="5"/>
  <c r="BN46" i="5"/>
  <c r="BM46" i="5"/>
  <c r="BL46" i="5"/>
  <c r="BK46" i="5"/>
  <c r="BJ46" i="5"/>
  <c r="BI46" i="5"/>
  <c r="BH46" i="5"/>
  <c r="BG46" i="5"/>
  <c r="BF46" i="5"/>
  <c r="BE46" i="5"/>
  <c r="BD46" i="5"/>
  <c r="BC46" i="5"/>
  <c r="BB46" i="5"/>
  <c r="BA46" i="5"/>
  <c r="AZ46" i="5"/>
  <c r="AY46" i="5"/>
  <c r="AX46" i="5"/>
  <c r="AW46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BP45" i="5"/>
  <c r="BO45" i="5"/>
  <c r="BN45" i="5"/>
  <c r="BM45" i="5"/>
  <c r="BL45" i="5"/>
  <c r="BK45" i="5"/>
  <c r="BJ45" i="5"/>
  <c r="BI45" i="5"/>
  <c r="BH45" i="5"/>
  <c r="BG45" i="5"/>
  <c r="BF45" i="5"/>
  <c r="BE45" i="5"/>
  <c r="BD45" i="5"/>
  <c r="BC45" i="5"/>
  <c r="BB45" i="5"/>
  <c r="BA45" i="5"/>
  <c r="AZ45" i="5"/>
  <c r="AY45" i="5"/>
  <c r="AX45" i="5"/>
  <c r="AW45" i="5"/>
  <c r="AV45" i="5"/>
  <c r="AU45" i="5"/>
  <c r="AT45" i="5"/>
  <c r="AS45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BP44" i="5"/>
  <c r="BO44" i="5"/>
  <c r="BN44" i="5"/>
  <c r="BM44" i="5"/>
  <c r="BL44" i="5"/>
  <c r="BK44" i="5"/>
  <c r="BJ44" i="5"/>
  <c r="BI44" i="5"/>
  <c r="BH44" i="5"/>
  <c r="BG44" i="5"/>
  <c r="BF44" i="5"/>
  <c r="BE44" i="5"/>
  <c r="BD44" i="5"/>
  <c r="BC44" i="5"/>
  <c r="BB44" i="5"/>
  <c r="BA44" i="5"/>
  <c r="AZ44" i="5"/>
  <c r="AY44" i="5"/>
  <c r="AX44" i="5"/>
  <c r="AW44" i="5"/>
  <c r="AV44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BP43" i="5"/>
  <c r="BO43" i="5"/>
  <c r="BN43" i="5"/>
  <c r="BM43" i="5"/>
  <c r="BL43" i="5"/>
  <c r="BK43" i="5"/>
  <c r="BJ43" i="5"/>
  <c r="BI43" i="5"/>
  <c r="BH43" i="5"/>
  <c r="BG43" i="5"/>
  <c r="BF43" i="5"/>
  <c r="BE43" i="5"/>
  <c r="BD43" i="5"/>
  <c r="BC43" i="5"/>
  <c r="BB43" i="5"/>
  <c r="BA43" i="5"/>
  <c r="AZ43" i="5"/>
  <c r="AY43" i="5"/>
  <c r="AX43" i="5"/>
  <c r="AW43" i="5"/>
  <c r="AV43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BP42" i="5"/>
  <c r="BO42" i="5"/>
  <c r="BN42" i="5"/>
  <c r="BM42" i="5"/>
  <c r="BL42" i="5"/>
  <c r="BK42" i="5"/>
  <c r="BJ42" i="5"/>
  <c r="BI42" i="5"/>
  <c r="BH42" i="5"/>
  <c r="BG42" i="5"/>
  <c r="BF42" i="5"/>
  <c r="BE42" i="5"/>
  <c r="BD42" i="5"/>
  <c r="BC42" i="5"/>
  <c r="BB42" i="5"/>
  <c r="BA42" i="5"/>
  <c r="AZ42" i="5"/>
  <c r="AY42" i="5"/>
  <c r="AX42" i="5"/>
  <c r="AW42" i="5"/>
  <c r="AV42" i="5"/>
  <c r="AU42" i="5"/>
  <c r="AT42" i="5"/>
  <c r="AS42" i="5"/>
  <c r="AR42" i="5"/>
  <c r="AQ42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BP41" i="5"/>
  <c r="BO41" i="5"/>
  <c r="BN41" i="5"/>
  <c r="BM41" i="5"/>
  <c r="BL41" i="5"/>
  <c r="BK41" i="5"/>
  <c r="BJ41" i="5"/>
  <c r="BI41" i="5"/>
  <c r="BH41" i="5"/>
  <c r="BG41" i="5"/>
  <c r="BF41" i="5"/>
  <c r="BE41" i="5"/>
  <c r="BD41" i="5"/>
  <c r="BC41" i="5"/>
  <c r="BB41" i="5"/>
  <c r="BA41" i="5"/>
  <c r="AZ41" i="5"/>
  <c r="AY41" i="5"/>
  <c r="AX41" i="5"/>
  <c r="AW41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BP40" i="5"/>
  <c r="BO40" i="5"/>
  <c r="BN40" i="5"/>
  <c r="BM40" i="5"/>
  <c r="BL40" i="5"/>
  <c r="BK40" i="5"/>
  <c r="BJ40" i="5"/>
  <c r="BI40" i="5"/>
  <c r="BH40" i="5"/>
  <c r="BG40" i="5"/>
  <c r="BF40" i="5"/>
  <c r="BE40" i="5"/>
  <c r="BD40" i="5"/>
  <c r="BC40" i="5"/>
  <c r="BB40" i="5"/>
  <c r="BA40" i="5"/>
  <c r="AZ40" i="5"/>
  <c r="AY40" i="5"/>
  <c r="AX40" i="5"/>
  <c r="AW40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BP39" i="5"/>
  <c r="BO39" i="5"/>
  <c r="BN39" i="5"/>
  <c r="BM39" i="5"/>
  <c r="BL39" i="5"/>
  <c r="BK39" i="5"/>
  <c r="BJ39" i="5"/>
  <c r="BI39" i="5"/>
  <c r="BH39" i="5"/>
  <c r="BG39" i="5"/>
  <c r="BF39" i="5"/>
  <c r="BE39" i="5"/>
  <c r="BD39" i="5"/>
  <c r="BC39" i="5"/>
  <c r="BB39" i="5"/>
  <c r="BA39" i="5"/>
  <c r="AZ39" i="5"/>
  <c r="AY39" i="5"/>
  <c r="AX39" i="5"/>
  <c r="AW39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BP38" i="5"/>
  <c r="BO38" i="5"/>
  <c r="BN38" i="5"/>
  <c r="BM38" i="5"/>
  <c r="BL38" i="5"/>
  <c r="BK38" i="5"/>
  <c r="BJ38" i="5"/>
  <c r="BI38" i="5"/>
  <c r="BH38" i="5"/>
  <c r="BG38" i="5"/>
  <c r="BF38" i="5"/>
  <c r="BE38" i="5"/>
  <c r="BD38" i="5"/>
  <c r="BC38" i="5"/>
  <c r="BB38" i="5"/>
  <c r="BA38" i="5"/>
  <c r="AZ38" i="5"/>
  <c r="AY38" i="5"/>
  <c r="AX38" i="5"/>
  <c r="AW38" i="5"/>
  <c r="AV38" i="5"/>
  <c r="AU38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BP37" i="5"/>
  <c r="BO37" i="5"/>
  <c r="BN37" i="5"/>
  <c r="BM37" i="5"/>
  <c r="BL37" i="5"/>
  <c r="BK37" i="5"/>
  <c r="BJ37" i="5"/>
  <c r="BI37" i="5"/>
  <c r="BH37" i="5"/>
  <c r="BG37" i="5"/>
  <c r="BF37" i="5"/>
  <c r="BE37" i="5"/>
  <c r="BD37" i="5"/>
  <c r="BC37" i="5"/>
  <c r="BB37" i="5"/>
  <c r="BA37" i="5"/>
  <c r="AZ37" i="5"/>
  <c r="AY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A34" i="5"/>
  <c r="A33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BQ3" i="5"/>
  <c r="BP3" i="5"/>
  <c r="BO3" i="5"/>
  <c r="BN3" i="5"/>
  <c r="BM3" i="5"/>
  <c r="BL3" i="5"/>
  <c r="BK3" i="5"/>
  <c r="BJ3" i="5"/>
  <c r="BI3" i="5"/>
  <c r="BH3" i="5"/>
  <c r="BG3" i="5"/>
  <c r="BF3" i="5"/>
  <c r="BE3" i="5"/>
  <c r="BD3" i="5"/>
  <c r="BC3" i="5"/>
  <c r="BB3" i="5"/>
  <c r="BA3" i="5"/>
  <c r="AZ3" i="5"/>
  <c r="AY3" i="5"/>
  <c r="AX3" i="5"/>
  <c r="AW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BP2" i="5"/>
  <c r="BO2" i="5"/>
  <c r="BN2" i="5"/>
  <c r="BM2" i="5"/>
  <c r="BL2" i="5"/>
  <c r="BK2" i="5"/>
  <c r="BJ2" i="5"/>
  <c r="BI2" i="5"/>
  <c r="BH2" i="5"/>
  <c r="BG2" i="5"/>
  <c r="BF2" i="5"/>
  <c r="BE2" i="5"/>
  <c r="BD2" i="5"/>
  <c r="BC2" i="5"/>
  <c r="BB2" i="5"/>
  <c r="BA2" i="5"/>
  <c r="AZ2" i="5"/>
  <c r="AY2" i="5"/>
  <c r="AX2" i="5"/>
  <c r="AW2" i="5"/>
  <c r="AV2" i="5"/>
  <c r="AU2" i="5"/>
  <c r="AT2" i="5"/>
  <c r="AS2" i="5"/>
  <c r="AR2" i="5"/>
  <c r="AQ2" i="5"/>
  <c r="AP2" i="5"/>
  <c r="AO2" i="5"/>
  <c r="AN2" i="5"/>
  <c r="AM2" i="5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A37" i="4"/>
  <c r="A34" i="4"/>
  <c r="A33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BP3" i="4"/>
  <c r="BP3" i="6" s="1"/>
  <c r="BO3" i="4"/>
  <c r="BO3" i="6" s="1"/>
  <c r="BN3" i="4"/>
  <c r="BN3" i="6" s="1"/>
  <c r="BM3" i="4"/>
  <c r="BM3" i="6" s="1"/>
  <c r="BL3" i="4"/>
  <c r="BL3" i="6" s="1"/>
  <c r="BK3" i="4"/>
  <c r="BK3" i="6" s="1"/>
  <c r="BJ3" i="4"/>
  <c r="BJ3" i="6" s="1"/>
  <c r="BI3" i="4"/>
  <c r="BI3" i="6" s="1"/>
  <c r="BH3" i="4"/>
  <c r="BH3" i="6" s="1"/>
  <c r="BG3" i="4"/>
  <c r="BG3" i="6" s="1"/>
  <c r="BF3" i="4"/>
  <c r="BF3" i="6" s="1"/>
  <c r="BE3" i="4"/>
  <c r="BE3" i="6" s="1"/>
  <c r="BD3" i="4"/>
  <c r="BD3" i="6" s="1"/>
  <c r="BC3" i="4"/>
  <c r="BC3" i="6" s="1"/>
  <c r="BB3" i="4"/>
  <c r="BB3" i="6" s="1"/>
  <c r="BA3" i="4"/>
  <c r="BA3" i="6" s="1"/>
  <c r="AZ3" i="4"/>
  <c r="AZ3" i="6" s="1"/>
  <c r="AY3" i="4"/>
  <c r="AY3" i="6" s="1"/>
  <c r="AX3" i="4"/>
  <c r="AX3" i="6" s="1"/>
  <c r="AW3" i="4"/>
  <c r="AW3" i="6" s="1"/>
  <c r="AV3" i="4"/>
  <c r="AV3" i="6" s="1"/>
  <c r="AU3" i="4"/>
  <c r="AU3" i="6" s="1"/>
  <c r="AT3" i="4"/>
  <c r="AT3" i="6" s="1"/>
  <c r="AS3" i="4"/>
  <c r="AS3" i="6" s="1"/>
  <c r="AR3" i="4"/>
  <c r="AR3" i="6" s="1"/>
  <c r="AQ3" i="4"/>
  <c r="AQ3" i="6" s="1"/>
  <c r="AP3" i="4"/>
  <c r="AP3" i="6" s="1"/>
  <c r="AO3" i="4"/>
  <c r="AO3" i="6" s="1"/>
  <c r="AN3" i="4"/>
  <c r="AN3" i="6" s="1"/>
  <c r="AM3" i="4"/>
  <c r="AM3" i="6" s="1"/>
  <c r="AL3" i="4"/>
  <c r="AL3" i="6" s="1"/>
  <c r="AK3" i="4"/>
  <c r="AK3" i="6" s="1"/>
  <c r="AJ3" i="4"/>
  <c r="AJ3" i="6" s="1"/>
  <c r="AI3" i="4"/>
  <c r="AI3" i="6" s="1"/>
  <c r="AH3" i="4"/>
  <c r="AH3" i="6" s="1"/>
  <c r="AG3" i="4"/>
  <c r="AG3" i="6" s="1"/>
  <c r="AF3" i="4"/>
  <c r="AF3" i="6" s="1"/>
  <c r="AE3" i="4"/>
  <c r="AE3" i="6" s="1"/>
  <c r="AD3" i="4"/>
  <c r="AD3" i="6" s="1"/>
  <c r="AC3" i="4"/>
  <c r="AC3" i="6" s="1"/>
  <c r="AB3" i="4"/>
  <c r="AB3" i="6" s="1"/>
  <c r="AA3" i="4"/>
  <c r="AA3" i="6" s="1"/>
  <c r="Z3" i="4"/>
  <c r="Z3" i="6" s="1"/>
  <c r="Y3" i="4"/>
  <c r="Y3" i="6" s="1"/>
  <c r="X3" i="4"/>
  <c r="X3" i="6" s="1"/>
  <c r="W3" i="4"/>
  <c r="W3" i="6" s="1"/>
  <c r="V3" i="4"/>
  <c r="V3" i="6" s="1"/>
  <c r="U3" i="4"/>
  <c r="U3" i="6" s="1"/>
  <c r="T3" i="4"/>
  <c r="T3" i="6" s="1"/>
  <c r="S3" i="4"/>
  <c r="S3" i="6" s="1"/>
  <c r="Q3" i="4"/>
  <c r="Q3" i="6" s="1"/>
  <c r="P3" i="4"/>
  <c r="P3" i="6" s="1"/>
  <c r="O3" i="4"/>
  <c r="O3" i="6" s="1"/>
  <c r="N3" i="4"/>
  <c r="N3" i="6" s="1"/>
  <c r="M3" i="4"/>
  <c r="M3" i="6" s="1"/>
  <c r="L3" i="4"/>
  <c r="L3" i="6" s="1"/>
  <c r="K3" i="4"/>
  <c r="K3" i="6" s="1"/>
  <c r="J3" i="4"/>
  <c r="J3" i="6" s="1"/>
  <c r="I3" i="4"/>
  <c r="I3" i="6" s="1"/>
  <c r="H3" i="4"/>
  <c r="H3" i="6" s="1"/>
  <c r="G3" i="4"/>
  <c r="G3" i="6" s="1"/>
  <c r="F3" i="4"/>
  <c r="F3" i="6" s="1"/>
  <c r="E3" i="4"/>
  <c r="E3" i="6" s="1"/>
  <c r="D3" i="4"/>
  <c r="D3" i="6" s="1"/>
  <c r="C3" i="4"/>
  <c r="C3" i="6" s="1"/>
  <c r="B3" i="4"/>
  <c r="B3" i="6" s="1"/>
  <c r="BP2" i="4"/>
  <c r="BP2" i="6" s="1"/>
  <c r="BO2" i="4"/>
  <c r="BO2" i="6" s="1"/>
  <c r="BN2" i="4"/>
  <c r="BN2" i="6" s="1"/>
  <c r="BM2" i="4"/>
  <c r="BM2" i="6" s="1"/>
  <c r="BL2" i="4"/>
  <c r="BL2" i="6" s="1"/>
  <c r="BK2" i="4"/>
  <c r="BK2" i="6" s="1"/>
  <c r="BJ2" i="4"/>
  <c r="BJ2" i="6" s="1"/>
  <c r="BI2" i="4"/>
  <c r="BI2" i="6" s="1"/>
  <c r="BH2" i="4"/>
  <c r="BH2" i="6" s="1"/>
  <c r="BG2" i="4"/>
  <c r="BG2" i="6" s="1"/>
  <c r="BF2" i="4"/>
  <c r="BF2" i="6" s="1"/>
  <c r="BE2" i="4"/>
  <c r="BE2" i="6" s="1"/>
  <c r="BD2" i="4"/>
  <c r="BD2" i="6" s="1"/>
  <c r="BC2" i="4"/>
  <c r="BC2" i="6" s="1"/>
  <c r="BB2" i="4"/>
  <c r="BB2" i="6" s="1"/>
  <c r="BA2" i="4"/>
  <c r="BA2" i="6" s="1"/>
  <c r="AZ2" i="4"/>
  <c r="AZ2" i="6" s="1"/>
  <c r="AY2" i="4"/>
  <c r="AY2" i="6" s="1"/>
  <c r="AX2" i="4"/>
  <c r="AX2" i="6" s="1"/>
  <c r="AW2" i="4"/>
  <c r="AW2" i="6" s="1"/>
  <c r="AV2" i="4"/>
  <c r="AV2" i="6" s="1"/>
  <c r="AU2" i="4"/>
  <c r="AU2" i="6" s="1"/>
  <c r="AT2" i="4"/>
  <c r="AT2" i="6" s="1"/>
  <c r="AS2" i="4"/>
  <c r="AS2" i="6" s="1"/>
  <c r="AR2" i="4"/>
  <c r="AR2" i="6" s="1"/>
  <c r="AQ2" i="4"/>
  <c r="AQ2" i="6" s="1"/>
  <c r="AP2" i="4"/>
  <c r="AP2" i="6" s="1"/>
  <c r="AO2" i="4"/>
  <c r="AO2" i="6" s="1"/>
  <c r="AN2" i="4"/>
  <c r="AN2" i="6" s="1"/>
  <c r="AM2" i="4"/>
  <c r="AM2" i="6" s="1"/>
  <c r="AL2" i="4"/>
  <c r="AL2" i="6" s="1"/>
  <c r="AK2" i="4"/>
  <c r="AK2" i="6" s="1"/>
  <c r="AJ2" i="4"/>
  <c r="AJ2" i="6" s="1"/>
  <c r="AI2" i="4"/>
  <c r="AI2" i="6" s="1"/>
  <c r="AH2" i="4"/>
  <c r="AH2" i="6" s="1"/>
  <c r="AG2" i="4"/>
  <c r="AG2" i="6" s="1"/>
  <c r="AF2" i="4"/>
  <c r="AF2" i="6" s="1"/>
  <c r="AE2" i="4"/>
  <c r="AE2" i="6" s="1"/>
  <c r="AD2" i="4"/>
  <c r="AD2" i="6" s="1"/>
  <c r="AC2" i="4"/>
  <c r="AC2" i="6" s="1"/>
  <c r="AB2" i="4"/>
  <c r="AB2" i="6" s="1"/>
  <c r="AA2" i="4"/>
  <c r="AA2" i="6" s="1"/>
  <c r="Z2" i="4"/>
  <c r="Z2" i="6" s="1"/>
  <c r="Y2" i="4"/>
  <c r="Y2" i="6" s="1"/>
  <c r="X2" i="4"/>
  <c r="X2" i="6" s="1"/>
  <c r="W2" i="4"/>
  <c r="W2" i="6" s="1"/>
  <c r="V2" i="4"/>
  <c r="V2" i="6" s="1"/>
  <c r="U2" i="4"/>
  <c r="U2" i="6" s="1"/>
  <c r="T2" i="4"/>
  <c r="T2" i="6" s="1"/>
  <c r="S2" i="4"/>
  <c r="S2" i="6" s="1"/>
  <c r="R2" i="4"/>
  <c r="R2" i="6" s="1"/>
  <c r="Q2" i="4"/>
  <c r="Q2" i="6" s="1"/>
  <c r="P2" i="4"/>
  <c r="P2" i="6" s="1"/>
  <c r="O2" i="4"/>
  <c r="O2" i="6" s="1"/>
  <c r="N2" i="4"/>
  <c r="N2" i="6" s="1"/>
  <c r="M2" i="4"/>
  <c r="M2" i="6" s="1"/>
  <c r="L2" i="4"/>
  <c r="L2" i="6" s="1"/>
  <c r="K2" i="4"/>
  <c r="K2" i="6" s="1"/>
  <c r="J2" i="4"/>
  <c r="J2" i="6" s="1"/>
  <c r="I2" i="4"/>
  <c r="I2" i="6" s="1"/>
  <c r="H2" i="4"/>
  <c r="H2" i="6" s="1"/>
  <c r="G2" i="4"/>
  <c r="G2" i="6" s="1"/>
  <c r="F2" i="4"/>
  <c r="F2" i="6" s="1"/>
  <c r="E2" i="4"/>
  <c r="E2" i="6" s="1"/>
  <c r="D2" i="4"/>
  <c r="D2" i="6" s="1"/>
  <c r="C2" i="4"/>
  <c r="C2" i="6" s="1"/>
  <c r="B2" i="4"/>
  <c r="B2" i="6" s="1"/>
  <c r="A41" i="3"/>
  <c r="C9" i="2"/>
  <c r="B38" i="8" s="1"/>
  <c r="A17" i="1"/>
  <c r="I9" i="1"/>
  <c r="D96" i="9" l="1"/>
  <c r="D32" i="6"/>
  <c r="AY32" i="6"/>
  <c r="BK32" i="6"/>
  <c r="BA32" i="6"/>
  <c r="BJ32" i="6"/>
  <c r="AZ32" i="6"/>
  <c r="AP32" i="6"/>
  <c r="AF32" i="6"/>
  <c r="T32" i="6"/>
  <c r="J32" i="6"/>
  <c r="AV32" i="6"/>
  <c r="BI32" i="6"/>
  <c r="AM32" i="6"/>
  <c r="AC32" i="6"/>
  <c r="S32" i="6"/>
  <c r="I32" i="6"/>
  <c r="AU32" i="6"/>
  <c r="AK32" i="6"/>
  <c r="AA32" i="6"/>
  <c r="Q32" i="6"/>
  <c r="P32" i="6"/>
  <c r="F32" i="6"/>
  <c r="AE32" i="6"/>
  <c r="BM32" i="6"/>
  <c r="AO32" i="6"/>
  <c r="BI32" i="8"/>
  <c r="U32" i="8"/>
  <c r="BD32" i="8"/>
  <c r="BH32" i="8"/>
  <c r="BB32" i="8"/>
  <c r="Z32" i="8"/>
  <c r="BJ32" i="8"/>
  <c r="AT102" i="9"/>
  <c r="H31" i="7"/>
  <c r="H31" i="8" s="1"/>
  <c r="H69" i="8" s="1"/>
  <c r="I31" i="7"/>
  <c r="I31" i="8" s="1"/>
  <c r="I69" i="8" s="1"/>
  <c r="B31" i="7"/>
  <c r="B31" i="8" s="1"/>
  <c r="F31" i="7"/>
  <c r="F31" i="8" s="1"/>
  <c r="F69" i="8" s="1"/>
  <c r="L36" i="3"/>
  <c r="AM36" i="3"/>
  <c r="M36" i="3"/>
  <c r="AO36" i="3"/>
  <c r="O36" i="3"/>
  <c r="AP36" i="3"/>
  <c r="AP37" i="3" s="1"/>
  <c r="S36" i="3"/>
  <c r="S37" i="3" s="1"/>
  <c r="S40" i="3" s="1"/>
  <c r="AW36" i="3"/>
  <c r="AW37" i="3" s="1"/>
  <c r="U36" i="3"/>
  <c r="U37" i="3" s="1"/>
  <c r="AY36" i="3"/>
  <c r="V36" i="3"/>
  <c r="V37" i="3" s="1"/>
  <c r="AZ36" i="3"/>
  <c r="AZ37" i="3" s="1"/>
  <c r="B36" i="3"/>
  <c r="AC36" i="3"/>
  <c r="BB36" i="3"/>
  <c r="BB37" i="3" s="1"/>
  <c r="C36" i="3"/>
  <c r="AE36" i="3"/>
  <c r="BG36" i="3"/>
  <c r="BG37" i="3" s="1"/>
  <c r="D36" i="3"/>
  <c r="AF36" i="3"/>
  <c r="AF37" i="3" s="1"/>
  <c r="BI36" i="3"/>
  <c r="K36" i="3"/>
  <c r="AH36" i="3"/>
  <c r="BJ36" i="3"/>
  <c r="BJ37" i="3" s="1"/>
  <c r="BJ102" i="9"/>
  <c r="AB102" i="9"/>
  <c r="Z68" i="9"/>
  <c r="AC102" i="9"/>
  <c r="AW102" i="9"/>
  <c r="U102" i="9"/>
  <c r="BH102" i="9"/>
  <c r="BH68" i="9"/>
  <c r="X102" i="9"/>
  <c r="BB102" i="9"/>
  <c r="BI102" i="9"/>
  <c r="BH31" i="9"/>
  <c r="BJ68" i="9"/>
  <c r="BC102" i="9"/>
  <c r="AE102" i="9"/>
  <c r="Z102" i="9"/>
  <c r="N36" i="3"/>
  <c r="AG36" i="3"/>
  <c r="AG37" i="3" s="1"/>
  <c r="BA36" i="3"/>
  <c r="E36" i="3"/>
  <c r="W36" i="3"/>
  <c r="AQ36" i="3"/>
  <c r="AQ37" i="3" s="1"/>
  <c r="BK36" i="3"/>
  <c r="I36" i="3"/>
  <c r="X36" i="3"/>
  <c r="X37" i="3" s="1"/>
  <c r="X40" i="3" s="1"/>
  <c r="AR36" i="3"/>
  <c r="P37" i="3"/>
  <c r="P38" i="3" s="1"/>
  <c r="F37" i="3"/>
  <c r="F38" i="3" s="1"/>
  <c r="N37" i="3"/>
  <c r="N38" i="3" s="1"/>
  <c r="N39" i="3" s="1"/>
  <c r="D37" i="3"/>
  <c r="D38" i="3" s="1"/>
  <c r="C37" i="3"/>
  <c r="C38" i="3" s="1"/>
  <c r="C39" i="3" s="1"/>
  <c r="B37" i="3"/>
  <c r="B38" i="3" s="1"/>
  <c r="O37" i="3"/>
  <c r="O38" i="3" s="1"/>
  <c r="O39" i="3" s="1"/>
  <c r="E37" i="3"/>
  <c r="E38" i="3" s="1"/>
  <c r="E39" i="3" s="1"/>
  <c r="M37" i="3"/>
  <c r="M38" i="3" s="1"/>
  <c r="M39" i="3" s="1"/>
  <c r="L37" i="3"/>
  <c r="L38" i="3" s="1"/>
  <c r="L39" i="3" s="1"/>
  <c r="K37" i="3"/>
  <c r="K38" i="3" s="1"/>
  <c r="K39" i="3" s="1"/>
  <c r="J37" i="3"/>
  <c r="J38" i="3" s="1"/>
  <c r="J39" i="3" s="1"/>
  <c r="I37" i="3"/>
  <c r="I38" i="3" s="1"/>
  <c r="H37" i="3"/>
  <c r="H38" i="3" s="1"/>
  <c r="G37" i="3"/>
  <c r="G38" i="3" s="1"/>
  <c r="G39" i="3" s="1"/>
  <c r="J36" i="3"/>
  <c r="T36" i="3"/>
  <c r="T37" i="3" s="1"/>
  <c r="T38" i="3" s="1"/>
  <c r="T39" i="3" s="1"/>
  <c r="AD36" i="3"/>
  <c r="AN36" i="3"/>
  <c r="AX36" i="3"/>
  <c r="BH36" i="3"/>
  <c r="BH37" i="3" s="1"/>
  <c r="Y36" i="3"/>
  <c r="Y37" i="3" s="1"/>
  <c r="AI36" i="3"/>
  <c r="AI37" i="3" s="1"/>
  <c r="AS36" i="3"/>
  <c r="AS37" i="3" s="1"/>
  <c r="BC36" i="3"/>
  <c r="BM36" i="3"/>
  <c r="F36" i="3"/>
  <c r="P36" i="3"/>
  <c r="Z36" i="3"/>
  <c r="AJ36" i="3"/>
  <c r="AT36" i="3"/>
  <c r="BD36" i="3"/>
  <c r="BN36" i="3"/>
  <c r="G36" i="3"/>
  <c r="Q36" i="3"/>
  <c r="Q37" i="3" s="1"/>
  <c r="Q40" i="3" s="1"/>
  <c r="AA36" i="3"/>
  <c r="AK36" i="3"/>
  <c r="AU36" i="3"/>
  <c r="BE36" i="3"/>
  <c r="BO36" i="3"/>
  <c r="H36" i="3"/>
  <c r="R36" i="3"/>
  <c r="R37" i="3" s="1"/>
  <c r="R40" i="3" s="1"/>
  <c r="AB36" i="3"/>
  <c r="AL36" i="3"/>
  <c r="AL37" i="3" s="1"/>
  <c r="AV36" i="3"/>
  <c r="BF36" i="3"/>
  <c r="BF37" i="3" s="1"/>
  <c r="BP36" i="3"/>
  <c r="A68" i="4"/>
  <c r="U7" i="7"/>
  <c r="U7" i="8" s="1"/>
  <c r="U45" i="8" s="1"/>
  <c r="BH7" i="7"/>
  <c r="BH7" i="8" s="1"/>
  <c r="BH45" i="8" s="1"/>
  <c r="H6" i="7"/>
  <c r="H6" i="8" s="1"/>
  <c r="H44" i="8" s="1"/>
  <c r="G36" i="7"/>
  <c r="G37" i="7" s="1"/>
  <c r="E36" i="7"/>
  <c r="E37" i="7" s="1"/>
  <c r="O36" i="7"/>
  <c r="O37" i="7" s="1"/>
  <c r="P36" i="7"/>
  <c r="P37" i="7" s="1"/>
  <c r="Q36" i="7"/>
  <c r="Q37" i="7" s="1"/>
  <c r="R36" i="7"/>
  <c r="R37" i="7" s="1"/>
  <c r="S36" i="7"/>
  <c r="S37" i="7" s="1"/>
  <c r="J36" i="7"/>
  <c r="J37" i="7" s="1"/>
  <c r="T36" i="7"/>
  <c r="T37" i="7" s="1"/>
  <c r="K36" i="7"/>
  <c r="K37" i="7" s="1"/>
  <c r="L36" i="7"/>
  <c r="L37" i="7" s="1"/>
  <c r="M36" i="7"/>
  <c r="M37" i="7" s="1"/>
  <c r="D36" i="7"/>
  <c r="D37" i="7" s="1"/>
  <c r="N36" i="7"/>
  <c r="N37" i="7" s="1"/>
  <c r="J102" i="9"/>
  <c r="L75" i="9"/>
  <c r="B36" i="9"/>
  <c r="H32" i="9" s="1"/>
  <c r="B36" i="6"/>
  <c r="BL32" i="6" s="1"/>
  <c r="BO34" i="7"/>
  <c r="BO34" i="8" s="1"/>
  <c r="BO71" i="8" s="1"/>
  <c r="BE34" i="7"/>
  <c r="BE34" i="8" s="1"/>
  <c r="BE71" i="8" s="1"/>
  <c r="AU34" i="7"/>
  <c r="AU34" i="8" s="1"/>
  <c r="AU71" i="8" s="1"/>
  <c r="AK34" i="7"/>
  <c r="AK34" i="8" s="1"/>
  <c r="AK71" i="8" s="1"/>
  <c r="AA34" i="7"/>
  <c r="AA34" i="8" s="1"/>
  <c r="AA71" i="8" s="1"/>
  <c r="BM33" i="7"/>
  <c r="BM33" i="8" s="1"/>
  <c r="BM70" i="8" s="1"/>
  <c r="BC33" i="7"/>
  <c r="BC33" i="8" s="1"/>
  <c r="BC70" i="8" s="1"/>
  <c r="AS33" i="7"/>
  <c r="AS33" i="8" s="1"/>
  <c r="AS70" i="8" s="1"/>
  <c r="AI33" i="7"/>
  <c r="AI33" i="8" s="1"/>
  <c r="AI70" i="8" s="1"/>
  <c r="Y33" i="7"/>
  <c r="Y33" i="8" s="1"/>
  <c r="Y70" i="8" s="1"/>
  <c r="BK31" i="7"/>
  <c r="BK31" i="8" s="1"/>
  <c r="BK69" i="8" s="1"/>
  <c r="BA31" i="7"/>
  <c r="BA31" i="8" s="1"/>
  <c r="BA69" i="8" s="1"/>
  <c r="AQ31" i="7"/>
  <c r="AQ31" i="8" s="1"/>
  <c r="AQ69" i="8" s="1"/>
  <c r="AG31" i="7"/>
  <c r="AG31" i="8" s="1"/>
  <c r="AG69" i="8" s="1"/>
  <c r="W31" i="7"/>
  <c r="W31" i="8" s="1"/>
  <c r="W69" i="8" s="1"/>
  <c r="BI30" i="7"/>
  <c r="BI30" i="8" s="1"/>
  <c r="BI68" i="8" s="1"/>
  <c r="AY30" i="7"/>
  <c r="AY30" i="8" s="1"/>
  <c r="AY68" i="8" s="1"/>
  <c r="AO30" i="7"/>
  <c r="AO30" i="8" s="1"/>
  <c r="AO68" i="8" s="1"/>
  <c r="AE30" i="7"/>
  <c r="AE30" i="8" s="1"/>
  <c r="AE68" i="8" s="1"/>
  <c r="U30" i="7"/>
  <c r="U30" i="8" s="1"/>
  <c r="U68" i="8" s="1"/>
  <c r="K30" i="7"/>
  <c r="K30" i="8" s="1"/>
  <c r="K68" i="8" s="1"/>
  <c r="BG29" i="7"/>
  <c r="BG29" i="8" s="1"/>
  <c r="BG67" i="8" s="1"/>
  <c r="AW29" i="7"/>
  <c r="AW29" i="8" s="1"/>
  <c r="AW67" i="8" s="1"/>
  <c r="AM29" i="7"/>
  <c r="AM29" i="8" s="1"/>
  <c r="AM67" i="8" s="1"/>
  <c r="AC29" i="7"/>
  <c r="AC29" i="8" s="1"/>
  <c r="AC67" i="8" s="1"/>
  <c r="BM34" i="7"/>
  <c r="BM34" i="8" s="1"/>
  <c r="BM71" i="8" s="1"/>
  <c r="BB34" i="7"/>
  <c r="BB34" i="8" s="1"/>
  <c r="BB71" i="8" s="1"/>
  <c r="AQ34" i="7"/>
  <c r="AQ34" i="8" s="1"/>
  <c r="AQ71" i="8" s="1"/>
  <c r="AF34" i="7"/>
  <c r="AF34" i="8" s="1"/>
  <c r="AF71" i="8" s="1"/>
  <c r="U34" i="7"/>
  <c r="U34" i="8" s="1"/>
  <c r="U71" i="8" s="1"/>
  <c r="BF33" i="7"/>
  <c r="BF33" i="8" s="1"/>
  <c r="BF70" i="8" s="1"/>
  <c r="AU33" i="7"/>
  <c r="AU33" i="8" s="1"/>
  <c r="AU70" i="8" s="1"/>
  <c r="AJ33" i="7"/>
  <c r="AJ33" i="8" s="1"/>
  <c r="AJ70" i="8" s="1"/>
  <c r="X33" i="7"/>
  <c r="X33" i="8" s="1"/>
  <c r="X70" i="8" s="1"/>
  <c r="BI31" i="7"/>
  <c r="BI31" i="8" s="1"/>
  <c r="BI69" i="8" s="1"/>
  <c r="AX31" i="7"/>
  <c r="AX31" i="8" s="1"/>
  <c r="AX69" i="8" s="1"/>
  <c r="AM31" i="7"/>
  <c r="AM31" i="8" s="1"/>
  <c r="AM69" i="8" s="1"/>
  <c r="AB31" i="7"/>
  <c r="AB31" i="8" s="1"/>
  <c r="AB69" i="8" s="1"/>
  <c r="BM30" i="7"/>
  <c r="BM30" i="8" s="1"/>
  <c r="BM68" i="8" s="1"/>
  <c r="BB30" i="7"/>
  <c r="BB30" i="8" s="1"/>
  <c r="BB68" i="8" s="1"/>
  <c r="AQ30" i="7"/>
  <c r="AQ30" i="8" s="1"/>
  <c r="AQ68" i="8" s="1"/>
  <c r="AF30" i="7"/>
  <c r="AF30" i="8" s="1"/>
  <c r="AF68" i="8" s="1"/>
  <c r="I30" i="7"/>
  <c r="I30" i="8" s="1"/>
  <c r="I68" i="8" s="1"/>
  <c r="BO29" i="7"/>
  <c r="BO29" i="8" s="1"/>
  <c r="BO67" i="8" s="1"/>
  <c r="BD29" i="7"/>
  <c r="BD29" i="8" s="1"/>
  <c r="BD67" i="8" s="1"/>
  <c r="AS29" i="7"/>
  <c r="AS29" i="8" s="1"/>
  <c r="AS67" i="8" s="1"/>
  <c r="AH29" i="7"/>
  <c r="AH29" i="8" s="1"/>
  <c r="AH67" i="8" s="1"/>
  <c r="W29" i="7"/>
  <c r="W29" i="8" s="1"/>
  <c r="W67" i="8" s="1"/>
  <c r="BI28" i="7"/>
  <c r="BI28" i="8" s="1"/>
  <c r="BI66" i="8" s="1"/>
  <c r="AY28" i="7"/>
  <c r="AY28" i="8" s="1"/>
  <c r="AY66" i="8" s="1"/>
  <c r="AO28" i="7"/>
  <c r="AO28" i="8" s="1"/>
  <c r="AO66" i="8" s="1"/>
  <c r="AE28" i="7"/>
  <c r="AE28" i="8" s="1"/>
  <c r="AE66" i="8" s="1"/>
  <c r="U28" i="7"/>
  <c r="U28" i="8" s="1"/>
  <c r="U66" i="8" s="1"/>
  <c r="BG27" i="7"/>
  <c r="BG27" i="8" s="1"/>
  <c r="BG65" i="8" s="1"/>
  <c r="AW27" i="7"/>
  <c r="AW27" i="8" s="1"/>
  <c r="AW65" i="8" s="1"/>
  <c r="AM27" i="7"/>
  <c r="AM27" i="8" s="1"/>
  <c r="AM65" i="8" s="1"/>
  <c r="AC27" i="7"/>
  <c r="AC27" i="8" s="1"/>
  <c r="AC65" i="8" s="1"/>
  <c r="I27" i="7"/>
  <c r="I27" i="8" s="1"/>
  <c r="I65" i="8" s="1"/>
  <c r="BO26" i="7"/>
  <c r="BO26" i="8" s="1"/>
  <c r="BO64" i="8" s="1"/>
  <c r="BE26" i="7"/>
  <c r="BE26" i="8" s="1"/>
  <c r="BE64" i="8" s="1"/>
  <c r="AU26" i="7"/>
  <c r="AU26" i="8" s="1"/>
  <c r="AU64" i="8" s="1"/>
  <c r="AK26" i="7"/>
  <c r="AK26" i="8" s="1"/>
  <c r="AK64" i="8" s="1"/>
  <c r="AA26" i="7"/>
  <c r="AA26" i="8" s="1"/>
  <c r="AA64" i="8" s="1"/>
  <c r="Q26" i="7"/>
  <c r="Q26" i="8" s="1"/>
  <c r="Q64" i="8" s="1"/>
  <c r="BM25" i="7"/>
  <c r="BM25" i="8" s="1"/>
  <c r="BM63" i="8" s="1"/>
  <c r="BC25" i="7"/>
  <c r="BC25" i="8" s="1"/>
  <c r="BC63" i="8" s="1"/>
  <c r="AS25" i="7"/>
  <c r="AS25" i="8" s="1"/>
  <c r="AS63" i="8" s="1"/>
  <c r="AI25" i="7"/>
  <c r="AI25" i="8" s="1"/>
  <c r="AI63" i="8" s="1"/>
  <c r="Y25" i="7"/>
  <c r="Y25" i="8" s="1"/>
  <c r="Y63" i="8" s="1"/>
  <c r="BK24" i="7"/>
  <c r="BK24" i="8" s="1"/>
  <c r="BK62" i="8" s="1"/>
  <c r="BA24" i="7"/>
  <c r="BA24" i="8" s="1"/>
  <c r="BA62" i="8" s="1"/>
  <c r="AQ24" i="7"/>
  <c r="AQ24" i="8" s="1"/>
  <c r="AQ62" i="8" s="1"/>
  <c r="AG24" i="7"/>
  <c r="AG24" i="8" s="1"/>
  <c r="AG62" i="8" s="1"/>
  <c r="W24" i="7"/>
  <c r="W24" i="8" s="1"/>
  <c r="W62" i="8" s="1"/>
  <c r="BI23" i="7"/>
  <c r="BI23" i="8" s="1"/>
  <c r="BI61" i="8" s="1"/>
  <c r="AY23" i="7"/>
  <c r="AY23" i="8" s="1"/>
  <c r="AY61" i="8" s="1"/>
  <c r="AO23" i="7"/>
  <c r="AO23" i="8" s="1"/>
  <c r="AO61" i="8" s="1"/>
  <c r="AE23" i="7"/>
  <c r="AE23" i="8" s="1"/>
  <c r="AE61" i="8" s="1"/>
  <c r="U23" i="7"/>
  <c r="U23" i="8" s="1"/>
  <c r="U61" i="8" s="1"/>
  <c r="BG22" i="7"/>
  <c r="BG22" i="8" s="1"/>
  <c r="BG60" i="8" s="1"/>
  <c r="AW22" i="7"/>
  <c r="AW22" i="8" s="1"/>
  <c r="AW60" i="8" s="1"/>
  <c r="AM22" i="7"/>
  <c r="AM22" i="8" s="1"/>
  <c r="AM60" i="8" s="1"/>
  <c r="AC22" i="7"/>
  <c r="AC22" i="8" s="1"/>
  <c r="AC60" i="8" s="1"/>
  <c r="I22" i="7"/>
  <c r="I22" i="8" s="1"/>
  <c r="I60" i="8" s="1"/>
  <c r="BO21" i="7"/>
  <c r="BO21" i="8" s="1"/>
  <c r="BO59" i="8" s="1"/>
  <c r="BE21" i="7"/>
  <c r="BE21" i="8" s="1"/>
  <c r="BE59" i="8" s="1"/>
  <c r="AU21" i="7"/>
  <c r="AU21" i="8" s="1"/>
  <c r="AU59" i="8" s="1"/>
  <c r="AK21" i="7"/>
  <c r="AK21" i="8" s="1"/>
  <c r="AK59" i="8" s="1"/>
  <c r="AA21" i="7"/>
  <c r="AA21" i="8" s="1"/>
  <c r="AA59" i="8" s="1"/>
  <c r="BM20" i="7"/>
  <c r="BM20" i="8" s="1"/>
  <c r="BM58" i="8" s="1"/>
  <c r="BC20" i="7"/>
  <c r="BC20" i="8" s="1"/>
  <c r="BC58" i="8" s="1"/>
  <c r="AS20" i="7"/>
  <c r="AS20" i="8" s="1"/>
  <c r="AS58" i="8" s="1"/>
  <c r="AI20" i="7"/>
  <c r="AI20" i="8" s="1"/>
  <c r="AI58" i="8" s="1"/>
  <c r="Y20" i="7"/>
  <c r="Y20" i="8" s="1"/>
  <c r="Y58" i="8" s="1"/>
  <c r="BK19" i="7"/>
  <c r="BK19" i="8" s="1"/>
  <c r="BK57" i="8" s="1"/>
  <c r="BA19" i="7"/>
  <c r="BA19" i="8" s="1"/>
  <c r="BA57" i="8" s="1"/>
  <c r="AQ19" i="7"/>
  <c r="AQ19" i="8" s="1"/>
  <c r="AQ57" i="8" s="1"/>
  <c r="AG19" i="7"/>
  <c r="AG19" i="8" s="1"/>
  <c r="AG57" i="8" s="1"/>
  <c r="W19" i="7"/>
  <c r="W19" i="8" s="1"/>
  <c r="W57" i="8" s="1"/>
  <c r="BI18" i="7"/>
  <c r="BI18" i="8" s="1"/>
  <c r="BI56" i="8" s="1"/>
  <c r="AY18" i="7"/>
  <c r="AY18" i="8" s="1"/>
  <c r="AY56" i="8" s="1"/>
  <c r="AO18" i="7"/>
  <c r="AO18" i="8" s="1"/>
  <c r="AO56" i="8" s="1"/>
  <c r="AE18" i="7"/>
  <c r="AE18" i="8" s="1"/>
  <c r="AE56" i="8" s="1"/>
  <c r="U18" i="7"/>
  <c r="U18" i="8" s="1"/>
  <c r="U56" i="8" s="1"/>
  <c r="BG17" i="7"/>
  <c r="BG17" i="8" s="1"/>
  <c r="BG55" i="8" s="1"/>
  <c r="AW17" i="7"/>
  <c r="AW17" i="8" s="1"/>
  <c r="AW55" i="8" s="1"/>
  <c r="AM17" i="7"/>
  <c r="AM17" i="8" s="1"/>
  <c r="AM55" i="8" s="1"/>
  <c r="AC17" i="7"/>
  <c r="AC17" i="8" s="1"/>
  <c r="AC55" i="8" s="1"/>
  <c r="I17" i="7"/>
  <c r="I17" i="8" s="1"/>
  <c r="I55" i="8" s="1"/>
  <c r="BL34" i="7"/>
  <c r="BL34" i="8" s="1"/>
  <c r="BL71" i="8" s="1"/>
  <c r="BA34" i="7"/>
  <c r="BA34" i="8" s="1"/>
  <c r="BA71" i="8" s="1"/>
  <c r="AP34" i="7"/>
  <c r="AP34" i="8" s="1"/>
  <c r="AP71" i="8" s="1"/>
  <c r="AE34" i="7"/>
  <c r="AE34" i="8" s="1"/>
  <c r="AE71" i="8" s="1"/>
  <c r="BP33" i="7"/>
  <c r="BP33" i="8" s="1"/>
  <c r="BP70" i="8" s="1"/>
  <c r="BE33" i="7"/>
  <c r="BE33" i="8" s="1"/>
  <c r="BE70" i="8" s="1"/>
  <c r="AT33" i="7"/>
  <c r="AT33" i="8" s="1"/>
  <c r="AT70" i="8" s="1"/>
  <c r="AH33" i="7"/>
  <c r="AH33" i="8" s="1"/>
  <c r="AH70" i="8" s="1"/>
  <c r="W33" i="7"/>
  <c r="W33" i="8" s="1"/>
  <c r="W70" i="8" s="1"/>
  <c r="BH31" i="7"/>
  <c r="BH31" i="8" s="1"/>
  <c r="BH69" i="8" s="1"/>
  <c r="AW31" i="7"/>
  <c r="AW31" i="8" s="1"/>
  <c r="AW69" i="8" s="1"/>
  <c r="AL31" i="7"/>
  <c r="AL31" i="8" s="1"/>
  <c r="AL69" i="8" s="1"/>
  <c r="AA31" i="7"/>
  <c r="AA31" i="8" s="1"/>
  <c r="AA69" i="8" s="1"/>
  <c r="BL30" i="7"/>
  <c r="BL30" i="8" s="1"/>
  <c r="BL68" i="8" s="1"/>
  <c r="BA30" i="7"/>
  <c r="BA30" i="8" s="1"/>
  <c r="BA68" i="8" s="1"/>
  <c r="AP30" i="7"/>
  <c r="AP30" i="8" s="1"/>
  <c r="AP68" i="8" s="1"/>
  <c r="AD30" i="7"/>
  <c r="AD30" i="8" s="1"/>
  <c r="AD68" i="8" s="1"/>
  <c r="H30" i="7"/>
  <c r="H30" i="8" s="1"/>
  <c r="H68" i="8" s="1"/>
  <c r="BN29" i="7"/>
  <c r="BN29" i="8" s="1"/>
  <c r="BN67" i="8" s="1"/>
  <c r="BC29" i="7"/>
  <c r="BC29" i="8" s="1"/>
  <c r="BC67" i="8" s="1"/>
  <c r="AR29" i="7"/>
  <c r="AR29" i="8" s="1"/>
  <c r="AR67" i="8" s="1"/>
  <c r="AG29" i="7"/>
  <c r="AG29" i="8" s="1"/>
  <c r="AG67" i="8" s="1"/>
  <c r="V29" i="7"/>
  <c r="V29" i="8" s="1"/>
  <c r="V67" i="8" s="1"/>
  <c r="B29" i="7"/>
  <c r="B29" i="8" s="1"/>
  <c r="BH28" i="7"/>
  <c r="BH28" i="8" s="1"/>
  <c r="BH66" i="8" s="1"/>
  <c r="AX28" i="7"/>
  <c r="AX28" i="8" s="1"/>
  <c r="AX66" i="8" s="1"/>
  <c r="AN28" i="7"/>
  <c r="AN28" i="8" s="1"/>
  <c r="AN66" i="8" s="1"/>
  <c r="AD28" i="7"/>
  <c r="AD28" i="8" s="1"/>
  <c r="AD66" i="8" s="1"/>
  <c r="BP27" i="7"/>
  <c r="BP27" i="8" s="1"/>
  <c r="BP65" i="8" s="1"/>
  <c r="BF27" i="7"/>
  <c r="BF27" i="8" s="1"/>
  <c r="BF65" i="8" s="1"/>
  <c r="AV27" i="7"/>
  <c r="AV27" i="8" s="1"/>
  <c r="AV65" i="8" s="1"/>
  <c r="AL27" i="7"/>
  <c r="AL27" i="8" s="1"/>
  <c r="AL65" i="8" s="1"/>
  <c r="AB27" i="7"/>
  <c r="AB27" i="8" s="1"/>
  <c r="AB65" i="8" s="1"/>
  <c r="H27" i="7"/>
  <c r="H27" i="8" s="1"/>
  <c r="H65" i="8" s="1"/>
  <c r="BN26" i="7"/>
  <c r="BN26" i="8" s="1"/>
  <c r="BN64" i="8" s="1"/>
  <c r="BD26" i="7"/>
  <c r="BD26" i="8" s="1"/>
  <c r="BD64" i="8" s="1"/>
  <c r="AT26" i="7"/>
  <c r="AT26" i="8" s="1"/>
  <c r="AT64" i="8" s="1"/>
  <c r="AJ26" i="7"/>
  <c r="AJ26" i="8" s="1"/>
  <c r="AJ64" i="8" s="1"/>
  <c r="Z26" i="7"/>
  <c r="Z26" i="8" s="1"/>
  <c r="Z64" i="8" s="1"/>
  <c r="BL25" i="7"/>
  <c r="BL25" i="8" s="1"/>
  <c r="BL63" i="8" s="1"/>
  <c r="BB25" i="7"/>
  <c r="BB25" i="8" s="1"/>
  <c r="BB63" i="8" s="1"/>
  <c r="AR25" i="7"/>
  <c r="AR25" i="8" s="1"/>
  <c r="AR63" i="8" s="1"/>
  <c r="AH25" i="7"/>
  <c r="AH25" i="8" s="1"/>
  <c r="AH63" i="8" s="1"/>
  <c r="X25" i="7"/>
  <c r="X25" i="8" s="1"/>
  <c r="X63" i="8" s="1"/>
  <c r="D25" i="7"/>
  <c r="D25" i="8" s="1"/>
  <c r="D63" i="8" s="1"/>
  <c r="BJ24" i="7"/>
  <c r="BJ24" i="8" s="1"/>
  <c r="BJ62" i="8" s="1"/>
  <c r="AZ24" i="7"/>
  <c r="AZ24" i="8" s="1"/>
  <c r="AZ62" i="8" s="1"/>
  <c r="AP24" i="7"/>
  <c r="AP24" i="8" s="1"/>
  <c r="AP62" i="8" s="1"/>
  <c r="AF24" i="7"/>
  <c r="AF24" i="8" s="1"/>
  <c r="AF62" i="8" s="1"/>
  <c r="V24" i="7"/>
  <c r="V24" i="8" s="1"/>
  <c r="V62" i="8" s="1"/>
  <c r="B24" i="7"/>
  <c r="B24" i="8" s="1"/>
  <c r="BH23" i="7"/>
  <c r="BH23" i="8" s="1"/>
  <c r="BH61" i="8" s="1"/>
  <c r="AX23" i="7"/>
  <c r="AX23" i="8" s="1"/>
  <c r="AX61" i="8" s="1"/>
  <c r="AN23" i="7"/>
  <c r="AN23" i="8" s="1"/>
  <c r="AN61" i="8" s="1"/>
  <c r="AD23" i="7"/>
  <c r="AD23" i="8" s="1"/>
  <c r="AD61" i="8" s="1"/>
  <c r="BP22" i="7"/>
  <c r="BP22" i="8" s="1"/>
  <c r="BP60" i="8" s="1"/>
  <c r="BF22" i="7"/>
  <c r="BF22" i="8" s="1"/>
  <c r="BF60" i="8" s="1"/>
  <c r="AV22" i="7"/>
  <c r="AV22" i="8" s="1"/>
  <c r="AV60" i="8" s="1"/>
  <c r="AL22" i="7"/>
  <c r="AL22" i="8" s="1"/>
  <c r="AL60" i="8" s="1"/>
  <c r="AB22" i="7"/>
  <c r="AB22" i="8" s="1"/>
  <c r="AB60" i="8" s="1"/>
  <c r="R22" i="7"/>
  <c r="R22" i="8" s="1"/>
  <c r="R60" i="8" s="1"/>
  <c r="H22" i="7"/>
  <c r="H22" i="8" s="1"/>
  <c r="H60" i="8" s="1"/>
  <c r="BN21" i="7"/>
  <c r="BN21" i="8" s="1"/>
  <c r="BN59" i="8" s="1"/>
  <c r="BD21" i="7"/>
  <c r="BD21" i="8" s="1"/>
  <c r="BD59" i="8" s="1"/>
  <c r="AT21" i="7"/>
  <c r="AT21" i="8" s="1"/>
  <c r="AT59" i="8" s="1"/>
  <c r="AJ21" i="7"/>
  <c r="AJ21" i="8" s="1"/>
  <c r="AJ59" i="8" s="1"/>
  <c r="Z21" i="7"/>
  <c r="Z21" i="8" s="1"/>
  <c r="Z59" i="8" s="1"/>
  <c r="P21" i="7"/>
  <c r="P21" i="8" s="1"/>
  <c r="P59" i="8" s="1"/>
  <c r="F21" i="7"/>
  <c r="F21" i="8" s="1"/>
  <c r="F59" i="8" s="1"/>
  <c r="BL20" i="7"/>
  <c r="BL20" i="8" s="1"/>
  <c r="BL58" i="8" s="1"/>
  <c r="BB20" i="7"/>
  <c r="BB20" i="8" s="1"/>
  <c r="BB58" i="8" s="1"/>
  <c r="AR20" i="7"/>
  <c r="AR20" i="8" s="1"/>
  <c r="AR58" i="8" s="1"/>
  <c r="AH20" i="7"/>
  <c r="AH20" i="8" s="1"/>
  <c r="AH58" i="8" s="1"/>
  <c r="X20" i="7"/>
  <c r="X20" i="8" s="1"/>
  <c r="X58" i="8" s="1"/>
  <c r="BJ19" i="7"/>
  <c r="BJ19" i="8" s="1"/>
  <c r="BJ57" i="8" s="1"/>
  <c r="AZ19" i="7"/>
  <c r="AZ19" i="8" s="1"/>
  <c r="AZ57" i="8" s="1"/>
  <c r="AP19" i="7"/>
  <c r="AP19" i="8" s="1"/>
  <c r="AP57" i="8" s="1"/>
  <c r="AF19" i="7"/>
  <c r="AF19" i="8" s="1"/>
  <c r="AF57" i="8" s="1"/>
  <c r="V19" i="7"/>
  <c r="V19" i="8" s="1"/>
  <c r="V57" i="8" s="1"/>
  <c r="B19" i="7"/>
  <c r="B19" i="8" s="1"/>
  <c r="BH18" i="7"/>
  <c r="BH18" i="8" s="1"/>
  <c r="BH56" i="8" s="1"/>
  <c r="AX18" i="7"/>
  <c r="AX18" i="8" s="1"/>
  <c r="AX56" i="8" s="1"/>
  <c r="AN18" i="7"/>
  <c r="AN18" i="8" s="1"/>
  <c r="AN56" i="8" s="1"/>
  <c r="AD18" i="7"/>
  <c r="AD18" i="8" s="1"/>
  <c r="AD56" i="8" s="1"/>
  <c r="BK34" i="7"/>
  <c r="BK34" i="8" s="1"/>
  <c r="BK71" i="8" s="1"/>
  <c r="AZ34" i="7"/>
  <c r="AZ34" i="8" s="1"/>
  <c r="AZ71" i="8" s="1"/>
  <c r="AO34" i="7"/>
  <c r="AO34" i="8" s="1"/>
  <c r="AO71" i="8" s="1"/>
  <c r="AD34" i="7"/>
  <c r="AD34" i="8" s="1"/>
  <c r="AD71" i="8" s="1"/>
  <c r="I34" i="7"/>
  <c r="I34" i="8" s="1"/>
  <c r="I71" i="8" s="1"/>
  <c r="BO33" i="7"/>
  <c r="BO33" i="8" s="1"/>
  <c r="BO70" i="8" s="1"/>
  <c r="BD33" i="7"/>
  <c r="BD33" i="8" s="1"/>
  <c r="BD70" i="8" s="1"/>
  <c r="AR33" i="7"/>
  <c r="AR33" i="8" s="1"/>
  <c r="AR70" i="8" s="1"/>
  <c r="AG33" i="7"/>
  <c r="AG33" i="8" s="1"/>
  <c r="AG70" i="8" s="1"/>
  <c r="V33" i="7"/>
  <c r="V33" i="8" s="1"/>
  <c r="V70" i="8" s="1"/>
  <c r="B33" i="7"/>
  <c r="B33" i="8" s="1"/>
  <c r="BG31" i="7"/>
  <c r="BG31" i="8" s="1"/>
  <c r="BG69" i="8" s="1"/>
  <c r="AV31" i="7"/>
  <c r="AV31" i="8" s="1"/>
  <c r="AV69" i="8" s="1"/>
  <c r="AK31" i="7"/>
  <c r="AK31" i="8" s="1"/>
  <c r="AK69" i="8" s="1"/>
  <c r="Z31" i="7"/>
  <c r="Z31" i="8" s="1"/>
  <c r="Z69" i="8" s="1"/>
  <c r="BK30" i="7"/>
  <c r="BK30" i="8" s="1"/>
  <c r="BK68" i="8" s="1"/>
  <c r="AZ30" i="7"/>
  <c r="AZ30" i="8" s="1"/>
  <c r="AZ68" i="8" s="1"/>
  <c r="AN30" i="7"/>
  <c r="AN30" i="8" s="1"/>
  <c r="AN68" i="8" s="1"/>
  <c r="AC30" i="7"/>
  <c r="AC30" i="8" s="1"/>
  <c r="AC68" i="8" s="1"/>
  <c r="BM29" i="7"/>
  <c r="BM29" i="8" s="1"/>
  <c r="BM67" i="8" s="1"/>
  <c r="BB29" i="7"/>
  <c r="BB29" i="8" s="1"/>
  <c r="BB67" i="8" s="1"/>
  <c r="AQ29" i="7"/>
  <c r="AQ29" i="8" s="1"/>
  <c r="AQ67" i="8" s="1"/>
  <c r="AF29" i="7"/>
  <c r="AF29" i="8" s="1"/>
  <c r="AF67" i="8" s="1"/>
  <c r="U29" i="7"/>
  <c r="U29" i="8" s="1"/>
  <c r="U67" i="8" s="1"/>
  <c r="BG28" i="7"/>
  <c r="BG28" i="8" s="1"/>
  <c r="BG66" i="8" s="1"/>
  <c r="AW28" i="7"/>
  <c r="AW28" i="8" s="1"/>
  <c r="AW66" i="8" s="1"/>
  <c r="AM28" i="7"/>
  <c r="AM28" i="8" s="1"/>
  <c r="AM66" i="8" s="1"/>
  <c r="AC28" i="7"/>
  <c r="AC28" i="8" s="1"/>
  <c r="AC66" i="8" s="1"/>
  <c r="I28" i="7"/>
  <c r="I28" i="8" s="1"/>
  <c r="I66" i="8" s="1"/>
  <c r="BO27" i="7"/>
  <c r="BO27" i="8" s="1"/>
  <c r="BO65" i="8" s="1"/>
  <c r="BE27" i="7"/>
  <c r="BE27" i="8" s="1"/>
  <c r="BE65" i="8" s="1"/>
  <c r="AU27" i="7"/>
  <c r="AU27" i="8" s="1"/>
  <c r="AU65" i="8" s="1"/>
  <c r="AK27" i="7"/>
  <c r="AK27" i="8" s="1"/>
  <c r="AK65" i="8" s="1"/>
  <c r="AA27" i="7"/>
  <c r="AA27" i="8" s="1"/>
  <c r="AA65" i="8" s="1"/>
  <c r="Q27" i="7"/>
  <c r="Q27" i="8" s="1"/>
  <c r="Q65" i="8" s="1"/>
  <c r="BM26" i="7"/>
  <c r="BM26" i="8" s="1"/>
  <c r="BM64" i="8" s="1"/>
  <c r="BC26" i="7"/>
  <c r="BC26" i="8" s="1"/>
  <c r="BC64" i="8" s="1"/>
  <c r="AS26" i="7"/>
  <c r="AS26" i="8" s="1"/>
  <c r="AS64" i="8" s="1"/>
  <c r="AI26" i="7"/>
  <c r="AI26" i="8" s="1"/>
  <c r="AI64" i="8" s="1"/>
  <c r="Y26" i="7"/>
  <c r="Y26" i="8" s="1"/>
  <c r="Y64" i="8" s="1"/>
  <c r="BK25" i="7"/>
  <c r="BK25" i="8" s="1"/>
  <c r="BK63" i="8" s="1"/>
  <c r="BA25" i="7"/>
  <c r="BA25" i="8" s="1"/>
  <c r="BA63" i="8" s="1"/>
  <c r="AQ25" i="7"/>
  <c r="AQ25" i="8" s="1"/>
  <c r="AQ63" i="8" s="1"/>
  <c r="AG25" i="7"/>
  <c r="AG25" i="8" s="1"/>
  <c r="AG63" i="8" s="1"/>
  <c r="W25" i="7"/>
  <c r="W25" i="8" s="1"/>
  <c r="W63" i="8" s="1"/>
  <c r="BI24" i="7"/>
  <c r="BI24" i="8" s="1"/>
  <c r="BI62" i="8" s="1"/>
  <c r="AY24" i="7"/>
  <c r="AY24" i="8" s="1"/>
  <c r="AY62" i="8" s="1"/>
  <c r="AO24" i="7"/>
  <c r="AO24" i="8" s="1"/>
  <c r="AO62" i="8" s="1"/>
  <c r="AE24" i="7"/>
  <c r="AE24" i="8" s="1"/>
  <c r="AE62" i="8" s="1"/>
  <c r="U24" i="7"/>
  <c r="U24" i="8" s="1"/>
  <c r="U62" i="8" s="1"/>
  <c r="BG23" i="7"/>
  <c r="BG23" i="8" s="1"/>
  <c r="BG61" i="8" s="1"/>
  <c r="AW23" i="7"/>
  <c r="AW23" i="8" s="1"/>
  <c r="AW61" i="8" s="1"/>
  <c r="AM23" i="7"/>
  <c r="AM23" i="8" s="1"/>
  <c r="AM61" i="8" s="1"/>
  <c r="AC23" i="7"/>
  <c r="AC23" i="8" s="1"/>
  <c r="AC61" i="8" s="1"/>
  <c r="I23" i="7"/>
  <c r="I23" i="8" s="1"/>
  <c r="I61" i="8" s="1"/>
  <c r="BO22" i="7"/>
  <c r="BO22" i="8" s="1"/>
  <c r="BO60" i="8" s="1"/>
  <c r="BE22" i="7"/>
  <c r="BE22" i="8" s="1"/>
  <c r="BE60" i="8" s="1"/>
  <c r="AU22" i="7"/>
  <c r="AU22" i="8" s="1"/>
  <c r="AU60" i="8" s="1"/>
  <c r="AK22" i="7"/>
  <c r="AK22" i="8" s="1"/>
  <c r="AK60" i="8" s="1"/>
  <c r="AA22" i="7"/>
  <c r="AA22" i="8" s="1"/>
  <c r="AA60" i="8" s="1"/>
  <c r="Q22" i="7"/>
  <c r="Q22" i="8" s="1"/>
  <c r="Q60" i="8" s="1"/>
  <c r="BM21" i="7"/>
  <c r="BM21" i="8" s="1"/>
  <c r="BM59" i="8" s="1"/>
  <c r="BC21" i="7"/>
  <c r="BC21" i="8" s="1"/>
  <c r="BC59" i="8" s="1"/>
  <c r="AS21" i="7"/>
  <c r="AS21" i="8" s="1"/>
  <c r="AS59" i="8" s="1"/>
  <c r="AI21" i="7"/>
  <c r="AI21" i="8" s="1"/>
  <c r="AI59" i="8" s="1"/>
  <c r="Y21" i="7"/>
  <c r="Y21" i="8" s="1"/>
  <c r="Y59" i="8" s="1"/>
  <c r="BK20" i="7"/>
  <c r="BK20" i="8" s="1"/>
  <c r="BK58" i="8" s="1"/>
  <c r="BA20" i="7"/>
  <c r="BA20" i="8" s="1"/>
  <c r="BA58" i="8" s="1"/>
  <c r="AQ20" i="7"/>
  <c r="AQ20" i="8" s="1"/>
  <c r="AQ58" i="8" s="1"/>
  <c r="AG20" i="7"/>
  <c r="AG20" i="8" s="1"/>
  <c r="AG58" i="8" s="1"/>
  <c r="W20" i="7"/>
  <c r="W20" i="8" s="1"/>
  <c r="W58" i="8" s="1"/>
  <c r="BI19" i="7"/>
  <c r="BI19" i="8" s="1"/>
  <c r="BI57" i="8" s="1"/>
  <c r="AY19" i="7"/>
  <c r="AY19" i="8" s="1"/>
  <c r="AY57" i="8" s="1"/>
  <c r="AO19" i="7"/>
  <c r="AO19" i="8" s="1"/>
  <c r="AO57" i="8" s="1"/>
  <c r="AE19" i="7"/>
  <c r="AE19" i="8" s="1"/>
  <c r="AE57" i="8" s="1"/>
  <c r="U19" i="7"/>
  <c r="U19" i="8" s="1"/>
  <c r="U57" i="8" s="1"/>
  <c r="BJ34" i="7"/>
  <c r="BJ34" i="8" s="1"/>
  <c r="BJ71" i="8" s="1"/>
  <c r="AY34" i="7"/>
  <c r="AY34" i="8" s="1"/>
  <c r="AY71" i="8" s="1"/>
  <c r="AN34" i="7"/>
  <c r="AN34" i="8" s="1"/>
  <c r="AN71" i="8" s="1"/>
  <c r="AC34" i="7"/>
  <c r="AC34" i="8" s="1"/>
  <c r="AC71" i="8" s="1"/>
  <c r="H34" i="7"/>
  <c r="H34" i="8" s="1"/>
  <c r="H71" i="8" s="1"/>
  <c r="BN33" i="7"/>
  <c r="BN33" i="8" s="1"/>
  <c r="BN70" i="8" s="1"/>
  <c r="BB33" i="7"/>
  <c r="BB33" i="8" s="1"/>
  <c r="BB70" i="8" s="1"/>
  <c r="AQ33" i="7"/>
  <c r="AQ33" i="8" s="1"/>
  <c r="AQ70" i="8" s="1"/>
  <c r="AF33" i="7"/>
  <c r="AF33" i="8" s="1"/>
  <c r="AF70" i="8" s="1"/>
  <c r="U33" i="7"/>
  <c r="U33" i="8" s="1"/>
  <c r="U70" i="8" s="1"/>
  <c r="BF31" i="7"/>
  <c r="BF31" i="8" s="1"/>
  <c r="BF69" i="8" s="1"/>
  <c r="AU31" i="7"/>
  <c r="AU31" i="8" s="1"/>
  <c r="AU69" i="8" s="1"/>
  <c r="AJ31" i="7"/>
  <c r="AJ31" i="8" s="1"/>
  <c r="AJ69" i="8" s="1"/>
  <c r="Y31" i="7"/>
  <c r="Y31" i="8" s="1"/>
  <c r="Y69" i="8" s="1"/>
  <c r="BJ30" i="7"/>
  <c r="BJ30" i="8" s="1"/>
  <c r="BJ68" i="8" s="1"/>
  <c r="AX30" i="7"/>
  <c r="AX30" i="8" s="1"/>
  <c r="AX68" i="8" s="1"/>
  <c r="AM30" i="7"/>
  <c r="AM30" i="8" s="1"/>
  <c r="AM68" i="8" s="1"/>
  <c r="AB30" i="7"/>
  <c r="AB30" i="8" s="1"/>
  <c r="AB68" i="8" s="1"/>
  <c r="BL29" i="7"/>
  <c r="BL29" i="8" s="1"/>
  <c r="BL67" i="8" s="1"/>
  <c r="BA29" i="7"/>
  <c r="BA29" i="8" s="1"/>
  <c r="BA67" i="8" s="1"/>
  <c r="AP29" i="7"/>
  <c r="AP29" i="8" s="1"/>
  <c r="AP67" i="8" s="1"/>
  <c r="AE29" i="7"/>
  <c r="AE29" i="8" s="1"/>
  <c r="AE67" i="8" s="1"/>
  <c r="BP28" i="7"/>
  <c r="BP28" i="8" s="1"/>
  <c r="BP66" i="8" s="1"/>
  <c r="BF28" i="7"/>
  <c r="BF28" i="8" s="1"/>
  <c r="BF66" i="8" s="1"/>
  <c r="AV28" i="7"/>
  <c r="AV28" i="8" s="1"/>
  <c r="AV66" i="8" s="1"/>
  <c r="AL28" i="7"/>
  <c r="AL28" i="8" s="1"/>
  <c r="AL66" i="8" s="1"/>
  <c r="AB28" i="7"/>
  <c r="AB28" i="8" s="1"/>
  <c r="AB66" i="8" s="1"/>
  <c r="R28" i="7"/>
  <c r="R28" i="8" s="1"/>
  <c r="R66" i="8" s="1"/>
  <c r="H28" i="7"/>
  <c r="H28" i="8" s="1"/>
  <c r="H66" i="8" s="1"/>
  <c r="BN27" i="7"/>
  <c r="BN27" i="8" s="1"/>
  <c r="BN65" i="8" s="1"/>
  <c r="BD27" i="7"/>
  <c r="BD27" i="8" s="1"/>
  <c r="BD65" i="8" s="1"/>
  <c r="AT27" i="7"/>
  <c r="AT27" i="8" s="1"/>
  <c r="AT65" i="8" s="1"/>
  <c r="AJ27" i="7"/>
  <c r="AJ27" i="8" s="1"/>
  <c r="AJ65" i="8" s="1"/>
  <c r="Z27" i="7"/>
  <c r="Z27" i="8" s="1"/>
  <c r="Z65" i="8" s="1"/>
  <c r="BL26" i="7"/>
  <c r="BL26" i="8" s="1"/>
  <c r="BL64" i="8" s="1"/>
  <c r="BB26" i="7"/>
  <c r="BB26" i="8" s="1"/>
  <c r="BB64" i="8" s="1"/>
  <c r="AR26" i="7"/>
  <c r="AR26" i="8" s="1"/>
  <c r="AR64" i="8" s="1"/>
  <c r="AH26" i="7"/>
  <c r="AH26" i="8" s="1"/>
  <c r="AH64" i="8" s="1"/>
  <c r="X26" i="7"/>
  <c r="X26" i="8" s="1"/>
  <c r="X64" i="8" s="1"/>
  <c r="D26" i="7"/>
  <c r="D26" i="8" s="1"/>
  <c r="D64" i="8" s="1"/>
  <c r="BJ25" i="7"/>
  <c r="BJ25" i="8" s="1"/>
  <c r="BJ63" i="8" s="1"/>
  <c r="AZ25" i="7"/>
  <c r="AZ25" i="8" s="1"/>
  <c r="AZ63" i="8" s="1"/>
  <c r="AP25" i="7"/>
  <c r="AP25" i="8" s="1"/>
  <c r="AP63" i="8" s="1"/>
  <c r="AF25" i="7"/>
  <c r="AF25" i="8" s="1"/>
  <c r="AF63" i="8" s="1"/>
  <c r="V25" i="7"/>
  <c r="V25" i="8" s="1"/>
  <c r="V63" i="8" s="1"/>
  <c r="B25" i="7"/>
  <c r="B25" i="8" s="1"/>
  <c r="BH24" i="7"/>
  <c r="BH24" i="8" s="1"/>
  <c r="BH62" i="8" s="1"/>
  <c r="AX24" i="7"/>
  <c r="AX24" i="8" s="1"/>
  <c r="AX62" i="8" s="1"/>
  <c r="AN24" i="7"/>
  <c r="AN24" i="8" s="1"/>
  <c r="AN62" i="8" s="1"/>
  <c r="AD24" i="7"/>
  <c r="AD24" i="8" s="1"/>
  <c r="AD62" i="8" s="1"/>
  <c r="BP23" i="7"/>
  <c r="BP23" i="8" s="1"/>
  <c r="BP61" i="8" s="1"/>
  <c r="BF23" i="7"/>
  <c r="BF23" i="8" s="1"/>
  <c r="BF61" i="8" s="1"/>
  <c r="AV23" i="7"/>
  <c r="AV23" i="8" s="1"/>
  <c r="AV61" i="8" s="1"/>
  <c r="AL23" i="7"/>
  <c r="AL23" i="8" s="1"/>
  <c r="AL61" i="8" s="1"/>
  <c r="AB23" i="7"/>
  <c r="AB23" i="8" s="1"/>
  <c r="AB61" i="8" s="1"/>
  <c r="R23" i="7"/>
  <c r="R23" i="8" s="1"/>
  <c r="R61" i="8" s="1"/>
  <c r="H23" i="7"/>
  <c r="H23" i="8" s="1"/>
  <c r="H61" i="8" s="1"/>
  <c r="BN22" i="7"/>
  <c r="BN22" i="8" s="1"/>
  <c r="BN60" i="8" s="1"/>
  <c r="BD22" i="7"/>
  <c r="BD22" i="8" s="1"/>
  <c r="BD60" i="8" s="1"/>
  <c r="AT22" i="7"/>
  <c r="AT22" i="8" s="1"/>
  <c r="AT60" i="8" s="1"/>
  <c r="AJ22" i="7"/>
  <c r="AJ22" i="8" s="1"/>
  <c r="AJ60" i="8" s="1"/>
  <c r="Z22" i="7"/>
  <c r="Z22" i="8" s="1"/>
  <c r="Z60" i="8" s="1"/>
  <c r="BL21" i="7"/>
  <c r="BL21" i="8" s="1"/>
  <c r="BL59" i="8" s="1"/>
  <c r="BB21" i="7"/>
  <c r="BB21" i="8" s="1"/>
  <c r="BB59" i="8" s="1"/>
  <c r="AR21" i="7"/>
  <c r="AR21" i="8" s="1"/>
  <c r="AR59" i="8" s="1"/>
  <c r="AH21" i="7"/>
  <c r="AH21" i="8" s="1"/>
  <c r="AH59" i="8" s="1"/>
  <c r="X21" i="7"/>
  <c r="X21" i="8" s="1"/>
  <c r="X59" i="8" s="1"/>
  <c r="D21" i="7"/>
  <c r="D21" i="8" s="1"/>
  <c r="D59" i="8" s="1"/>
  <c r="BJ20" i="7"/>
  <c r="BJ20" i="8" s="1"/>
  <c r="BJ58" i="8" s="1"/>
  <c r="AZ20" i="7"/>
  <c r="AZ20" i="8" s="1"/>
  <c r="AZ58" i="8" s="1"/>
  <c r="AP20" i="7"/>
  <c r="AP20" i="8" s="1"/>
  <c r="AP58" i="8" s="1"/>
  <c r="AF20" i="7"/>
  <c r="AF20" i="8" s="1"/>
  <c r="AF58" i="8" s="1"/>
  <c r="V20" i="7"/>
  <c r="V20" i="8" s="1"/>
  <c r="V58" i="8" s="1"/>
  <c r="B20" i="7"/>
  <c r="B20" i="8" s="1"/>
  <c r="BH19" i="7"/>
  <c r="BH19" i="8" s="1"/>
  <c r="BH57" i="8" s="1"/>
  <c r="AX19" i="7"/>
  <c r="AX19" i="8" s="1"/>
  <c r="AX57" i="8" s="1"/>
  <c r="AN19" i="7"/>
  <c r="AN19" i="8" s="1"/>
  <c r="AN57" i="8" s="1"/>
  <c r="AD19" i="7"/>
  <c r="AD19" i="8" s="1"/>
  <c r="AD57" i="8" s="1"/>
  <c r="BP18" i="7"/>
  <c r="BP18" i="8" s="1"/>
  <c r="BP56" i="8" s="1"/>
  <c r="BF18" i="7"/>
  <c r="BF18" i="8" s="1"/>
  <c r="BF56" i="8" s="1"/>
  <c r="AV18" i="7"/>
  <c r="AV18" i="8" s="1"/>
  <c r="AV56" i="8" s="1"/>
  <c r="AL18" i="7"/>
  <c r="AL18" i="8" s="1"/>
  <c r="AL56" i="8" s="1"/>
  <c r="AB18" i="7"/>
  <c r="AB18" i="8" s="1"/>
  <c r="AB56" i="8" s="1"/>
  <c r="H18" i="7"/>
  <c r="H18" i="8" s="1"/>
  <c r="H56" i="8" s="1"/>
  <c r="BN17" i="7"/>
  <c r="BN17" i="8" s="1"/>
  <c r="BN55" i="8" s="1"/>
  <c r="BD17" i="7"/>
  <c r="BD17" i="8" s="1"/>
  <c r="BD55" i="8" s="1"/>
  <c r="AT17" i="7"/>
  <c r="AT17" i="8" s="1"/>
  <c r="AT55" i="8" s="1"/>
  <c r="AJ17" i="7"/>
  <c r="AJ17" i="8" s="1"/>
  <c r="AJ55" i="8" s="1"/>
  <c r="Z17" i="7"/>
  <c r="Z17" i="8" s="1"/>
  <c r="Z55" i="8" s="1"/>
  <c r="F17" i="7"/>
  <c r="F17" i="8" s="1"/>
  <c r="F55" i="8" s="1"/>
  <c r="BL16" i="7"/>
  <c r="BL16" i="8" s="1"/>
  <c r="BL54" i="8" s="1"/>
  <c r="BB16" i="7"/>
  <c r="BB16" i="8" s="1"/>
  <c r="BB54" i="8" s="1"/>
  <c r="AR16" i="7"/>
  <c r="AR16" i="8" s="1"/>
  <c r="AR54" i="8" s="1"/>
  <c r="AH16" i="7"/>
  <c r="AH16" i="8" s="1"/>
  <c r="AH54" i="8" s="1"/>
  <c r="X16" i="7"/>
  <c r="X16" i="8" s="1"/>
  <c r="X54" i="8" s="1"/>
  <c r="BJ15" i="7"/>
  <c r="BJ15" i="8" s="1"/>
  <c r="BJ53" i="8" s="1"/>
  <c r="AZ15" i="7"/>
  <c r="AZ15" i="8" s="1"/>
  <c r="AZ53" i="8" s="1"/>
  <c r="AP15" i="7"/>
  <c r="AP15" i="8" s="1"/>
  <c r="AP53" i="8" s="1"/>
  <c r="AF15" i="7"/>
  <c r="AF15" i="8" s="1"/>
  <c r="AF53" i="8" s="1"/>
  <c r="V15" i="7"/>
  <c r="V15" i="8" s="1"/>
  <c r="V53" i="8" s="1"/>
  <c r="B15" i="7"/>
  <c r="B15" i="8" s="1"/>
  <c r="BH14" i="7"/>
  <c r="BH14" i="8" s="1"/>
  <c r="BH52" i="8" s="1"/>
  <c r="AX14" i="7"/>
  <c r="AX14" i="8" s="1"/>
  <c r="AX52" i="8" s="1"/>
  <c r="AN14" i="7"/>
  <c r="AN14" i="8" s="1"/>
  <c r="AN52" i="8" s="1"/>
  <c r="AD14" i="7"/>
  <c r="AD14" i="8" s="1"/>
  <c r="AD52" i="8" s="1"/>
  <c r="BP13" i="7"/>
  <c r="BP13" i="8" s="1"/>
  <c r="BP51" i="8" s="1"/>
  <c r="BF13" i="7"/>
  <c r="BF13" i="8" s="1"/>
  <c r="BF51" i="8" s="1"/>
  <c r="AV13" i="7"/>
  <c r="AV13" i="8" s="1"/>
  <c r="AV51" i="8" s="1"/>
  <c r="AL13" i="7"/>
  <c r="AL13" i="8" s="1"/>
  <c r="AL51" i="8" s="1"/>
  <c r="AB13" i="7"/>
  <c r="AB13" i="8" s="1"/>
  <c r="AB51" i="8" s="1"/>
  <c r="H13" i="7"/>
  <c r="H13" i="8" s="1"/>
  <c r="H51" i="8" s="1"/>
  <c r="BN12" i="7"/>
  <c r="BN12" i="8" s="1"/>
  <c r="BN50" i="8" s="1"/>
  <c r="BD12" i="7"/>
  <c r="BD12" i="8" s="1"/>
  <c r="BD50" i="8" s="1"/>
  <c r="AT12" i="7"/>
  <c r="AT12" i="8" s="1"/>
  <c r="AT50" i="8" s="1"/>
  <c r="AJ12" i="7"/>
  <c r="AJ12" i="8" s="1"/>
  <c r="AJ50" i="8" s="1"/>
  <c r="Z12" i="7"/>
  <c r="Z12" i="8" s="1"/>
  <c r="Z50" i="8" s="1"/>
  <c r="BL11" i="7"/>
  <c r="BL11" i="8" s="1"/>
  <c r="BL49" i="8" s="1"/>
  <c r="BB11" i="7"/>
  <c r="BB11" i="8" s="1"/>
  <c r="BB49" i="8" s="1"/>
  <c r="AR11" i="7"/>
  <c r="AR11" i="8" s="1"/>
  <c r="AR49" i="8" s="1"/>
  <c r="AH11" i="7"/>
  <c r="AH11" i="8" s="1"/>
  <c r="AH49" i="8" s="1"/>
  <c r="X11" i="7"/>
  <c r="X11" i="8" s="1"/>
  <c r="X49" i="8" s="1"/>
  <c r="D11" i="7"/>
  <c r="D11" i="8" s="1"/>
  <c r="D49" i="8" s="1"/>
  <c r="BJ10" i="7"/>
  <c r="BJ10" i="8" s="1"/>
  <c r="BJ48" i="8" s="1"/>
  <c r="AZ10" i="7"/>
  <c r="AZ10" i="8" s="1"/>
  <c r="AZ48" i="8" s="1"/>
  <c r="AP10" i="7"/>
  <c r="AP10" i="8" s="1"/>
  <c r="AP48" i="8" s="1"/>
  <c r="AF10" i="7"/>
  <c r="AF10" i="8" s="1"/>
  <c r="AF48" i="8" s="1"/>
  <c r="V10" i="7"/>
  <c r="V10" i="8" s="1"/>
  <c r="V48" i="8" s="1"/>
  <c r="B10" i="7"/>
  <c r="B10" i="8" s="1"/>
  <c r="BH9" i="7"/>
  <c r="BH9" i="8" s="1"/>
  <c r="BH47" i="8" s="1"/>
  <c r="AX9" i="7"/>
  <c r="AX9" i="8" s="1"/>
  <c r="AX47" i="8" s="1"/>
  <c r="AN9" i="7"/>
  <c r="AN9" i="8" s="1"/>
  <c r="AN47" i="8" s="1"/>
  <c r="AD9" i="7"/>
  <c r="AD9" i="8" s="1"/>
  <c r="AD47" i="8" s="1"/>
  <c r="BP8" i="7"/>
  <c r="BP8" i="8" s="1"/>
  <c r="BP46" i="8" s="1"/>
  <c r="BI34" i="7"/>
  <c r="BI34" i="8" s="1"/>
  <c r="BI71" i="8" s="1"/>
  <c r="AX34" i="7"/>
  <c r="AX34" i="8" s="1"/>
  <c r="AX71" i="8" s="1"/>
  <c r="AM34" i="7"/>
  <c r="AM34" i="8" s="1"/>
  <c r="AM71" i="8" s="1"/>
  <c r="AB34" i="7"/>
  <c r="AB34" i="8" s="1"/>
  <c r="AB71" i="8" s="1"/>
  <c r="BL33" i="7"/>
  <c r="BL33" i="8" s="1"/>
  <c r="BL70" i="8" s="1"/>
  <c r="BA33" i="7"/>
  <c r="BA33" i="8" s="1"/>
  <c r="BA70" i="8" s="1"/>
  <c r="AP33" i="7"/>
  <c r="AP33" i="8" s="1"/>
  <c r="AP70" i="8" s="1"/>
  <c r="AE33" i="7"/>
  <c r="AE33" i="8" s="1"/>
  <c r="AE70" i="8" s="1"/>
  <c r="BP31" i="7"/>
  <c r="BP31" i="8" s="1"/>
  <c r="BP69" i="8" s="1"/>
  <c r="BE31" i="7"/>
  <c r="BE31" i="8" s="1"/>
  <c r="BE69" i="8" s="1"/>
  <c r="AT31" i="7"/>
  <c r="AT31" i="8" s="1"/>
  <c r="AT69" i="8" s="1"/>
  <c r="AI31" i="7"/>
  <c r="AI31" i="8" s="1"/>
  <c r="AI69" i="8" s="1"/>
  <c r="X31" i="7"/>
  <c r="X31" i="8" s="1"/>
  <c r="X69" i="8" s="1"/>
  <c r="BH30" i="7"/>
  <c r="BH30" i="8" s="1"/>
  <c r="BH68" i="8" s="1"/>
  <c r="AW30" i="7"/>
  <c r="AW30" i="8" s="1"/>
  <c r="AW68" i="8" s="1"/>
  <c r="AL30" i="7"/>
  <c r="AL30" i="8" s="1"/>
  <c r="AL68" i="8" s="1"/>
  <c r="AA30" i="7"/>
  <c r="AA30" i="8" s="1"/>
  <c r="AA68" i="8" s="1"/>
  <c r="E30" i="7"/>
  <c r="E30" i="8" s="1"/>
  <c r="E68" i="8" s="1"/>
  <c r="BK29" i="7"/>
  <c r="BK29" i="8" s="1"/>
  <c r="BK67" i="8" s="1"/>
  <c r="AZ29" i="7"/>
  <c r="AZ29" i="8" s="1"/>
  <c r="AZ67" i="8" s="1"/>
  <c r="AO29" i="7"/>
  <c r="AO29" i="8" s="1"/>
  <c r="AO67" i="8" s="1"/>
  <c r="AD29" i="7"/>
  <c r="AD29" i="8" s="1"/>
  <c r="AD67" i="8" s="1"/>
  <c r="I29" i="7"/>
  <c r="I29" i="8" s="1"/>
  <c r="I67" i="8" s="1"/>
  <c r="BO28" i="7"/>
  <c r="BO28" i="8" s="1"/>
  <c r="BO66" i="8" s="1"/>
  <c r="BE28" i="7"/>
  <c r="BE28" i="8" s="1"/>
  <c r="BE66" i="8" s="1"/>
  <c r="AU28" i="7"/>
  <c r="AU28" i="8" s="1"/>
  <c r="AU66" i="8" s="1"/>
  <c r="AK28" i="7"/>
  <c r="AK28" i="8" s="1"/>
  <c r="AK66" i="8" s="1"/>
  <c r="AA28" i="7"/>
  <c r="AA28" i="8" s="1"/>
  <c r="AA66" i="8" s="1"/>
  <c r="Q28" i="7"/>
  <c r="Q28" i="8" s="1"/>
  <c r="Q66" i="8" s="1"/>
  <c r="BM27" i="7"/>
  <c r="BM27" i="8" s="1"/>
  <c r="BM65" i="8" s="1"/>
  <c r="BC27" i="7"/>
  <c r="BC27" i="8" s="1"/>
  <c r="BC65" i="8" s="1"/>
  <c r="AS27" i="7"/>
  <c r="AS27" i="8" s="1"/>
  <c r="AS65" i="8" s="1"/>
  <c r="AI27" i="7"/>
  <c r="AI27" i="8" s="1"/>
  <c r="AI65" i="8" s="1"/>
  <c r="Y27" i="7"/>
  <c r="Y27" i="8" s="1"/>
  <c r="Y65" i="8" s="1"/>
  <c r="BK26" i="7"/>
  <c r="BK26" i="8" s="1"/>
  <c r="BK64" i="8" s="1"/>
  <c r="BA26" i="7"/>
  <c r="BA26" i="8" s="1"/>
  <c r="BA64" i="8" s="1"/>
  <c r="AQ26" i="7"/>
  <c r="AQ26" i="8" s="1"/>
  <c r="AQ64" i="8" s="1"/>
  <c r="AG26" i="7"/>
  <c r="AG26" i="8" s="1"/>
  <c r="AG64" i="8" s="1"/>
  <c r="W26" i="7"/>
  <c r="W26" i="8" s="1"/>
  <c r="W64" i="8" s="1"/>
  <c r="BI25" i="7"/>
  <c r="BI25" i="8" s="1"/>
  <c r="BI63" i="8" s="1"/>
  <c r="AY25" i="7"/>
  <c r="AY25" i="8" s="1"/>
  <c r="AY63" i="8" s="1"/>
  <c r="AO25" i="7"/>
  <c r="AO25" i="8" s="1"/>
  <c r="AO63" i="8" s="1"/>
  <c r="AE25" i="7"/>
  <c r="AE25" i="8" s="1"/>
  <c r="AE63" i="8" s="1"/>
  <c r="U25" i="7"/>
  <c r="U25" i="8" s="1"/>
  <c r="U63" i="8" s="1"/>
  <c r="BG24" i="7"/>
  <c r="BG24" i="8" s="1"/>
  <c r="BG62" i="8" s="1"/>
  <c r="AW24" i="7"/>
  <c r="AW24" i="8" s="1"/>
  <c r="AW62" i="8" s="1"/>
  <c r="AM24" i="7"/>
  <c r="AM24" i="8" s="1"/>
  <c r="AM62" i="8" s="1"/>
  <c r="AC24" i="7"/>
  <c r="AC24" i="8" s="1"/>
  <c r="AC62" i="8" s="1"/>
  <c r="I24" i="7"/>
  <c r="I24" i="8" s="1"/>
  <c r="I62" i="8" s="1"/>
  <c r="BO23" i="7"/>
  <c r="BO23" i="8" s="1"/>
  <c r="BO61" i="8" s="1"/>
  <c r="BE23" i="7"/>
  <c r="BE23" i="8" s="1"/>
  <c r="BE61" i="8" s="1"/>
  <c r="AU23" i="7"/>
  <c r="AU23" i="8" s="1"/>
  <c r="AU61" i="8" s="1"/>
  <c r="AK23" i="7"/>
  <c r="AK23" i="8" s="1"/>
  <c r="AK61" i="8" s="1"/>
  <c r="AA23" i="7"/>
  <c r="AA23" i="8" s="1"/>
  <c r="AA61" i="8" s="1"/>
  <c r="Q23" i="7"/>
  <c r="Q23" i="8" s="1"/>
  <c r="Q61" i="8" s="1"/>
  <c r="BM22" i="7"/>
  <c r="BM22" i="8" s="1"/>
  <c r="BM60" i="8" s="1"/>
  <c r="BC22" i="7"/>
  <c r="BC22" i="8" s="1"/>
  <c r="BC60" i="8" s="1"/>
  <c r="AS22" i="7"/>
  <c r="AS22" i="8" s="1"/>
  <c r="AS60" i="8" s="1"/>
  <c r="AI22" i="7"/>
  <c r="AI22" i="8" s="1"/>
  <c r="AI60" i="8" s="1"/>
  <c r="Y22" i="7"/>
  <c r="Y22" i="8" s="1"/>
  <c r="Y60" i="8" s="1"/>
  <c r="BK21" i="7"/>
  <c r="BK21" i="8" s="1"/>
  <c r="BK59" i="8" s="1"/>
  <c r="BA21" i="7"/>
  <c r="BA21" i="8" s="1"/>
  <c r="BA59" i="8" s="1"/>
  <c r="AQ21" i="7"/>
  <c r="AQ21" i="8" s="1"/>
  <c r="AQ59" i="8" s="1"/>
  <c r="AG21" i="7"/>
  <c r="AG21" i="8" s="1"/>
  <c r="AG59" i="8" s="1"/>
  <c r="W21" i="7"/>
  <c r="W21" i="8" s="1"/>
  <c r="W59" i="8" s="1"/>
  <c r="M21" i="7"/>
  <c r="M21" i="8" s="1"/>
  <c r="M59" i="8" s="1"/>
  <c r="C21" i="7"/>
  <c r="C21" i="8" s="1"/>
  <c r="C59" i="8" s="1"/>
  <c r="BI20" i="7"/>
  <c r="BI20" i="8" s="1"/>
  <c r="BI58" i="8" s="1"/>
  <c r="AY20" i="7"/>
  <c r="AY20" i="8" s="1"/>
  <c r="AY58" i="8" s="1"/>
  <c r="AO20" i="7"/>
  <c r="AO20" i="8" s="1"/>
  <c r="AO58" i="8" s="1"/>
  <c r="AE20" i="7"/>
  <c r="AE20" i="8" s="1"/>
  <c r="AE58" i="8" s="1"/>
  <c r="U20" i="7"/>
  <c r="U20" i="8" s="1"/>
  <c r="U58" i="8" s="1"/>
  <c r="BG19" i="7"/>
  <c r="BG19" i="8" s="1"/>
  <c r="BG57" i="8" s="1"/>
  <c r="AW19" i="7"/>
  <c r="AW19" i="8" s="1"/>
  <c r="AW57" i="8" s="1"/>
  <c r="AM19" i="7"/>
  <c r="AM19" i="8" s="1"/>
  <c r="AM57" i="8" s="1"/>
  <c r="AC19" i="7"/>
  <c r="AC19" i="8" s="1"/>
  <c r="AC57" i="8" s="1"/>
  <c r="I19" i="7"/>
  <c r="I19" i="8" s="1"/>
  <c r="I57" i="8" s="1"/>
  <c r="BO18" i="7"/>
  <c r="BO18" i="8" s="1"/>
  <c r="BO56" i="8" s="1"/>
  <c r="BE18" i="7"/>
  <c r="BE18" i="8" s="1"/>
  <c r="BE56" i="8" s="1"/>
  <c r="AU18" i="7"/>
  <c r="AU18" i="8" s="1"/>
  <c r="AU56" i="8" s="1"/>
  <c r="AK18" i="7"/>
  <c r="AK18" i="8" s="1"/>
  <c r="AK56" i="8" s="1"/>
  <c r="AA18" i="7"/>
  <c r="AA18" i="8" s="1"/>
  <c r="AA56" i="8" s="1"/>
  <c r="BM17" i="7"/>
  <c r="BM17" i="8" s="1"/>
  <c r="BM55" i="8" s="1"/>
  <c r="BC17" i="7"/>
  <c r="BC17" i="8" s="1"/>
  <c r="BC55" i="8" s="1"/>
  <c r="AS17" i="7"/>
  <c r="AS17" i="8" s="1"/>
  <c r="AS55" i="8" s="1"/>
  <c r="AI17" i="7"/>
  <c r="AI17" i="8" s="1"/>
  <c r="AI55" i="8" s="1"/>
  <c r="Y17" i="7"/>
  <c r="Y17" i="8" s="1"/>
  <c r="Y55" i="8" s="1"/>
  <c r="E17" i="7"/>
  <c r="E17" i="8" s="1"/>
  <c r="E55" i="8" s="1"/>
  <c r="BK16" i="7"/>
  <c r="BK16" i="8" s="1"/>
  <c r="BK54" i="8" s="1"/>
  <c r="BA16" i="7"/>
  <c r="BA16" i="8" s="1"/>
  <c r="BA54" i="8" s="1"/>
  <c r="AQ16" i="7"/>
  <c r="AQ16" i="8" s="1"/>
  <c r="AQ54" i="8" s="1"/>
  <c r="AG16" i="7"/>
  <c r="AG16" i="8" s="1"/>
  <c r="AG54" i="8" s="1"/>
  <c r="W16" i="7"/>
  <c r="W16" i="8" s="1"/>
  <c r="W54" i="8" s="1"/>
  <c r="BI15" i="7"/>
  <c r="BI15" i="8" s="1"/>
  <c r="BI53" i="8" s="1"/>
  <c r="AY15" i="7"/>
  <c r="AY15" i="8" s="1"/>
  <c r="AY53" i="8" s="1"/>
  <c r="AO15" i="7"/>
  <c r="AO15" i="8" s="1"/>
  <c r="AO53" i="8" s="1"/>
  <c r="AE15" i="7"/>
  <c r="AE15" i="8" s="1"/>
  <c r="AE53" i="8" s="1"/>
  <c r="U15" i="7"/>
  <c r="U15" i="8" s="1"/>
  <c r="U53" i="8" s="1"/>
  <c r="BG14" i="7"/>
  <c r="BG14" i="8" s="1"/>
  <c r="BG52" i="8" s="1"/>
  <c r="AW14" i="7"/>
  <c r="AW14" i="8" s="1"/>
  <c r="AW52" i="8" s="1"/>
  <c r="AM14" i="7"/>
  <c r="AM14" i="8" s="1"/>
  <c r="AM52" i="8" s="1"/>
  <c r="AC14" i="7"/>
  <c r="AC14" i="8" s="1"/>
  <c r="AC52" i="8" s="1"/>
  <c r="BH34" i="7"/>
  <c r="BH34" i="8" s="1"/>
  <c r="BH71" i="8" s="1"/>
  <c r="AW34" i="7"/>
  <c r="AW34" i="8" s="1"/>
  <c r="AW71" i="8" s="1"/>
  <c r="AL34" i="7"/>
  <c r="AL34" i="8" s="1"/>
  <c r="AL71" i="8" s="1"/>
  <c r="Z34" i="7"/>
  <c r="Z34" i="8" s="1"/>
  <c r="Z71" i="8" s="1"/>
  <c r="BK33" i="7"/>
  <c r="BK33" i="8" s="1"/>
  <c r="BK70" i="8" s="1"/>
  <c r="AZ33" i="7"/>
  <c r="AZ33" i="8" s="1"/>
  <c r="AZ70" i="8" s="1"/>
  <c r="AO33" i="7"/>
  <c r="AO33" i="8" s="1"/>
  <c r="AO70" i="8" s="1"/>
  <c r="AD33" i="7"/>
  <c r="AD33" i="8" s="1"/>
  <c r="AD70" i="8" s="1"/>
  <c r="BG34" i="7"/>
  <c r="BG34" i="8" s="1"/>
  <c r="BG71" i="8" s="1"/>
  <c r="AV34" i="7"/>
  <c r="AV34" i="8" s="1"/>
  <c r="AV71" i="8" s="1"/>
  <c r="AJ34" i="7"/>
  <c r="AJ34" i="8" s="1"/>
  <c r="AJ71" i="8" s="1"/>
  <c r="Y34" i="7"/>
  <c r="Y34" i="8" s="1"/>
  <c r="Y71" i="8" s="1"/>
  <c r="BJ33" i="7"/>
  <c r="BJ33" i="8" s="1"/>
  <c r="BJ70" i="8" s="1"/>
  <c r="AY33" i="7"/>
  <c r="AY33" i="8" s="1"/>
  <c r="AY70" i="8" s="1"/>
  <c r="AN33" i="7"/>
  <c r="AN33" i="8" s="1"/>
  <c r="AN70" i="8" s="1"/>
  <c r="AC33" i="7"/>
  <c r="AC33" i="8" s="1"/>
  <c r="AC70" i="8" s="1"/>
  <c r="H33" i="7"/>
  <c r="H33" i="8" s="1"/>
  <c r="H70" i="8" s="1"/>
  <c r="BN31" i="7"/>
  <c r="BN31" i="8" s="1"/>
  <c r="BN69" i="8" s="1"/>
  <c r="BC31" i="7"/>
  <c r="BC31" i="8" s="1"/>
  <c r="BC69" i="8" s="1"/>
  <c r="AR31" i="7"/>
  <c r="AR31" i="8" s="1"/>
  <c r="AR69" i="8" s="1"/>
  <c r="AF31" i="7"/>
  <c r="AF31" i="8" s="1"/>
  <c r="AF69" i="8" s="1"/>
  <c r="U31" i="7"/>
  <c r="U31" i="8" s="1"/>
  <c r="U69" i="8" s="1"/>
  <c r="BF30" i="7"/>
  <c r="BF30" i="8" s="1"/>
  <c r="BF68" i="8" s="1"/>
  <c r="AU30" i="7"/>
  <c r="AU30" i="8" s="1"/>
  <c r="AU68" i="8" s="1"/>
  <c r="AJ30" i="7"/>
  <c r="AJ30" i="8" s="1"/>
  <c r="AJ68" i="8" s="1"/>
  <c r="Y30" i="7"/>
  <c r="Y30" i="8" s="1"/>
  <c r="Y68" i="8" s="1"/>
  <c r="N30" i="7"/>
  <c r="N30" i="8" s="1"/>
  <c r="N68" i="8" s="1"/>
  <c r="BI29" i="7"/>
  <c r="BI29" i="8" s="1"/>
  <c r="BI67" i="8" s="1"/>
  <c r="AX29" i="7"/>
  <c r="AX29" i="8" s="1"/>
  <c r="AX67" i="8" s="1"/>
  <c r="AL29" i="7"/>
  <c r="AL29" i="8" s="1"/>
  <c r="AL67" i="8" s="1"/>
  <c r="AA29" i="7"/>
  <c r="AA29" i="8" s="1"/>
  <c r="AA67" i="8" s="1"/>
  <c r="Q29" i="7"/>
  <c r="Q29" i="8" s="1"/>
  <c r="Q67" i="8" s="1"/>
  <c r="BM28" i="7"/>
  <c r="BM28" i="8" s="1"/>
  <c r="BM66" i="8" s="1"/>
  <c r="BC28" i="7"/>
  <c r="BC28" i="8" s="1"/>
  <c r="BC66" i="8" s="1"/>
  <c r="AS28" i="7"/>
  <c r="AS28" i="8" s="1"/>
  <c r="AS66" i="8" s="1"/>
  <c r="AI28" i="7"/>
  <c r="AI28" i="8" s="1"/>
  <c r="AI66" i="8" s="1"/>
  <c r="Y28" i="7"/>
  <c r="Y28" i="8" s="1"/>
  <c r="Y66" i="8" s="1"/>
  <c r="BK27" i="7"/>
  <c r="BK27" i="8" s="1"/>
  <c r="BK65" i="8" s="1"/>
  <c r="BA27" i="7"/>
  <c r="BA27" i="8" s="1"/>
  <c r="BA65" i="8" s="1"/>
  <c r="AQ27" i="7"/>
  <c r="AQ27" i="8" s="1"/>
  <c r="AQ65" i="8" s="1"/>
  <c r="AG27" i="7"/>
  <c r="AG27" i="8" s="1"/>
  <c r="AG65" i="8" s="1"/>
  <c r="W27" i="7"/>
  <c r="W27" i="8" s="1"/>
  <c r="W65" i="8" s="1"/>
  <c r="BI26" i="7"/>
  <c r="BI26" i="8" s="1"/>
  <c r="BI64" i="8" s="1"/>
  <c r="AY26" i="7"/>
  <c r="AY26" i="8" s="1"/>
  <c r="AY64" i="8" s="1"/>
  <c r="AO26" i="7"/>
  <c r="AO26" i="8" s="1"/>
  <c r="AO64" i="8" s="1"/>
  <c r="AE26" i="7"/>
  <c r="AE26" i="8" s="1"/>
  <c r="AE64" i="8" s="1"/>
  <c r="U26" i="7"/>
  <c r="U26" i="8" s="1"/>
  <c r="U64" i="8" s="1"/>
  <c r="BG25" i="7"/>
  <c r="BG25" i="8" s="1"/>
  <c r="BG63" i="8" s="1"/>
  <c r="AW25" i="7"/>
  <c r="AW25" i="8" s="1"/>
  <c r="AW63" i="8" s="1"/>
  <c r="AM25" i="7"/>
  <c r="AM25" i="8" s="1"/>
  <c r="AM63" i="8" s="1"/>
  <c r="AC25" i="7"/>
  <c r="AC25" i="8" s="1"/>
  <c r="AC63" i="8" s="1"/>
  <c r="I25" i="7"/>
  <c r="I25" i="8" s="1"/>
  <c r="I63" i="8" s="1"/>
  <c r="BO24" i="7"/>
  <c r="BO24" i="8" s="1"/>
  <c r="BO62" i="8" s="1"/>
  <c r="BE24" i="7"/>
  <c r="BE24" i="8" s="1"/>
  <c r="BE62" i="8" s="1"/>
  <c r="AU24" i="7"/>
  <c r="AU24" i="8" s="1"/>
  <c r="AU62" i="8" s="1"/>
  <c r="AK24" i="7"/>
  <c r="AK24" i="8" s="1"/>
  <c r="AK62" i="8" s="1"/>
  <c r="AA24" i="7"/>
  <c r="AA24" i="8" s="1"/>
  <c r="AA62" i="8" s="1"/>
  <c r="Q24" i="7"/>
  <c r="Q24" i="8" s="1"/>
  <c r="Q62" i="8" s="1"/>
  <c r="BM23" i="7"/>
  <c r="BM23" i="8" s="1"/>
  <c r="BM61" i="8" s="1"/>
  <c r="BC23" i="7"/>
  <c r="BC23" i="8" s="1"/>
  <c r="BC61" i="8" s="1"/>
  <c r="AS23" i="7"/>
  <c r="AS23" i="8" s="1"/>
  <c r="AS61" i="8" s="1"/>
  <c r="AI23" i="7"/>
  <c r="AI23" i="8" s="1"/>
  <c r="AI61" i="8" s="1"/>
  <c r="Y23" i="7"/>
  <c r="Y23" i="8" s="1"/>
  <c r="Y61" i="8" s="1"/>
  <c r="BK22" i="7"/>
  <c r="BK22" i="8" s="1"/>
  <c r="BK60" i="8" s="1"/>
  <c r="BA22" i="7"/>
  <c r="BA22" i="8" s="1"/>
  <c r="BA60" i="8" s="1"/>
  <c r="AQ22" i="7"/>
  <c r="AQ22" i="8" s="1"/>
  <c r="AQ60" i="8" s="1"/>
  <c r="AG22" i="7"/>
  <c r="AG22" i="8" s="1"/>
  <c r="AG60" i="8" s="1"/>
  <c r="W22" i="7"/>
  <c r="W22" i="8" s="1"/>
  <c r="W60" i="8" s="1"/>
  <c r="C22" i="7"/>
  <c r="C22" i="8" s="1"/>
  <c r="C60" i="8" s="1"/>
  <c r="BI21" i="7"/>
  <c r="BI21" i="8" s="1"/>
  <c r="BI59" i="8" s="1"/>
  <c r="AY21" i="7"/>
  <c r="AY21" i="8" s="1"/>
  <c r="AY59" i="8" s="1"/>
  <c r="AO21" i="7"/>
  <c r="AO21" i="8" s="1"/>
  <c r="AO59" i="8" s="1"/>
  <c r="AE21" i="7"/>
  <c r="AE21" i="8" s="1"/>
  <c r="AE59" i="8" s="1"/>
  <c r="U21" i="7"/>
  <c r="U21" i="8" s="1"/>
  <c r="U59" i="8" s="1"/>
  <c r="BG20" i="7"/>
  <c r="BG20" i="8" s="1"/>
  <c r="BG58" i="8" s="1"/>
  <c r="AW20" i="7"/>
  <c r="AW20" i="8" s="1"/>
  <c r="AW58" i="8" s="1"/>
  <c r="AM20" i="7"/>
  <c r="AM20" i="8" s="1"/>
  <c r="AM58" i="8" s="1"/>
  <c r="AC20" i="7"/>
  <c r="AC20" i="8" s="1"/>
  <c r="AC58" i="8" s="1"/>
  <c r="I20" i="7"/>
  <c r="I20" i="8" s="1"/>
  <c r="I58" i="8" s="1"/>
  <c r="BO19" i="7"/>
  <c r="BO19" i="8" s="1"/>
  <c r="BO57" i="8" s="1"/>
  <c r="BE19" i="7"/>
  <c r="BE19" i="8" s="1"/>
  <c r="BE57" i="8" s="1"/>
  <c r="AU19" i="7"/>
  <c r="AU19" i="8" s="1"/>
  <c r="AU57" i="8" s="1"/>
  <c r="AK19" i="7"/>
  <c r="AK19" i="8" s="1"/>
  <c r="AK57" i="8" s="1"/>
  <c r="AA19" i="7"/>
  <c r="AA19" i="8" s="1"/>
  <c r="AA57" i="8" s="1"/>
  <c r="BM18" i="7"/>
  <c r="BM18" i="8" s="1"/>
  <c r="BM56" i="8" s="1"/>
  <c r="BC18" i="7"/>
  <c r="BC18" i="8" s="1"/>
  <c r="BC56" i="8" s="1"/>
  <c r="AS18" i="7"/>
  <c r="AS18" i="8" s="1"/>
  <c r="AS56" i="8" s="1"/>
  <c r="AI18" i="7"/>
  <c r="AI18" i="8" s="1"/>
  <c r="AI56" i="8" s="1"/>
  <c r="Y18" i="7"/>
  <c r="Y18" i="8" s="1"/>
  <c r="Y56" i="8" s="1"/>
  <c r="BK17" i="7"/>
  <c r="BK17" i="8" s="1"/>
  <c r="BK55" i="8" s="1"/>
  <c r="BF34" i="7"/>
  <c r="BF34" i="8" s="1"/>
  <c r="BF71" i="8" s="1"/>
  <c r="AT34" i="7"/>
  <c r="AT34" i="8" s="1"/>
  <c r="AT71" i="8" s="1"/>
  <c r="AI34" i="7"/>
  <c r="AI34" i="8" s="1"/>
  <c r="AI71" i="8" s="1"/>
  <c r="X34" i="7"/>
  <c r="X34" i="8" s="1"/>
  <c r="X71" i="8" s="1"/>
  <c r="BI33" i="7"/>
  <c r="BI33" i="8" s="1"/>
  <c r="BI70" i="8" s="1"/>
  <c r="AX33" i="7"/>
  <c r="AX33" i="8" s="1"/>
  <c r="AX70" i="8" s="1"/>
  <c r="AM33" i="7"/>
  <c r="AM33" i="8" s="1"/>
  <c r="AM70" i="8" s="1"/>
  <c r="AB33" i="7"/>
  <c r="AB33" i="8" s="1"/>
  <c r="AB70" i="8" s="1"/>
  <c r="BM31" i="7"/>
  <c r="BM31" i="8" s="1"/>
  <c r="BM69" i="8" s="1"/>
  <c r="BB31" i="7"/>
  <c r="BB31" i="8" s="1"/>
  <c r="BB69" i="8" s="1"/>
  <c r="AP31" i="7"/>
  <c r="AP31" i="8" s="1"/>
  <c r="AP69" i="8" s="1"/>
  <c r="AE31" i="7"/>
  <c r="AE31" i="8" s="1"/>
  <c r="AE69" i="8" s="1"/>
  <c r="BP30" i="7"/>
  <c r="BP30" i="8" s="1"/>
  <c r="BP68" i="8" s="1"/>
  <c r="BE30" i="7"/>
  <c r="BE30" i="8" s="1"/>
  <c r="BE68" i="8" s="1"/>
  <c r="AT30" i="7"/>
  <c r="AT30" i="8" s="1"/>
  <c r="AT68" i="8" s="1"/>
  <c r="AI30" i="7"/>
  <c r="AI30" i="8" s="1"/>
  <c r="AI68" i="8" s="1"/>
  <c r="X30" i="7"/>
  <c r="X30" i="8" s="1"/>
  <c r="X68" i="8" s="1"/>
  <c r="M30" i="7"/>
  <c r="M30" i="8" s="1"/>
  <c r="M68" i="8" s="1"/>
  <c r="B30" i="7"/>
  <c r="B30" i="8" s="1"/>
  <c r="BH29" i="7"/>
  <c r="BH29" i="8" s="1"/>
  <c r="BH67" i="8" s="1"/>
  <c r="AV29" i="7"/>
  <c r="AV29" i="8" s="1"/>
  <c r="AV67" i="8" s="1"/>
  <c r="AK29" i="7"/>
  <c r="AK29" i="8" s="1"/>
  <c r="AK67" i="8" s="1"/>
  <c r="Z29" i="7"/>
  <c r="Z29" i="8" s="1"/>
  <c r="Z67" i="8" s="1"/>
  <c r="BL28" i="7"/>
  <c r="BL28" i="8" s="1"/>
  <c r="BL66" i="8" s="1"/>
  <c r="BB28" i="7"/>
  <c r="BB28" i="8" s="1"/>
  <c r="BB66" i="8" s="1"/>
  <c r="AR28" i="7"/>
  <c r="AR28" i="8" s="1"/>
  <c r="AR66" i="8" s="1"/>
  <c r="AH28" i="7"/>
  <c r="AH28" i="8" s="1"/>
  <c r="AH66" i="8" s="1"/>
  <c r="X28" i="7"/>
  <c r="X28" i="8" s="1"/>
  <c r="X66" i="8" s="1"/>
  <c r="D28" i="7"/>
  <c r="D28" i="8" s="1"/>
  <c r="D66" i="8" s="1"/>
  <c r="BJ27" i="7"/>
  <c r="BJ27" i="8" s="1"/>
  <c r="BJ65" i="8" s="1"/>
  <c r="AZ27" i="7"/>
  <c r="AZ27" i="8" s="1"/>
  <c r="AZ65" i="8" s="1"/>
  <c r="AP27" i="7"/>
  <c r="AP27" i="8" s="1"/>
  <c r="AP65" i="8" s="1"/>
  <c r="AF27" i="7"/>
  <c r="AF27" i="8" s="1"/>
  <c r="AF65" i="8" s="1"/>
  <c r="V27" i="7"/>
  <c r="V27" i="8" s="1"/>
  <c r="V65" i="8" s="1"/>
  <c r="B27" i="7"/>
  <c r="B27" i="8" s="1"/>
  <c r="BH26" i="7"/>
  <c r="BH26" i="8" s="1"/>
  <c r="BH64" i="8" s="1"/>
  <c r="AX26" i="7"/>
  <c r="AX26" i="8" s="1"/>
  <c r="AX64" i="8" s="1"/>
  <c r="AN26" i="7"/>
  <c r="AN26" i="8" s="1"/>
  <c r="AN64" i="8" s="1"/>
  <c r="AD26" i="7"/>
  <c r="AD26" i="8" s="1"/>
  <c r="AD64" i="8" s="1"/>
  <c r="BP25" i="7"/>
  <c r="BP25" i="8" s="1"/>
  <c r="BP63" i="8" s="1"/>
  <c r="BF25" i="7"/>
  <c r="BF25" i="8" s="1"/>
  <c r="BF63" i="8" s="1"/>
  <c r="AV25" i="7"/>
  <c r="AV25" i="8" s="1"/>
  <c r="AV63" i="8" s="1"/>
  <c r="AL25" i="7"/>
  <c r="AL25" i="8" s="1"/>
  <c r="AL63" i="8" s="1"/>
  <c r="AB25" i="7"/>
  <c r="AB25" i="8" s="1"/>
  <c r="AB63" i="8" s="1"/>
  <c r="R25" i="7"/>
  <c r="R25" i="8" s="1"/>
  <c r="R63" i="8" s="1"/>
  <c r="H25" i="7"/>
  <c r="H25" i="8" s="1"/>
  <c r="H63" i="8" s="1"/>
  <c r="BN24" i="7"/>
  <c r="BN24" i="8" s="1"/>
  <c r="BN62" i="8" s="1"/>
  <c r="BD24" i="7"/>
  <c r="BD24" i="8" s="1"/>
  <c r="BD62" i="8" s="1"/>
  <c r="AT24" i="7"/>
  <c r="AT24" i="8" s="1"/>
  <c r="AT62" i="8" s="1"/>
  <c r="AJ24" i="7"/>
  <c r="AJ24" i="8" s="1"/>
  <c r="AJ62" i="8" s="1"/>
  <c r="Z24" i="7"/>
  <c r="Z24" i="8" s="1"/>
  <c r="Z62" i="8" s="1"/>
  <c r="BL23" i="7"/>
  <c r="BL23" i="8" s="1"/>
  <c r="BL61" i="8" s="1"/>
  <c r="BB23" i="7"/>
  <c r="BB23" i="8" s="1"/>
  <c r="BB61" i="8" s="1"/>
  <c r="AR23" i="7"/>
  <c r="AR23" i="8" s="1"/>
  <c r="AR61" i="8" s="1"/>
  <c r="AH23" i="7"/>
  <c r="AH23" i="8" s="1"/>
  <c r="AH61" i="8" s="1"/>
  <c r="X23" i="7"/>
  <c r="X23" i="8" s="1"/>
  <c r="X61" i="8" s="1"/>
  <c r="D23" i="7"/>
  <c r="D23" i="8" s="1"/>
  <c r="D61" i="8" s="1"/>
  <c r="BJ22" i="7"/>
  <c r="BJ22" i="8" s="1"/>
  <c r="BJ60" i="8" s="1"/>
  <c r="AZ22" i="7"/>
  <c r="AZ22" i="8" s="1"/>
  <c r="AZ60" i="8" s="1"/>
  <c r="AP22" i="7"/>
  <c r="AP22" i="8" s="1"/>
  <c r="AP60" i="8" s="1"/>
  <c r="AF22" i="7"/>
  <c r="AF22" i="8" s="1"/>
  <c r="AF60" i="8" s="1"/>
  <c r="V22" i="7"/>
  <c r="V22" i="8" s="1"/>
  <c r="V60" i="8" s="1"/>
  <c r="B22" i="7"/>
  <c r="B22" i="8" s="1"/>
  <c r="BH21" i="7"/>
  <c r="BH21" i="8" s="1"/>
  <c r="BH59" i="8" s="1"/>
  <c r="AX21" i="7"/>
  <c r="AX21" i="8" s="1"/>
  <c r="AX59" i="8" s="1"/>
  <c r="AN21" i="7"/>
  <c r="AN21" i="8" s="1"/>
  <c r="AN59" i="8" s="1"/>
  <c r="AD21" i="7"/>
  <c r="AD21" i="8" s="1"/>
  <c r="AD59" i="8" s="1"/>
  <c r="BP20" i="7"/>
  <c r="BP20" i="8" s="1"/>
  <c r="BP58" i="8" s="1"/>
  <c r="BP34" i="7"/>
  <c r="BP34" i="8" s="1"/>
  <c r="BP71" i="8" s="1"/>
  <c r="BD34" i="7"/>
  <c r="BD34" i="8" s="1"/>
  <c r="BD71" i="8" s="1"/>
  <c r="AS34" i="7"/>
  <c r="AS34" i="8" s="1"/>
  <c r="AS71" i="8" s="1"/>
  <c r="AH34" i="7"/>
  <c r="AH34" i="8" s="1"/>
  <c r="AH71" i="8" s="1"/>
  <c r="W34" i="7"/>
  <c r="W34" i="8" s="1"/>
  <c r="W71" i="8" s="1"/>
  <c r="BH33" i="7"/>
  <c r="BH33" i="8" s="1"/>
  <c r="BH70" i="8" s="1"/>
  <c r="AW33" i="7"/>
  <c r="AW33" i="8" s="1"/>
  <c r="AW70" i="8" s="1"/>
  <c r="AL33" i="7"/>
  <c r="AL33" i="8" s="1"/>
  <c r="AL70" i="8" s="1"/>
  <c r="AA33" i="7"/>
  <c r="AA33" i="8" s="1"/>
  <c r="AA70" i="8" s="1"/>
  <c r="F33" i="7"/>
  <c r="F33" i="8" s="1"/>
  <c r="F70" i="8" s="1"/>
  <c r="BL31" i="7"/>
  <c r="BL31" i="8" s="1"/>
  <c r="BL69" i="8" s="1"/>
  <c r="AZ31" i="7"/>
  <c r="AZ31" i="8" s="1"/>
  <c r="AZ69" i="8" s="1"/>
  <c r="AO31" i="7"/>
  <c r="AO31" i="8" s="1"/>
  <c r="AO69" i="8" s="1"/>
  <c r="AD31" i="7"/>
  <c r="AD31" i="8" s="1"/>
  <c r="AD69" i="8" s="1"/>
  <c r="BO30" i="7"/>
  <c r="BO30" i="8" s="1"/>
  <c r="BO68" i="8" s="1"/>
  <c r="BD30" i="7"/>
  <c r="BD30" i="8" s="1"/>
  <c r="BD68" i="8" s="1"/>
  <c r="AS30" i="7"/>
  <c r="AS30" i="8" s="1"/>
  <c r="AS68" i="8" s="1"/>
  <c r="AH30" i="7"/>
  <c r="AH30" i="8" s="1"/>
  <c r="AH68" i="8" s="1"/>
  <c r="W30" i="7"/>
  <c r="W30" i="8" s="1"/>
  <c r="W68" i="8" s="1"/>
  <c r="BF29" i="7"/>
  <c r="BF29" i="8" s="1"/>
  <c r="BF67" i="8" s="1"/>
  <c r="AU29" i="7"/>
  <c r="AU29" i="8" s="1"/>
  <c r="AU67" i="8" s="1"/>
  <c r="AJ29" i="7"/>
  <c r="AJ29" i="8" s="1"/>
  <c r="AJ67" i="8" s="1"/>
  <c r="Y29" i="7"/>
  <c r="Y29" i="8" s="1"/>
  <c r="Y67" i="8" s="1"/>
  <c r="BK28" i="7"/>
  <c r="BK28" i="8" s="1"/>
  <c r="BK66" i="8" s="1"/>
  <c r="BA28" i="7"/>
  <c r="BA28" i="8" s="1"/>
  <c r="BA66" i="8" s="1"/>
  <c r="AQ28" i="7"/>
  <c r="AQ28" i="8" s="1"/>
  <c r="AQ66" i="8" s="1"/>
  <c r="AG28" i="7"/>
  <c r="AG28" i="8" s="1"/>
  <c r="AG66" i="8" s="1"/>
  <c r="W28" i="7"/>
  <c r="W28" i="8" s="1"/>
  <c r="W66" i="8" s="1"/>
  <c r="BI27" i="7"/>
  <c r="BI27" i="8" s="1"/>
  <c r="BI65" i="8" s="1"/>
  <c r="AY27" i="7"/>
  <c r="AY27" i="8" s="1"/>
  <c r="AY65" i="8" s="1"/>
  <c r="AO27" i="7"/>
  <c r="AO27" i="8" s="1"/>
  <c r="AO65" i="8" s="1"/>
  <c r="AE27" i="7"/>
  <c r="AE27" i="8" s="1"/>
  <c r="AE65" i="8" s="1"/>
  <c r="U27" i="7"/>
  <c r="U27" i="8" s="1"/>
  <c r="U65" i="8" s="1"/>
  <c r="BG26" i="7"/>
  <c r="BG26" i="8" s="1"/>
  <c r="BG64" i="8" s="1"/>
  <c r="AW26" i="7"/>
  <c r="AW26" i="8" s="1"/>
  <c r="AW64" i="8" s="1"/>
  <c r="AM26" i="7"/>
  <c r="AM26" i="8" s="1"/>
  <c r="AM64" i="8" s="1"/>
  <c r="AC26" i="7"/>
  <c r="AC26" i="8" s="1"/>
  <c r="AC64" i="8" s="1"/>
  <c r="I26" i="7"/>
  <c r="I26" i="8" s="1"/>
  <c r="I64" i="8" s="1"/>
  <c r="BO25" i="7"/>
  <c r="BO25" i="8" s="1"/>
  <c r="BO63" i="8" s="1"/>
  <c r="BE25" i="7"/>
  <c r="BE25" i="8" s="1"/>
  <c r="BE63" i="8" s="1"/>
  <c r="AU25" i="7"/>
  <c r="AU25" i="8" s="1"/>
  <c r="AU63" i="8" s="1"/>
  <c r="AK25" i="7"/>
  <c r="AK25" i="8" s="1"/>
  <c r="AK63" i="8" s="1"/>
  <c r="AA25" i="7"/>
  <c r="AA25" i="8" s="1"/>
  <c r="AA63" i="8" s="1"/>
  <c r="Q25" i="7"/>
  <c r="Q25" i="8" s="1"/>
  <c r="Q63" i="8" s="1"/>
  <c r="BM24" i="7"/>
  <c r="BM24" i="8" s="1"/>
  <c r="BM62" i="8" s="1"/>
  <c r="BC24" i="7"/>
  <c r="BC24" i="8" s="1"/>
  <c r="BC62" i="8" s="1"/>
  <c r="AS24" i="7"/>
  <c r="AS24" i="8" s="1"/>
  <c r="AS62" i="8" s="1"/>
  <c r="AI24" i="7"/>
  <c r="AI24" i="8" s="1"/>
  <c r="AI62" i="8" s="1"/>
  <c r="Y24" i="7"/>
  <c r="Y24" i="8" s="1"/>
  <c r="Y62" i="8" s="1"/>
  <c r="BK23" i="7"/>
  <c r="BK23" i="8" s="1"/>
  <c r="BK61" i="8" s="1"/>
  <c r="BA23" i="7"/>
  <c r="BA23" i="8" s="1"/>
  <c r="BA61" i="8" s="1"/>
  <c r="AQ23" i="7"/>
  <c r="AQ23" i="8" s="1"/>
  <c r="AQ61" i="8" s="1"/>
  <c r="AG23" i="7"/>
  <c r="AG23" i="8" s="1"/>
  <c r="AG61" i="8" s="1"/>
  <c r="W23" i="7"/>
  <c r="W23" i="8" s="1"/>
  <c r="W61" i="8" s="1"/>
  <c r="BN34" i="7"/>
  <c r="BN34" i="8" s="1"/>
  <c r="BN71" i="8" s="1"/>
  <c r="BC34" i="7"/>
  <c r="BC34" i="8" s="1"/>
  <c r="BC71" i="8" s="1"/>
  <c r="AR34" i="7"/>
  <c r="AR34" i="8" s="1"/>
  <c r="AR71" i="8" s="1"/>
  <c r="AG34" i="7"/>
  <c r="AG34" i="8" s="1"/>
  <c r="AG71" i="8" s="1"/>
  <c r="V34" i="7"/>
  <c r="V34" i="8" s="1"/>
  <c r="V71" i="8" s="1"/>
  <c r="B34" i="7"/>
  <c r="B34" i="8" s="1"/>
  <c r="BG33" i="7"/>
  <c r="BG33" i="8" s="1"/>
  <c r="BG70" i="8" s="1"/>
  <c r="AV33" i="7"/>
  <c r="AV33" i="8" s="1"/>
  <c r="AV70" i="8" s="1"/>
  <c r="AK33" i="7"/>
  <c r="AK33" i="8" s="1"/>
  <c r="AK70" i="8" s="1"/>
  <c r="Z33" i="7"/>
  <c r="Z33" i="8" s="1"/>
  <c r="Z70" i="8" s="1"/>
  <c r="BJ31" i="7"/>
  <c r="BJ31" i="8" s="1"/>
  <c r="BJ69" i="8" s="1"/>
  <c r="AY31" i="7"/>
  <c r="AY31" i="8" s="1"/>
  <c r="AY69" i="8" s="1"/>
  <c r="AN31" i="7"/>
  <c r="AN31" i="8" s="1"/>
  <c r="AN69" i="8" s="1"/>
  <c r="AC31" i="7"/>
  <c r="AC31" i="8" s="1"/>
  <c r="AC69" i="8" s="1"/>
  <c r="BN30" i="7"/>
  <c r="BN30" i="8" s="1"/>
  <c r="BN68" i="8" s="1"/>
  <c r="BC30" i="7"/>
  <c r="BC30" i="8" s="1"/>
  <c r="BC68" i="8" s="1"/>
  <c r="AR30" i="7"/>
  <c r="AR30" i="8" s="1"/>
  <c r="AR68" i="8" s="1"/>
  <c r="AG30" i="7"/>
  <c r="AG30" i="8" s="1"/>
  <c r="AG68" i="8" s="1"/>
  <c r="V30" i="7"/>
  <c r="V30" i="8" s="1"/>
  <c r="V68" i="8" s="1"/>
  <c r="BP29" i="7"/>
  <c r="BP29" i="8" s="1"/>
  <c r="BP67" i="8" s="1"/>
  <c r="BE29" i="7"/>
  <c r="BE29" i="8" s="1"/>
  <c r="BE67" i="8" s="1"/>
  <c r="AT29" i="7"/>
  <c r="AT29" i="8" s="1"/>
  <c r="AT67" i="8" s="1"/>
  <c r="AI29" i="7"/>
  <c r="AI29" i="8" s="1"/>
  <c r="AI67" i="8" s="1"/>
  <c r="X29" i="7"/>
  <c r="X29" i="8" s="1"/>
  <c r="X67" i="8" s="1"/>
  <c r="D29" i="7"/>
  <c r="D29" i="8" s="1"/>
  <c r="D67" i="8" s="1"/>
  <c r="BJ28" i="7"/>
  <c r="BJ28" i="8" s="1"/>
  <c r="BJ66" i="8" s="1"/>
  <c r="AZ28" i="7"/>
  <c r="AZ28" i="8" s="1"/>
  <c r="AZ66" i="8" s="1"/>
  <c r="AP28" i="7"/>
  <c r="AP28" i="8" s="1"/>
  <c r="AP66" i="8" s="1"/>
  <c r="AF28" i="7"/>
  <c r="AF28" i="8" s="1"/>
  <c r="AF66" i="8" s="1"/>
  <c r="V28" i="7"/>
  <c r="V28" i="8" s="1"/>
  <c r="V66" i="8" s="1"/>
  <c r="B28" i="7"/>
  <c r="B28" i="8" s="1"/>
  <c r="BH27" i="7"/>
  <c r="BH27" i="8" s="1"/>
  <c r="BH65" i="8" s="1"/>
  <c r="AX27" i="7"/>
  <c r="AX27" i="8" s="1"/>
  <c r="AX65" i="8" s="1"/>
  <c r="AN27" i="7"/>
  <c r="AN27" i="8" s="1"/>
  <c r="AN65" i="8" s="1"/>
  <c r="AD27" i="7"/>
  <c r="AD27" i="8" s="1"/>
  <c r="AD65" i="8" s="1"/>
  <c r="J27" i="7"/>
  <c r="J27" i="8" s="1"/>
  <c r="J65" i="8" s="1"/>
  <c r="BP26" i="7"/>
  <c r="BP26" i="8" s="1"/>
  <c r="BP64" i="8" s="1"/>
  <c r="BF26" i="7"/>
  <c r="BF26" i="8" s="1"/>
  <c r="BF64" i="8" s="1"/>
  <c r="AV26" i="7"/>
  <c r="AV26" i="8" s="1"/>
  <c r="AV64" i="8" s="1"/>
  <c r="AL26" i="7"/>
  <c r="AL26" i="8" s="1"/>
  <c r="AL64" i="8" s="1"/>
  <c r="AB26" i="7"/>
  <c r="AB26" i="8" s="1"/>
  <c r="AB64" i="8" s="1"/>
  <c r="R26" i="7"/>
  <c r="R26" i="8" s="1"/>
  <c r="R64" i="8" s="1"/>
  <c r="H26" i="7"/>
  <c r="H26" i="8" s="1"/>
  <c r="H64" i="8" s="1"/>
  <c r="BN25" i="7"/>
  <c r="BN25" i="8" s="1"/>
  <c r="BN63" i="8" s="1"/>
  <c r="BD25" i="7"/>
  <c r="BD25" i="8" s="1"/>
  <c r="BD63" i="8" s="1"/>
  <c r="AT25" i="7"/>
  <c r="AT25" i="8" s="1"/>
  <c r="AT63" i="8" s="1"/>
  <c r="AJ25" i="7"/>
  <c r="AJ25" i="8" s="1"/>
  <c r="AJ63" i="8" s="1"/>
  <c r="Z25" i="7"/>
  <c r="Z25" i="8" s="1"/>
  <c r="Z63" i="8" s="1"/>
  <c r="BL24" i="7"/>
  <c r="BL24" i="8" s="1"/>
  <c r="BL62" i="8" s="1"/>
  <c r="BB24" i="7"/>
  <c r="BB24" i="8" s="1"/>
  <c r="BB62" i="8" s="1"/>
  <c r="AR24" i="7"/>
  <c r="AR24" i="8" s="1"/>
  <c r="AR62" i="8" s="1"/>
  <c r="AH24" i="7"/>
  <c r="AH24" i="8" s="1"/>
  <c r="AH62" i="8" s="1"/>
  <c r="X24" i="7"/>
  <c r="X24" i="8" s="1"/>
  <c r="X62" i="8" s="1"/>
  <c r="BJ23" i="7"/>
  <c r="BJ23" i="8" s="1"/>
  <c r="BJ61" i="8" s="1"/>
  <c r="AZ23" i="7"/>
  <c r="AZ23" i="8" s="1"/>
  <c r="AZ61" i="8" s="1"/>
  <c r="AP23" i="7"/>
  <c r="AP23" i="8" s="1"/>
  <c r="AP61" i="8" s="1"/>
  <c r="AF23" i="7"/>
  <c r="AF23" i="8" s="1"/>
  <c r="AF61" i="8" s="1"/>
  <c r="V23" i="7"/>
  <c r="V23" i="8" s="1"/>
  <c r="V61" i="8" s="1"/>
  <c r="B23" i="7"/>
  <c r="B23" i="8" s="1"/>
  <c r="BH22" i="7"/>
  <c r="BH22" i="8" s="1"/>
  <c r="BH60" i="8" s="1"/>
  <c r="AX22" i="7"/>
  <c r="AX22" i="8" s="1"/>
  <c r="AX60" i="8" s="1"/>
  <c r="AN22" i="7"/>
  <c r="AN22" i="8" s="1"/>
  <c r="AN60" i="8" s="1"/>
  <c r="AD22" i="7"/>
  <c r="AD22" i="8" s="1"/>
  <c r="AD60" i="8" s="1"/>
  <c r="BP21" i="7"/>
  <c r="BP21" i="8" s="1"/>
  <c r="BP59" i="8" s="1"/>
  <c r="BF21" i="7"/>
  <c r="BF21" i="8" s="1"/>
  <c r="BF59" i="8" s="1"/>
  <c r="AV21" i="7"/>
  <c r="AV21" i="8" s="1"/>
  <c r="AV59" i="8" s="1"/>
  <c r="AL21" i="7"/>
  <c r="AL21" i="8" s="1"/>
  <c r="AL59" i="8" s="1"/>
  <c r="AB21" i="7"/>
  <c r="AB21" i="8" s="1"/>
  <c r="AB59" i="8" s="1"/>
  <c r="H21" i="7"/>
  <c r="H21" i="8" s="1"/>
  <c r="H59" i="8" s="1"/>
  <c r="BN20" i="7"/>
  <c r="BN20" i="8" s="1"/>
  <c r="BN58" i="8" s="1"/>
  <c r="BD20" i="7"/>
  <c r="BD20" i="8" s="1"/>
  <c r="BD58" i="8" s="1"/>
  <c r="AT20" i="7"/>
  <c r="AT20" i="8" s="1"/>
  <c r="AT58" i="8" s="1"/>
  <c r="AJ20" i="7"/>
  <c r="AJ20" i="8" s="1"/>
  <c r="AJ58" i="8" s="1"/>
  <c r="Z20" i="7"/>
  <c r="Z20" i="8" s="1"/>
  <c r="Z58" i="8" s="1"/>
  <c r="F20" i="7"/>
  <c r="F20" i="8" s="1"/>
  <c r="F58" i="8" s="1"/>
  <c r="BL19" i="7"/>
  <c r="BL19" i="8" s="1"/>
  <c r="BL57" i="8" s="1"/>
  <c r="BB19" i="7"/>
  <c r="BB19" i="8" s="1"/>
  <c r="BB57" i="8" s="1"/>
  <c r="AR19" i="7"/>
  <c r="AR19" i="8" s="1"/>
  <c r="AR57" i="8" s="1"/>
  <c r="AH19" i="7"/>
  <c r="AH19" i="8" s="1"/>
  <c r="AH57" i="8" s="1"/>
  <c r="X19" i="7"/>
  <c r="X19" i="8" s="1"/>
  <c r="X57" i="8" s="1"/>
  <c r="BJ18" i="7"/>
  <c r="BJ18" i="8" s="1"/>
  <c r="BJ56" i="8" s="1"/>
  <c r="AZ18" i="7"/>
  <c r="AZ18" i="8" s="1"/>
  <c r="AZ56" i="8" s="1"/>
  <c r="AP18" i="7"/>
  <c r="AP18" i="8" s="1"/>
  <c r="AP56" i="8" s="1"/>
  <c r="AF18" i="7"/>
  <c r="AF18" i="8" s="1"/>
  <c r="AF56" i="8" s="1"/>
  <c r="V18" i="7"/>
  <c r="V18" i="8" s="1"/>
  <c r="V56" i="8" s="1"/>
  <c r="B18" i="7"/>
  <c r="B18" i="8" s="1"/>
  <c r="BH17" i="7"/>
  <c r="BH17" i="8" s="1"/>
  <c r="BH55" i="8" s="1"/>
  <c r="AX17" i="7"/>
  <c r="AX17" i="8" s="1"/>
  <c r="AX55" i="8" s="1"/>
  <c r="AN17" i="7"/>
  <c r="AN17" i="8" s="1"/>
  <c r="AN55" i="8" s="1"/>
  <c r="AD17" i="7"/>
  <c r="AD17" i="8" s="1"/>
  <c r="AD55" i="8" s="1"/>
  <c r="BD31" i="7"/>
  <c r="BD31" i="8" s="1"/>
  <c r="BD69" i="8" s="1"/>
  <c r="BL27" i="7"/>
  <c r="BL27" i="8" s="1"/>
  <c r="BL65" i="8" s="1"/>
  <c r="BJ26" i="7"/>
  <c r="BJ26" i="8" s="1"/>
  <c r="BJ64" i="8" s="1"/>
  <c r="BH25" i="7"/>
  <c r="BH25" i="8" s="1"/>
  <c r="BH63" i="8" s="1"/>
  <c r="AV24" i="7"/>
  <c r="AV24" i="8" s="1"/>
  <c r="AV62" i="8" s="1"/>
  <c r="BN23" i="7"/>
  <c r="BN23" i="8" s="1"/>
  <c r="BN61" i="8" s="1"/>
  <c r="BI22" i="7"/>
  <c r="BI22" i="8" s="1"/>
  <c r="BI60" i="8" s="1"/>
  <c r="AC21" i="7"/>
  <c r="AC21" i="8" s="1"/>
  <c r="AC59" i="8" s="1"/>
  <c r="AX20" i="7"/>
  <c r="AX20" i="8" s="1"/>
  <c r="AX58" i="8" s="1"/>
  <c r="H20" i="7"/>
  <c r="H20" i="8" s="1"/>
  <c r="H58" i="8" s="1"/>
  <c r="BD19" i="7"/>
  <c r="BD19" i="8" s="1"/>
  <c r="BD57" i="8" s="1"/>
  <c r="Y19" i="7"/>
  <c r="Y19" i="8" s="1"/>
  <c r="Y57" i="8" s="1"/>
  <c r="BL18" i="7"/>
  <c r="BL18" i="8" s="1"/>
  <c r="BL56" i="8" s="1"/>
  <c r="AM18" i="7"/>
  <c r="AM18" i="8" s="1"/>
  <c r="AM56" i="8" s="1"/>
  <c r="BI17" i="7"/>
  <c r="BI17" i="8" s="1"/>
  <c r="BI55" i="8" s="1"/>
  <c r="AQ17" i="7"/>
  <c r="AQ17" i="8" s="1"/>
  <c r="AQ55" i="8" s="1"/>
  <c r="AA17" i="7"/>
  <c r="AA17" i="8" s="1"/>
  <c r="AA55" i="8" s="1"/>
  <c r="B17" i="7"/>
  <c r="B17" i="8" s="1"/>
  <c r="BF16" i="7"/>
  <c r="BF16" i="8" s="1"/>
  <c r="BF54" i="8" s="1"/>
  <c r="AT16" i="7"/>
  <c r="AT16" i="8" s="1"/>
  <c r="AT54" i="8" s="1"/>
  <c r="AF16" i="7"/>
  <c r="AF16" i="8" s="1"/>
  <c r="AF54" i="8" s="1"/>
  <c r="BP15" i="7"/>
  <c r="BP15" i="8" s="1"/>
  <c r="BP53" i="8" s="1"/>
  <c r="BD15" i="7"/>
  <c r="BD15" i="8" s="1"/>
  <c r="BD53" i="8" s="1"/>
  <c r="AR15" i="7"/>
  <c r="AR15" i="8" s="1"/>
  <c r="AR53" i="8" s="1"/>
  <c r="AD15" i="7"/>
  <c r="AD15" i="8" s="1"/>
  <c r="AD53" i="8" s="1"/>
  <c r="R15" i="7"/>
  <c r="R15" i="8" s="1"/>
  <c r="R53" i="8" s="1"/>
  <c r="H15" i="7"/>
  <c r="H15" i="8" s="1"/>
  <c r="H53" i="8" s="1"/>
  <c r="BM14" i="7"/>
  <c r="BM14" i="8" s="1"/>
  <c r="BM52" i="8" s="1"/>
  <c r="BA14" i="7"/>
  <c r="BA14" i="8" s="1"/>
  <c r="BA52" i="8" s="1"/>
  <c r="AO14" i="7"/>
  <c r="AO14" i="8" s="1"/>
  <c r="AO52" i="8" s="1"/>
  <c r="AA14" i="7"/>
  <c r="AA14" i="8" s="1"/>
  <c r="AA52" i="8" s="1"/>
  <c r="AS31" i="7"/>
  <c r="AS31" i="8" s="1"/>
  <c r="AS69" i="8" s="1"/>
  <c r="BJ29" i="7"/>
  <c r="BJ29" i="8" s="1"/>
  <c r="BJ67" i="8" s="1"/>
  <c r="BN28" i="7"/>
  <c r="BN28" i="8" s="1"/>
  <c r="BN66" i="8" s="1"/>
  <c r="BB27" i="7"/>
  <c r="BB27" i="8" s="1"/>
  <c r="BB65" i="8" s="1"/>
  <c r="AZ26" i="7"/>
  <c r="AZ26" i="8" s="1"/>
  <c r="AZ64" i="8" s="1"/>
  <c r="AX25" i="7"/>
  <c r="AX25" i="8" s="1"/>
  <c r="AX63" i="8" s="1"/>
  <c r="AL24" i="7"/>
  <c r="AL24" i="8" s="1"/>
  <c r="AL62" i="8" s="1"/>
  <c r="BD23" i="7"/>
  <c r="BD23" i="8" s="1"/>
  <c r="BD61" i="8" s="1"/>
  <c r="BB22" i="7"/>
  <c r="BB22" i="8" s="1"/>
  <c r="BB60" i="8" s="1"/>
  <c r="V21" i="7"/>
  <c r="V21" i="8" s="1"/>
  <c r="V59" i="8" s="1"/>
  <c r="I21" i="7"/>
  <c r="I21" i="8" s="1"/>
  <c r="I59" i="8" s="1"/>
  <c r="AV20" i="7"/>
  <c r="AV20" i="8" s="1"/>
  <c r="AV58" i="8" s="1"/>
  <c r="BC19" i="7"/>
  <c r="BC19" i="8" s="1"/>
  <c r="BC57" i="8" s="1"/>
  <c r="BK18" i="7"/>
  <c r="BK18" i="8" s="1"/>
  <c r="BK56" i="8" s="1"/>
  <c r="AJ18" i="7"/>
  <c r="AJ18" i="8" s="1"/>
  <c r="AJ56" i="8" s="1"/>
  <c r="F18" i="7"/>
  <c r="F18" i="8" s="1"/>
  <c r="F56" i="8" s="1"/>
  <c r="BF17" i="7"/>
  <c r="BF17" i="8" s="1"/>
  <c r="BF55" i="8" s="1"/>
  <c r="AP17" i="7"/>
  <c r="AP17" i="8" s="1"/>
  <c r="AP55" i="8" s="1"/>
  <c r="X17" i="7"/>
  <c r="X17" i="8" s="1"/>
  <c r="X55" i="8" s="1"/>
  <c r="BE16" i="7"/>
  <c r="BE16" i="8" s="1"/>
  <c r="BE54" i="8" s="1"/>
  <c r="AS16" i="7"/>
  <c r="AS16" i="8" s="1"/>
  <c r="AS54" i="8" s="1"/>
  <c r="AE16" i="7"/>
  <c r="AE16" i="8" s="1"/>
  <c r="AE54" i="8" s="1"/>
  <c r="I16" i="7"/>
  <c r="I16" i="8" s="1"/>
  <c r="I54" i="8" s="1"/>
  <c r="BO15" i="7"/>
  <c r="BO15" i="8" s="1"/>
  <c r="BO53" i="8" s="1"/>
  <c r="BC15" i="7"/>
  <c r="BC15" i="8" s="1"/>
  <c r="BC53" i="8" s="1"/>
  <c r="AQ15" i="7"/>
  <c r="AQ15" i="8" s="1"/>
  <c r="AQ53" i="8" s="1"/>
  <c r="AC15" i="7"/>
  <c r="AC15" i="8" s="1"/>
  <c r="AC53" i="8" s="1"/>
  <c r="BL14" i="7"/>
  <c r="BL14" i="8" s="1"/>
  <c r="BL52" i="8" s="1"/>
  <c r="AZ14" i="7"/>
  <c r="AZ14" i="8" s="1"/>
  <c r="AZ52" i="8" s="1"/>
  <c r="AL14" i="7"/>
  <c r="AL14" i="8" s="1"/>
  <c r="AL52" i="8" s="1"/>
  <c r="Z14" i="7"/>
  <c r="Z14" i="8" s="1"/>
  <c r="Z52" i="8" s="1"/>
  <c r="BK13" i="7"/>
  <c r="BK13" i="8" s="1"/>
  <c r="BK51" i="8" s="1"/>
  <c r="AZ13" i="7"/>
  <c r="AZ13" i="8" s="1"/>
  <c r="AZ51" i="8" s="1"/>
  <c r="AO13" i="7"/>
  <c r="AO13" i="8" s="1"/>
  <c r="AO51" i="8" s="1"/>
  <c r="AD13" i="7"/>
  <c r="AD13" i="8" s="1"/>
  <c r="AD51" i="8" s="1"/>
  <c r="I13" i="7"/>
  <c r="I13" i="8" s="1"/>
  <c r="I51" i="8" s="1"/>
  <c r="BM12" i="7"/>
  <c r="BM12" i="8" s="1"/>
  <c r="BM50" i="8" s="1"/>
  <c r="BB12" i="7"/>
  <c r="BB12" i="8" s="1"/>
  <c r="BB50" i="8" s="1"/>
  <c r="AQ12" i="7"/>
  <c r="AQ12" i="8" s="1"/>
  <c r="AQ50" i="8" s="1"/>
  <c r="AF12" i="7"/>
  <c r="AF12" i="8" s="1"/>
  <c r="AF50" i="8" s="1"/>
  <c r="U12" i="7"/>
  <c r="U12" i="8" s="1"/>
  <c r="U50" i="8" s="1"/>
  <c r="AH31" i="7"/>
  <c r="AH31" i="8" s="1"/>
  <c r="AH69" i="8" s="1"/>
  <c r="AY29" i="7"/>
  <c r="AY29" i="8" s="1"/>
  <c r="AY67" i="8" s="1"/>
  <c r="BD28" i="7"/>
  <c r="BD28" i="8" s="1"/>
  <c r="BD66" i="8" s="1"/>
  <c r="AR27" i="7"/>
  <c r="AR27" i="8" s="1"/>
  <c r="AR65" i="8" s="1"/>
  <c r="AP26" i="7"/>
  <c r="AP26" i="8" s="1"/>
  <c r="AP64" i="8" s="1"/>
  <c r="AN25" i="7"/>
  <c r="AN25" i="8" s="1"/>
  <c r="AN63" i="8" s="1"/>
  <c r="AB24" i="7"/>
  <c r="AB24" i="8" s="1"/>
  <c r="AB62" i="8" s="1"/>
  <c r="AT23" i="7"/>
  <c r="AT23" i="8" s="1"/>
  <c r="AT61" i="8" s="1"/>
  <c r="AY22" i="7"/>
  <c r="AY22" i="8" s="1"/>
  <c r="AY60" i="8" s="1"/>
  <c r="AU20" i="7"/>
  <c r="AU20" i="8" s="1"/>
  <c r="AU58" i="8" s="1"/>
  <c r="AV19" i="7"/>
  <c r="AV19" i="8" s="1"/>
  <c r="AV57" i="8" s="1"/>
  <c r="H19" i="7"/>
  <c r="H19" i="8" s="1"/>
  <c r="H57" i="8" s="1"/>
  <c r="BG18" i="7"/>
  <c r="BG18" i="8" s="1"/>
  <c r="BG56" i="8" s="1"/>
  <c r="AH18" i="7"/>
  <c r="AH18" i="8" s="1"/>
  <c r="AH56" i="8" s="1"/>
  <c r="BE17" i="7"/>
  <c r="BE17" i="8" s="1"/>
  <c r="BE55" i="8" s="1"/>
  <c r="AO17" i="7"/>
  <c r="AO17" i="8" s="1"/>
  <c r="AO55" i="8" s="1"/>
  <c r="W17" i="7"/>
  <c r="W17" i="8" s="1"/>
  <c r="W55" i="8" s="1"/>
  <c r="BP16" i="7"/>
  <c r="BP16" i="8" s="1"/>
  <c r="BP54" i="8" s="1"/>
  <c r="BD16" i="7"/>
  <c r="BD16" i="8" s="1"/>
  <c r="BD54" i="8" s="1"/>
  <c r="AP16" i="7"/>
  <c r="AP16" i="8" s="1"/>
  <c r="AP54" i="8" s="1"/>
  <c r="AD16" i="7"/>
  <c r="AD16" i="8" s="1"/>
  <c r="AD54" i="8" s="1"/>
  <c r="H16" i="7"/>
  <c r="H16" i="8" s="1"/>
  <c r="H54" i="8" s="1"/>
  <c r="BN15" i="7"/>
  <c r="BN15" i="8" s="1"/>
  <c r="BN53" i="8" s="1"/>
  <c r="BB15" i="7"/>
  <c r="BB15" i="8" s="1"/>
  <c r="BB53" i="8" s="1"/>
  <c r="AN15" i="7"/>
  <c r="AN15" i="8" s="1"/>
  <c r="AN53" i="8" s="1"/>
  <c r="AB15" i="7"/>
  <c r="AB15" i="8" s="1"/>
  <c r="AB53" i="8" s="1"/>
  <c r="BK14" i="7"/>
  <c r="BK14" i="8" s="1"/>
  <c r="BK52" i="8" s="1"/>
  <c r="AY14" i="7"/>
  <c r="AY14" i="8" s="1"/>
  <c r="AY52" i="8" s="1"/>
  <c r="AK14" i="7"/>
  <c r="AK14" i="8" s="1"/>
  <c r="AK52" i="8" s="1"/>
  <c r="Y14" i="7"/>
  <c r="Y14" i="8" s="1"/>
  <c r="Y52" i="8" s="1"/>
  <c r="BJ13" i="7"/>
  <c r="BJ13" i="8" s="1"/>
  <c r="BJ51" i="8" s="1"/>
  <c r="AY13" i="7"/>
  <c r="AY13" i="8" s="1"/>
  <c r="AY51" i="8" s="1"/>
  <c r="AN13" i="7"/>
  <c r="AN13" i="8" s="1"/>
  <c r="AN51" i="8" s="1"/>
  <c r="AC13" i="7"/>
  <c r="AC13" i="8" s="1"/>
  <c r="AC51" i="8" s="1"/>
  <c r="BL12" i="7"/>
  <c r="BL12" i="8" s="1"/>
  <c r="BL50" i="8" s="1"/>
  <c r="BA12" i="7"/>
  <c r="BA12" i="8" s="1"/>
  <c r="BA50" i="8" s="1"/>
  <c r="AP12" i="7"/>
  <c r="AP12" i="8" s="1"/>
  <c r="AP50" i="8" s="1"/>
  <c r="AE12" i="7"/>
  <c r="AE12" i="8" s="1"/>
  <c r="AE50" i="8" s="1"/>
  <c r="BP11" i="7"/>
  <c r="BP11" i="8" s="1"/>
  <c r="BP49" i="8" s="1"/>
  <c r="BE11" i="7"/>
  <c r="BE11" i="8" s="1"/>
  <c r="BE49" i="8" s="1"/>
  <c r="AT11" i="7"/>
  <c r="AT11" i="8" s="1"/>
  <c r="AT49" i="8" s="1"/>
  <c r="AI11" i="7"/>
  <c r="AI11" i="8" s="1"/>
  <c r="AI49" i="8" s="1"/>
  <c r="W11" i="7"/>
  <c r="W11" i="8" s="1"/>
  <c r="W49" i="8" s="1"/>
  <c r="B11" i="7"/>
  <c r="B11" i="8" s="1"/>
  <c r="BG10" i="7"/>
  <c r="BG10" i="8" s="1"/>
  <c r="BG48" i="8" s="1"/>
  <c r="AV10" i="7"/>
  <c r="AV10" i="8" s="1"/>
  <c r="AV48" i="8" s="1"/>
  <c r="AK10" i="7"/>
  <c r="AK10" i="8" s="1"/>
  <c r="AK48" i="8" s="1"/>
  <c r="Z10" i="7"/>
  <c r="Z10" i="8" s="1"/>
  <c r="Z48" i="8" s="1"/>
  <c r="BJ9" i="7"/>
  <c r="BJ9" i="8" s="1"/>
  <c r="BJ47" i="8" s="1"/>
  <c r="AY9" i="7"/>
  <c r="AY9" i="8" s="1"/>
  <c r="AY47" i="8" s="1"/>
  <c r="AM9" i="7"/>
  <c r="AM9" i="8" s="1"/>
  <c r="AM47" i="8" s="1"/>
  <c r="AB9" i="7"/>
  <c r="AB9" i="8" s="1"/>
  <c r="AB47" i="8" s="1"/>
  <c r="H9" i="7"/>
  <c r="H9" i="8" s="1"/>
  <c r="H47" i="8" s="1"/>
  <c r="I33" i="7"/>
  <c r="I33" i="8" s="1"/>
  <c r="I70" i="8" s="1"/>
  <c r="V31" i="7"/>
  <c r="V31" i="8" s="1"/>
  <c r="V69" i="8" s="1"/>
  <c r="AN29" i="7"/>
  <c r="AN29" i="8" s="1"/>
  <c r="AN67" i="8" s="1"/>
  <c r="AT28" i="7"/>
  <c r="AT28" i="8" s="1"/>
  <c r="AT66" i="8" s="1"/>
  <c r="AH27" i="7"/>
  <c r="AH27" i="8" s="1"/>
  <c r="AH65" i="8" s="1"/>
  <c r="AF26" i="7"/>
  <c r="AF26" i="8" s="1"/>
  <c r="AF64" i="8" s="1"/>
  <c r="AD25" i="7"/>
  <c r="AD25" i="8" s="1"/>
  <c r="AD63" i="8" s="1"/>
  <c r="H24" i="7"/>
  <c r="H24" i="8" s="1"/>
  <c r="H62" i="8" s="1"/>
  <c r="AJ23" i="7"/>
  <c r="AJ23" i="8" s="1"/>
  <c r="AJ61" i="8" s="1"/>
  <c r="AR22" i="7"/>
  <c r="AR22" i="8" s="1"/>
  <c r="AR60" i="8" s="1"/>
  <c r="BJ21" i="7"/>
  <c r="BJ21" i="8" s="1"/>
  <c r="BJ59" i="8" s="1"/>
  <c r="AN20" i="7"/>
  <c r="AN20" i="8" s="1"/>
  <c r="AN58" i="8" s="1"/>
  <c r="AT19" i="7"/>
  <c r="AT19" i="8" s="1"/>
  <c r="AT57" i="8" s="1"/>
  <c r="BD18" i="7"/>
  <c r="BD18" i="8" s="1"/>
  <c r="BD56" i="8" s="1"/>
  <c r="AG18" i="7"/>
  <c r="AG18" i="8" s="1"/>
  <c r="AG56" i="8" s="1"/>
  <c r="BB17" i="7"/>
  <c r="BB17" i="8" s="1"/>
  <c r="BB55" i="8" s="1"/>
  <c r="AL17" i="7"/>
  <c r="AL17" i="8" s="1"/>
  <c r="AL55" i="8" s="1"/>
  <c r="V17" i="7"/>
  <c r="V17" i="8" s="1"/>
  <c r="V55" i="8" s="1"/>
  <c r="L17" i="7"/>
  <c r="L17" i="8" s="1"/>
  <c r="L55" i="8" s="1"/>
  <c r="BO16" i="7"/>
  <c r="BO16" i="8" s="1"/>
  <c r="BO54" i="8" s="1"/>
  <c r="BC16" i="7"/>
  <c r="BC16" i="8" s="1"/>
  <c r="BC54" i="8" s="1"/>
  <c r="AO16" i="7"/>
  <c r="AO16" i="8" s="1"/>
  <c r="AO54" i="8" s="1"/>
  <c r="AC16" i="7"/>
  <c r="AC16" i="8" s="1"/>
  <c r="AC54" i="8" s="1"/>
  <c r="BM15" i="7"/>
  <c r="BM15" i="8" s="1"/>
  <c r="BM53" i="8" s="1"/>
  <c r="BA15" i="7"/>
  <c r="BA15" i="8" s="1"/>
  <c r="BA53" i="8" s="1"/>
  <c r="AM15" i="7"/>
  <c r="AM15" i="8" s="1"/>
  <c r="AM53" i="8" s="1"/>
  <c r="AA15" i="7"/>
  <c r="AA15" i="8" s="1"/>
  <c r="AA53" i="8" s="1"/>
  <c r="BJ14" i="7"/>
  <c r="BJ14" i="8" s="1"/>
  <c r="BJ52" i="8" s="1"/>
  <c r="AV14" i="7"/>
  <c r="AV14" i="8" s="1"/>
  <c r="AV52" i="8" s="1"/>
  <c r="AJ14" i="7"/>
  <c r="AJ14" i="8" s="1"/>
  <c r="AJ52" i="8" s="1"/>
  <c r="X14" i="7"/>
  <c r="X14" i="8" s="1"/>
  <c r="X52" i="8" s="1"/>
  <c r="D14" i="7"/>
  <c r="D14" i="8" s="1"/>
  <c r="D52" i="8" s="1"/>
  <c r="BI13" i="7"/>
  <c r="BI13" i="8" s="1"/>
  <c r="BI51" i="8" s="1"/>
  <c r="AX13" i="7"/>
  <c r="AX13" i="8" s="1"/>
  <c r="AX51" i="8" s="1"/>
  <c r="AM13" i="7"/>
  <c r="AM13" i="8" s="1"/>
  <c r="AM51" i="8" s="1"/>
  <c r="AA13" i="7"/>
  <c r="AA13" i="8" s="1"/>
  <c r="AA51" i="8" s="1"/>
  <c r="Q13" i="7"/>
  <c r="Q13" i="8" s="1"/>
  <c r="Q51" i="8" s="1"/>
  <c r="BK12" i="7"/>
  <c r="BK12" i="8" s="1"/>
  <c r="BK50" i="8" s="1"/>
  <c r="AZ12" i="7"/>
  <c r="AZ12" i="8" s="1"/>
  <c r="AZ50" i="8" s="1"/>
  <c r="AO12" i="7"/>
  <c r="AO12" i="8" s="1"/>
  <c r="AO50" i="8" s="1"/>
  <c r="AD12" i="7"/>
  <c r="AD12" i="8" s="1"/>
  <c r="AD50" i="8" s="1"/>
  <c r="I12" i="7"/>
  <c r="I12" i="8" s="1"/>
  <c r="I50" i="8" s="1"/>
  <c r="BO11" i="7"/>
  <c r="BO11" i="8" s="1"/>
  <c r="BO49" i="8" s="1"/>
  <c r="BD11" i="7"/>
  <c r="BD11" i="8" s="1"/>
  <c r="BD49" i="8" s="1"/>
  <c r="AS11" i="7"/>
  <c r="AS11" i="8" s="1"/>
  <c r="AS49" i="8" s="1"/>
  <c r="AG11" i="7"/>
  <c r="AG11" i="8" s="1"/>
  <c r="AG49" i="8" s="1"/>
  <c r="V11" i="7"/>
  <c r="V11" i="8" s="1"/>
  <c r="V49" i="8" s="1"/>
  <c r="BF10" i="7"/>
  <c r="BF10" i="8" s="1"/>
  <c r="BF48" i="8" s="1"/>
  <c r="AU10" i="7"/>
  <c r="AU10" i="8" s="1"/>
  <c r="AU48" i="8" s="1"/>
  <c r="AJ10" i="7"/>
  <c r="AJ10" i="8" s="1"/>
  <c r="AJ48" i="8" s="1"/>
  <c r="Y10" i="7"/>
  <c r="Y10" i="8" s="1"/>
  <c r="Y48" i="8" s="1"/>
  <c r="BI9" i="7"/>
  <c r="BI9" i="8" s="1"/>
  <c r="BI47" i="8" s="1"/>
  <c r="AW9" i="7"/>
  <c r="AW9" i="8" s="1"/>
  <c r="AW47" i="8" s="1"/>
  <c r="AL9" i="7"/>
  <c r="AL9" i="8" s="1"/>
  <c r="AL47" i="8" s="1"/>
  <c r="AA9" i="7"/>
  <c r="AA9" i="8" s="1"/>
  <c r="AA47" i="8" s="1"/>
  <c r="BG30" i="7"/>
  <c r="BG30" i="8" s="1"/>
  <c r="BG68" i="8" s="1"/>
  <c r="AB29" i="7"/>
  <c r="AB29" i="8" s="1"/>
  <c r="AB67" i="8" s="1"/>
  <c r="AJ28" i="7"/>
  <c r="AJ28" i="8" s="1"/>
  <c r="AJ66" i="8" s="1"/>
  <c r="X27" i="7"/>
  <c r="X27" i="8" s="1"/>
  <c r="X65" i="8" s="1"/>
  <c r="V26" i="7"/>
  <c r="V26" i="8" s="1"/>
  <c r="V64" i="8" s="1"/>
  <c r="Z23" i="7"/>
  <c r="Z23" i="8" s="1"/>
  <c r="Z61" i="8" s="1"/>
  <c r="AO22" i="7"/>
  <c r="AO22" i="8" s="1"/>
  <c r="AO60" i="8" s="1"/>
  <c r="BG21" i="7"/>
  <c r="BG21" i="8" s="1"/>
  <c r="BG59" i="8" s="1"/>
  <c r="B21" i="7"/>
  <c r="B21" i="8" s="1"/>
  <c r="AL20" i="7"/>
  <c r="AL20" i="8" s="1"/>
  <c r="AL58" i="8" s="1"/>
  <c r="AS19" i="7"/>
  <c r="AS19" i="8" s="1"/>
  <c r="AS57" i="8" s="1"/>
  <c r="F19" i="7"/>
  <c r="F19" i="8" s="1"/>
  <c r="F57" i="8" s="1"/>
  <c r="BB18" i="7"/>
  <c r="BB18" i="8" s="1"/>
  <c r="BB56" i="8" s="1"/>
  <c r="AC18" i="7"/>
  <c r="AC18" i="8" s="1"/>
  <c r="AC56" i="8" s="1"/>
  <c r="BA17" i="7"/>
  <c r="BA17" i="8" s="1"/>
  <c r="BA55" i="8" s="1"/>
  <c r="AK17" i="7"/>
  <c r="AK17" i="8" s="1"/>
  <c r="AK55" i="8" s="1"/>
  <c r="U17" i="7"/>
  <c r="U17" i="8" s="1"/>
  <c r="U55" i="8" s="1"/>
  <c r="K17" i="7"/>
  <c r="K17" i="8" s="1"/>
  <c r="K55" i="8" s="1"/>
  <c r="BN16" i="7"/>
  <c r="BN16" i="8" s="1"/>
  <c r="BN54" i="8" s="1"/>
  <c r="AZ16" i="7"/>
  <c r="AZ16" i="8" s="1"/>
  <c r="AZ54" i="8" s="1"/>
  <c r="AN16" i="7"/>
  <c r="AN16" i="8" s="1"/>
  <c r="AN54" i="8" s="1"/>
  <c r="AB16" i="7"/>
  <c r="AB16" i="8" s="1"/>
  <c r="AB54" i="8" s="1"/>
  <c r="F16" i="7"/>
  <c r="F16" i="8" s="1"/>
  <c r="F54" i="8" s="1"/>
  <c r="BL15" i="7"/>
  <c r="BL15" i="8" s="1"/>
  <c r="BL53" i="8" s="1"/>
  <c r="AX15" i="7"/>
  <c r="AX15" i="8" s="1"/>
  <c r="AX53" i="8" s="1"/>
  <c r="AL15" i="7"/>
  <c r="AL15" i="8" s="1"/>
  <c r="AL53" i="8" s="1"/>
  <c r="Z15" i="7"/>
  <c r="Z15" i="8" s="1"/>
  <c r="Z53" i="8" s="1"/>
  <c r="D15" i="7"/>
  <c r="D15" i="8" s="1"/>
  <c r="D53" i="8" s="1"/>
  <c r="BI14" i="7"/>
  <c r="BI14" i="8" s="1"/>
  <c r="BI52" i="8" s="1"/>
  <c r="AU14" i="7"/>
  <c r="AU14" i="8" s="1"/>
  <c r="AU52" i="8" s="1"/>
  <c r="AI14" i="7"/>
  <c r="AI14" i="8" s="1"/>
  <c r="AI52" i="8" s="1"/>
  <c r="W14" i="7"/>
  <c r="W14" i="8" s="1"/>
  <c r="W52" i="8" s="1"/>
  <c r="C14" i="7"/>
  <c r="C14" i="8" s="1"/>
  <c r="C52" i="8" s="1"/>
  <c r="BH13" i="7"/>
  <c r="BH13" i="8" s="1"/>
  <c r="BH51" i="8" s="1"/>
  <c r="AW13" i="7"/>
  <c r="AW13" i="8" s="1"/>
  <c r="AW51" i="8" s="1"/>
  <c r="AK13" i="7"/>
  <c r="AK13" i="8" s="1"/>
  <c r="AK51" i="8" s="1"/>
  <c r="Z13" i="7"/>
  <c r="Z13" i="8" s="1"/>
  <c r="Z51" i="8" s="1"/>
  <c r="BJ12" i="7"/>
  <c r="BJ12" i="8" s="1"/>
  <c r="BJ50" i="8" s="1"/>
  <c r="AY12" i="7"/>
  <c r="AY12" i="8" s="1"/>
  <c r="AY50" i="8" s="1"/>
  <c r="AN12" i="7"/>
  <c r="AN12" i="8" s="1"/>
  <c r="AN50" i="8" s="1"/>
  <c r="AC12" i="7"/>
  <c r="AC12" i="8" s="1"/>
  <c r="AC50" i="8" s="1"/>
  <c r="H12" i="7"/>
  <c r="H12" i="8" s="1"/>
  <c r="H50" i="8" s="1"/>
  <c r="BN11" i="7"/>
  <c r="BN11" i="8" s="1"/>
  <c r="BN49" i="8" s="1"/>
  <c r="BC11" i="7"/>
  <c r="BC11" i="8" s="1"/>
  <c r="BC49" i="8" s="1"/>
  <c r="AQ11" i="7"/>
  <c r="AQ11" i="8" s="1"/>
  <c r="AQ49" i="8" s="1"/>
  <c r="AF11" i="7"/>
  <c r="AF11" i="8" s="1"/>
  <c r="AF49" i="8" s="1"/>
  <c r="U11" i="7"/>
  <c r="U11" i="8" s="1"/>
  <c r="U49" i="8" s="1"/>
  <c r="BP10" i="7"/>
  <c r="BP10" i="8" s="1"/>
  <c r="BP48" i="8" s="1"/>
  <c r="BE10" i="7"/>
  <c r="BE10" i="8" s="1"/>
  <c r="BE48" i="8" s="1"/>
  <c r="AT10" i="7"/>
  <c r="AT10" i="8" s="1"/>
  <c r="AT48" i="8" s="1"/>
  <c r="AI10" i="7"/>
  <c r="AI10" i="8" s="1"/>
  <c r="AI48" i="8" s="1"/>
  <c r="X10" i="7"/>
  <c r="X10" i="8" s="1"/>
  <c r="X48" i="8" s="1"/>
  <c r="C10" i="7"/>
  <c r="C10" i="8" s="1"/>
  <c r="C48" i="8" s="1"/>
  <c r="AV30" i="7"/>
  <c r="AV30" i="8" s="1"/>
  <c r="AV68" i="8" s="1"/>
  <c r="H29" i="7"/>
  <c r="H29" i="8" s="1"/>
  <c r="H67" i="8" s="1"/>
  <c r="Z28" i="7"/>
  <c r="Z28" i="8" s="1"/>
  <c r="Z66" i="8" s="1"/>
  <c r="AH22" i="7"/>
  <c r="AH22" i="8" s="1"/>
  <c r="AH60" i="8" s="1"/>
  <c r="AZ21" i="7"/>
  <c r="AZ21" i="8" s="1"/>
  <c r="AZ59" i="8" s="1"/>
  <c r="AK20" i="7"/>
  <c r="AK20" i="8" s="1"/>
  <c r="AK58" i="8" s="1"/>
  <c r="AL19" i="7"/>
  <c r="AL19" i="8" s="1"/>
  <c r="AL57" i="8" s="1"/>
  <c r="BA18" i="7"/>
  <c r="BA18" i="8" s="1"/>
  <c r="BA56" i="8" s="1"/>
  <c r="Z18" i="7"/>
  <c r="Z18" i="8" s="1"/>
  <c r="Z56" i="8" s="1"/>
  <c r="AZ17" i="7"/>
  <c r="AZ17" i="8" s="1"/>
  <c r="AZ55" i="8" s="1"/>
  <c r="AH17" i="7"/>
  <c r="AH17" i="8" s="1"/>
  <c r="AH55" i="8" s="1"/>
  <c r="BM16" i="7"/>
  <c r="BM16" i="8" s="1"/>
  <c r="BM54" i="8" s="1"/>
  <c r="AY16" i="7"/>
  <c r="AY16" i="8" s="1"/>
  <c r="AY54" i="8" s="1"/>
  <c r="AM16" i="7"/>
  <c r="AM16" i="8" s="1"/>
  <c r="AM54" i="8" s="1"/>
  <c r="AA16" i="7"/>
  <c r="AA16" i="8" s="1"/>
  <c r="AA54" i="8" s="1"/>
  <c r="E16" i="7"/>
  <c r="E16" i="8" s="1"/>
  <c r="E54" i="8" s="1"/>
  <c r="BK15" i="7"/>
  <c r="BK15" i="8" s="1"/>
  <c r="BK53" i="8" s="1"/>
  <c r="AW15" i="7"/>
  <c r="AW15" i="8" s="1"/>
  <c r="AW53" i="8" s="1"/>
  <c r="AK15" i="7"/>
  <c r="AK15" i="8" s="1"/>
  <c r="AK53" i="8" s="1"/>
  <c r="Y15" i="7"/>
  <c r="Y15" i="8" s="1"/>
  <c r="Y53" i="8" s="1"/>
  <c r="C15" i="7"/>
  <c r="C15" i="8" s="1"/>
  <c r="C53" i="8" s="1"/>
  <c r="BF14" i="7"/>
  <c r="BF14" i="8" s="1"/>
  <c r="BF52" i="8" s="1"/>
  <c r="AT14" i="7"/>
  <c r="AT14" i="8" s="1"/>
  <c r="AT52" i="8" s="1"/>
  <c r="AH14" i="7"/>
  <c r="AH14" i="8" s="1"/>
  <c r="AH52" i="8" s="1"/>
  <c r="V14" i="7"/>
  <c r="V14" i="8" s="1"/>
  <c r="V52" i="8" s="1"/>
  <c r="B14" i="7"/>
  <c r="B14" i="8" s="1"/>
  <c r="BG13" i="7"/>
  <c r="BG13" i="8" s="1"/>
  <c r="BG51" i="8" s="1"/>
  <c r="AU13" i="7"/>
  <c r="AU13" i="8" s="1"/>
  <c r="AU51" i="8" s="1"/>
  <c r="AJ13" i="7"/>
  <c r="AJ13" i="8" s="1"/>
  <c r="AJ51" i="8" s="1"/>
  <c r="Y13" i="7"/>
  <c r="Y13" i="8" s="1"/>
  <c r="Y51" i="8" s="1"/>
  <c r="AK30" i="7"/>
  <c r="AK30" i="8" s="1"/>
  <c r="AK68" i="8" s="1"/>
  <c r="AE22" i="7"/>
  <c r="AE22" i="8" s="1"/>
  <c r="AE60" i="8" s="1"/>
  <c r="AW21" i="7"/>
  <c r="AW21" i="8" s="1"/>
  <c r="AW59" i="8" s="1"/>
  <c r="BO20" i="7"/>
  <c r="BO20" i="8" s="1"/>
  <c r="BO58" i="8" s="1"/>
  <c r="AD20" i="7"/>
  <c r="AD20" i="8" s="1"/>
  <c r="AD58" i="8" s="1"/>
  <c r="BP19" i="7"/>
  <c r="BP19" i="8" s="1"/>
  <c r="BP57" i="8" s="1"/>
  <c r="AJ19" i="7"/>
  <c r="AJ19" i="8" s="1"/>
  <c r="AJ57" i="8" s="1"/>
  <c r="AW18" i="7"/>
  <c r="AW18" i="8" s="1"/>
  <c r="AW56" i="8" s="1"/>
  <c r="X18" i="7"/>
  <c r="X18" i="8" s="1"/>
  <c r="X56" i="8" s="1"/>
  <c r="BP17" i="7"/>
  <c r="BP17" i="8" s="1"/>
  <c r="BP55" i="8" s="1"/>
  <c r="AY17" i="7"/>
  <c r="AY17" i="8" s="1"/>
  <c r="AY55" i="8" s="1"/>
  <c r="AG17" i="7"/>
  <c r="AG17" i="8" s="1"/>
  <c r="AG55" i="8" s="1"/>
  <c r="H17" i="7"/>
  <c r="H17" i="8" s="1"/>
  <c r="H55" i="8" s="1"/>
  <c r="BJ16" i="7"/>
  <c r="BJ16" i="8" s="1"/>
  <c r="BJ54" i="8" s="1"/>
  <c r="AX16" i="7"/>
  <c r="AX16" i="8" s="1"/>
  <c r="AX54" i="8" s="1"/>
  <c r="AL16" i="7"/>
  <c r="AL16" i="8" s="1"/>
  <c r="AL54" i="8" s="1"/>
  <c r="Z16" i="7"/>
  <c r="Z16" i="8" s="1"/>
  <c r="Z54" i="8" s="1"/>
  <c r="BH15" i="7"/>
  <c r="BH15" i="8" s="1"/>
  <c r="BH53" i="8" s="1"/>
  <c r="AV15" i="7"/>
  <c r="AV15" i="8" s="1"/>
  <c r="AV53" i="8" s="1"/>
  <c r="AJ15" i="7"/>
  <c r="AJ15" i="8" s="1"/>
  <c r="AJ53" i="8" s="1"/>
  <c r="X15" i="7"/>
  <c r="X15" i="8" s="1"/>
  <c r="X53" i="8" s="1"/>
  <c r="BE14" i="7"/>
  <c r="BE14" i="8" s="1"/>
  <c r="BE52" i="8" s="1"/>
  <c r="AS14" i="7"/>
  <c r="AS14" i="8" s="1"/>
  <c r="AS52" i="8" s="1"/>
  <c r="AG14" i="7"/>
  <c r="AG14" i="8" s="1"/>
  <c r="AG52" i="8" s="1"/>
  <c r="U14" i="7"/>
  <c r="U14" i="8" s="1"/>
  <c r="U52" i="8" s="1"/>
  <c r="BE13" i="7"/>
  <c r="BE13" i="8" s="1"/>
  <c r="BE51" i="8" s="1"/>
  <c r="AT13" i="7"/>
  <c r="AT13" i="8" s="1"/>
  <c r="AT51" i="8" s="1"/>
  <c r="AI13" i="7"/>
  <c r="AI13" i="8" s="1"/>
  <c r="AI51" i="8" s="1"/>
  <c r="X13" i="7"/>
  <c r="X13" i="8" s="1"/>
  <c r="X51" i="8" s="1"/>
  <c r="C13" i="7"/>
  <c r="C13" i="8" s="1"/>
  <c r="C51" i="8" s="1"/>
  <c r="BH12" i="7"/>
  <c r="BH12" i="8" s="1"/>
  <c r="BH50" i="8" s="1"/>
  <c r="AW12" i="7"/>
  <c r="AW12" i="8" s="1"/>
  <c r="AW50" i="8" s="1"/>
  <c r="AL12" i="7"/>
  <c r="AL12" i="8" s="1"/>
  <c r="AL50" i="8" s="1"/>
  <c r="AA12" i="7"/>
  <c r="AA12" i="8" s="1"/>
  <c r="AA50" i="8" s="1"/>
  <c r="BK11" i="7"/>
  <c r="BK11" i="8" s="1"/>
  <c r="BK49" i="8" s="1"/>
  <c r="AZ11" i="7"/>
  <c r="AZ11" i="8" s="1"/>
  <c r="AZ49" i="8" s="1"/>
  <c r="AO11" i="7"/>
  <c r="AO11" i="8" s="1"/>
  <c r="AO49" i="8" s="1"/>
  <c r="AD11" i="7"/>
  <c r="AD11" i="8" s="1"/>
  <c r="AD49" i="8" s="1"/>
  <c r="I11" i="7"/>
  <c r="I11" i="8" s="1"/>
  <c r="I49" i="8" s="1"/>
  <c r="BN10" i="7"/>
  <c r="BN10" i="8" s="1"/>
  <c r="BN48" i="8" s="1"/>
  <c r="BC10" i="7"/>
  <c r="BC10" i="8" s="1"/>
  <c r="BC48" i="8" s="1"/>
  <c r="AR10" i="7"/>
  <c r="AR10" i="8" s="1"/>
  <c r="AR48" i="8" s="1"/>
  <c r="AG10" i="7"/>
  <c r="AG10" i="8" s="1"/>
  <c r="AG48" i="8" s="1"/>
  <c r="U10" i="7"/>
  <c r="U10" i="8" s="1"/>
  <c r="U48" i="8" s="1"/>
  <c r="BP9" i="7"/>
  <c r="BP9" i="8" s="1"/>
  <c r="BP47" i="8" s="1"/>
  <c r="BE9" i="7"/>
  <c r="BE9" i="8" s="1"/>
  <c r="BE47" i="8" s="1"/>
  <c r="AT9" i="7"/>
  <c r="AT9" i="8" s="1"/>
  <c r="AT47" i="8" s="1"/>
  <c r="AI9" i="7"/>
  <c r="AI9" i="8" s="1"/>
  <c r="AI47" i="8" s="1"/>
  <c r="X9" i="7"/>
  <c r="X9" i="8" s="1"/>
  <c r="X47" i="8" s="1"/>
  <c r="BI8" i="7"/>
  <c r="BI8" i="8" s="1"/>
  <c r="BI46" i="8" s="1"/>
  <c r="AY8" i="7"/>
  <c r="AY8" i="8" s="1"/>
  <c r="AY46" i="8" s="1"/>
  <c r="AO8" i="7"/>
  <c r="AO8" i="8" s="1"/>
  <c r="AO46" i="8" s="1"/>
  <c r="AE8" i="7"/>
  <c r="AE8" i="8" s="1"/>
  <c r="AE46" i="8" s="1"/>
  <c r="U8" i="7"/>
  <c r="U8" i="8" s="1"/>
  <c r="U46" i="8" s="1"/>
  <c r="BG7" i="7"/>
  <c r="BG7" i="8" s="1"/>
  <c r="BG45" i="8" s="1"/>
  <c r="AW7" i="7"/>
  <c r="AW7" i="8" s="1"/>
  <c r="AW45" i="8" s="1"/>
  <c r="AM7" i="7"/>
  <c r="AM7" i="8" s="1"/>
  <c r="AM45" i="8" s="1"/>
  <c r="AC7" i="7"/>
  <c r="AC7" i="8" s="1"/>
  <c r="AC45" i="8" s="1"/>
  <c r="I7" i="7"/>
  <c r="I7" i="8" s="1"/>
  <c r="I45" i="8" s="1"/>
  <c r="BO6" i="7"/>
  <c r="BO6" i="8" s="1"/>
  <c r="BO44" i="8" s="1"/>
  <c r="BE6" i="7"/>
  <c r="BE6" i="8" s="1"/>
  <c r="BE44" i="8" s="1"/>
  <c r="AU6" i="7"/>
  <c r="AU6" i="8" s="1"/>
  <c r="AU44" i="8" s="1"/>
  <c r="AK6" i="7"/>
  <c r="AK6" i="8" s="1"/>
  <c r="AK44" i="8" s="1"/>
  <c r="AA6" i="7"/>
  <c r="AA6" i="8" s="1"/>
  <c r="AA44" i="8" s="1"/>
  <c r="BM5" i="7"/>
  <c r="BM5" i="8" s="1"/>
  <c r="BM43" i="8" s="1"/>
  <c r="BC5" i="7"/>
  <c r="BC5" i="8" s="1"/>
  <c r="BC43" i="8" s="1"/>
  <c r="AS5" i="7"/>
  <c r="AS5" i="8" s="1"/>
  <c r="AS43" i="8" s="1"/>
  <c r="AI5" i="7"/>
  <c r="AI5" i="8" s="1"/>
  <c r="AI43" i="8" s="1"/>
  <c r="Y5" i="7"/>
  <c r="Y5" i="8" s="1"/>
  <c r="Y43" i="8" s="1"/>
  <c r="BK4" i="7"/>
  <c r="BK4" i="8" s="1"/>
  <c r="BK42" i="8" s="1"/>
  <c r="BA4" i="7"/>
  <c r="BA4" i="8" s="1"/>
  <c r="BA42" i="8" s="1"/>
  <c r="AQ4" i="7"/>
  <c r="AQ4" i="8" s="1"/>
  <c r="AQ42" i="8" s="1"/>
  <c r="AG4" i="7"/>
  <c r="AG4" i="8" s="1"/>
  <c r="AG42" i="8" s="1"/>
  <c r="W4" i="7"/>
  <c r="W4" i="8" s="1"/>
  <c r="W42" i="8" s="1"/>
  <c r="Z30" i="7"/>
  <c r="Z30" i="8" s="1"/>
  <c r="Z68" i="8" s="1"/>
  <c r="R29" i="7"/>
  <c r="R29" i="8" s="1"/>
  <c r="R67" i="8" s="1"/>
  <c r="D27" i="7"/>
  <c r="D27" i="8" s="1"/>
  <c r="D65" i="8" s="1"/>
  <c r="X22" i="7"/>
  <c r="X22" i="8" s="1"/>
  <c r="X60" i="8" s="1"/>
  <c r="AP21" i="7"/>
  <c r="AP21" i="8" s="1"/>
  <c r="AP59" i="8" s="1"/>
  <c r="BH20" i="7"/>
  <c r="BH20" i="8" s="1"/>
  <c r="BH58" i="8" s="1"/>
  <c r="AB20" i="7"/>
  <c r="AB20" i="8" s="1"/>
  <c r="AB58" i="8" s="1"/>
  <c r="BN19" i="7"/>
  <c r="BN19" i="8" s="1"/>
  <c r="BN57" i="8" s="1"/>
  <c r="AI19" i="7"/>
  <c r="AI19" i="8" s="1"/>
  <c r="AI57" i="8" s="1"/>
  <c r="AT18" i="7"/>
  <c r="AT18" i="8" s="1"/>
  <c r="AT56" i="8" s="1"/>
  <c r="W18" i="7"/>
  <c r="W18" i="8" s="1"/>
  <c r="W56" i="8" s="1"/>
  <c r="BO17" i="7"/>
  <c r="BO17" i="8" s="1"/>
  <c r="BO55" i="8" s="1"/>
  <c r="AV17" i="7"/>
  <c r="AV17" i="8" s="1"/>
  <c r="AV55" i="8" s="1"/>
  <c r="AF17" i="7"/>
  <c r="AF17" i="8" s="1"/>
  <c r="AF55" i="8" s="1"/>
  <c r="BI16" i="7"/>
  <c r="BI16" i="8" s="1"/>
  <c r="BI54" i="8" s="1"/>
  <c r="AW16" i="7"/>
  <c r="AW16" i="8" s="1"/>
  <c r="AW54" i="8" s="1"/>
  <c r="AK16" i="7"/>
  <c r="AK16" i="8" s="1"/>
  <c r="AK54" i="8" s="1"/>
  <c r="Y16" i="7"/>
  <c r="Y16" i="8" s="1"/>
  <c r="Y54" i="8" s="1"/>
  <c r="BG15" i="7"/>
  <c r="BG15" i="8" s="1"/>
  <c r="BG53" i="8" s="1"/>
  <c r="AU15" i="7"/>
  <c r="AU15" i="8" s="1"/>
  <c r="AU53" i="8" s="1"/>
  <c r="AI15" i="7"/>
  <c r="AI15" i="8" s="1"/>
  <c r="AI53" i="8" s="1"/>
  <c r="W15" i="7"/>
  <c r="W15" i="8" s="1"/>
  <c r="W53" i="8" s="1"/>
  <c r="BP14" i="7"/>
  <c r="BP14" i="8" s="1"/>
  <c r="BP52" i="8" s="1"/>
  <c r="BD14" i="7"/>
  <c r="BD14" i="8" s="1"/>
  <c r="BD52" i="8" s="1"/>
  <c r="AR14" i="7"/>
  <c r="AR14" i="8" s="1"/>
  <c r="AR52" i="8" s="1"/>
  <c r="AF14" i="7"/>
  <c r="AF14" i="8" s="1"/>
  <c r="AF52" i="8" s="1"/>
  <c r="BO13" i="7"/>
  <c r="BO13" i="8" s="1"/>
  <c r="BO51" i="8" s="1"/>
  <c r="BD13" i="7"/>
  <c r="BD13" i="8" s="1"/>
  <c r="BD51" i="8" s="1"/>
  <c r="AS13" i="7"/>
  <c r="AS13" i="8" s="1"/>
  <c r="AS51" i="8" s="1"/>
  <c r="AH13" i="7"/>
  <c r="AH13" i="8" s="1"/>
  <c r="AH51" i="8" s="1"/>
  <c r="W13" i="7"/>
  <c r="W13" i="8" s="1"/>
  <c r="W51" i="8" s="1"/>
  <c r="B13" i="7"/>
  <c r="B13" i="8" s="1"/>
  <c r="BG12" i="7"/>
  <c r="BG12" i="8" s="1"/>
  <c r="BG50" i="8" s="1"/>
  <c r="AV12" i="7"/>
  <c r="AV12" i="8" s="1"/>
  <c r="AV50" i="8" s="1"/>
  <c r="AK12" i="7"/>
  <c r="AK12" i="8" s="1"/>
  <c r="AK50" i="8" s="1"/>
  <c r="Y12" i="7"/>
  <c r="Y12" i="8" s="1"/>
  <c r="Y50" i="8" s="1"/>
  <c r="BJ11" i="7"/>
  <c r="BJ11" i="8" s="1"/>
  <c r="BJ49" i="8" s="1"/>
  <c r="AY11" i="7"/>
  <c r="AY11" i="8" s="1"/>
  <c r="AY49" i="8" s="1"/>
  <c r="AN11" i="7"/>
  <c r="AN11" i="8" s="1"/>
  <c r="AN49" i="8" s="1"/>
  <c r="AC11" i="7"/>
  <c r="AC11" i="8" s="1"/>
  <c r="AC49" i="8" s="1"/>
  <c r="H11" i="7"/>
  <c r="H11" i="8" s="1"/>
  <c r="H49" i="8" s="1"/>
  <c r="BM10" i="7"/>
  <c r="BM10" i="8" s="1"/>
  <c r="BM48" i="8" s="1"/>
  <c r="BB10" i="7"/>
  <c r="BB10" i="8" s="1"/>
  <c r="BB48" i="8" s="1"/>
  <c r="AQ10" i="7"/>
  <c r="AQ10" i="8" s="1"/>
  <c r="AQ48" i="8" s="1"/>
  <c r="AE10" i="7"/>
  <c r="AE10" i="8" s="1"/>
  <c r="AE48" i="8" s="1"/>
  <c r="BO9" i="7"/>
  <c r="BO9" i="8" s="1"/>
  <c r="BO47" i="8" s="1"/>
  <c r="BD9" i="7"/>
  <c r="BD9" i="8" s="1"/>
  <c r="BD47" i="8" s="1"/>
  <c r="AS9" i="7"/>
  <c r="AS9" i="8" s="1"/>
  <c r="AS47" i="8" s="1"/>
  <c r="AH9" i="7"/>
  <c r="AH9" i="8" s="1"/>
  <c r="AH47" i="8" s="1"/>
  <c r="W9" i="7"/>
  <c r="W9" i="8" s="1"/>
  <c r="W47" i="8" s="1"/>
  <c r="BH8" i="7"/>
  <c r="BH8" i="8" s="1"/>
  <c r="BH46" i="8" s="1"/>
  <c r="AX8" i="7"/>
  <c r="AX8" i="8" s="1"/>
  <c r="AX46" i="8" s="1"/>
  <c r="AN8" i="7"/>
  <c r="AN8" i="8" s="1"/>
  <c r="AN46" i="8" s="1"/>
  <c r="AD8" i="7"/>
  <c r="AD8" i="8" s="1"/>
  <c r="AD46" i="8" s="1"/>
  <c r="BP7" i="7"/>
  <c r="BP7" i="8" s="1"/>
  <c r="BP45" i="8" s="1"/>
  <c r="BF7" i="7"/>
  <c r="BF7" i="8" s="1"/>
  <c r="BF45" i="8" s="1"/>
  <c r="AV7" i="7"/>
  <c r="AV7" i="8" s="1"/>
  <c r="AV45" i="8" s="1"/>
  <c r="AL7" i="7"/>
  <c r="AL7" i="8" s="1"/>
  <c r="AL45" i="8" s="1"/>
  <c r="AB7" i="7"/>
  <c r="AB7" i="8" s="1"/>
  <c r="AB45" i="8" s="1"/>
  <c r="H7" i="7"/>
  <c r="H7" i="8" s="1"/>
  <c r="H45" i="8" s="1"/>
  <c r="BN6" i="7"/>
  <c r="BN6" i="8" s="1"/>
  <c r="BN44" i="8" s="1"/>
  <c r="BD6" i="7"/>
  <c r="BD6" i="8" s="1"/>
  <c r="BD44" i="8" s="1"/>
  <c r="AT6" i="7"/>
  <c r="AT6" i="8" s="1"/>
  <c r="AT44" i="8" s="1"/>
  <c r="AJ6" i="7"/>
  <c r="AJ6" i="8" s="1"/>
  <c r="AJ44" i="8" s="1"/>
  <c r="Z6" i="7"/>
  <c r="Z6" i="8" s="1"/>
  <c r="Z44" i="8" s="1"/>
  <c r="F6" i="7"/>
  <c r="F6" i="8" s="1"/>
  <c r="F44" i="8" s="1"/>
  <c r="BL5" i="7"/>
  <c r="BL5" i="8" s="1"/>
  <c r="BL43" i="8" s="1"/>
  <c r="BB5" i="7"/>
  <c r="BB5" i="8" s="1"/>
  <c r="BB43" i="8" s="1"/>
  <c r="AR5" i="7"/>
  <c r="AR5" i="8" s="1"/>
  <c r="AR43" i="8" s="1"/>
  <c r="AH5" i="7"/>
  <c r="AH5" i="8" s="1"/>
  <c r="AH43" i="8" s="1"/>
  <c r="X5" i="7"/>
  <c r="X5" i="8" s="1"/>
  <c r="X43" i="8" s="1"/>
  <c r="BJ4" i="7"/>
  <c r="BJ4" i="8" s="1"/>
  <c r="BJ42" i="8" s="1"/>
  <c r="AZ4" i="7"/>
  <c r="AZ4" i="8" s="1"/>
  <c r="AZ42" i="8" s="1"/>
  <c r="AP4" i="7"/>
  <c r="AP4" i="8" s="1"/>
  <c r="AP42" i="8" s="1"/>
  <c r="AF4" i="7"/>
  <c r="AF4" i="8" s="1"/>
  <c r="AF42" i="8" s="1"/>
  <c r="V4" i="7"/>
  <c r="V4" i="8" s="1"/>
  <c r="V42" i="8" s="1"/>
  <c r="B4" i="7"/>
  <c r="B4" i="8" s="1"/>
  <c r="D30" i="7"/>
  <c r="D30" i="8" s="1"/>
  <c r="D68" i="8" s="1"/>
  <c r="B26" i="7"/>
  <c r="B26" i="8" s="1"/>
  <c r="BP24" i="7"/>
  <c r="BP24" i="8" s="1"/>
  <c r="BP62" i="8" s="1"/>
  <c r="U22" i="7"/>
  <c r="U22" i="8" s="1"/>
  <c r="U60" i="8" s="1"/>
  <c r="AM21" i="7"/>
  <c r="AM21" i="8" s="1"/>
  <c r="AM59" i="8" s="1"/>
  <c r="BF20" i="7"/>
  <c r="BF20" i="8" s="1"/>
  <c r="BF58" i="8" s="1"/>
  <c r="AA20" i="7"/>
  <c r="AA20" i="8" s="1"/>
  <c r="AA58" i="8" s="1"/>
  <c r="BM19" i="7"/>
  <c r="BM19" i="8" s="1"/>
  <c r="BM57" i="8" s="1"/>
  <c r="AB19" i="7"/>
  <c r="AB19" i="8" s="1"/>
  <c r="AB57" i="8" s="1"/>
  <c r="AR18" i="7"/>
  <c r="AR18" i="8" s="1"/>
  <c r="AR56" i="8" s="1"/>
  <c r="BL17" i="7"/>
  <c r="BL17" i="8" s="1"/>
  <c r="BL55" i="8" s="1"/>
  <c r="AU17" i="7"/>
  <c r="AU17" i="8" s="1"/>
  <c r="AU55" i="8" s="1"/>
  <c r="AE17" i="7"/>
  <c r="AE17" i="8" s="1"/>
  <c r="AE55" i="8" s="1"/>
  <c r="BH16" i="7"/>
  <c r="BH16" i="8" s="1"/>
  <c r="BH54" i="8" s="1"/>
  <c r="AV16" i="7"/>
  <c r="AV16" i="8" s="1"/>
  <c r="AV54" i="8" s="1"/>
  <c r="AJ16" i="7"/>
  <c r="AJ16" i="8" s="1"/>
  <c r="AJ54" i="8" s="1"/>
  <c r="V16" i="7"/>
  <c r="V16" i="8" s="1"/>
  <c r="V54" i="8" s="1"/>
  <c r="L16" i="7"/>
  <c r="L16" i="8" s="1"/>
  <c r="L54" i="8" s="1"/>
  <c r="B16" i="7"/>
  <c r="B16" i="8" s="1"/>
  <c r="BF15" i="7"/>
  <c r="BF15" i="8" s="1"/>
  <c r="BF53" i="8" s="1"/>
  <c r="AT15" i="7"/>
  <c r="AT15" i="8" s="1"/>
  <c r="AT53" i="8" s="1"/>
  <c r="AH15" i="7"/>
  <c r="AH15" i="8" s="1"/>
  <c r="AH53" i="8" s="1"/>
  <c r="BO14" i="7"/>
  <c r="BO14" i="8" s="1"/>
  <c r="BO52" i="8" s="1"/>
  <c r="BC14" i="7"/>
  <c r="BC14" i="8" s="1"/>
  <c r="BC52" i="8" s="1"/>
  <c r="AQ14" i="7"/>
  <c r="AQ14" i="8" s="1"/>
  <c r="AQ52" i="8" s="1"/>
  <c r="AE14" i="7"/>
  <c r="AE14" i="8" s="1"/>
  <c r="AE52" i="8" s="1"/>
  <c r="I14" i="7"/>
  <c r="I14" i="8" s="1"/>
  <c r="I52" i="8" s="1"/>
  <c r="BN13" i="7"/>
  <c r="BN13" i="8" s="1"/>
  <c r="BN51" i="8" s="1"/>
  <c r="BC13" i="7"/>
  <c r="BC13" i="8" s="1"/>
  <c r="BC51" i="8" s="1"/>
  <c r="AR13" i="7"/>
  <c r="AR13" i="8" s="1"/>
  <c r="AR51" i="8" s="1"/>
  <c r="AG13" i="7"/>
  <c r="AG13" i="8" s="1"/>
  <c r="AG51" i="8" s="1"/>
  <c r="V13" i="7"/>
  <c r="V13" i="8" s="1"/>
  <c r="V51" i="8" s="1"/>
  <c r="BF12" i="7"/>
  <c r="BF12" i="8" s="1"/>
  <c r="BF50" i="8" s="1"/>
  <c r="AU12" i="7"/>
  <c r="AU12" i="8" s="1"/>
  <c r="AU50" i="8" s="1"/>
  <c r="AI12" i="7"/>
  <c r="AI12" i="8" s="1"/>
  <c r="AI50" i="8" s="1"/>
  <c r="X12" i="7"/>
  <c r="X12" i="8" s="1"/>
  <c r="X50" i="8" s="1"/>
  <c r="D12" i="7"/>
  <c r="D12" i="8" s="1"/>
  <c r="D50" i="8" s="1"/>
  <c r="BI11" i="7"/>
  <c r="BI11" i="8" s="1"/>
  <c r="BI49" i="8" s="1"/>
  <c r="AX11" i="7"/>
  <c r="AX11" i="8" s="1"/>
  <c r="AX49" i="8" s="1"/>
  <c r="AM11" i="7"/>
  <c r="AM11" i="8" s="1"/>
  <c r="AM49" i="8" s="1"/>
  <c r="AB11" i="7"/>
  <c r="AB11" i="8" s="1"/>
  <c r="AB49" i="8" s="1"/>
  <c r="Q11" i="7"/>
  <c r="Q11" i="8" s="1"/>
  <c r="Q49" i="8" s="1"/>
  <c r="BL10" i="7"/>
  <c r="BL10" i="8" s="1"/>
  <c r="BL48" i="8" s="1"/>
  <c r="BA10" i="7"/>
  <c r="BA10" i="8" s="1"/>
  <c r="BA48" i="8" s="1"/>
  <c r="AO10" i="7"/>
  <c r="AO10" i="8" s="1"/>
  <c r="AO48" i="8" s="1"/>
  <c r="AD10" i="7"/>
  <c r="AD10" i="8" s="1"/>
  <c r="AD48" i="8" s="1"/>
  <c r="I10" i="7"/>
  <c r="I10" i="8" s="1"/>
  <c r="I48" i="8" s="1"/>
  <c r="BN9" i="7"/>
  <c r="BN9" i="8" s="1"/>
  <c r="BN47" i="8" s="1"/>
  <c r="BC9" i="7"/>
  <c r="BC9" i="8" s="1"/>
  <c r="BC47" i="8" s="1"/>
  <c r="AR9" i="7"/>
  <c r="AR9" i="8" s="1"/>
  <c r="AR47" i="8" s="1"/>
  <c r="AG9" i="7"/>
  <c r="AG9" i="8" s="1"/>
  <c r="AG47" i="8" s="1"/>
  <c r="V9" i="7"/>
  <c r="V9" i="8" s="1"/>
  <c r="V47" i="8" s="1"/>
  <c r="B9" i="7"/>
  <c r="B9" i="8" s="1"/>
  <c r="BG8" i="7"/>
  <c r="BG8" i="8" s="1"/>
  <c r="BG46" i="8" s="1"/>
  <c r="AW8" i="7"/>
  <c r="AW8" i="8" s="1"/>
  <c r="AW46" i="8" s="1"/>
  <c r="AM8" i="7"/>
  <c r="AM8" i="8" s="1"/>
  <c r="AM46" i="8" s="1"/>
  <c r="AC8" i="7"/>
  <c r="AC8" i="8" s="1"/>
  <c r="AC46" i="8" s="1"/>
  <c r="I8" i="7"/>
  <c r="I8" i="8" s="1"/>
  <c r="I46" i="8" s="1"/>
  <c r="BO7" i="7"/>
  <c r="BO7" i="8" s="1"/>
  <c r="BO45" i="8" s="1"/>
  <c r="BE7" i="7"/>
  <c r="BE7" i="8" s="1"/>
  <c r="BE45" i="8" s="1"/>
  <c r="AU7" i="7"/>
  <c r="AU7" i="8" s="1"/>
  <c r="AU45" i="8" s="1"/>
  <c r="AK7" i="7"/>
  <c r="AK7" i="8" s="1"/>
  <c r="AK45" i="8" s="1"/>
  <c r="AA7" i="7"/>
  <c r="AA7" i="8" s="1"/>
  <c r="AA45" i="8" s="1"/>
  <c r="BM6" i="7"/>
  <c r="BM6" i="8" s="1"/>
  <c r="BM44" i="8" s="1"/>
  <c r="BC6" i="7"/>
  <c r="BC6" i="8" s="1"/>
  <c r="BC44" i="8" s="1"/>
  <c r="AS6" i="7"/>
  <c r="AS6" i="8" s="1"/>
  <c r="AS44" i="8" s="1"/>
  <c r="AI6" i="7"/>
  <c r="AI6" i="8" s="1"/>
  <c r="AI44" i="8" s="1"/>
  <c r="Y6" i="7"/>
  <c r="Y6" i="8" s="1"/>
  <c r="Y44" i="8" s="1"/>
  <c r="BK5" i="7"/>
  <c r="BK5" i="8" s="1"/>
  <c r="BK43" i="8" s="1"/>
  <c r="BA5" i="7"/>
  <c r="BA5" i="8" s="1"/>
  <c r="BA43" i="8" s="1"/>
  <c r="AQ5" i="7"/>
  <c r="AQ5" i="8" s="1"/>
  <c r="AQ43" i="8" s="1"/>
  <c r="AG5" i="7"/>
  <c r="AG5" i="8" s="1"/>
  <c r="AG43" i="8" s="1"/>
  <c r="W5" i="7"/>
  <c r="W5" i="8" s="1"/>
  <c r="W43" i="8" s="1"/>
  <c r="BI4" i="7"/>
  <c r="BI4" i="8" s="1"/>
  <c r="BI42" i="8" s="1"/>
  <c r="AY4" i="7"/>
  <c r="AY4" i="8" s="1"/>
  <c r="AY42" i="8" s="1"/>
  <c r="AO4" i="7"/>
  <c r="AO4" i="8" s="1"/>
  <c r="AO42" i="8" s="1"/>
  <c r="AE4" i="7"/>
  <c r="AE4" i="8" s="1"/>
  <c r="AE42" i="8" s="1"/>
  <c r="U4" i="7"/>
  <c r="U4" i="8" s="1"/>
  <c r="U42" i="8" s="1"/>
  <c r="BO31" i="7"/>
  <c r="BO31" i="8" s="1"/>
  <c r="BO69" i="8" s="1"/>
  <c r="BF24" i="7"/>
  <c r="BF24" i="8" s="1"/>
  <c r="BF62" i="8" s="1"/>
  <c r="BL22" i="7"/>
  <c r="BL22" i="8" s="1"/>
  <c r="BL60" i="8" s="1"/>
  <c r="AF21" i="7"/>
  <c r="AF21" i="8" s="1"/>
  <c r="AF59" i="8" s="1"/>
  <c r="BE20" i="7"/>
  <c r="BE20" i="8" s="1"/>
  <c r="BE58" i="8" s="1"/>
  <c r="BF19" i="7"/>
  <c r="BF19" i="8" s="1"/>
  <c r="BF57" i="8" s="1"/>
  <c r="Z19" i="7"/>
  <c r="Z19" i="8" s="1"/>
  <c r="Z57" i="8" s="1"/>
  <c r="BN18" i="7"/>
  <c r="BN18" i="8" s="1"/>
  <c r="BN56" i="8" s="1"/>
  <c r="AQ18" i="7"/>
  <c r="AQ18" i="8" s="1"/>
  <c r="AQ56" i="8" s="1"/>
  <c r="I18" i="7"/>
  <c r="I18" i="8" s="1"/>
  <c r="I56" i="8" s="1"/>
  <c r="BJ17" i="7"/>
  <c r="BJ17" i="8" s="1"/>
  <c r="BJ55" i="8" s="1"/>
  <c r="AR17" i="7"/>
  <c r="AR17" i="8" s="1"/>
  <c r="AR55" i="8" s="1"/>
  <c r="AB17" i="7"/>
  <c r="AB17" i="8" s="1"/>
  <c r="AB55" i="8" s="1"/>
  <c r="C17" i="7"/>
  <c r="C17" i="8" s="1"/>
  <c r="C55" i="8" s="1"/>
  <c r="BG16" i="7"/>
  <c r="BG16" i="8" s="1"/>
  <c r="BG54" i="8" s="1"/>
  <c r="AU16" i="7"/>
  <c r="AU16" i="8" s="1"/>
  <c r="AU54" i="8" s="1"/>
  <c r="AI16" i="7"/>
  <c r="AI16" i="8" s="1"/>
  <c r="AI54" i="8" s="1"/>
  <c r="U16" i="7"/>
  <c r="U16" i="8" s="1"/>
  <c r="U54" i="8" s="1"/>
  <c r="BE15" i="7"/>
  <c r="BE15" i="8" s="1"/>
  <c r="BE53" i="8" s="1"/>
  <c r="AS15" i="7"/>
  <c r="AS15" i="8" s="1"/>
  <c r="AS53" i="8" s="1"/>
  <c r="AG15" i="7"/>
  <c r="AG15" i="8" s="1"/>
  <c r="AG53" i="8" s="1"/>
  <c r="I15" i="7"/>
  <c r="I15" i="8" s="1"/>
  <c r="I53" i="8" s="1"/>
  <c r="BN14" i="7"/>
  <c r="BN14" i="8" s="1"/>
  <c r="BN52" i="8" s="1"/>
  <c r="BB14" i="7"/>
  <c r="BB14" i="8" s="1"/>
  <c r="BB52" i="8" s="1"/>
  <c r="AP14" i="7"/>
  <c r="AP14" i="8" s="1"/>
  <c r="AP52" i="8" s="1"/>
  <c r="AB14" i="7"/>
  <c r="AB14" i="8" s="1"/>
  <c r="AB52" i="8" s="1"/>
  <c r="R14" i="7"/>
  <c r="R14" i="8" s="1"/>
  <c r="R52" i="8" s="1"/>
  <c r="H14" i="7"/>
  <c r="H14" i="8" s="1"/>
  <c r="H52" i="8" s="1"/>
  <c r="BM13" i="7"/>
  <c r="BM13" i="8" s="1"/>
  <c r="BM51" i="8" s="1"/>
  <c r="BB13" i="7"/>
  <c r="BB13" i="8" s="1"/>
  <c r="BB51" i="8" s="1"/>
  <c r="AQ13" i="7"/>
  <c r="AQ13" i="8" s="1"/>
  <c r="AQ51" i="8" s="1"/>
  <c r="AF13" i="7"/>
  <c r="AF13" i="8" s="1"/>
  <c r="AF51" i="8" s="1"/>
  <c r="U13" i="7"/>
  <c r="U13" i="8" s="1"/>
  <c r="U51" i="8" s="1"/>
  <c r="BP12" i="7"/>
  <c r="BP12" i="8" s="1"/>
  <c r="BP50" i="8" s="1"/>
  <c r="BE12" i="7"/>
  <c r="BE12" i="8" s="1"/>
  <c r="BE50" i="8" s="1"/>
  <c r="AS12" i="7"/>
  <c r="AS12" i="8" s="1"/>
  <c r="AS50" i="8" s="1"/>
  <c r="AH12" i="7"/>
  <c r="AH12" i="8" s="1"/>
  <c r="AH50" i="8" s="1"/>
  <c r="W12" i="7"/>
  <c r="W12" i="8" s="1"/>
  <c r="W50" i="8" s="1"/>
  <c r="C12" i="7"/>
  <c r="C12" i="8" s="1"/>
  <c r="C50" i="8" s="1"/>
  <c r="BH11" i="7"/>
  <c r="BH11" i="8" s="1"/>
  <c r="BH49" i="8" s="1"/>
  <c r="AW11" i="7"/>
  <c r="AW11" i="8" s="1"/>
  <c r="AW49" i="8" s="1"/>
  <c r="AL11" i="7"/>
  <c r="AL11" i="8" s="1"/>
  <c r="AL49" i="8" s="1"/>
  <c r="AA11" i="7"/>
  <c r="AA11" i="8" s="1"/>
  <c r="AA49" i="8" s="1"/>
  <c r="F11" i="7"/>
  <c r="F11" i="8" s="1"/>
  <c r="F49" i="8" s="1"/>
  <c r="BK10" i="7"/>
  <c r="BK10" i="8" s="1"/>
  <c r="BK48" i="8" s="1"/>
  <c r="AY10" i="7"/>
  <c r="AY10" i="8" s="1"/>
  <c r="AY48" i="8" s="1"/>
  <c r="AN10" i="7"/>
  <c r="AN10" i="8" s="1"/>
  <c r="AN48" i="8" s="1"/>
  <c r="AC10" i="7"/>
  <c r="AC10" i="8" s="1"/>
  <c r="AC48" i="8" s="1"/>
  <c r="H10" i="7"/>
  <c r="H10" i="8" s="1"/>
  <c r="H48" i="8" s="1"/>
  <c r="BM9" i="7"/>
  <c r="BM9" i="8" s="1"/>
  <c r="BM47" i="8" s="1"/>
  <c r="BB9" i="7"/>
  <c r="BB9" i="8" s="1"/>
  <c r="BB47" i="8" s="1"/>
  <c r="AQ9" i="7"/>
  <c r="AQ9" i="8" s="1"/>
  <c r="AQ47" i="8" s="1"/>
  <c r="AF9" i="7"/>
  <c r="AF9" i="8" s="1"/>
  <c r="AF47" i="8" s="1"/>
  <c r="U9" i="7"/>
  <c r="U9" i="8" s="1"/>
  <c r="U47" i="8" s="1"/>
  <c r="BF8" i="7"/>
  <c r="BF8" i="8" s="1"/>
  <c r="BF46" i="8" s="1"/>
  <c r="AV8" i="7"/>
  <c r="AV8" i="8" s="1"/>
  <c r="AV46" i="8" s="1"/>
  <c r="AL8" i="7"/>
  <c r="AL8" i="8" s="1"/>
  <c r="AL46" i="8" s="1"/>
  <c r="AB8" i="7"/>
  <c r="AB8" i="8" s="1"/>
  <c r="AB46" i="8" s="1"/>
  <c r="H8" i="7"/>
  <c r="H8" i="8" s="1"/>
  <c r="H46" i="8" s="1"/>
  <c r="BN7" i="7"/>
  <c r="BN7" i="8" s="1"/>
  <c r="BN45" i="8" s="1"/>
  <c r="BD7" i="7"/>
  <c r="BD7" i="8" s="1"/>
  <c r="BD45" i="8" s="1"/>
  <c r="AT7" i="7"/>
  <c r="AT7" i="8" s="1"/>
  <c r="AT45" i="8" s="1"/>
  <c r="AJ7" i="7"/>
  <c r="AJ7" i="8" s="1"/>
  <c r="AJ45" i="8" s="1"/>
  <c r="Z7" i="7"/>
  <c r="Z7" i="8" s="1"/>
  <c r="Z45" i="8" s="1"/>
  <c r="F7" i="7"/>
  <c r="F7" i="8" s="1"/>
  <c r="F45" i="8" s="1"/>
  <c r="BL6" i="7"/>
  <c r="BL6" i="8" s="1"/>
  <c r="BL44" i="8" s="1"/>
  <c r="BB6" i="7"/>
  <c r="BB6" i="8" s="1"/>
  <c r="BB44" i="8" s="1"/>
  <c r="AR6" i="7"/>
  <c r="AR6" i="8" s="1"/>
  <c r="AR44" i="8" s="1"/>
  <c r="AH6" i="7"/>
  <c r="AH6" i="8" s="1"/>
  <c r="AH44" i="8" s="1"/>
  <c r="X6" i="7"/>
  <c r="X6" i="8" s="1"/>
  <c r="X44" i="8" s="1"/>
  <c r="BJ5" i="7"/>
  <c r="BJ5" i="8" s="1"/>
  <c r="BJ43" i="8" s="1"/>
  <c r="AZ5" i="7"/>
  <c r="AZ5" i="8" s="1"/>
  <c r="AZ43" i="8" s="1"/>
  <c r="AP5" i="7"/>
  <c r="AP5" i="8" s="1"/>
  <c r="AP43" i="8" s="1"/>
  <c r="AF5" i="7"/>
  <c r="AF5" i="8" s="1"/>
  <c r="AF43" i="8" s="1"/>
  <c r="V5" i="7"/>
  <c r="V5" i="8" s="1"/>
  <c r="V43" i="8" s="1"/>
  <c r="B5" i="7"/>
  <c r="B5" i="8" s="1"/>
  <c r="BH4" i="7"/>
  <c r="BH4" i="8" s="1"/>
  <c r="BH42" i="8" s="1"/>
  <c r="AX4" i="7"/>
  <c r="AX4" i="8" s="1"/>
  <c r="AX42" i="8" s="1"/>
  <c r="AN4" i="7"/>
  <c r="AN4" i="8" s="1"/>
  <c r="AN42" i="8" s="1"/>
  <c r="AD4" i="7"/>
  <c r="AD4" i="8" s="1"/>
  <c r="AD42" i="8" s="1"/>
  <c r="AP13" i="7"/>
  <c r="AP13" i="8" s="1"/>
  <c r="AP51" i="8" s="1"/>
  <c r="AX12" i="7"/>
  <c r="AX12" i="8" s="1"/>
  <c r="AX50" i="8" s="1"/>
  <c r="B12" i="7"/>
  <c r="B12" i="8" s="1"/>
  <c r="AJ11" i="7"/>
  <c r="AJ11" i="8" s="1"/>
  <c r="AJ49" i="8" s="1"/>
  <c r="BH10" i="7"/>
  <c r="BH10" i="8" s="1"/>
  <c r="BH48" i="8" s="1"/>
  <c r="W10" i="7"/>
  <c r="W10" i="8" s="1"/>
  <c r="W48" i="8" s="1"/>
  <c r="BF9" i="7"/>
  <c r="BF9" i="8" s="1"/>
  <c r="BF47" i="8" s="1"/>
  <c r="AC9" i="7"/>
  <c r="AC9" i="8" s="1"/>
  <c r="AC47" i="8" s="1"/>
  <c r="BB8" i="7"/>
  <c r="BB8" i="8" s="1"/>
  <c r="BB46" i="8" s="1"/>
  <c r="AJ8" i="7"/>
  <c r="AJ8" i="8" s="1"/>
  <c r="AJ46" i="8" s="1"/>
  <c r="V8" i="7"/>
  <c r="V8" i="8" s="1"/>
  <c r="V46" i="8" s="1"/>
  <c r="BL7" i="7"/>
  <c r="BL7" i="8" s="1"/>
  <c r="BL45" i="8" s="1"/>
  <c r="AX7" i="7"/>
  <c r="AX7" i="8" s="1"/>
  <c r="AX45" i="8" s="1"/>
  <c r="AF7" i="7"/>
  <c r="AF7" i="8" s="1"/>
  <c r="AF45" i="8" s="1"/>
  <c r="BG6" i="7"/>
  <c r="BG6" i="8" s="1"/>
  <c r="BG44" i="8" s="1"/>
  <c r="AO6" i="7"/>
  <c r="AO6" i="8" s="1"/>
  <c r="AO44" i="8" s="1"/>
  <c r="W6" i="7"/>
  <c r="W6" i="8" s="1"/>
  <c r="W44" i="8" s="1"/>
  <c r="B6" i="7"/>
  <c r="B6" i="8" s="1"/>
  <c r="BD5" i="7"/>
  <c r="BD5" i="8" s="1"/>
  <c r="BD43" i="8" s="1"/>
  <c r="AL5" i="7"/>
  <c r="AL5" i="8" s="1"/>
  <c r="AL43" i="8" s="1"/>
  <c r="BO4" i="7"/>
  <c r="BO4" i="8" s="1"/>
  <c r="BO42" i="8" s="1"/>
  <c r="AW4" i="7"/>
  <c r="AW4" i="8" s="1"/>
  <c r="AW42" i="8" s="1"/>
  <c r="AI4" i="7"/>
  <c r="AI4" i="8" s="1"/>
  <c r="AI42" i="8" s="1"/>
  <c r="H4" i="7"/>
  <c r="H4" i="8" s="1"/>
  <c r="H42" i="8" s="1"/>
  <c r="AE13" i="7"/>
  <c r="AE13" i="8" s="1"/>
  <c r="AE51" i="8" s="1"/>
  <c r="AR12" i="7"/>
  <c r="AR12" i="8" s="1"/>
  <c r="AR50" i="8" s="1"/>
  <c r="AE11" i="7"/>
  <c r="AE11" i="8" s="1"/>
  <c r="AE49" i="8" s="1"/>
  <c r="BD10" i="7"/>
  <c r="BD10" i="8" s="1"/>
  <c r="BD48" i="8" s="1"/>
  <c r="BA9" i="7"/>
  <c r="BA9" i="8" s="1"/>
  <c r="BA47" i="8" s="1"/>
  <c r="Z9" i="7"/>
  <c r="Z9" i="8" s="1"/>
  <c r="Z47" i="8" s="1"/>
  <c r="BO8" i="7"/>
  <c r="BO8" i="8" s="1"/>
  <c r="BO46" i="8" s="1"/>
  <c r="BA8" i="7"/>
  <c r="BA8" i="8" s="1"/>
  <c r="BA46" i="8" s="1"/>
  <c r="AI8" i="7"/>
  <c r="AI8" i="8" s="1"/>
  <c r="AI46" i="8" s="1"/>
  <c r="BK7" i="7"/>
  <c r="BK7" i="8" s="1"/>
  <c r="BK45" i="8" s="1"/>
  <c r="AS7" i="7"/>
  <c r="AS7" i="8" s="1"/>
  <c r="AS45" i="8" s="1"/>
  <c r="AE7" i="7"/>
  <c r="AE7" i="8" s="1"/>
  <c r="AE45" i="8" s="1"/>
  <c r="BF6" i="7"/>
  <c r="BF6" i="8" s="1"/>
  <c r="BF44" i="8" s="1"/>
  <c r="AN6" i="7"/>
  <c r="AN6" i="8" s="1"/>
  <c r="AN44" i="8" s="1"/>
  <c r="V6" i="7"/>
  <c r="V6" i="8" s="1"/>
  <c r="V44" i="8" s="1"/>
  <c r="AY5" i="7"/>
  <c r="AY5" i="8" s="1"/>
  <c r="AY43" i="8" s="1"/>
  <c r="AK5" i="7"/>
  <c r="AK5" i="8" s="1"/>
  <c r="AK43" i="8" s="1"/>
  <c r="S5" i="7"/>
  <c r="S5" i="8" s="1"/>
  <c r="S43" i="8" s="1"/>
  <c r="I5" i="7"/>
  <c r="I5" i="8" s="1"/>
  <c r="I43" i="8" s="1"/>
  <c r="BN4" i="7"/>
  <c r="BN4" i="8" s="1"/>
  <c r="BN42" i="8" s="1"/>
  <c r="AV4" i="7"/>
  <c r="AV4" i="8" s="1"/>
  <c r="AV42" i="8" s="1"/>
  <c r="AH4" i="7"/>
  <c r="AH4" i="8" s="1"/>
  <c r="AH42" i="8" s="1"/>
  <c r="AM12" i="7"/>
  <c r="AM12" i="8" s="1"/>
  <c r="AM50" i="8" s="1"/>
  <c r="BM11" i="7"/>
  <c r="BM11" i="8" s="1"/>
  <c r="BM49" i="8" s="1"/>
  <c r="Z11" i="7"/>
  <c r="Z11" i="8" s="1"/>
  <c r="Z49" i="8" s="1"/>
  <c r="AX10" i="7"/>
  <c r="AX10" i="8" s="1"/>
  <c r="AX48" i="8" s="1"/>
  <c r="AZ9" i="7"/>
  <c r="AZ9" i="8" s="1"/>
  <c r="AZ47" i="8" s="1"/>
  <c r="Y9" i="7"/>
  <c r="Y9" i="8" s="1"/>
  <c r="Y47" i="8" s="1"/>
  <c r="BN8" i="7"/>
  <c r="BN8" i="8" s="1"/>
  <c r="BN46" i="8" s="1"/>
  <c r="AZ8" i="7"/>
  <c r="AZ8" i="8" s="1"/>
  <c r="AZ46" i="8" s="1"/>
  <c r="AH8" i="7"/>
  <c r="AH8" i="8" s="1"/>
  <c r="AH46" i="8" s="1"/>
  <c r="BJ7" i="7"/>
  <c r="BJ7" i="8" s="1"/>
  <c r="BJ45" i="8" s="1"/>
  <c r="AR7" i="7"/>
  <c r="AR7" i="8" s="1"/>
  <c r="AR45" i="8" s="1"/>
  <c r="AD7" i="7"/>
  <c r="AD7" i="8" s="1"/>
  <c r="AD45" i="8" s="1"/>
  <c r="BA6" i="7"/>
  <c r="BA6" i="8" s="1"/>
  <c r="BA44" i="8" s="1"/>
  <c r="AM6" i="7"/>
  <c r="AM6" i="8" s="1"/>
  <c r="AM44" i="8" s="1"/>
  <c r="U6" i="7"/>
  <c r="U6" i="8" s="1"/>
  <c r="U44" i="8" s="1"/>
  <c r="BP5" i="7"/>
  <c r="BP5" i="8" s="1"/>
  <c r="BP43" i="8" s="1"/>
  <c r="AX5" i="7"/>
  <c r="AX5" i="8" s="1"/>
  <c r="AX43" i="8" s="1"/>
  <c r="AJ5" i="7"/>
  <c r="AJ5" i="8" s="1"/>
  <c r="AJ43" i="8" s="1"/>
  <c r="H5" i="7"/>
  <c r="H5" i="8" s="1"/>
  <c r="H43" i="8" s="1"/>
  <c r="BM4" i="7"/>
  <c r="BM4" i="8" s="1"/>
  <c r="BM42" i="8" s="1"/>
  <c r="AU4" i="7"/>
  <c r="AU4" i="8" s="1"/>
  <c r="AU42" i="8" s="1"/>
  <c r="AC4" i="7"/>
  <c r="AC4" i="8" s="1"/>
  <c r="AC42" i="8" s="1"/>
  <c r="P4" i="7"/>
  <c r="P4" i="8" s="1"/>
  <c r="P42" i="8" s="1"/>
  <c r="F4" i="7"/>
  <c r="F4" i="8" s="1"/>
  <c r="F42" i="8" s="1"/>
  <c r="AG12" i="7"/>
  <c r="AG12" i="8" s="1"/>
  <c r="AG50" i="8" s="1"/>
  <c r="BG11" i="7"/>
  <c r="BG11" i="8" s="1"/>
  <c r="BG49" i="8" s="1"/>
  <c r="Y11" i="7"/>
  <c r="Y11" i="8" s="1"/>
  <c r="Y49" i="8" s="1"/>
  <c r="J11" i="7"/>
  <c r="J11" i="8" s="1"/>
  <c r="J49" i="8" s="1"/>
  <c r="AW10" i="7"/>
  <c r="AW10" i="8" s="1"/>
  <c r="AW48" i="8" s="1"/>
  <c r="F10" i="7"/>
  <c r="F10" i="8" s="1"/>
  <c r="F48" i="8" s="1"/>
  <c r="AV9" i="7"/>
  <c r="AV9" i="8" s="1"/>
  <c r="AV47" i="8" s="1"/>
  <c r="BM8" i="7"/>
  <c r="BM8" i="8" s="1"/>
  <c r="BM46" i="8" s="1"/>
  <c r="AU8" i="7"/>
  <c r="AU8" i="8" s="1"/>
  <c r="AU46" i="8" s="1"/>
  <c r="AG8" i="7"/>
  <c r="AG8" i="8" s="1"/>
  <c r="AG46" i="8" s="1"/>
  <c r="F8" i="7"/>
  <c r="F8" i="8" s="1"/>
  <c r="F46" i="8" s="1"/>
  <c r="BI7" i="7"/>
  <c r="BI7" i="8" s="1"/>
  <c r="BI45" i="8" s="1"/>
  <c r="AQ7" i="7"/>
  <c r="AQ7" i="8" s="1"/>
  <c r="AQ45" i="8" s="1"/>
  <c r="Y7" i="7"/>
  <c r="Y7" i="8" s="1"/>
  <c r="Y45" i="8" s="1"/>
  <c r="B7" i="7"/>
  <c r="B7" i="8" s="1"/>
  <c r="AZ6" i="7"/>
  <c r="AZ6" i="8" s="1"/>
  <c r="AZ44" i="8" s="1"/>
  <c r="AL6" i="7"/>
  <c r="AL6" i="8" s="1"/>
  <c r="AL44" i="8" s="1"/>
  <c r="BO5" i="7"/>
  <c r="BO5" i="8" s="1"/>
  <c r="BO43" i="8" s="1"/>
  <c r="AW5" i="7"/>
  <c r="AW5" i="8" s="1"/>
  <c r="AW43" i="8" s="1"/>
  <c r="AE5" i="7"/>
  <c r="AE5" i="8" s="1"/>
  <c r="AE43" i="8" s="1"/>
  <c r="BL4" i="7"/>
  <c r="BL4" i="8" s="1"/>
  <c r="BL42" i="8" s="1"/>
  <c r="AT4" i="7"/>
  <c r="AT4" i="8" s="1"/>
  <c r="AT42" i="8" s="1"/>
  <c r="AB4" i="7"/>
  <c r="AB4" i="8" s="1"/>
  <c r="AB42" i="8" s="1"/>
  <c r="AB12" i="7"/>
  <c r="AB12" i="8" s="1"/>
  <c r="AB50" i="8" s="1"/>
  <c r="BF11" i="7"/>
  <c r="BF11" i="8" s="1"/>
  <c r="BF49" i="8" s="1"/>
  <c r="AS10" i="7"/>
  <c r="AS10" i="8" s="1"/>
  <c r="AS48" i="8" s="1"/>
  <c r="AU9" i="7"/>
  <c r="AU9" i="8" s="1"/>
  <c r="AU47" i="8" s="1"/>
  <c r="I9" i="7"/>
  <c r="I9" i="8" s="1"/>
  <c r="I47" i="8" s="1"/>
  <c r="BL8" i="7"/>
  <c r="BL8" i="8" s="1"/>
  <c r="BL46" i="8" s="1"/>
  <c r="AT8" i="7"/>
  <c r="AT8" i="8" s="1"/>
  <c r="AT46" i="8" s="1"/>
  <c r="AF8" i="7"/>
  <c r="AF8" i="8" s="1"/>
  <c r="AF46" i="8" s="1"/>
  <c r="D13" i="7"/>
  <c r="D13" i="8" s="1"/>
  <c r="D51" i="8" s="1"/>
  <c r="V12" i="7"/>
  <c r="V12" i="8" s="1"/>
  <c r="V50" i="8" s="1"/>
  <c r="BA11" i="7"/>
  <c r="BA11" i="8" s="1"/>
  <c r="BA49" i="8" s="1"/>
  <c r="AM10" i="7"/>
  <c r="AM10" i="8" s="1"/>
  <c r="AM48" i="8" s="1"/>
  <c r="AP9" i="7"/>
  <c r="AP9" i="8" s="1"/>
  <c r="AP47" i="8" s="1"/>
  <c r="BK8" i="7"/>
  <c r="BK8" i="8" s="1"/>
  <c r="BK46" i="8" s="1"/>
  <c r="AS8" i="7"/>
  <c r="AS8" i="8" s="1"/>
  <c r="AS46" i="8" s="1"/>
  <c r="AA8" i="7"/>
  <c r="AA8" i="8" s="1"/>
  <c r="AA46" i="8" s="1"/>
  <c r="BC7" i="7"/>
  <c r="BC7" i="8" s="1"/>
  <c r="BC45" i="8" s="1"/>
  <c r="AV11" i="7"/>
  <c r="AV11" i="8" s="1"/>
  <c r="AV49" i="8" s="1"/>
  <c r="AL10" i="7"/>
  <c r="AL10" i="8" s="1"/>
  <c r="AL48" i="8" s="1"/>
  <c r="AO9" i="7"/>
  <c r="AO9" i="8" s="1"/>
  <c r="AO47" i="8" s="1"/>
  <c r="BJ8" i="7"/>
  <c r="BJ8" i="8" s="1"/>
  <c r="BJ46" i="8" s="1"/>
  <c r="AR8" i="7"/>
  <c r="AR8" i="8" s="1"/>
  <c r="AR46" i="8" s="1"/>
  <c r="Z8" i="7"/>
  <c r="Z8" i="8" s="1"/>
  <c r="Z46" i="8" s="1"/>
  <c r="BB7" i="7"/>
  <c r="BB7" i="8" s="1"/>
  <c r="BB45" i="8" s="1"/>
  <c r="BO12" i="7"/>
  <c r="BO12" i="8" s="1"/>
  <c r="BO50" i="8" s="1"/>
  <c r="AU11" i="7"/>
  <c r="AU11" i="8" s="1"/>
  <c r="AU49" i="8" s="1"/>
  <c r="AH10" i="7"/>
  <c r="AH10" i="8" s="1"/>
  <c r="AH48" i="8" s="1"/>
  <c r="BL9" i="7"/>
  <c r="BL9" i="8" s="1"/>
  <c r="BL47" i="8" s="1"/>
  <c r="AK9" i="7"/>
  <c r="AK9" i="8" s="1"/>
  <c r="AK47" i="8" s="1"/>
  <c r="BE8" i="7"/>
  <c r="BE8" i="8" s="1"/>
  <c r="BE46" i="8" s="1"/>
  <c r="AQ8" i="7"/>
  <c r="AQ8" i="8" s="1"/>
  <c r="AQ46" i="8" s="1"/>
  <c r="Y8" i="7"/>
  <c r="Y8" i="8" s="1"/>
  <c r="Y46" i="8" s="1"/>
  <c r="BL13" i="7"/>
  <c r="BL13" i="8" s="1"/>
  <c r="BL51" i="8" s="1"/>
  <c r="BI12" i="7"/>
  <c r="BI12" i="8" s="1"/>
  <c r="BI50" i="8" s="1"/>
  <c r="AP11" i="7"/>
  <c r="AP11" i="8" s="1"/>
  <c r="AP49" i="8" s="1"/>
  <c r="BO10" i="7"/>
  <c r="BO10" i="8" s="1"/>
  <c r="BO48" i="8" s="1"/>
  <c r="AB10" i="7"/>
  <c r="AB10" i="8" s="1"/>
  <c r="AB48" i="8" s="1"/>
  <c r="BK9" i="7"/>
  <c r="BK9" i="8" s="1"/>
  <c r="BK47" i="8" s="1"/>
  <c r="AJ9" i="7"/>
  <c r="AJ9" i="8" s="1"/>
  <c r="AJ47" i="8" s="1"/>
  <c r="BD8" i="7"/>
  <c r="BD8" i="8" s="1"/>
  <c r="BD46" i="8" s="1"/>
  <c r="AP8" i="7"/>
  <c r="AP8" i="8" s="1"/>
  <c r="AP46" i="8" s="1"/>
  <c r="X8" i="7"/>
  <c r="X8" i="8" s="1"/>
  <c r="X46" i="8" s="1"/>
  <c r="AZ7" i="7"/>
  <c r="AZ7" i="8" s="1"/>
  <c r="AZ45" i="8" s="1"/>
  <c r="AH7" i="7"/>
  <c r="AH7" i="8" s="1"/>
  <c r="AH45" i="8" s="1"/>
  <c r="BI6" i="7"/>
  <c r="BI6" i="8" s="1"/>
  <c r="BI44" i="8" s="1"/>
  <c r="AQ6" i="7"/>
  <c r="AQ6" i="8" s="1"/>
  <c r="AQ44" i="8" s="1"/>
  <c r="AC6" i="7"/>
  <c r="AC6" i="8" s="1"/>
  <c r="AC44" i="8" s="1"/>
  <c r="BF5" i="7"/>
  <c r="BF5" i="8" s="1"/>
  <c r="BF43" i="8" s="1"/>
  <c r="AN5" i="7"/>
  <c r="AN5" i="8" s="1"/>
  <c r="AN43" i="8" s="1"/>
  <c r="Z5" i="7"/>
  <c r="Z5" i="8" s="1"/>
  <c r="Z43" i="8" s="1"/>
  <c r="BC4" i="7"/>
  <c r="BC4" i="8" s="1"/>
  <c r="BC42" i="8" s="1"/>
  <c r="AK4" i="7"/>
  <c r="AK4" i="8" s="1"/>
  <c r="AK42" i="8" s="1"/>
  <c r="BA13" i="7"/>
  <c r="BA13" i="8" s="1"/>
  <c r="BA51" i="8" s="1"/>
  <c r="BC12" i="7"/>
  <c r="BC12" i="8" s="1"/>
  <c r="BC50" i="8" s="1"/>
  <c r="Q12" i="7"/>
  <c r="Q12" i="8" s="1"/>
  <c r="Q50" i="8" s="1"/>
  <c r="AK11" i="7"/>
  <c r="AK11" i="8" s="1"/>
  <c r="AK49" i="8" s="1"/>
  <c r="BI10" i="7"/>
  <c r="BI10" i="8" s="1"/>
  <c r="BI48" i="8" s="1"/>
  <c r="AA10" i="7"/>
  <c r="AA10" i="8" s="1"/>
  <c r="AA48" i="8" s="1"/>
  <c r="BG9" i="7"/>
  <c r="BG9" i="8" s="1"/>
  <c r="BG47" i="8" s="1"/>
  <c r="AE9" i="7"/>
  <c r="AE9" i="8" s="1"/>
  <c r="AE47" i="8" s="1"/>
  <c r="BC8" i="7"/>
  <c r="BC8" i="8" s="1"/>
  <c r="BC46" i="8" s="1"/>
  <c r="AK8" i="7"/>
  <c r="AK8" i="8" s="1"/>
  <c r="AK46" i="8" s="1"/>
  <c r="W8" i="7"/>
  <c r="W8" i="8" s="1"/>
  <c r="W46" i="8" s="1"/>
  <c r="BM7" i="7"/>
  <c r="BM7" i="8" s="1"/>
  <c r="BM45" i="8" s="1"/>
  <c r="AY7" i="7"/>
  <c r="AY7" i="8" s="1"/>
  <c r="AY45" i="8" s="1"/>
  <c r="AG7" i="7"/>
  <c r="AG7" i="8" s="1"/>
  <c r="AG45" i="8" s="1"/>
  <c r="BH6" i="7"/>
  <c r="BH6" i="8" s="1"/>
  <c r="BH44" i="8" s="1"/>
  <c r="AP6" i="7"/>
  <c r="AP6" i="8" s="1"/>
  <c r="AP44" i="8" s="1"/>
  <c r="AB6" i="7"/>
  <c r="AB6" i="8" s="1"/>
  <c r="AB44" i="8" s="1"/>
  <c r="BE5" i="7"/>
  <c r="BE5" i="8" s="1"/>
  <c r="BE43" i="8" s="1"/>
  <c r="AP7" i="7"/>
  <c r="AP7" i="8" s="1"/>
  <c r="AP45" i="8" s="1"/>
  <c r="AV6" i="7"/>
  <c r="AV6" i="8" s="1"/>
  <c r="AV44" i="8" s="1"/>
  <c r="AO5" i="7"/>
  <c r="AO5" i="8" s="1"/>
  <c r="AO43" i="8" s="1"/>
  <c r="AR4" i="7"/>
  <c r="AR4" i="8" s="1"/>
  <c r="AR42" i="8" s="1"/>
  <c r="AO7" i="7"/>
  <c r="AO7" i="8" s="1"/>
  <c r="AO45" i="8" s="1"/>
  <c r="AG6" i="7"/>
  <c r="AG6" i="8" s="1"/>
  <c r="AG44" i="8" s="1"/>
  <c r="AM5" i="7"/>
  <c r="AM5" i="8" s="1"/>
  <c r="AM43" i="8" s="1"/>
  <c r="AM4" i="7"/>
  <c r="AM4" i="8" s="1"/>
  <c r="AM42" i="8" s="1"/>
  <c r="AN7" i="7"/>
  <c r="AN7" i="8" s="1"/>
  <c r="AN45" i="8" s="1"/>
  <c r="AF6" i="7"/>
  <c r="AF6" i="8" s="1"/>
  <c r="AF44" i="8" s="1"/>
  <c r="AD5" i="7"/>
  <c r="AD5" i="8" s="1"/>
  <c r="AD43" i="8" s="1"/>
  <c r="AL4" i="7"/>
  <c r="AL4" i="8" s="1"/>
  <c r="AL42" i="8" s="1"/>
  <c r="AI7" i="7"/>
  <c r="AI7" i="8" s="1"/>
  <c r="AI45" i="8" s="1"/>
  <c r="AE6" i="7"/>
  <c r="AE6" i="8" s="1"/>
  <c r="AE44" i="8" s="1"/>
  <c r="BN5" i="7"/>
  <c r="BN5" i="8" s="1"/>
  <c r="BN43" i="8" s="1"/>
  <c r="AC5" i="7"/>
  <c r="AC5" i="8" s="1"/>
  <c r="AC43" i="8" s="1"/>
  <c r="BP4" i="7"/>
  <c r="BP4" i="8" s="1"/>
  <c r="BP42" i="8" s="1"/>
  <c r="AJ4" i="7"/>
  <c r="AJ4" i="8" s="1"/>
  <c r="AJ42" i="8" s="1"/>
  <c r="X7" i="7"/>
  <c r="X7" i="8" s="1"/>
  <c r="X45" i="8" s="1"/>
  <c r="BP6" i="7"/>
  <c r="BP6" i="8" s="1"/>
  <c r="BP44" i="8" s="1"/>
  <c r="AD6" i="7"/>
  <c r="AD6" i="8" s="1"/>
  <c r="AD44" i="8" s="1"/>
  <c r="BI5" i="7"/>
  <c r="BI5" i="8" s="1"/>
  <c r="BI43" i="8" s="1"/>
  <c r="AB5" i="7"/>
  <c r="AB5" i="8" s="1"/>
  <c r="AB43" i="8" s="1"/>
  <c r="BG4" i="7"/>
  <c r="BG4" i="8" s="1"/>
  <c r="BG42" i="8" s="1"/>
  <c r="AA4" i="7"/>
  <c r="AA4" i="8" s="1"/>
  <c r="AA42" i="8" s="1"/>
  <c r="W7" i="7"/>
  <c r="W7" i="8" s="1"/>
  <c r="W45" i="8" s="1"/>
  <c r="M7" i="7"/>
  <c r="M7" i="8" s="1"/>
  <c r="M45" i="8" s="1"/>
  <c r="BK6" i="7"/>
  <c r="BK6" i="8" s="1"/>
  <c r="BK44" i="8" s="1"/>
  <c r="BH5" i="7"/>
  <c r="BH5" i="8" s="1"/>
  <c r="BH43" i="8" s="1"/>
  <c r="AA5" i="7"/>
  <c r="AA5" i="8" s="1"/>
  <c r="AA43" i="8" s="1"/>
  <c r="BF4" i="7"/>
  <c r="BF4" i="8" s="1"/>
  <c r="BF42" i="8" s="1"/>
  <c r="Z4" i="7"/>
  <c r="Z4" i="8" s="1"/>
  <c r="Z42" i="8" s="1"/>
  <c r="B8" i="7"/>
  <c r="B8" i="8" s="1"/>
  <c r="V7" i="7"/>
  <c r="V7" i="8" s="1"/>
  <c r="V45" i="8" s="1"/>
  <c r="BJ6" i="7"/>
  <c r="BJ6" i="8" s="1"/>
  <c r="BJ44" i="8" s="1"/>
  <c r="I6" i="7"/>
  <c r="I6" i="8" s="1"/>
  <c r="I44" i="8" s="1"/>
  <c r="BG5" i="7"/>
  <c r="BG5" i="8" s="1"/>
  <c r="BG43" i="8" s="1"/>
  <c r="U5" i="7"/>
  <c r="U5" i="8" s="1"/>
  <c r="U43" i="8" s="1"/>
  <c r="BE4" i="7"/>
  <c r="BE4" i="8" s="1"/>
  <c r="BE42" i="8" s="1"/>
  <c r="Y4" i="7"/>
  <c r="Y4" i="8" s="1"/>
  <c r="Y42" i="8" s="1"/>
  <c r="BA7" i="7"/>
  <c r="BA7" i="8" s="1"/>
  <c r="BA45" i="8" s="1"/>
  <c r="AW6" i="7"/>
  <c r="AW6" i="8" s="1"/>
  <c r="AW44" i="8" s="1"/>
  <c r="AT5" i="7"/>
  <c r="AT5" i="8" s="1"/>
  <c r="AT43" i="8" s="1"/>
  <c r="AS4" i="7"/>
  <c r="AS4" i="8" s="1"/>
  <c r="AS42" i="8" s="1"/>
  <c r="I4" i="7"/>
  <c r="I4" i="8" s="1"/>
  <c r="I42" i="8" s="1"/>
  <c r="AU5" i="7"/>
  <c r="AU5" i="8" s="1"/>
  <c r="AU43" i="8" s="1"/>
  <c r="AY6" i="7"/>
  <c r="AY6" i="8" s="1"/>
  <c r="AY44" i="8" s="1"/>
  <c r="X4" i="7"/>
  <c r="X4" i="8" s="1"/>
  <c r="X42" i="8" s="1"/>
  <c r="AV5" i="7"/>
  <c r="AV5" i="8" s="1"/>
  <c r="AV43" i="8" s="1"/>
  <c r="BB4" i="7"/>
  <c r="BB4" i="8" s="1"/>
  <c r="BB42" i="8" s="1"/>
  <c r="BD4" i="7"/>
  <c r="BD4" i="8" s="1"/>
  <c r="BD42" i="8" s="1"/>
  <c r="B69" i="8"/>
  <c r="AC104" i="9"/>
  <c r="S104" i="9"/>
  <c r="I104" i="9"/>
  <c r="R103" i="9"/>
  <c r="H103" i="9"/>
  <c r="Q102" i="9"/>
  <c r="G102" i="9"/>
  <c r="AT101" i="9"/>
  <c r="AJ101" i="9"/>
  <c r="Z101" i="9"/>
  <c r="P101" i="9"/>
  <c r="F101" i="9"/>
  <c r="BM100" i="9"/>
  <c r="BC100" i="9"/>
  <c r="AI100" i="9"/>
  <c r="O100" i="9"/>
  <c r="E100" i="9"/>
  <c r="BB99" i="9"/>
  <c r="AH99" i="9"/>
  <c r="N99" i="9"/>
  <c r="D99" i="9"/>
  <c r="BK98" i="9"/>
  <c r="AG98" i="9"/>
  <c r="M98" i="9"/>
  <c r="C98" i="9"/>
  <c r="BJ97" i="9"/>
  <c r="AF97" i="9"/>
  <c r="L97" i="9"/>
  <c r="B97" i="9"/>
  <c r="U96" i="9"/>
  <c r="K96" i="9"/>
  <c r="BH95" i="9"/>
  <c r="T95" i="9"/>
  <c r="J95" i="9"/>
  <c r="AW94" i="9"/>
  <c r="S94" i="9"/>
  <c r="I94" i="9"/>
  <c r="BF93" i="9"/>
  <c r="AB93" i="9"/>
  <c r="R93" i="9"/>
  <c r="H93" i="9"/>
  <c r="BO92" i="9"/>
  <c r="Q92" i="9"/>
  <c r="G92" i="9"/>
  <c r="BN91" i="9"/>
  <c r="AT91" i="9"/>
  <c r="Z91" i="9"/>
  <c r="P91" i="9"/>
  <c r="F91" i="9"/>
  <c r="BC90" i="9"/>
  <c r="AI90" i="9"/>
  <c r="O90" i="9"/>
  <c r="BP104" i="9"/>
  <c r="AL104" i="9"/>
  <c r="AB104" i="9"/>
  <c r="R104" i="9"/>
  <c r="H104" i="9"/>
  <c r="Q103" i="9"/>
  <c r="G103" i="9"/>
  <c r="P102" i="9"/>
  <c r="F102" i="9"/>
  <c r="BC101" i="9"/>
  <c r="AI101" i="9"/>
  <c r="O101" i="9"/>
  <c r="E101" i="9"/>
  <c r="BB100" i="9"/>
  <c r="AH100" i="9"/>
  <c r="N100" i="9"/>
  <c r="D100" i="9"/>
  <c r="BK99" i="9"/>
  <c r="AG99" i="9"/>
  <c r="M99" i="9"/>
  <c r="C99" i="9"/>
  <c r="BJ98" i="9"/>
  <c r="AF98" i="9"/>
  <c r="L98" i="9"/>
  <c r="B98" i="9"/>
  <c r="U97" i="9"/>
  <c r="K97" i="9"/>
  <c r="BH96" i="9"/>
  <c r="T96" i="9"/>
  <c r="J96" i="9"/>
  <c r="AW95" i="9"/>
  <c r="S95" i="9"/>
  <c r="I95" i="9"/>
  <c r="BP94" i="9"/>
  <c r="BF94" i="9"/>
  <c r="AL94" i="9"/>
  <c r="AB94" i="9"/>
  <c r="R94" i="9"/>
  <c r="H94" i="9"/>
  <c r="Q93" i="9"/>
  <c r="G93" i="9"/>
  <c r="BN92" i="9"/>
  <c r="AT92" i="9"/>
  <c r="Z92" i="9"/>
  <c r="P92" i="9"/>
  <c r="F92" i="9"/>
  <c r="BC91" i="9"/>
  <c r="AI91" i="9"/>
  <c r="O91" i="9"/>
  <c r="E91" i="9"/>
  <c r="BB90" i="9"/>
  <c r="N90" i="9"/>
  <c r="D90" i="9"/>
  <c r="BO104" i="9"/>
  <c r="Q104" i="9"/>
  <c r="G104" i="9"/>
  <c r="AT103" i="9"/>
  <c r="Z103" i="9"/>
  <c r="P103" i="9"/>
  <c r="F103" i="9"/>
  <c r="O102" i="9"/>
  <c r="E102" i="9"/>
  <c r="BL101" i="9"/>
  <c r="BB101" i="9"/>
  <c r="AH101" i="9"/>
  <c r="N101" i="9"/>
  <c r="D101" i="9"/>
  <c r="BK100" i="9"/>
  <c r="AG100" i="9"/>
  <c r="M100" i="9"/>
  <c r="C100" i="9"/>
  <c r="BJ99" i="9"/>
  <c r="AF99" i="9"/>
  <c r="L99" i="9"/>
  <c r="B99" i="9"/>
  <c r="U98" i="9"/>
  <c r="K98" i="9"/>
  <c r="BH97" i="9"/>
  <c r="T97" i="9"/>
  <c r="J97" i="9"/>
  <c r="S96" i="9"/>
  <c r="I96" i="9"/>
  <c r="BF95" i="9"/>
  <c r="AB95" i="9"/>
  <c r="R95" i="9"/>
  <c r="H95" i="9"/>
  <c r="BO94" i="9"/>
  <c r="Q94" i="9"/>
  <c r="G94" i="9"/>
  <c r="AT93" i="9"/>
  <c r="AJ93" i="9"/>
  <c r="Z93" i="9"/>
  <c r="P93" i="9"/>
  <c r="F93" i="9"/>
  <c r="AI92" i="9"/>
  <c r="BN104" i="9"/>
  <c r="AT104" i="9"/>
  <c r="Z104" i="9"/>
  <c r="P104" i="9"/>
  <c r="F104" i="9"/>
  <c r="BC103" i="9"/>
  <c r="AI103" i="9"/>
  <c r="O103" i="9"/>
  <c r="E103" i="9"/>
  <c r="N102" i="9"/>
  <c r="D102" i="9"/>
  <c r="BK101" i="9"/>
  <c r="AG101" i="9"/>
  <c r="M101" i="9"/>
  <c r="C101" i="9"/>
  <c r="BJ100" i="9"/>
  <c r="AF100" i="9"/>
  <c r="L100" i="9"/>
  <c r="B100" i="9"/>
  <c r="U99" i="9"/>
  <c r="K99" i="9"/>
  <c r="BH98" i="9"/>
  <c r="T98" i="9"/>
  <c r="J98" i="9"/>
  <c r="S97" i="9"/>
  <c r="I97" i="9"/>
  <c r="R96" i="9"/>
  <c r="H96" i="9"/>
  <c r="Q95" i="9"/>
  <c r="G95" i="9"/>
  <c r="BN94" i="9"/>
  <c r="AT94" i="9"/>
  <c r="Z94" i="9"/>
  <c r="P94" i="9"/>
  <c r="F94" i="9"/>
  <c r="BC93" i="9"/>
  <c r="O93" i="9"/>
  <c r="E93" i="9"/>
  <c r="BB92" i="9"/>
  <c r="AH92" i="9"/>
  <c r="X92" i="9"/>
  <c r="N92" i="9"/>
  <c r="D92" i="9"/>
  <c r="M91" i="9"/>
  <c r="C91" i="9"/>
  <c r="BJ90" i="9"/>
  <c r="L90" i="9"/>
  <c r="B90" i="9"/>
  <c r="AE89" i="9"/>
  <c r="U89" i="9"/>
  <c r="K89" i="9"/>
  <c r="BH88" i="9"/>
  <c r="T88" i="9"/>
  <c r="J88" i="9"/>
  <c r="S87" i="9"/>
  <c r="I87" i="9"/>
  <c r="BP86" i="9"/>
  <c r="R86" i="9"/>
  <c r="H86" i="9"/>
  <c r="BO85" i="9"/>
  <c r="BE85" i="9"/>
  <c r="Q85" i="9"/>
  <c r="G85" i="9"/>
  <c r="BN84" i="9"/>
  <c r="AT84" i="9"/>
  <c r="Z84" i="9"/>
  <c r="P84" i="9"/>
  <c r="F84" i="9"/>
  <c r="AS83" i="9"/>
  <c r="AI83" i="9"/>
  <c r="O83" i="9"/>
  <c r="E83" i="9"/>
  <c r="BB82" i="9"/>
  <c r="N82" i="9"/>
  <c r="D82" i="9"/>
  <c r="BK81" i="9"/>
  <c r="BA81" i="9"/>
  <c r="AG81" i="9"/>
  <c r="M81" i="9"/>
  <c r="C81" i="9"/>
  <c r="BJ80" i="9"/>
  <c r="V80" i="9"/>
  <c r="BC104" i="9"/>
  <c r="O104" i="9"/>
  <c r="E104" i="9"/>
  <c r="BB103" i="9"/>
  <c r="N103" i="9"/>
  <c r="D103" i="9"/>
  <c r="M102" i="9"/>
  <c r="C102" i="9"/>
  <c r="BJ101" i="9"/>
  <c r="AF101" i="9"/>
  <c r="L101" i="9"/>
  <c r="B101" i="9"/>
  <c r="U100" i="9"/>
  <c r="K100" i="9"/>
  <c r="BH99" i="9"/>
  <c r="T99" i="9"/>
  <c r="J99" i="9"/>
  <c r="S98" i="9"/>
  <c r="I98" i="9"/>
  <c r="R97" i="9"/>
  <c r="H97" i="9"/>
  <c r="AK96" i="9"/>
  <c r="Q96" i="9"/>
  <c r="G96" i="9"/>
  <c r="AT95" i="9"/>
  <c r="Z95" i="9"/>
  <c r="P95" i="9"/>
  <c r="F95" i="9"/>
  <c r="BC94" i="9"/>
  <c r="O94" i="9"/>
  <c r="E94" i="9"/>
  <c r="BB93" i="9"/>
  <c r="AH93" i="9"/>
  <c r="X93" i="9"/>
  <c r="N93" i="9"/>
  <c r="D93" i="9"/>
  <c r="AQ92" i="9"/>
  <c r="AG92" i="9"/>
  <c r="W92" i="9"/>
  <c r="M92" i="9"/>
  <c r="C92" i="9"/>
  <c r="BJ91" i="9"/>
  <c r="L91" i="9"/>
  <c r="B91" i="9"/>
  <c r="U90" i="9"/>
  <c r="K90" i="9"/>
  <c r="BH89" i="9"/>
  <c r="T89" i="9"/>
  <c r="J89" i="9"/>
  <c r="AW88" i="9"/>
  <c r="S88" i="9"/>
  <c r="I88" i="9"/>
  <c r="AL87" i="9"/>
  <c r="AB87" i="9"/>
  <c r="R87" i="9"/>
  <c r="H87" i="9"/>
  <c r="BO86" i="9"/>
  <c r="BE86" i="9"/>
  <c r="Q86" i="9"/>
  <c r="G86" i="9"/>
  <c r="BN85" i="9"/>
  <c r="AT85" i="9"/>
  <c r="AJ85" i="9"/>
  <c r="Z85" i="9"/>
  <c r="P85" i="9"/>
  <c r="F85" i="9"/>
  <c r="AS84" i="9"/>
  <c r="AI84" i="9"/>
  <c r="O84" i="9"/>
  <c r="E84" i="9"/>
  <c r="BB83" i="9"/>
  <c r="AH83" i="9"/>
  <c r="X83" i="9"/>
  <c r="N83" i="9"/>
  <c r="D83" i="9"/>
  <c r="AG82" i="9"/>
  <c r="M82" i="9"/>
  <c r="C82" i="9"/>
  <c r="BJ81" i="9"/>
  <c r="V81" i="9"/>
  <c r="L81" i="9"/>
  <c r="B81" i="9"/>
  <c r="AE80" i="9"/>
  <c r="BB104" i="9"/>
  <c r="N104" i="9"/>
  <c r="D104" i="9"/>
  <c r="AG103" i="9"/>
  <c r="M103" i="9"/>
  <c r="C103" i="9"/>
  <c r="L102" i="9"/>
  <c r="B102" i="9"/>
  <c r="U101" i="9"/>
  <c r="K101" i="9"/>
  <c r="BH100" i="9"/>
  <c r="T100" i="9"/>
  <c r="J100" i="9"/>
  <c r="S99" i="9"/>
  <c r="I99" i="9"/>
  <c r="BP98" i="9"/>
  <c r="R98" i="9"/>
  <c r="H98" i="9"/>
  <c r="AK97" i="9"/>
  <c r="Q97" i="9"/>
  <c r="G97" i="9"/>
  <c r="AT96" i="9"/>
  <c r="Z96" i="9"/>
  <c r="P96" i="9"/>
  <c r="F96" i="9"/>
  <c r="BC95" i="9"/>
  <c r="O95" i="9"/>
  <c r="E95" i="9"/>
  <c r="BB94" i="9"/>
  <c r="AH94" i="9"/>
  <c r="X94" i="9"/>
  <c r="N94" i="9"/>
  <c r="D94" i="9"/>
  <c r="AG93" i="9"/>
  <c r="M93" i="9"/>
  <c r="C93" i="9"/>
  <c r="BJ92" i="9"/>
  <c r="AP92" i="9"/>
  <c r="V92" i="9"/>
  <c r="L92" i="9"/>
  <c r="B92" i="9"/>
  <c r="U91" i="9"/>
  <c r="K91" i="9"/>
  <c r="BH90" i="9"/>
  <c r="T90" i="9"/>
  <c r="J90" i="9"/>
  <c r="AW89" i="9"/>
  <c r="AC89" i="9"/>
  <c r="S89" i="9"/>
  <c r="I89" i="9"/>
  <c r="AG104" i="9"/>
  <c r="W104" i="9"/>
  <c r="M104" i="9"/>
  <c r="C104" i="9"/>
  <c r="BJ103" i="9"/>
  <c r="AF103" i="9"/>
  <c r="L103" i="9"/>
  <c r="B103" i="9"/>
  <c r="K102" i="9"/>
  <c r="BH101" i="9"/>
  <c r="T101" i="9"/>
  <c r="J101" i="9"/>
  <c r="S100" i="9"/>
  <c r="I100" i="9"/>
  <c r="BP99" i="9"/>
  <c r="R99" i="9"/>
  <c r="H99" i="9"/>
  <c r="BO98" i="9"/>
  <c r="AK98" i="9"/>
  <c r="Q98" i="9"/>
  <c r="G98" i="9"/>
  <c r="AT97" i="9"/>
  <c r="Z97" i="9"/>
  <c r="P97" i="9"/>
  <c r="F97" i="9"/>
  <c r="AI96" i="9"/>
  <c r="O96" i="9"/>
  <c r="E96" i="9"/>
  <c r="BB95" i="9"/>
  <c r="AH95" i="9"/>
  <c r="X95" i="9"/>
  <c r="N95" i="9"/>
  <c r="D95" i="9"/>
  <c r="AG94" i="9"/>
  <c r="M94" i="9"/>
  <c r="C94" i="9"/>
  <c r="BJ93" i="9"/>
  <c r="AP93" i="9"/>
  <c r="AF93" i="9"/>
  <c r="L93" i="9"/>
  <c r="B93" i="9"/>
  <c r="U92" i="9"/>
  <c r="K92" i="9"/>
  <c r="BH91" i="9"/>
  <c r="T91" i="9"/>
  <c r="J91" i="9"/>
  <c r="AC90" i="9"/>
  <c r="S90" i="9"/>
  <c r="I90" i="9"/>
  <c r="BP89" i="9"/>
  <c r="BF89" i="9"/>
  <c r="BJ104" i="9"/>
  <c r="V104" i="9"/>
  <c r="L104" i="9"/>
  <c r="B104" i="9"/>
  <c r="U103" i="9"/>
  <c r="K103" i="9"/>
  <c r="T102" i="9"/>
  <c r="AE104" i="9"/>
  <c r="U104" i="9"/>
  <c r="K104" i="9"/>
  <c r="BH103" i="9"/>
  <c r="T103" i="9"/>
  <c r="J103" i="9"/>
  <c r="S102" i="9"/>
  <c r="I102" i="9"/>
  <c r="AB101" i="9"/>
  <c r="R101" i="9"/>
  <c r="H101" i="9"/>
  <c r="BO100" i="9"/>
  <c r="Q100" i="9"/>
  <c r="G100" i="9"/>
  <c r="BN99" i="9"/>
  <c r="AT99" i="9"/>
  <c r="AJ99" i="9"/>
  <c r="Z99" i="9"/>
  <c r="P99" i="9"/>
  <c r="F99" i="9"/>
  <c r="AI98" i="9"/>
  <c r="O98" i="9"/>
  <c r="E98" i="9"/>
  <c r="BB97" i="9"/>
  <c r="AH97" i="9"/>
  <c r="X97" i="9"/>
  <c r="N97" i="9"/>
  <c r="D97" i="9"/>
  <c r="AG96" i="9"/>
  <c r="M96" i="9"/>
  <c r="C96" i="9"/>
  <c r="BJ95" i="9"/>
  <c r="AZ95" i="9"/>
  <c r="AP95" i="9"/>
  <c r="AF95" i="9"/>
  <c r="L95" i="9"/>
  <c r="B95" i="9"/>
  <c r="U94" i="9"/>
  <c r="K94" i="9"/>
  <c r="BH93" i="9"/>
  <c r="T93" i="9"/>
  <c r="J93" i="9"/>
  <c r="BG92" i="9"/>
  <c r="AW92" i="9"/>
  <c r="S92" i="9"/>
  <c r="I92" i="9"/>
  <c r="BP91" i="9"/>
  <c r="BF91" i="9"/>
  <c r="AL91" i="9"/>
  <c r="AB91" i="9"/>
  <c r="R91" i="9"/>
  <c r="H91" i="9"/>
  <c r="Q90" i="9"/>
  <c r="G90" i="9"/>
  <c r="BN89" i="9"/>
  <c r="BH104" i="9"/>
  <c r="T104" i="9"/>
  <c r="J104" i="9"/>
  <c r="S103" i="9"/>
  <c r="I103" i="9"/>
  <c r="R102" i="9"/>
  <c r="H102" i="9"/>
  <c r="Q101" i="9"/>
  <c r="G101" i="9"/>
  <c r="BN100" i="9"/>
  <c r="AT100" i="9"/>
  <c r="AJ100" i="9"/>
  <c r="Z100" i="9"/>
  <c r="P100" i="9"/>
  <c r="F100" i="9"/>
  <c r="AI99" i="9"/>
  <c r="O99" i="9"/>
  <c r="E99" i="9"/>
  <c r="BB98" i="9"/>
  <c r="AH98" i="9"/>
  <c r="N98" i="9"/>
  <c r="D98" i="9"/>
  <c r="AG97" i="9"/>
  <c r="M97" i="9"/>
  <c r="C97" i="9"/>
  <c r="BJ96" i="9"/>
  <c r="AF96" i="9"/>
  <c r="L96" i="9"/>
  <c r="B96" i="9"/>
  <c r="U95" i="9"/>
  <c r="K95" i="9"/>
  <c r="BH94" i="9"/>
  <c r="T94" i="9"/>
  <c r="J94" i="9"/>
  <c r="BG93" i="9"/>
  <c r="AW93" i="9"/>
  <c r="S93" i="9"/>
  <c r="I93" i="9"/>
  <c r="BP92" i="9"/>
  <c r="BF92" i="9"/>
  <c r="AL92" i="9"/>
  <c r="R92" i="9"/>
  <c r="H92" i="9"/>
  <c r="BO91" i="9"/>
  <c r="Q91" i="9"/>
  <c r="G91" i="9"/>
  <c r="AT90" i="9"/>
  <c r="Z90" i="9"/>
  <c r="P90" i="9"/>
  <c r="R100" i="9"/>
  <c r="BN98" i="9"/>
  <c r="BJ94" i="9"/>
  <c r="B94" i="9"/>
  <c r="BH92" i="9"/>
  <c r="M90" i="9"/>
  <c r="BJ89" i="9"/>
  <c r="N89" i="9"/>
  <c r="O88" i="9"/>
  <c r="C88" i="9"/>
  <c r="Q87" i="9"/>
  <c r="E87" i="9"/>
  <c r="BJ86" i="9"/>
  <c r="U86" i="9"/>
  <c r="I86" i="9"/>
  <c r="AP85" i="9"/>
  <c r="T85" i="9"/>
  <c r="H85" i="9"/>
  <c r="BB84" i="9"/>
  <c r="AP84" i="9"/>
  <c r="T84" i="9"/>
  <c r="H84" i="9"/>
  <c r="AQ83" i="9"/>
  <c r="T83" i="9"/>
  <c r="H83" i="9"/>
  <c r="K82" i="9"/>
  <c r="BP81" i="9"/>
  <c r="AI81" i="9"/>
  <c r="X81" i="9"/>
  <c r="K81" i="9"/>
  <c r="BP80" i="9"/>
  <c r="Z80" i="9"/>
  <c r="O80" i="9"/>
  <c r="E80" i="9"/>
  <c r="BB79" i="9"/>
  <c r="N79" i="9"/>
  <c r="D79" i="9"/>
  <c r="AQ78" i="9"/>
  <c r="M78" i="9"/>
  <c r="C78" i="9"/>
  <c r="BJ77" i="9"/>
  <c r="L77" i="9"/>
  <c r="B77" i="9"/>
  <c r="BI76" i="9"/>
  <c r="U76" i="9"/>
  <c r="K76" i="9"/>
  <c r="BH75" i="9"/>
  <c r="T75" i="9"/>
  <c r="J75" i="9"/>
  <c r="H100" i="9"/>
  <c r="Z98" i="9"/>
  <c r="BB96" i="9"/>
  <c r="AF94" i="9"/>
  <c r="H90" i="9"/>
  <c r="AL89" i="9"/>
  <c r="Z89" i="9"/>
  <c r="M89" i="9"/>
  <c r="AT88" i="9"/>
  <c r="Z88" i="9"/>
  <c r="N88" i="9"/>
  <c r="B88" i="9"/>
  <c r="BH87" i="9"/>
  <c r="P87" i="9"/>
  <c r="D87" i="9"/>
  <c r="T86" i="9"/>
  <c r="F86" i="9"/>
  <c r="S85" i="9"/>
  <c r="E85" i="9"/>
  <c r="S84" i="9"/>
  <c r="G84" i="9"/>
  <c r="AP83" i="9"/>
  <c r="S83" i="9"/>
  <c r="G83" i="9"/>
  <c r="AF82" i="9"/>
  <c r="V82" i="9"/>
  <c r="J82" i="9"/>
  <c r="BO81" i="9"/>
  <c r="J81" i="9"/>
  <c r="BO80" i="9"/>
  <c r="AT80" i="9"/>
  <c r="AJ80" i="9"/>
  <c r="Y80" i="9"/>
  <c r="N80" i="9"/>
  <c r="D80" i="9"/>
  <c r="AQ79" i="9"/>
  <c r="W79" i="9"/>
  <c r="M79" i="9"/>
  <c r="C79" i="9"/>
  <c r="BJ78" i="9"/>
  <c r="AP78" i="9"/>
  <c r="L78" i="9"/>
  <c r="B78" i="9"/>
  <c r="BI77" i="9"/>
  <c r="AE77" i="9"/>
  <c r="U77" i="9"/>
  <c r="K77" i="9"/>
  <c r="BH76" i="9"/>
  <c r="T76" i="9"/>
  <c r="J76" i="9"/>
  <c r="AW75" i="9"/>
  <c r="AC75" i="9"/>
  <c r="S75" i="9"/>
  <c r="I75" i="9"/>
  <c r="AW91" i="9"/>
  <c r="F90" i="9"/>
  <c r="L89" i="9"/>
  <c r="M88" i="9"/>
  <c r="O87" i="9"/>
  <c r="C87" i="9"/>
  <c r="BH86" i="9"/>
  <c r="AW86" i="9"/>
  <c r="S86" i="9"/>
  <c r="E86" i="9"/>
  <c r="BJ85" i="9"/>
  <c r="R85" i="9"/>
  <c r="D85" i="9"/>
  <c r="BJ84" i="9"/>
  <c r="AZ84" i="9"/>
  <c r="R84" i="9"/>
  <c r="D84" i="9"/>
  <c r="AZ83" i="9"/>
  <c r="R83" i="9"/>
  <c r="F83" i="9"/>
  <c r="AE82" i="9"/>
  <c r="U82" i="9"/>
  <c r="I82" i="9"/>
  <c r="BN81" i="9"/>
  <c r="BB81" i="9"/>
  <c r="U81" i="9"/>
  <c r="I81" i="9"/>
  <c r="BN80" i="9"/>
  <c r="AS80" i="9"/>
  <c r="M80" i="9"/>
  <c r="C80" i="9"/>
  <c r="BJ79" i="9"/>
  <c r="AP79" i="9"/>
  <c r="V79" i="9"/>
  <c r="L79" i="9"/>
  <c r="B79" i="9"/>
  <c r="AE78" i="9"/>
  <c r="U78" i="9"/>
  <c r="K78" i="9"/>
  <c r="BH77" i="9"/>
  <c r="T77" i="9"/>
  <c r="J77" i="9"/>
  <c r="AC76" i="9"/>
  <c r="S76" i="9"/>
  <c r="I76" i="9"/>
  <c r="AL75" i="9"/>
  <c r="AB75" i="9"/>
  <c r="R75" i="9"/>
  <c r="H75" i="9"/>
  <c r="BO99" i="9"/>
  <c r="U93" i="9"/>
  <c r="AB90" i="9"/>
  <c r="E90" i="9"/>
  <c r="AT89" i="9"/>
  <c r="H89" i="9"/>
  <c r="L88" i="9"/>
  <c r="Z87" i="9"/>
  <c r="N87" i="9"/>
  <c r="B87" i="9"/>
  <c r="P86" i="9"/>
  <c r="D86" i="9"/>
  <c r="O85" i="9"/>
  <c r="C85" i="9"/>
  <c r="Q84" i="9"/>
  <c r="C84" i="9"/>
  <c r="BJ83" i="9"/>
  <c r="Q83" i="9"/>
  <c r="C83" i="9"/>
  <c r="BJ82" i="9"/>
  <c r="T82" i="9"/>
  <c r="H82" i="9"/>
  <c r="T81" i="9"/>
  <c r="H81" i="9"/>
  <c r="BB80" i="9"/>
  <c r="W80" i="9"/>
  <c r="L80" i="9"/>
  <c r="B80" i="9"/>
  <c r="AE79" i="9"/>
  <c r="U79" i="9"/>
  <c r="K79" i="9"/>
  <c r="BH78" i="9"/>
  <c r="T78" i="9"/>
  <c r="J78" i="9"/>
  <c r="AW77" i="9"/>
  <c r="AC77" i="9"/>
  <c r="S77" i="9"/>
  <c r="I77" i="9"/>
  <c r="AB76" i="9"/>
  <c r="R76" i="9"/>
  <c r="H76" i="9"/>
  <c r="Q75" i="9"/>
  <c r="G75" i="9"/>
  <c r="M95" i="9"/>
  <c r="AP94" i="9"/>
  <c r="K93" i="9"/>
  <c r="T92" i="9"/>
  <c r="C90" i="9"/>
  <c r="G89" i="9"/>
  <c r="BB88" i="9"/>
  <c r="W88" i="9"/>
  <c r="K88" i="9"/>
  <c r="M87" i="9"/>
  <c r="O86" i="9"/>
  <c r="C86" i="9"/>
  <c r="BH85" i="9"/>
  <c r="AW85" i="9"/>
  <c r="N85" i="9"/>
  <c r="B85" i="9"/>
  <c r="BH84" i="9"/>
  <c r="AL84" i="9"/>
  <c r="N84" i="9"/>
  <c r="B84" i="9"/>
  <c r="P83" i="9"/>
  <c r="B83" i="9"/>
  <c r="S82" i="9"/>
  <c r="G82" i="9"/>
  <c r="S81" i="9"/>
  <c r="G81" i="9"/>
  <c r="U80" i="9"/>
  <c r="K80" i="9"/>
  <c r="BH79" i="9"/>
  <c r="T79" i="9"/>
  <c r="J79" i="9"/>
  <c r="AW78" i="9"/>
  <c r="AC78" i="9"/>
  <c r="S78" i="9"/>
  <c r="I78" i="9"/>
  <c r="AB77" i="9"/>
  <c r="R77" i="9"/>
  <c r="H77" i="9"/>
  <c r="Q76" i="9"/>
  <c r="G76" i="9"/>
  <c r="BD75" i="9"/>
  <c r="AT75" i="9"/>
  <c r="Z75" i="9"/>
  <c r="P75" i="9"/>
  <c r="F75" i="9"/>
  <c r="S101" i="9"/>
  <c r="X96" i="9"/>
  <c r="C95" i="9"/>
  <c r="O92" i="9"/>
  <c r="S91" i="9"/>
  <c r="AL90" i="9"/>
  <c r="BC89" i="9"/>
  <c r="F89" i="9"/>
  <c r="H88" i="9"/>
  <c r="AT87" i="9"/>
  <c r="L87" i="9"/>
  <c r="AT86" i="9"/>
  <c r="Z86" i="9"/>
  <c r="N86" i="9"/>
  <c r="B86" i="9"/>
  <c r="M85" i="9"/>
  <c r="AW84" i="9"/>
  <c r="M84" i="9"/>
  <c r="BH83" i="9"/>
  <c r="AW83" i="9"/>
  <c r="AL83" i="9"/>
  <c r="Z83" i="9"/>
  <c r="M83" i="9"/>
  <c r="BH82" i="9"/>
  <c r="AW82" i="9"/>
  <c r="AB82" i="9"/>
  <c r="R82" i="9"/>
  <c r="F82" i="9"/>
  <c r="AC81" i="9"/>
  <c r="R81" i="9"/>
  <c r="F81" i="9"/>
  <c r="T80" i="9"/>
  <c r="J80" i="9"/>
  <c r="BG79" i="9"/>
  <c r="S79" i="9"/>
  <c r="I79" i="9"/>
  <c r="AL78" i="9"/>
  <c r="AB78" i="9"/>
  <c r="R78" i="9"/>
  <c r="H78" i="9"/>
  <c r="Q77" i="9"/>
  <c r="G77" i="9"/>
  <c r="BD76" i="9"/>
  <c r="AT76" i="9"/>
  <c r="Z76" i="9"/>
  <c r="P76" i="9"/>
  <c r="F76" i="9"/>
  <c r="BC75" i="9"/>
  <c r="AI75" i="9"/>
  <c r="Y75" i="9"/>
  <c r="O75" i="9"/>
  <c r="E75" i="9"/>
  <c r="BP100" i="9"/>
  <c r="G99" i="9"/>
  <c r="AH96" i="9"/>
  <c r="N96" i="9"/>
  <c r="D91" i="9"/>
  <c r="BF90" i="9"/>
  <c r="P89" i="9"/>
  <c r="C89" i="9"/>
  <c r="Q88" i="9"/>
  <c r="E88" i="9"/>
  <c r="U87" i="9"/>
  <c r="G87" i="9"/>
  <c r="AG86" i="9"/>
  <c r="W86" i="9"/>
  <c r="K86" i="9"/>
  <c r="BP85" i="9"/>
  <c r="AG85" i="9"/>
  <c r="V85" i="9"/>
  <c r="J85" i="9"/>
  <c r="BO84" i="9"/>
  <c r="AG84" i="9"/>
  <c r="V84" i="9"/>
  <c r="J84" i="9"/>
  <c r="BO83" i="9"/>
  <c r="AT83" i="9"/>
  <c r="AG83" i="9"/>
  <c r="V83" i="9"/>
  <c r="J83" i="9"/>
  <c r="BO82" i="9"/>
  <c r="AT82" i="9"/>
  <c r="Y82" i="9"/>
  <c r="O82" i="9"/>
  <c r="BF81" i="9"/>
  <c r="AK81" i="9"/>
  <c r="Z81" i="9"/>
  <c r="O81" i="9"/>
  <c r="BG80" i="9"/>
  <c r="AW80" i="9"/>
  <c r="AB80" i="9"/>
  <c r="Q80" i="9"/>
  <c r="G80" i="9"/>
  <c r="BN79" i="9"/>
  <c r="AT79" i="9"/>
  <c r="Z79" i="9"/>
  <c r="P79" i="9"/>
  <c r="F79" i="9"/>
  <c r="O78" i="9"/>
  <c r="E78" i="9"/>
  <c r="BB77" i="9"/>
  <c r="N91" i="9"/>
  <c r="AB89" i="9"/>
  <c r="D89" i="9"/>
  <c r="BP84" i="9"/>
  <c r="X84" i="9"/>
  <c r="AF83" i="9"/>
  <c r="K83" i="9"/>
  <c r="BG82" i="9"/>
  <c r="P82" i="9"/>
  <c r="BG81" i="9"/>
  <c r="AT81" i="9"/>
  <c r="N81" i="9"/>
  <c r="BF80" i="9"/>
  <c r="H80" i="9"/>
  <c r="AS79" i="9"/>
  <c r="O79" i="9"/>
  <c r="BC77" i="9"/>
  <c r="O77" i="9"/>
  <c r="M76" i="9"/>
  <c r="B75" i="9"/>
  <c r="Q99" i="9"/>
  <c r="L94" i="9"/>
  <c r="I91" i="9"/>
  <c r="BO89" i="9"/>
  <c r="B89" i="9"/>
  <c r="I83" i="9"/>
  <c r="BF82" i="9"/>
  <c r="AS82" i="9"/>
  <c r="AI82" i="9"/>
  <c r="L82" i="9"/>
  <c r="E81" i="9"/>
  <c r="F80" i="9"/>
  <c r="H79" i="9"/>
  <c r="N77" i="9"/>
  <c r="L76" i="9"/>
  <c r="J92" i="9"/>
  <c r="Y86" i="9"/>
  <c r="X85" i="9"/>
  <c r="AH84" i="9"/>
  <c r="U84" i="9"/>
  <c r="E82" i="9"/>
  <c r="D81" i="9"/>
  <c r="BC79" i="9"/>
  <c r="G79" i="9"/>
  <c r="M77" i="9"/>
  <c r="E76" i="9"/>
  <c r="AG95" i="9"/>
  <c r="E92" i="9"/>
  <c r="BB91" i="9"/>
  <c r="T87" i="9"/>
  <c r="X86" i="9"/>
  <c r="AI85" i="9"/>
  <c r="AF84" i="9"/>
  <c r="L84" i="9"/>
  <c r="B82" i="9"/>
  <c r="BP79" i="9"/>
  <c r="E79" i="9"/>
  <c r="Q78" i="9"/>
  <c r="F77" i="9"/>
  <c r="D76" i="9"/>
  <c r="BJ75" i="9"/>
  <c r="U75" i="9"/>
  <c r="I101" i="9"/>
  <c r="AC91" i="9"/>
  <c r="U88" i="9"/>
  <c r="BB87" i="9"/>
  <c r="K87" i="9"/>
  <c r="AS86" i="9"/>
  <c r="AI86" i="9"/>
  <c r="U85" i="9"/>
  <c r="K84" i="9"/>
  <c r="BP82" i="9"/>
  <c r="AB81" i="9"/>
  <c r="BO79" i="9"/>
  <c r="AB79" i="9"/>
  <c r="AT78" i="9"/>
  <c r="P78" i="9"/>
  <c r="Z77" i="9"/>
  <c r="E77" i="9"/>
  <c r="BJ76" i="9"/>
  <c r="C76" i="9"/>
  <c r="N75" i="9"/>
  <c r="R88" i="9"/>
  <c r="AE87" i="9"/>
  <c r="J87" i="9"/>
  <c r="M86" i="9"/>
  <c r="AS85" i="9"/>
  <c r="L85" i="9"/>
  <c r="I84" i="9"/>
  <c r="BN82" i="9"/>
  <c r="AL79" i="9"/>
  <c r="N78" i="9"/>
  <c r="D77" i="9"/>
  <c r="B76" i="9"/>
  <c r="M75" i="9"/>
  <c r="AC101" i="9"/>
  <c r="AT98" i="9"/>
  <c r="F98" i="9"/>
  <c r="AI97" i="9"/>
  <c r="E97" i="9"/>
  <c r="O89" i="9"/>
  <c r="F88" i="9"/>
  <c r="BN86" i="9"/>
  <c r="BB85" i="9"/>
  <c r="BP83" i="9"/>
  <c r="U83" i="9"/>
  <c r="AL81" i="9"/>
  <c r="Q81" i="9"/>
  <c r="P80" i="9"/>
  <c r="R79" i="9"/>
  <c r="Z78" i="9"/>
  <c r="D78" i="9"/>
  <c r="O76" i="9"/>
  <c r="BB75" i="9"/>
  <c r="D75" i="9"/>
  <c r="E89" i="9"/>
  <c r="AW81" i="9"/>
  <c r="S80" i="9"/>
  <c r="AT77" i="9"/>
  <c r="K75" i="9"/>
  <c r="O97" i="9"/>
  <c r="L86" i="9"/>
  <c r="R80" i="9"/>
  <c r="Y79" i="9"/>
  <c r="G78" i="9"/>
  <c r="P77" i="9"/>
  <c r="C75" i="9"/>
  <c r="BB89" i="9"/>
  <c r="J86" i="9"/>
  <c r="I80" i="9"/>
  <c r="F78" i="9"/>
  <c r="C77" i="9"/>
  <c r="P98" i="9"/>
  <c r="R90" i="9"/>
  <c r="P88" i="9"/>
  <c r="BJ87" i="9"/>
  <c r="BH81" i="9"/>
  <c r="Q79" i="9"/>
  <c r="N76" i="9"/>
  <c r="AE75" i="9"/>
  <c r="G88" i="9"/>
  <c r="AQ84" i="9"/>
  <c r="BH80" i="9"/>
  <c r="BB76" i="9"/>
  <c r="AE88" i="9"/>
  <c r="D88" i="9"/>
  <c r="K85" i="9"/>
  <c r="Z82" i="9"/>
  <c r="R89" i="9"/>
  <c r="BJ88" i="9"/>
  <c r="AL88" i="9"/>
  <c r="AB88" i="9"/>
  <c r="Q82" i="9"/>
  <c r="P81" i="9"/>
  <c r="BF79" i="9"/>
  <c r="X77" i="9"/>
  <c r="Y81" i="9"/>
  <c r="AP86" i="9"/>
  <c r="F87" i="9"/>
  <c r="BB86" i="9"/>
  <c r="Q89" i="9"/>
  <c r="BB78" i="9"/>
  <c r="I85" i="9"/>
  <c r="BN83" i="9"/>
  <c r="L83" i="9"/>
  <c r="K32" i="9" l="1"/>
  <c r="B32" i="9"/>
  <c r="BQ32" i="9" s="1"/>
  <c r="G32" i="9"/>
  <c r="P32" i="9"/>
  <c r="L32" i="9"/>
  <c r="Q32" i="9"/>
  <c r="I32" i="9"/>
  <c r="C32" i="9"/>
  <c r="F32" i="9"/>
  <c r="S32" i="9"/>
  <c r="D32" i="9"/>
  <c r="Z32" i="9"/>
  <c r="BB31" i="9"/>
  <c r="E32" i="6"/>
  <c r="Z32" i="6"/>
  <c r="BE32" i="6"/>
  <c r="AW32" i="6"/>
  <c r="AD32" i="6"/>
  <c r="BF32" i="6"/>
  <c r="N32" i="6"/>
  <c r="AC32" i="9"/>
  <c r="N32" i="9"/>
  <c r="AT32" i="9"/>
  <c r="O32" i="6"/>
  <c r="AJ32" i="6"/>
  <c r="BO32" i="6"/>
  <c r="BG32" i="6"/>
  <c r="AN32" i="6"/>
  <c r="C32" i="6"/>
  <c r="X32" i="6"/>
  <c r="J32" i="9"/>
  <c r="BB32" i="9"/>
  <c r="BD32" i="9"/>
  <c r="AE31" i="9"/>
  <c r="AB31" i="9"/>
  <c r="Y32" i="6"/>
  <c r="AT32" i="6"/>
  <c r="H32" i="6"/>
  <c r="AB32" i="6"/>
  <c r="AX32" i="6"/>
  <c r="M32" i="6"/>
  <c r="AH32" i="6"/>
  <c r="T32" i="9"/>
  <c r="E32" i="9"/>
  <c r="BJ31" i="9"/>
  <c r="BO32" i="9"/>
  <c r="BP32" i="9"/>
  <c r="BN32" i="9"/>
  <c r="BO69" i="9"/>
  <c r="BN68" i="9"/>
  <c r="BO54" i="9"/>
  <c r="BP7" i="9"/>
  <c r="BN69" i="9"/>
  <c r="BN54" i="9"/>
  <c r="BP43" i="9"/>
  <c r="BO7" i="9"/>
  <c r="BP4" i="9"/>
  <c r="BO43" i="9"/>
  <c r="BN7" i="9"/>
  <c r="BP5" i="9"/>
  <c r="BO4" i="9"/>
  <c r="BO6" i="9"/>
  <c r="BN43" i="9"/>
  <c r="BP31" i="9"/>
  <c r="BO5" i="9"/>
  <c r="BN4" i="9"/>
  <c r="BP33" i="9"/>
  <c r="BO31" i="9"/>
  <c r="BP17" i="9"/>
  <c r="BN5" i="9"/>
  <c r="BP42" i="9"/>
  <c r="BP44" i="9"/>
  <c r="BO33" i="9"/>
  <c r="BN31" i="9"/>
  <c r="BO17" i="9"/>
  <c r="BO44" i="9"/>
  <c r="BP41" i="9"/>
  <c r="BN33" i="9"/>
  <c r="BN17" i="9"/>
  <c r="BP6" i="9"/>
  <c r="BN44" i="9"/>
  <c r="BO41" i="9"/>
  <c r="BP68" i="9"/>
  <c r="BO42" i="9"/>
  <c r="BN41" i="9"/>
  <c r="BN6" i="9"/>
  <c r="BP69" i="9"/>
  <c r="BO68" i="9"/>
  <c r="BP54" i="9"/>
  <c r="BN42" i="9"/>
  <c r="U31" i="9"/>
  <c r="AI32" i="6"/>
  <c r="BD32" i="6"/>
  <c r="R32" i="6"/>
  <c r="BH32" i="6"/>
  <c r="B32" i="6"/>
  <c r="W32" i="6"/>
  <c r="AR32" i="6"/>
  <c r="BH32" i="9"/>
  <c r="O32" i="9"/>
  <c r="R32" i="9"/>
  <c r="BC31" i="9"/>
  <c r="AS32" i="6"/>
  <c r="BN32" i="6"/>
  <c r="BP32" i="6"/>
  <c r="K32" i="6"/>
  <c r="L32" i="6"/>
  <c r="AG32" i="6"/>
  <c r="BB32" i="6"/>
  <c r="U32" i="9"/>
  <c r="BJ32" i="9"/>
  <c r="AB32" i="9"/>
  <c r="AW68" i="9"/>
  <c r="BC32" i="6"/>
  <c r="G32" i="6"/>
  <c r="AL32" i="6"/>
  <c r="U32" i="6"/>
  <c r="V32" i="6"/>
  <c r="AQ32" i="6"/>
  <c r="BI32" i="9"/>
  <c r="M32" i="9"/>
  <c r="BQ32" i="8"/>
  <c r="BI31" i="9"/>
  <c r="BI68" i="9"/>
  <c r="AT68" i="9"/>
  <c r="AB68" i="9"/>
  <c r="X31" i="9"/>
  <c r="BC68" i="9"/>
  <c r="AC68" i="9"/>
  <c r="AE68" i="9"/>
  <c r="U68" i="9"/>
  <c r="AT31" i="9"/>
  <c r="BB68" i="9"/>
  <c r="Z31" i="9"/>
  <c r="AW31" i="9"/>
  <c r="X68" i="9"/>
  <c r="AC31" i="9"/>
  <c r="D41" i="3"/>
  <c r="I41" i="3"/>
  <c r="M41" i="3"/>
  <c r="BP67" i="9"/>
  <c r="BP62" i="9"/>
  <c r="BP59" i="9"/>
  <c r="BO30" i="9"/>
  <c r="BO25" i="9"/>
  <c r="BO22" i="9"/>
  <c r="BP16" i="9"/>
  <c r="BO67" i="9"/>
  <c r="BO62" i="9"/>
  <c r="BO59" i="9"/>
  <c r="BP53" i="9"/>
  <c r="BN30" i="9"/>
  <c r="BN25" i="9"/>
  <c r="BN22" i="9"/>
  <c r="BO16" i="9"/>
  <c r="BN67" i="9"/>
  <c r="BN62" i="9"/>
  <c r="BN59" i="9"/>
  <c r="BO53" i="9"/>
  <c r="BP26" i="9"/>
  <c r="BP19" i="9"/>
  <c r="BN16" i="9"/>
  <c r="BO63" i="9"/>
  <c r="BN26" i="9"/>
  <c r="BP63" i="9"/>
  <c r="BP56" i="9"/>
  <c r="BN53" i="9"/>
  <c r="BO26" i="9"/>
  <c r="BO19" i="9"/>
  <c r="BN63" i="9"/>
  <c r="BN56" i="9"/>
  <c r="BP61" i="9"/>
  <c r="BP24" i="9"/>
  <c r="BO24" i="9"/>
  <c r="BO61" i="9"/>
  <c r="BN24" i="9"/>
  <c r="BN61" i="9"/>
  <c r="BP30" i="9"/>
  <c r="BP25" i="9"/>
  <c r="BP22" i="9"/>
  <c r="BO56" i="9"/>
  <c r="BN19" i="9"/>
  <c r="BC37" i="3"/>
  <c r="BC40" i="3" s="1"/>
  <c r="AR37" i="3"/>
  <c r="AR38" i="3" s="1"/>
  <c r="AR39" i="3" s="1"/>
  <c r="W37" i="3"/>
  <c r="W38" i="3" s="1"/>
  <c r="W39" i="3" s="1"/>
  <c r="AB37" i="3"/>
  <c r="AB40" i="3" s="1"/>
  <c r="BD37" i="3"/>
  <c r="BD38" i="3" s="1"/>
  <c r="BD39" i="3" s="1"/>
  <c r="AX37" i="3"/>
  <c r="AX38" i="3" s="1"/>
  <c r="AX39" i="3" s="1"/>
  <c r="AC37" i="3"/>
  <c r="AC40" i="3" s="1"/>
  <c r="BI37" i="3"/>
  <c r="BI40" i="3" s="1"/>
  <c r="AN37" i="3"/>
  <c r="AN38" i="3" s="1"/>
  <c r="AN39" i="3" s="1"/>
  <c r="AJ37" i="3"/>
  <c r="AJ38" i="3" s="1"/>
  <c r="AJ39" i="3" s="1"/>
  <c r="AY37" i="3"/>
  <c r="AY40" i="3" s="1"/>
  <c r="AY41" i="3" s="1"/>
  <c r="AD37" i="3"/>
  <c r="AD38" i="3" s="1"/>
  <c r="AD39" i="3" s="1"/>
  <c r="AO37" i="3"/>
  <c r="AO38" i="3" s="1"/>
  <c r="AO39" i="3" s="1"/>
  <c r="BE37" i="3"/>
  <c r="BE40" i="3" s="1"/>
  <c r="AM37" i="3"/>
  <c r="AM38" i="3" s="1"/>
  <c r="AM39" i="3" s="1"/>
  <c r="BK37" i="3"/>
  <c r="BK38" i="3" s="1"/>
  <c r="AE37" i="3"/>
  <c r="AE38" i="3" s="1"/>
  <c r="AU37" i="3"/>
  <c r="AU40" i="3" s="1"/>
  <c r="AU41" i="3" s="1"/>
  <c r="BA37" i="3"/>
  <c r="BA40" i="3" s="1"/>
  <c r="BA41" i="3" s="1"/>
  <c r="AK37" i="3"/>
  <c r="AK38" i="3" s="1"/>
  <c r="AK39" i="3" s="1"/>
  <c r="Z37" i="3"/>
  <c r="Z38" i="3" s="1"/>
  <c r="BL37" i="3"/>
  <c r="BL40" i="3" s="1"/>
  <c r="BL41" i="3" s="1"/>
  <c r="AV37" i="3"/>
  <c r="AV38" i="3" s="1"/>
  <c r="AV39" i="3" s="1"/>
  <c r="AA37" i="3"/>
  <c r="AA40" i="3" s="1"/>
  <c r="AA41" i="3" s="1"/>
  <c r="AT37" i="3"/>
  <c r="AT40" i="3" s="1"/>
  <c r="BM37" i="3"/>
  <c r="BM40" i="3" s="1"/>
  <c r="AH37" i="3"/>
  <c r="AH40" i="3" s="1"/>
  <c r="X38" i="3"/>
  <c r="X41" i="3" s="1"/>
  <c r="BJ40" i="3"/>
  <c r="AW38" i="3"/>
  <c r="AI38" i="3"/>
  <c r="AP40" i="3"/>
  <c r="V40" i="3"/>
  <c r="AF40" i="3"/>
  <c r="AG38" i="3"/>
  <c r="C41" i="3"/>
  <c r="J41" i="3"/>
  <c r="AW40" i="3"/>
  <c r="Q38" i="3"/>
  <c r="R38" i="3"/>
  <c r="AI40" i="3"/>
  <c r="U40" i="3"/>
  <c r="U38" i="3"/>
  <c r="AS40" i="3"/>
  <c r="AS38" i="3"/>
  <c r="AS39" i="3" s="1"/>
  <c r="BH38" i="3"/>
  <c r="BH39" i="3" s="1"/>
  <c r="BH40" i="3"/>
  <c r="Y40" i="3"/>
  <c r="Y38" i="3"/>
  <c r="S38" i="3"/>
  <c r="S39" i="3" s="1"/>
  <c r="AZ38" i="3"/>
  <c r="AZ39" i="3" s="1"/>
  <c r="AZ40" i="3"/>
  <c r="T40" i="3"/>
  <c r="T41" i="3" s="1"/>
  <c r="AG40" i="3"/>
  <c r="L41" i="3"/>
  <c r="A42" i="3"/>
  <c r="BP37" i="3" s="1"/>
  <c r="BJ38" i="3"/>
  <c r="AF38" i="3"/>
  <c r="V38" i="3"/>
  <c r="V39" i="3" s="1"/>
  <c r="BG38" i="3"/>
  <c r="BG39" i="3" s="1"/>
  <c r="BG40" i="3"/>
  <c r="BF40" i="3"/>
  <c r="BF41" i="3" s="1"/>
  <c r="BF38" i="3"/>
  <c r="BF39" i="3" s="1"/>
  <c r="AL38" i="3"/>
  <c r="AL39" i="3" s="1"/>
  <c r="AL40" i="3"/>
  <c r="AP38" i="3"/>
  <c r="AP39" i="3" s="1"/>
  <c r="BB40" i="3"/>
  <c r="BB38" i="3"/>
  <c r="AQ40" i="3"/>
  <c r="AQ38" i="3"/>
  <c r="AQ39" i="3" s="1"/>
  <c r="B41" i="3"/>
  <c r="G13" i="1"/>
  <c r="E41" i="3"/>
  <c r="H41" i="3"/>
  <c r="F41" i="3"/>
  <c r="K41" i="3"/>
  <c r="O41" i="3"/>
  <c r="G41" i="3"/>
  <c r="P41" i="3"/>
  <c r="N41" i="3"/>
  <c r="BB36" i="7"/>
  <c r="BB37" i="7" s="1"/>
  <c r="W36" i="7"/>
  <c r="W37" i="7" s="1"/>
  <c r="BI36" i="7"/>
  <c r="BI37" i="7" s="1"/>
  <c r="AL36" i="7"/>
  <c r="AL37" i="7" s="1"/>
  <c r="BN36" i="7"/>
  <c r="BN37" i="7" s="1"/>
  <c r="AI36" i="7"/>
  <c r="AI37" i="7" s="1"/>
  <c r="AR36" i="7"/>
  <c r="AR37" i="7" s="1"/>
  <c r="AY36" i="7"/>
  <c r="AY37" i="7" s="1"/>
  <c r="AB36" i="7"/>
  <c r="AB37" i="7" s="1"/>
  <c r="BD36" i="7"/>
  <c r="BD37" i="7" s="1"/>
  <c r="Y36" i="7"/>
  <c r="Y37" i="7" s="1"/>
  <c r="AH36" i="7"/>
  <c r="AH37" i="7" s="1"/>
  <c r="C36" i="7"/>
  <c r="C37" i="7" s="1"/>
  <c r="AO36" i="7"/>
  <c r="AO37" i="7" s="1"/>
  <c r="BG36" i="7"/>
  <c r="BG37" i="7" s="1"/>
  <c r="AT36" i="7"/>
  <c r="AT37" i="7" s="1"/>
  <c r="X36" i="7"/>
  <c r="X37" i="7" s="1"/>
  <c r="BJ36" i="7"/>
  <c r="BJ37" i="7" s="1"/>
  <c r="AE36" i="7"/>
  <c r="AE37" i="7" s="1"/>
  <c r="AW36" i="7"/>
  <c r="AW37" i="7" s="1"/>
  <c r="H36" i="7"/>
  <c r="H37" i="7" s="1"/>
  <c r="AJ36" i="7"/>
  <c r="AJ37" i="7" s="1"/>
  <c r="AZ36" i="7"/>
  <c r="AZ37" i="7" s="1"/>
  <c r="U36" i="7"/>
  <c r="U37" i="7" s="1"/>
  <c r="AM36" i="7"/>
  <c r="AM37" i="7" s="1"/>
  <c r="BO36" i="7"/>
  <c r="BO37" i="7" s="1"/>
  <c r="Z36" i="7"/>
  <c r="Z37" i="7" s="1"/>
  <c r="I36" i="7"/>
  <c r="I37" i="7" s="1"/>
  <c r="AP36" i="7"/>
  <c r="AP37" i="7" s="1"/>
  <c r="AC36" i="7"/>
  <c r="AC37" i="7" s="1"/>
  <c r="BE36" i="7"/>
  <c r="BE37" i="7" s="1"/>
  <c r="BK36" i="7"/>
  <c r="BK37" i="7" s="1"/>
  <c r="AF36" i="7"/>
  <c r="AF37" i="7" s="1"/>
  <c r="BH36" i="7"/>
  <c r="BH37" i="7" s="1"/>
  <c r="AU36" i="7"/>
  <c r="AU37" i="7" s="1"/>
  <c r="F36" i="7"/>
  <c r="F37" i="7" s="1"/>
  <c r="BL36" i="7"/>
  <c r="BL37" i="7" s="1"/>
  <c r="BA36" i="7"/>
  <c r="BA37" i="7" s="1"/>
  <c r="V36" i="7"/>
  <c r="V37" i="7" s="1"/>
  <c r="AX36" i="7"/>
  <c r="AX37" i="7" s="1"/>
  <c r="BP36" i="7"/>
  <c r="BP37" i="7" s="1"/>
  <c r="AK36" i="7"/>
  <c r="AK37" i="7" s="1"/>
  <c r="BM36" i="7"/>
  <c r="BM37" i="7" s="1"/>
  <c r="AQ36" i="7"/>
  <c r="AQ37" i="7" s="1"/>
  <c r="AN36" i="7"/>
  <c r="AN37" i="7" s="1"/>
  <c r="BF36" i="7"/>
  <c r="BF37" i="7" s="1"/>
  <c r="AA36" i="7"/>
  <c r="AA37" i="7" s="1"/>
  <c r="BC36" i="7"/>
  <c r="BC37" i="7" s="1"/>
  <c r="AG36" i="7"/>
  <c r="AG37" i="7" s="1"/>
  <c r="B36" i="7"/>
  <c r="B37" i="7" s="1"/>
  <c r="AD36" i="7"/>
  <c r="AD37" i="7" s="1"/>
  <c r="AV36" i="7"/>
  <c r="AV37" i="7" s="1"/>
  <c r="AS36" i="7"/>
  <c r="AS37" i="7" s="1"/>
  <c r="BQ87" i="9"/>
  <c r="BQ31" i="8"/>
  <c r="BQ88" i="9"/>
  <c r="BQ79" i="9"/>
  <c r="BQ93" i="9"/>
  <c r="BQ83" i="9"/>
  <c r="BQ81" i="9"/>
  <c r="BQ101" i="9"/>
  <c r="B42" i="8"/>
  <c r="BQ42" i="8" s="1"/>
  <c r="BR4" i="8" s="1"/>
  <c r="BQ4" i="8"/>
  <c r="B53" i="8"/>
  <c r="BQ53" i="8" s="1"/>
  <c r="BR15" i="8" s="1"/>
  <c r="BQ15" i="8"/>
  <c r="B62" i="8"/>
  <c r="BQ62" i="8" s="1"/>
  <c r="BR24" i="8" s="1"/>
  <c r="BQ24" i="8"/>
  <c r="BQ90" i="9"/>
  <c r="BQ89" i="9"/>
  <c r="BQ103" i="9"/>
  <c r="BQ102" i="9"/>
  <c r="B54" i="8"/>
  <c r="BQ54" i="8" s="1"/>
  <c r="BR16" i="8" s="1"/>
  <c r="BQ16" i="8"/>
  <c r="B65" i="8"/>
  <c r="BQ65" i="8" s="1"/>
  <c r="BR27" i="8" s="1"/>
  <c r="BQ27" i="8"/>
  <c r="B57" i="8"/>
  <c r="BQ57" i="8" s="1"/>
  <c r="BR19" i="8" s="1"/>
  <c r="BQ19" i="8"/>
  <c r="BP34" i="6"/>
  <c r="BF34" i="6"/>
  <c r="AV34" i="6"/>
  <c r="AL34" i="6"/>
  <c r="AB34" i="6"/>
  <c r="R34" i="6"/>
  <c r="H34" i="6"/>
  <c r="BN33" i="6"/>
  <c r="BD33" i="6"/>
  <c r="AT33" i="6"/>
  <c r="AJ33" i="6"/>
  <c r="Z33" i="6"/>
  <c r="P33" i="6"/>
  <c r="F33" i="6"/>
  <c r="BL31" i="6"/>
  <c r="BB31" i="6"/>
  <c r="AR31" i="6"/>
  <c r="AH31" i="6"/>
  <c r="X31" i="6"/>
  <c r="N31" i="6"/>
  <c r="D31" i="6"/>
  <c r="BJ30" i="6"/>
  <c r="AZ30" i="6"/>
  <c r="AP30" i="6"/>
  <c r="AF30" i="6"/>
  <c r="V30" i="6"/>
  <c r="L30" i="6"/>
  <c r="B30" i="6"/>
  <c r="BH29" i="6"/>
  <c r="AX29" i="6"/>
  <c r="AN29" i="6"/>
  <c r="AD29" i="6"/>
  <c r="T29" i="6"/>
  <c r="J29" i="6"/>
  <c r="BP28" i="6"/>
  <c r="BF28" i="6"/>
  <c r="AV28" i="6"/>
  <c r="AL28" i="6"/>
  <c r="AB28" i="6"/>
  <c r="R28" i="6"/>
  <c r="H28" i="6"/>
  <c r="BN27" i="6"/>
  <c r="BD27" i="6"/>
  <c r="AT27" i="6"/>
  <c r="AJ27" i="6"/>
  <c r="Z27" i="6"/>
  <c r="P27" i="6"/>
  <c r="F27" i="6"/>
  <c r="BL26" i="6"/>
  <c r="BB26" i="6"/>
  <c r="AR26" i="6"/>
  <c r="AH26" i="6"/>
  <c r="X26" i="6"/>
  <c r="N26" i="6"/>
  <c r="D26" i="6"/>
  <c r="BJ25" i="6"/>
  <c r="AZ25" i="6"/>
  <c r="AP25" i="6"/>
  <c r="AF25" i="6"/>
  <c r="V25" i="6"/>
  <c r="L25" i="6"/>
  <c r="B25" i="6"/>
  <c r="BH24" i="6"/>
  <c r="AX24" i="6"/>
  <c r="AN24" i="6"/>
  <c r="AD24" i="6"/>
  <c r="T24" i="6"/>
  <c r="J24" i="6"/>
  <c r="BP23" i="6"/>
  <c r="BF23" i="6"/>
  <c r="AV23" i="6"/>
  <c r="AL23" i="6"/>
  <c r="AB23" i="6"/>
  <c r="R23" i="6"/>
  <c r="H23" i="6"/>
  <c r="BN22" i="6"/>
  <c r="BD22" i="6"/>
  <c r="AT22" i="6"/>
  <c r="AJ22" i="6"/>
  <c r="Z22" i="6"/>
  <c r="P22" i="6"/>
  <c r="F22" i="6"/>
  <c r="BL21" i="6"/>
  <c r="BB21" i="6"/>
  <c r="AR21" i="6"/>
  <c r="AH21" i="6"/>
  <c r="X21" i="6"/>
  <c r="N21" i="6"/>
  <c r="D21" i="6"/>
  <c r="BJ20" i="6"/>
  <c r="AZ20" i="6"/>
  <c r="AP20" i="6"/>
  <c r="AF20" i="6"/>
  <c r="BO34" i="6"/>
  <c r="BN34" i="6"/>
  <c r="BH34" i="6"/>
  <c r="AW34" i="6"/>
  <c r="AK34" i="6"/>
  <c r="Z34" i="6"/>
  <c r="O34" i="6"/>
  <c r="D34" i="6"/>
  <c r="BI33" i="6"/>
  <c r="AX33" i="6"/>
  <c r="AM33" i="6"/>
  <c r="AB33" i="6"/>
  <c r="Q33" i="6"/>
  <c r="E33" i="6"/>
  <c r="BJ31" i="6"/>
  <c r="AY31" i="6"/>
  <c r="AN31" i="6"/>
  <c r="AC31" i="6"/>
  <c r="R31" i="6"/>
  <c r="G31" i="6"/>
  <c r="BL30" i="6"/>
  <c r="BA30" i="6"/>
  <c r="AO30" i="6"/>
  <c r="AD30" i="6"/>
  <c r="S30" i="6"/>
  <c r="H30" i="6"/>
  <c r="BM29" i="6"/>
  <c r="BB29" i="6"/>
  <c r="AQ29" i="6"/>
  <c r="AF29" i="6"/>
  <c r="U29" i="6"/>
  <c r="I29" i="6"/>
  <c r="BN28" i="6"/>
  <c r="BC28" i="6"/>
  <c r="AR28" i="6"/>
  <c r="AG28" i="6"/>
  <c r="V28" i="6"/>
  <c r="K28" i="6"/>
  <c r="BP27" i="6"/>
  <c r="BE27" i="6"/>
  <c r="AS27" i="6"/>
  <c r="AH27" i="6"/>
  <c r="W27" i="6"/>
  <c r="L27" i="6"/>
  <c r="BF26" i="6"/>
  <c r="AU26" i="6"/>
  <c r="AJ26" i="6"/>
  <c r="Y26" i="6"/>
  <c r="M26" i="6"/>
  <c r="B26" i="6"/>
  <c r="BG25" i="6"/>
  <c r="AV25" i="6"/>
  <c r="AK25" i="6"/>
  <c r="Z25" i="6"/>
  <c r="O25" i="6"/>
  <c r="D25" i="6"/>
  <c r="BI24" i="6"/>
  <c r="AW24" i="6"/>
  <c r="AL24" i="6"/>
  <c r="AA24" i="6"/>
  <c r="P24" i="6"/>
  <c r="E24" i="6"/>
  <c r="BJ23" i="6"/>
  <c r="AY23" i="6"/>
  <c r="AN23" i="6"/>
  <c r="AC23" i="6"/>
  <c r="Q23" i="6"/>
  <c r="F23" i="6"/>
  <c r="BK22" i="6"/>
  <c r="AZ22" i="6"/>
  <c r="AO22" i="6"/>
  <c r="AD22" i="6"/>
  <c r="S22" i="6"/>
  <c r="H22" i="6"/>
  <c r="BM21" i="6"/>
  <c r="BA21" i="6"/>
  <c r="AP21" i="6"/>
  <c r="AE21" i="6"/>
  <c r="T21" i="6"/>
  <c r="I21" i="6"/>
  <c r="BN20" i="6"/>
  <c r="BC20" i="6"/>
  <c r="AR20" i="6"/>
  <c r="AG20" i="6"/>
  <c r="V20" i="6"/>
  <c r="L20" i="6"/>
  <c r="B20" i="6"/>
  <c r="BH19" i="6"/>
  <c r="AX19" i="6"/>
  <c r="AN19" i="6"/>
  <c r="AD19" i="6"/>
  <c r="T19" i="6"/>
  <c r="J19" i="6"/>
  <c r="BP18" i="6"/>
  <c r="BF18" i="6"/>
  <c r="AV18" i="6"/>
  <c r="AL18" i="6"/>
  <c r="AB18" i="6"/>
  <c r="R18" i="6"/>
  <c r="H18" i="6"/>
  <c r="BN17" i="6"/>
  <c r="BD17" i="6"/>
  <c r="AT17" i="6"/>
  <c r="AJ17" i="6"/>
  <c r="Z17" i="6"/>
  <c r="P17" i="6"/>
  <c r="F17" i="6"/>
  <c r="BL16" i="6"/>
  <c r="BB16" i="6"/>
  <c r="AR16" i="6"/>
  <c r="AH16" i="6"/>
  <c r="X16" i="6"/>
  <c r="N16" i="6"/>
  <c r="D16" i="6"/>
  <c r="BJ15" i="6"/>
  <c r="AZ15" i="6"/>
  <c r="AP15" i="6"/>
  <c r="AF15" i="6"/>
  <c r="V15" i="6"/>
  <c r="L15" i="6"/>
  <c r="BE34" i="6"/>
  <c r="AT34" i="6"/>
  <c r="AI34" i="6"/>
  <c r="X34" i="6"/>
  <c r="M34" i="6"/>
  <c r="B34" i="6"/>
  <c r="BG33" i="6"/>
  <c r="AV33" i="6"/>
  <c r="AK33" i="6"/>
  <c r="Y33" i="6"/>
  <c r="N33" i="6"/>
  <c r="C33" i="6"/>
  <c r="BH31" i="6"/>
  <c r="AW31" i="6"/>
  <c r="AL31" i="6"/>
  <c r="AA31" i="6"/>
  <c r="P31" i="6"/>
  <c r="E31" i="6"/>
  <c r="BI30" i="6"/>
  <c r="AX30" i="6"/>
  <c r="AM30" i="6"/>
  <c r="AB30" i="6"/>
  <c r="Q30" i="6"/>
  <c r="F30" i="6"/>
  <c r="BK29" i="6"/>
  <c r="AZ29" i="6"/>
  <c r="AO29" i="6"/>
  <c r="AC29" i="6"/>
  <c r="R29" i="6"/>
  <c r="G29" i="6"/>
  <c r="BL28" i="6"/>
  <c r="BA28" i="6"/>
  <c r="AP28" i="6"/>
  <c r="AE28" i="6"/>
  <c r="T28" i="6"/>
  <c r="I28" i="6"/>
  <c r="BM27" i="6"/>
  <c r="BB27" i="6"/>
  <c r="AQ27" i="6"/>
  <c r="AF27" i="6"/>
  <c r="U27" i="6"/>
  <c r="J27" i="6"/>
  <c r="BO26" i="6"/>
  <c r="BD26" i="6"/>
  <c r="AS26" i="6"/>
  <c r="AG26" i="6"/>
  <c r="V26" i="6"/>
  <c r="K26" i="6"/>
  <c r="BP25" i="6"/>
  <c r="BE25" i="6"/>
  <c r="AT25" i="6"/>
  <c r="AI25" i="6"/>
  <c r="X25" i="6"/>
  <c r="M25" i="6"/>
  <c r="BF24" i="6"/>
  <c r="AU24" i="6"/>
  <c r="AJ24" i="6"/>
  <c r="Y24" i="6"/>
  <c r="N24" i="6"/>
  <c r="C24" i="6"/>
  <c r="BH23" i="6"/>
  <c r="AW23" i="6"/>
  <c r="AK23" i="6"/>
  <c r="Z23" i="6"/>
  <c r="O23" i="6"/>
  <c r="D23" i="6"/>
  <c r="BI22" i="6"/>
  <c r="AX22" i="6"/>
  <c r="AM22" i="6"/>
  <c r="AB22" i="6"/>
  <c r="Q22" i="6"/>
  <c r="E22" i="6"/>
  <c r="BJ21" i="6"/>
  <c r="AY21" i="6"/>
  <c r="AN21" i="6"/>
  <c r="AC21" i="6"/>
  <c r="R21" i="6"/>
  <c r="G21" i="6"/>
  <c r="BL20" i="6"/>
  <c r="BA20" i="6"/>
  <c r="AO20" i="6"/>
  <c r="AD20" i="6"/>
  <c r="T20" i="6"/>
  <c r="J20" i="6"/>
  <c r="BP19" i="6"/>
  <c r="BF19" i="6"/>
  <c r="AV19" i="6"/>
  <c r="AL19" i="6"/>
  <c r="AB19" i="6"/>
  <c r="R19" i="6"/>
  <c r="H19" i="6"/>
  <c r="BN18" i="6"/>
  <c r="BD18" i="6"/>
  <c r="AT18" i="6"/>
  <c r="BD34" i="6"/>
  <c r="AS34" i="6"/>
  <c r="AH34" i="6"/>
  <c r="W34" i="6"/>
  <c r="L34" i="6"/>
  <c r="BF33" i="6"/>
  <c r="AU33" i="6"/>
  <c r="AI33" i="6"/>
  <c r="X33" i="6"/>
  <c r="M33" i="6"/>
  <c r="B33" i="6"/>
  <c r="BG31" i="6"/>
  <c r="AV31" i="6"/>
  <c r="AK31" i="6"/>
  <c r="Z31" i="6"/>
  <c r="O31" i="6"/>
  <c r="C31" i="6"/>
  <c r="BH30" i="6"/>
  <c r="AW30" i="6"/>
  <c r="AL30" i="6"/>
  <c r="AA30" i="6"/>
  <c r="P30" i="6"/>
  <c r="E30" i="6"/>
  <c r="BJ29" i="6"/>
  <c r="AY29" i="6"/>
  <c r="AM29" i="6"/>
  <c r="AB29" i="6"/>
  <c r="Q29" i="6"/>
  <c r="F29" i="6"/>
  <c r="BK28" i="6"/>
  <c r="AZ28" i="6"/>
  <c r="AO28" i="6"/>
  <c r="AD28" i="6"/>
  <c r="S28" i="6"/>
  <c r="G28" i="6"/>
  <c r="BL27" i="6"/>
  <c r="BA27" i="6"/>
  <c r="AP27" i="6"/>
  <c r="AE27" i="6"/>
  <c r="T27" i="6"/>
  <c r="I27" i="6"/>
  <c r="BN26" i="6"/>
  <c r="BC26" i="6"/>
  <c r="AQ26" i="6"/>
  <c r="AF26" i="6"/>
  <c r="U26" i="6"/>
  <c r="J26" i="6"/>
  <c r="BO25" i="6"/>
  <c r="BD25" i="6"/>
  <c r="AS25" i="6"/>
  <c r="AH25" i="6"/>
  <c r="W25" i="6"/>
  <c r="K25" i="6"/>
  <c r="BP24" i="6"/>
  <c r="BE24" i="6"/>
  <c r="AT24" i="6"/>
  <c r="AI24" i="6"/>
  <c r="X24" i="6"/>
  <c r="M24" i="6"/>
  <c r="B24" i="6"/>
  <c r="BG23" i="6"/>
  <c r="AU23" i="6"/>
  <c r="AJ23" i="6"/>
  <c r="Y23" i="6"/>
  <c r="N23" i="6"/>
  <c r="C23" i="6"/>
  <c r="BH22" i="6"/>
  <c r="AW22" i="6"/>
  <c r="AL22" i="6"/>
  <c r="AA22" i="6"/>
  <c r="O22" i="6"/>
  <c r="D22" i="6"/>
  <c r="BI21" i="6"/>
  <c r="AX21" i="6"/>
  <c r="AM21" i="6"/>
  <c r="AB21" i="6"/>
  <c r="Q21" i="6"/>
  <c r="F21" i="6"/>
  <c r="BK20" i="6"/>
  <c r="AY20" i="6"/>
  <c r="AN20" i="6"/>
  <c r="AC20" i="6"/>
  <c r="S20" i="6"/>
  <c r="I20" i="6"/>
  <c r="BO19" i="6"/>
  <c r="BE19" i="6"/>
  <c r="AU19" i="6"/>
  <c r="AK19" i="6"/>
  <c r="AA19" i="6"/>
  <c r="Q19" i="6"/>
  <c r="G19" i="6"/>
  <c r="BM18" i="6"/>
  <c r="BC18" i="6"/>
  <c r="AS18" i="6"/>
  <c r="AI18" i="6"/>
  <c r="Y18" i="6"/>
  <c r="O18" i="6"/>
  <c r="E18" i="6"/>
  <c r="BK17" i="6"/>
  <c r="BA17" i="6"/>
  <c r="AQ17" i="6"/>
  <c r="AG17" i="6"/>
  <c r="W17" i="6"/>
  <c r="M17" i="6"/>
  <c r="C17" i="6"/>
  <c r="BI16" i="6"/>
  <c r="AY16" i="6"/>
  <c r="AO16" i="6"/>
  <c r="AE16" i="6"/>
  <c r="U16" i="6"/>
  <c r="K16" i="6"/>
  <c r="BG15" i="6"/>
  <c r="AW15" i="6"/>
  <c r="AM15" i="6"/>
  <c r="AC15" i="6"/>
  <c r="S15" i="6"/>
  <c r="I15" i="6"/>
  <c r="BO14" i="6"/>
  <c r="BE14" i="6"/>
  <c r="AU14" i="6"/>
  <c r="BJ34" i="6"/>
  <c r="AY34" i="6"/>
  <c r="AN34" i="6"/>
  <c r="AC34" i="6"/>
  <c r="Q34" i="6"/>
  <c r="F34" i="6"/>
  <c r="BK33" i="6"/>
  <c r="AZ33" i="6"/>
  <c r="AO33" i="6"/>
  <c r="AD33" i="6"/>
  <c r="S33" i="6"/>
  <c r="H33" i="6"/>
  <c r="BM31" i="6"/>
  <c r="BA31" i="6"/>
  <c r="AP31" i="6"/>
  <c r="AE31" i="6"/>
  <c r="T31" i="6"/>
  <c r="I31" i="6"/>
  <c r="BN30" i="6"/>
  <c r="BC30" i="6"/>
  <c r="AR30" i="6"/>
  <c r="AG30" i="6"/>
  <c r="U30" i="6"/>
  <c r="J30" i="6"/>
  <c r="BO29" i="6"/>
  <c r="BD29" i="6"/>
  <c r="AS29" i="6"/>
  <c r="AH29" i="6"/>
  <c r="W29" i="6"/>
  <c r="L29" i="6"/>
  <c r="BE28" i="6"/>
  <c r="AT28" i="6"/>
  <c r="AI28" i="6"/>
  <c r="X28" i="6"/>
  <c r="M28" i="6"/>
  <c r="B28" i="6"/>
  <c r="BG27" i="6"/>
  <c r="AV27" i="6"/>
  <c r="AK27" i="6"/>
  <c r="Y27" i="6"/>
  <c r="N27" i="6"/>
  <c r="C27" i="6"/>
  <c r="BH26" i="6"/>
  <c r="AW26" i="6"/>
  <c r="AL26" i="6"/>
  <c r="AA26" i="6"/>
  <c r="P26" i="6"/>
  <c r="E26" i="6"/>
  <c r="BI25" i="6"/>
  <c r="AX25" i="6"/>
  <c r="AM25" i="6"/>
  <c r="AB25" i="6"/>
  <c r="Q25" i="6"/>
  <c r="F25" i="6"/>
  <c r="BK24" i="6"/>
  <c r="AZ24" i="6"/>
  <c r="AO24" i="6"/>
  <c r="AC24" i="6"/>
  <c r="R24" i="6"/>
  <c r="G24" i="6"/>
  <c r="BL23" i="6"/>
  <c r="BA23" i="6"/>
  <c r="AP23" i="6"/>
  <c r="AE23" i="6"/>
  <c r="T23" i="6"/>
  <c r="I23" i="6"/>
  <c r="BM22" i="6"/>
  <c r="BB22" i="6"/>
  <c r="AQ22" i="6"/>
  <c r="AF22" i="6"/>
  <c r="U22" i="6"/>
  <c r="J22" i="6"/>
  <c r="BO21" i="6"/>
  <c r="BD21" i="6"/>
  <c r="AS21" i="6"/>
  <c r="AG21" i="6"/>
  <c r="V21" i="6"/>
  <c r="K21" i="6"/>
  <c r="BP20" i="6"/>
  <c r="BE20" i="6"/>
  <c r="AT20" i="6"/>
  <c r="AI20" i="6"/>
  <c r="X20" i="6"/>
  <c r="N20" i="6"/>
  <c r="D20" i="6"/>
  <c r="BJ19" i="6"/>
  <c r="AZ19" i="6"/>
  <c r="AP19" i="6"/>
  <c r="AF19" i="6"/>
  <c r="V19" i="6"/>
  <c r="L19" i="6"/>
  <c r="B19" i="6"/>
  <c r="BH18" i="6"/>
  <c r="AX18" i="6"/>
  <c r="AN18" i="6"/>
  <c r="AD18" i="6"/>
  <c r="T18" i="6"/>
  <c r="J18" i="6"/>
  <c r="BP17" i="6"/>
  <c r="BF17" i="6"/>
  <c r="AV17" i="6"/>
  <c r="AL17" i="6"/>
  <c r="AB17" i="6"/>
  <c r="R17" i="6"/>
  <c r="H17" i="6"/>
  <c r="BN16" i="6"/>
  <c r="BD16" i="6"/>
  <c r="AT16" i="6"/>
  <c r="AJ16" i="6"/>
  <c r="Z16" i="6"/>
  <c r="P16" i="6"/>
  <c r="F16" i="6"/>
  <c r="BL15" i="6"/>
  <c r="BB15" i="6"/>
  <c r="AR15" i="6"/>
  <c r="AH15" i="6"/>
  <c r="X15" i="6"/>
  <c r="N15" i="6"/>
  <c r="D15" i="6"/>
  <c r="BJ14" i="6"/>
  <c r="AZ14" i="6"/>
  <c r="AP14" i="6"/>
  <c r="AF14" i="6"/>
  <c r="V14" i="6"/>
  <c r="L14" i="6"/>
  <c r="B14" i="6"/>
  <c r="BH13" i="6"/>
  <c r="AX13" i="6"/>
  <c r="AN13" i="6"/>
  <c r="AD13" i="6"/>
  <c r="T13" i="6"/>
  <c r="J13" i="6"/>
  <c r="BP12" i="6"/>
  <c r="BF12" i="6"/>
  <c r="AV12" i="6"/>
  <c r="AL12" i="6"/>
  <c r="AB12" i="6"/>
  <c r="R12" i="6"/>
  <c r="H12" i="6"/>
  <c r="BN11" i="6"/>
  <c r="BD11" i="6"/>
  <c r="AT11" i="6"/>
  <c r="AJ11" i="6"/>
  <c r="Z11" i="6"/>
  <c r="P11" i="6"/>
  <c r="F11" i="6"/>
  <c r="BL10" i="6"/>
  <c r="BB10" i="6"/>
  <c r="AR10" i="6"/>
  <c r="AH10" i="6"/>
  <c r="AZ34" i="6"/>
  <c r="AF34" i="6"/>
  <c r="N34" i="6"/>
  <c r="BM33" i="6"/>
  <c r="AS33" i="6"/>
  <c r="AC33" i="6"/>
  <c r="J33" i="6"/>
  <c r="BF31" i="6"/>
  <c r="AO31" i="6"/>
  <c r="V31" i="6"/>
  <c r="B31" i="6"/>
  <c r="BB30" i="6"/>
  <c r="AI30" i="6"/>
  <c r="O30" i="6"/>
  <c r="BN29" i="6"/>
  <c r="AU29" i="6"/>
  <c r="AA29" i="6"/>
  <c r="K29" i="6"/>
  <c r="BI28" i="6"/>
  <c r="AQ28" i="6"/>
  <c r="Y28" i="6"/>
  <c r="E28" i="6"/>
  <c r="BC27" i="6"/>
  <c r="AL27" i="6"/>
  <c r="R27" i="6"/>
  <c r="AY26" i="6"/>
  <c r="AE26" i="6"/>
  <c r="O26" i="6"/>
  <c r="BL25" i="6"/>
  <c r="AR25" i="6"/>
  <c r="AA25" i="6"/>
  <c r="H25" i="6"/>
  <c r="BG24" i="6"/>
  <c r="AP24" i="6"/>
  <c r="V24" i="6"/>
  <c r="D24" i="6"/>
  <c r="BB23" i="6"/>
  <c r="AH23" i="6"/>
  <c r="P23" i="6"/>
  <c r="BO22" i="6"/>
  <c r="AU22" i="6"/>
  <c r="AC22" i="6"/>
  <c r="K22" i="6"/>
  <c r="BG21" i="6"/>
  <c r="AO21" i="6"/>
  <c r="W21" i="6"/>
  <c r="C21" i="6"/>
  <c r="BB20" i="6"/>
  <c r="AJ20" i="6"/>
  <c r="Q20" i="6"/>
  <c r="BA19" i="6"/>
  <c r="AI19" i="6"/>
  <c r="S19" i="6"/>
  <c r="C19" i="6"/>
  <c r="BA18" i="6"/>
  <c r="AK18" i="6"/>
  <c r="W18" i="6"/>
  <c r="I18" i="6"/>
  <c r="BJ17" i="6"/>
  <c r="AW17" i="6"/>
  <c r="AH17" i="6"/>
  <c r="T17" i="6"/>
  <c r="E17" i="6"/>
  <c r="BG16" i="6"/>
  <c r="AS16" i="6"/>
  <c r="AD16" i="6"/>
  <c r="Q16" i="6"/>
  <c r="B16" i="6"/>
  <c r="BE15" i="6"/>
  <c r="AQ15" i="6"/>
  <c r="AB15" i="6"/>
  <c r="O15" i="6"/>
  <c r="BD14" i="6"/>
  <c r="AR14" i="6"/>
  <c r="AG14" i="6"/>
  <c r="U14" i="6"/>
  <c r="J14" i="6"/>
  <c r="BO13" i="6"/>
  <c r="BD13" i="6"/>
  <c r="AS13" i="6"/>
  <c r="AH13" i="6"/>
  <c r="W13" i="6"/>
  <c r="L13" i="6"/>
  <c r="BE12" i="6"/>
  <c r="AT12" i="6"/>
  <c r="AI12" i="6"/>
  <c r="X12" i="6"/>
  <c r="M12" i="6"/>
  <c r="B12" i="6"/>
  <c r="BG11" i="6"/>
  <c r="AV11" i="6"/>
  <c r="AK11" i="6"/>
  <c r="Y11" i="6"/>
  <c r="N11" i="6"/>
  <c r="C11" i="6"/>
  <c r="BH10" i="6"/>
  <c r="AW10" i="6"/>
  <c r="AL10" i="6"/>
  <c r="AA10" i="6"/>
  <c r="Q10" i="6"/>
  <c r="G10" i="6"/>
  <c r="BM9" i="6"/>
  <c r="BC9" i="6"/>
  <c r="AS9" i="6"/>
  <c r="AI9" i="6"/>
  <c r="Y9" i="6"/>
  <c r="O9" i="6"/>
  <c r="E9" i="6"/>
  <c r="BK8" i="6"/>
  <c r="BA8" i="6"/>
  <c r="AQ8" i="6"/>
  <c r="AG8" i="6"/>
  <c r="W8" i="6"/>
  <c r="M8" i="6"/>
  <c r="C8" i="6"/>
  <c r="BI7" i="6"/>
  <c r="AY7" i="6"/>
  <c r="AO7" i="6"/>
  <c r="AE7" i="6"/>
  <c r="U7" i="6"/>
  <c r="K7" i="6"/>
  <c r="BG6" i="6"/>
  <c r="AW6" i="6"/>
  <c r="AM6" i="6"/>
  <c r="AC6" i="6"/>
  <c r="S6" i="6"/>
  <c r="I6" i="6"/>
  <c r="BO5" i="6"/>
  <c r="BE5" i="6"/>
  <c r="AU5" i="6"/>
  <c r="AK5" i="6"/>
  <c r="AA5" i="6"/>
  <c r="Q5" i="6"/>
  <c r="G5" i="6"/>
  <c r="BM4" i="6"/>
  <c r="BC4" i="6"/>
  <c r="AS4" i="6"/>
  <c r="AI4" i="6"/>
  <c r="Y4" i="6"/>
  <c r="O4" i="6"/>
  <c r="E4" i="6"/>
  <c r="AX34" i="6"/>
  <c r="AE34" i="6"/>
  <c r="K34" i="6"/>
  <c r="BL33" i="6"/>
  <c r="AR33" i="6"/>
  <c r="AA33" i="6"/>
  <c r="I33" i="6"/>
  <c r="BE31" i="6"/>
  <c r="AM31" i="6"/>
  <c r="U31" i="6"/>
  <c r="AY30" i="6"/>
  <c r="AH30" i="6"/>
  <c r="N30" i="6"/>
  <c r="BL29" i="6"/>
  <c r="AT29" i="6"/>
  <c r="Z29" i="6"/>
  <c r="H29" i="6"/>
  <c r="BH28" i="6"/>
  <c r="AN28" i="6"/>
  <c r="W28" i="6"/>
  <c r="D28" i="6"/>
  <c r="AZ27" i="6"/>
  <c r="AI27" i="6"/>
  <c r="Q27" i="6"/>
  <c r="BP26" i="6"/>
  <c r="AX26" i="6"/>
  <c r="AD26" i="6"/>
  <c r="L26" i="6"/>
  <c r="BK25" i="6"/>
  <c r="AQ25" i="6"/>
  <c r="Y25" i="6"/>
  <c r="G25" i="6"/>
  <c r="BD24" i="6"/>
  <c r="AM24" i="6"/>
  <c r="U24" i="6"/>
  <c r="AZ23" i="6"/>
  <c r="AG23" i="6"/>
  <c r="M23" i="6"/>
  <c r="BL22" i="6"/>
  <c r="AS22" i="6"/>
  <c r="Y22" i="6"/>
  <c r="I22" i="6"/>
  <c r="BF21" i="6"/>
  <c r="AL21" i="6"/>
  <c r="U21" i="6"/>
  <c r="B21" i="6"/>
  <c r="AX20" i="6"/>
  <c r="AH20" i="6"/>
  <c r="P20" i="6"/>
  <c r="BN19" i="6"/>
  <c r="AY19" i="6"/>
  <c r="AH19" i="6"/>
  <c r="P19" i="6"/>
  <c r="AZ18" i="6"/>
  <c r="AJ18" i="6"/>
  <c r="V18" i="6"/>
  <c r="G18" i="6"/>
  <c r="BI17" i="6"/>
  <c r="AU17" i="6"/>
  <c r="AF17" i="6"/>
  <c r="S17" i="6"/>
  <c r="D17" i="6"/>
  <c r="BF16" i="6"/>
  <c r="AQ16" i="6"/>
  <c r="AC16" i="6"/>
  <c r="O16" i="6"/>
  <c r="BD15" i="6"/>
  <c r="AO15" i="6"/>
  <c r="AA15" i="6"/>
  <c r="M15" i="6"/>
  <c r="BP14" i="6"/>
  <c r="BC14" i="6"/>
  <c r="AQ14" i="6"/>
  <c r="AE14" i="6"/>
  <c r="T14" i="6"/>
  <c r="I14" i="6"/>
  <c r="BN13" i="6"/>
  <c r="BC13" i="6"/>
  <c r="AR13" i="6"/>
  <c r="AG13" i="6"/>
  <c r="V13" i="6"/>
  <c r="K13" i="6"/>
  <c r="BO12" i="6"/>
  <c r="BD12" i="6"/>
  <c r="AS12" i="6"/>
  <c r="AH12" i="6"/>
  <c r="W12" i="6"/>
  <c r="L12" i="6"/>
  <c r="BF11" i="6"/>
  <c r="AU11" i="6"/>
  <c r="AI11" i="6"/>
  <c r="X11" i="6"/>
  <c r="M11" i="6"/>
  <c r="B11" i="6"/>
  <c r="BG10" i="6"/>
  <c r="AV10" i="6"/>
  <c r="AK10" i="6"/>
  <c r="Z10" i="6"/>
  <c r="P10" i="6"/>
  <c r="F10" i="6"/>
  <c r="BL9" i="6"/>
  <c r="BB9" i="6"/>
  <c r="AR9" i="6"/>
  <c r="AH9" i="6"/>
  <c r="X9" i="6"/>
  <c r="N9" i="6"/>
  <c r="D9" i="6"/>
  <c r="BJ8" i="6"/>
  <c r="AZ8" i="6"/>
  <c r="AP8" i="6"/>
  <c r="AF8" i="6"/>
  <c r="V8" i="6"/>
  <c r="L8" i="6"/>
  <c r="B8" i="6"/>
  <c r="BH7" i="6"/>
  <c r="AX7" i="6"/>
  <c r="AN7" i="6"/>
  <c r="AD7" i="6"/>
  <c r="T7" i="6"/>
  <c r="J7" i="6"/>
  <c r="BP6" i="6"/>
  <c r="BF6" i="6"/>
  <c r="AV6" i="6"/>
  <c r="AL6" i="6"/>
  <c r="AB6" i="6"/>
  <c r="R6" i="6"/>
  <c r="H6" i="6"/>
  <c r="BN5" i="6"/>
  <c r="BD5" i="6"/>
  <c r="AT5" i="6"/>
  <c r="AJ5" i="6"/>
  <c r="Z5" i="6"/>
  <c r="P5" i="6"/>
  <c r="F5" i="6"/>
  <c r="BL4" i="6"/>
  <c r="BB4" i="6"/>
  <c r="AR4" i="6"/>
  <c r="AH4" i="6"/>
  <c r="X4" i="6"/>
  <c r="N4" i="6"/>
  <c r="D4" i="6"/>
  <c r="BM34" i="6"/>
  <c r="AU34" i="6"/>
  <c r="AD34" i="6"/>
  <c r="J34" i="6"/>
  <c r="BJ33" i="6"/>
  <c r="AQ33" i="6"/>
  <c r="W33" i="6"/>
  <c r="G33" i="6"/>
  <c r="BD31" i="6"/>
  <c r="AJ31" i="6"/>
  <c r="S31" i="6"/>
  <c r="BP30" i="6"/>
  <c r="AV30" i="6"/>
  <c r="AE30" i="6"/>
  <c r="M30" i="6"/>
  <c r="BI29" i="6"/>
  <c r="AR29" i="6"/>
  <c r="Y29" i="6"/>
  <c r="E29" i="6"/>
  <c r="BG28" i="6"/>
  <c r="AM28" i="6"/>
  <c r="U28" i="6"/>
  <c r="C28" i="6"/>
  <c r="AY27" i="6"/>
  <c r="AG27" i="6"/>
  <c r="O27" i="6"/>
  <c r="BM26" i="6"/>
  <c r="AV26" i="6"/>
  <c r="AC26" i="6"/>
  <c r="I26" i="6"/>
  <c r="BH25" i="6"/>
  <c r="AO25" i="6"/>
  <c r="U25" i="6"/>
  <c r="E25" i="6"/>
  <c r="BC24" i="6"/>
  <c r="AK24" i="6"/>
  <c r="S24" i="6"/>
  <c r="BO23" i="6"/>
  <c r="AX23" i="6"/>
  <c r="AF23" i="6"/>
  <c r="L23" i="6"/>
  <c r="BJ22" i="6"/>
  <c r="AR22" i="6"/>
  <c r="X22" i="6"/>
  <c r="G22" i="6"/>
  <c r="BE21" i="6"/>
  <c r="AK21" i="6"/>
  <c r="S21" i="6"/>
  <c r="AW20" i="6"/>
  <c r="AE20" i="6"/>
  <c r="O20" i="6"/>
  <c r="BM19" i="6"/>
  <c r="AW19" i="6"/>
  <c r="AG19" i="6"/>
  <c r="O19" i="6"/>
  <c r="BO18" i="6"/>
  <c r="AY18" i="6"/>
  <c r="AH18" i="6"/>
  <c r="U18" i="6"/>
  <c r="F18" i="6"/>
  <c r="BH17" i="6"/>
  <c r="AS17" i="6"/>
  <c r="AE17" i="6"/>
  <c r="Q17" i="6"/>
  <c r="B17" i="6"/>
  <c r="BE16" i="6"/>
  <c r="AP16" i="6"/>
  <c r="AB16" i="6"/>
  <c r="M16" i="6"/>
  <c r="BP15" i="6"/>
  <c r="BC15" i="6"/>
  <c r="AN15" i="6"/>
  <c r="Z15" i="6"/>
  <c r="K15" i="6"/>
  <c r="BN14" i="6"/>
  <c r="BB14" i="6"/>
  <c r="AO14" i="6"/>
  <c r="AD14" i="6"/>
  <c r="S14" i="6"/>
  <c r="H14" i="6"/>
  <c r="BM13" i="6"/>
  <c r="BB13" i="6"/>
  <c r="AQ13" i="6"/>
  <c r="AF13" i="6"/>
  <c r="U13" i="6"/>
  <c r="I13" i="6"/>
  <c r="BN12" i="6"/>
  <c r="BC12" i="6"/>
  <c r="AR12" i="6"/>
  <c r="AG12" i="6"/>
  <c r="V12" i="6"/>
  <c r="K12" i="6"/>
  <c r="BP11" i="6"/>
  <c r="BE11" i="6"/>
  <c r="AS11" i="6"/>
  <c r="AH11" i="6"/>
  <c r="W11" i="6"/>
  <c r="L11" i="6"/>
  <c r="BF10" i="6"/>
  <c r="AU10" i="6"/>
  <c r="AJ10" i="6"/>
  <c r="Y10" i="6"/>
  <c r="O10" i="6"/>
  <c r="E10" i="6"/>
  <c r="BK9" i="6"/>
  <c r="BA9" i="6"/>
  <c r="AQ9" i="6"/>
  <c r="AG9" i="6"/>
  <c r="W9" i="6"/>
  <c r="M9" i="6"/>
  <c r="C9" i="6"/>
  <c r="BI8" i="6"/>
  <c r="AY8" i="6"/>
  <c r="AO8" i="6"/>
  <c r="AE8" i="6"/>
  <c r="U8" i="6"/>
  <c r="K8" i="6"/>
  <c r="BG7" i="6"/>
  <c r="AW7" i="6"/>
  <c r="AM7" i="6"/>
  <c r="AC7" i="6"/>
  <c r="S7" i="6"/>
  <c r="I7" i="6"/>
  <c r="BO6" i="6"/>
  <c r="BE6" i="6"/>
  <c r="AU6" i="6"/>
  <c r="AK6" i="6"/>
  <c r="AA6" i="6"/>
  <c r="Q6" i="6"/>
  <c r="G6" i="6"/>
  <c r="BM5" i="6"/>
  <c r="BC5" i="6"/>
  <c r="AS5" i="6"/>
  <c r="AI5" i="6"/>
  <c r="Y5" i="6"/>
  <c r="O5" i="6"/>
  <c r="E5" i="6"/>
  <c r="BK4" i="6"/>
  <c r="BA4" i="6"/>
  <c r="AQ4" i="6"/>
  <c r="AG4" i="6"/>
  <c r="W4" i="6"/>
  <c r="M4" i="6"/>
  <c r="C4" i="6"/>
  <c r="BL34" i="6"/>
  <c r="AR34" i="6"/>
  <c r="AA34" i="6"/>
  <c r="I34" i="6"/>
  <c r="BH33" i="6"/>
  <c r="AP33" i="6"/>
  <c r="V33" i="6"/>
  <c r="D33" i="6"/>
  <c r="BC31" i="6"/>
  <c r="AI31" i="6"/>
  <c r="Q31" i="6"/>
  <c r="BO30" i="6"/>
  <c r="AU30" i="6"/>
  <c r="AC30" i="6"/>
  <c r="K30" i="6"/>
  <c r="BG29" i="6"/>
  <c r="AP29" i="6"/>
  <c r="X29" i="6"/>
  <c r="D29" i="6"/>
  <c r="D39" i="3" s="1"/>
  <c r="BD28" i="6"/>
  <c r="AK28" i="6"/>
  <c r="Q28" i="6"/>
  <c r="AX27" i="6"/>
  <c r="AD27" i="6"/>
  <c r="M27" i="6"/>
  <c r="BK26" i="6"/>
  <c r="AT26" i="6"/>
  <c r="AB26" i="6"/>
  <c r="H26" i="6"/>
  <c r="BF25" i="6"/>
  <c r="AN25" i="6"/>
  <c r="T25" i="6"/>
  <c r="C25" i="6"/>
  <c r="BB24" i="6"/>
  <c r="AH24" i="6"/>
  <c r="Q24" i="6"/>
  <c r="BN23" i="6"/>
  <c r="AT23" i="6"/>
  <c r="AD23" i="6"/>
  <c r="K23" i="6"/>
  <c r="BG22" i="6"/>
  <c r="AP22" i="6"/>
  <c r="W22" i="6"/>
  <c r="C22" i="6"/>
  <c r="BC21" i="6"/>
  <c r="AJ21" i="6"/>
  <c r="P21" i="6"/>
  <c r="BO20" i="6"/>
  <c r="AV20" i="6"/>
  <c r="AB20" i="6"/>
  <c r="M20" i="6"/>
  <c r="BL19" i="6"/>
  <c r="AT19" i="6"/>
  <c r="AE19" i="6"/>
  <c r="N19" i="6"/>
  <c r="BL18" i="6"/>
  <c r="AW18" i="6"/>
  <c r="AG18" i="6"/>
  <c r="S18" i="6"/>
  <c r="D18" i="6"/>
  <c r="BG17" i="6"/>
  <c r="AR17" i="6"/>
  <c r="AD17" i="6"/>
  <c r="O17" i="6"/>
  <c r="BC16" i="6"/>
  <c r="AN16" i="6"/>
  <c r="AA16" i="6"/>
  <c r="L16" i="6"/>
  <c r="BO15" i="6"/>
  <c r="BA15" i="6"/>
  <c r="AL15" i="6"/>
  <c r="Y15" i="6"/>
  <c r="J15" i="6"/>
  <c r="BM14" i="6"/>
  <c r="BA14" i="6"/>
  <c r="AN14" i="6"/>
  <c r="AC14" i="6"/>
  <c r="R14" i="6"/>
  <c r="G14" i="6"/>
  <c r="BL13" i="6"/>
  <c r="BA13" i="6"/>
  <c r="AP13" i="6"/>
  <c r="AE13" i="6"/>
  <c r="S13" i="6"/>
  <c r="H13" i="6"/>
  <c r="BM12" i="6"/>
  <c r="BB12" i="6"/>
  <c r="AQ12" i="6"/>
  <c r="AF12" i="6"/>
  <c r="U12" i="6"/>
  <c r="J12" i="6"/>
  <c r="BO11" i="6"/>
  <c r="BC11" i="6"/>
  <c r="AR11" i="6"/>
  <c r="AG11" i="6"/>
  <c r="V11" i="6"/>
  <c r="K11" i="6"/>
  <c r="BP10" i="6"/>
  <c r="BE10" i="6"/>
  <c r="AT10" i="6"/>
  <c r="AI10" i="6"/>
  <c r="X10" i="6"/>
  <c r="N10" i="6"/>
  <c r="D10" i="6"/>
  <c r="BJ9" i="6"/>
  <c r="AZ9" i="6"/>
  <c r="AP9" i="6"/>
  <c r="AF9" i="6"/>
  <c r="V9" i="6"/>
  <c r="L9" i="6"/>
  <c r="B9" i="6"/>
  <c r="BH8" i="6"/>
  <c r="AX8" i="6"/>
  <c r="AN8" i="6"/>
  <c r="AD8" i="6"/>
  <c r="T8" i="6"/>
  <c r="J8" i="6"/>
  <c r="BP7" i="6"/>
  <c r="BF7" i="6"/>
  <c r="AV7" i="6"/>
  <c r="AL7" i="6"/>
  <c r="AB7" i="6"/>
  <c r="R7" i="6"/>
  <c r="H7" i="6"/>
  <c r="BN6" i="6"/>
  <c r="BD6" i="6"/>
  <c r="AT6" i="6"/>
  <c r="AJ6" i="6"/>
  <c r="Z6" i="6"/>
  <c r="P6" i="6"/>
  <c r="F6" i="6"/>
  <c r="BL5" i="6"/>
  <c r="BB5" i="6"/>
  <c r="AR5" i="6"/>
  <c r="AH5" i="6"/>
  <c r="X5" i="6"/>
  <c r="N5" i="6"/>
  <c r="D5" i="6"/>
  <c r="BJ4" i="6"/>
  <c r="AZ4" i="6"/>
  <c r="AP4" i="6"/>
  <c r="AF4" i="6"/>
  <c r="V4" i="6"/>
  <c r="L4" i="6"/>
  <c r="B4" i="6"/>
  <c r="BK34" i="6"/>
  <c r="AQ34" i="6"/>
  <c r="Y34" i="6"/>
  <c r="G34" i="6"/>
  <c r="BE33" i="6"/>
  <c r="AN33" i="6"/>
  <c r="U33" i="6"/>
  <c r="AZ31" i="6"/>
  <c r="AG31" i="6"/>
  <c r="M31" i="6"/>
  <c r="BM30" i="6"/>
  <c r="AT30" i="6"/>
  <c r="Z30" i="6"/>
  <c r="I30" i="6"/>
  <c r="BF29" i="6"/>
  <c r="AL29" i="6"/>
  <c r="V29" i="6"/>
  <c r="C29" i="6"/>
  <c r="BB28" i="6"/>
  <c r="AJ28" i="6"/>
  <c r="P28" i="6"/>
  <c r="BO27" i="6"/>
  <c r="AW27" i="6"/>
  <c r="AC27" i="6"/>
  <c r="K27" i="6"/>
  <c r="BJ26" i="6"/>
  <c r="AP26" i="6"/>
  <c r="Z26" i="6"/>
  <c r="G26" i="6"/>
  <c r="BC25" i="6"/>
  <c r="AL25" i="6"/>
  <c r="S25" i="6"/>
  <c r="BA24" i="6"/>
  <c r="AG24" i="6"/>
  <c r="O24" i="6"/>
  <c r="BM23" i="6"/>
  <c r="AS23" i="6"/>
  <c r="AA23" i="6"/>
  <c r="J23" i="6"/>
  <c r="BF22" i="6"/>
  <c r="AN22" i="6"/>
  <c r="V22" i="6"/>
  <c r="B22" i="6"/>
  <c r="AZ21" i="6"/>
  <c r="AI21" i="6"/>
  <c r="O21" i="6"/>
  <c r="BM20" i="6"/>
  <c r="AU20" i="6"/>
  <c r="AA20" i="6"/>
  <c r="K20" i="6"/>
  <c r="BK19" i="6"/>
  <c r="AS19" i="6"/>
  <c r="AC19" i="6"/>
  <c r="M19" i="6"/>
  <c r="BK18" i="6"/>
  <c r="AU18" i="6"/>
  <c r="AF18" i="6"/>
  <c r="Q18" i="6"/>
  <c r="C18" i="6"/>
  <c r="BE17" i="6"/>
  <c r="AP17" i="6"/>
  <c r="AC17" i="6"/>
  <c r="N17" i="6"/>
  <c r="BP16" i="6"/>
  <c r="BA16" i="6"/>
  <c r="AM16" i="6"/>
  <c r="Y16" i="6"/>
  <c r="J16" i="6"/>
  <c r="BN15" i="6"/>
  <c r="AY15" i="6"/>
  <c r="AK15" i="6"/>
  <c r="W15" i="6"/>
  <c r="H15" i="6"/>
  <c r="BL14" i="6"/>
  <c r="AY14" i="6"/>
  <c r="AM14" i="6"/>
  <c r="AB14" i="6"/>
  <c r="Q14" i="6"/>
  <c r="F14" i="6"/>
  <c r="BK13" i="6"/>
  <c r="AZ13" i="6"/>
  <c r="AO13" i="6"/>
  <c r="AC13" i="6"/>
  <c r="R13" i="6"/>
  <c r="G13" i="6"/>
  <c r="BL12" i="6"/>
  <c r="BA12" i="6"/>
  <c r="AP12" i="6"/>
  <c r="AE12" i="6"/>
  <c r="T12" i="6"/>
  <c r="I12" i="6"/>
  <c r="BM11" i="6"/>
  <c r="BB11" i="6"/>
  <c r="AQ11" i="6"/>
  <c r="AF11" i="6"/>
  <c r="U11" i="6"/>
  <c r="J11" i="6"/>
  <c r="BO10" i="6"/>
  <c r="BD10" i="6"/>
  <c r="AS10" i="6"/>
  <c r="AG10" i="6"/>
  <c r="W10" i="6"/>
  <c r="M10" i="6"/>
  <c r="C10" i="6"/>
  <c r="BI9" i="6"/>
  <c r="AY9" i="6"/>
  <c r="AO9" i="6"/>
  <c r="AE9" i="6"/>
  <c r="U9" i="6"/>
  <c r="K9" i="6"/>
  <c r="BG8" i="6"/>
  <c r="AW8" i="6"/>
  <c r="AM8" i="6"/>
  <c r="AC8" i="6"/>
  <c r="S8" i="6"/>
  <c r="I8" i="6"/>
  <c r="BO7" i="6"/>
  <c r="BE7" i="6"/>
  <c r="AU7" i="6"/>
  <c r="AK7" i="6"/>
  <c r="AA7" i="6"/>
  <c r="Q7" i="6"/>
  <c r="G7" i="6"/>
  <c r="BM6" i="6"/>
  <c r="BC6" i="6"/>
  <c r="AS6" i="6"/>
  <c r="AI6" i="6"/>
  <c r="Y6" i="6"/>
  <c r="O6" i="6"/>
  <c r="E6" i="6"/>
  <c r="BK5" i="6"/>
  <c r="BA5" i="6"/>
  <c r="AQ5" i="6"/>
  <c r="AG5" i="6"/>
  <c r="W5" i="6"/>
  <c r="M5" i="6"/>
  <c r="C5" i="6"/>
  <c r="BI4" i="6"/>
  <c r="AY4" i="6"/>
  <c r="AO4" i="6"/>
  <c r="AE4" i="6"/>
  <c r="U4" i="6"/>
  <c r="K4" i="6"/>
  <c r="BI34" i="6"/>
  <c r="AP34" i="6"/>
  <c r="V34" i="6"/>
  <c r="E34" i="6"/>
  <c r="BC33" i="6"/>
  <c r="AL33" i="6"/>
  <c r="T33" i="6"/>
  <c r="BP31" i="6"/>
  <c r="AX31" i="6"/>
  <c r="AF31" i="6"/>
  <c r="L31" i="6"/>
  <c r="BK30" i="6"/>
  <c r="AS30" i="6"/>
  <c r="Y30" i="6"/>
  <c r="G30" i="6"/>
  <c r="BE29" i="6"/>
  <c r="AK29" i="6"/>
  <c r="S29" i="6"/>
  <c r="B29" i="6"/>
  <c r="AY28" i="6"/>
  <c r="AH28" i="6"/>
  <c r="O28" i="6"/>
  <c r="BK27" i="6"/>
  <c r="AU27" i="6"/>
  <c r="AB27" i="6"/>
  <c r="H27" i="6"/>
  <c r="BI26" i="6"/>
  <c r="AO26" i="6"/>
  <c r="W26" i="6"/>
  <c r="F26" i="6"/>
  <c r="BB25" i="6"/>
  <c r="AJ25" i="6"/>
  <c r="R25" i="6"/>
  <c r="BO24" i="6"/>
  <c r="AY24" i="6"/>
  <c r="AF24" i="6"/>
  <c r="L24" i="6"/>
  <c r="BK23" i="6"/>
  <c r="AR23" i="6"/>
  <c r="X23" i="6"/>
  <c r="G23" i="6"/>
  <c r="BE22" i="6"/>
  <c r="AK22" i="6"/>
  <c r="T22" i="6"/>
  <c r="AW21" i="6"/>
  <c r="AF21" i="6"/>
  <c r="M21" i="6"/>
  <c r="BI20" i="6"/>
  <c r="AS20" i="6"/>
  <c r="Z20" i="6"/>
  <c r="H20" i="6"/>
  <c r="BI19" i="6"/>
  <c r="AR19" i="6"/>
  <c r="Z19" i="6"/>
  <c r="K19" i="6"/>
  <c r="BJ18" i="6"/>
  <c r="AR18" i="6"/>
  <c r="AE18" i="6"/>
  <c r="P18" i="6"/>
  <c r="B18" i="6"/>
  <c r="BC17" i="6"/>
  <c r="AO17" i="6"/>
  <c r="AA17" i="6"/>
  <c r="L17" i="6"/>
  <c r="BO16" i="6"/>
  <c r="AZ16" i="6"/>
  <c r="AL16" i="6"/>
  <c r="W16" i="6"/>
  <c r="I16" i="6"/>
  <c r="BM15" i="6"/>
  <c r="AX15" i="6"/>
  <c r="AJ15" i="6"/>
  <c r="U15" i="6"/>
  <c r="G15" i="6"/>
  <c r="BK14" i="6"/>
  <c r="AX14" i="6"/>
  <c r="AL14" i="6"/>
  <c r="AA14" i="6"/>
  <c r="P14" i="6"/>
  <c r="E14" i="6"/>
  <c r="BJ13" i="6"/>
  <c r="AY13" i="6"/>
  <c r="AM13" i="6"/>
  <c r="AB13" i="6"/>
  <c r="Q13" i="6"/>
  <c r="F13" i="6"/>
  <c r="BK12" i="6"/>
  <c r="AZ12" i="6"/>
  <c r="AO12" i="6"/>
  <c r="AD12" i="6"/>
  <c r="S12" i="6"/>
  <c r="G12" i="6"/>
  <c r="BL11" i="6"/>
  <c r="BA11" i="6"/>
  <c r="AP11" i="6"/>
  <c r="AE11" i="6"/>
  <c r="T11" i="6"/>
  <c r="I11" i="6"/>
  <c r="BN10" i="6"/>
  <c r="BC10" i="6"/>
  <c r="AQ10" i="6"/>
  <c r="AF10" i="6"/>
  <c r="V10" i="6"/>
  <c r="L10" i="6"/>
  <c r="B10" i="6"/>
  <c r="BH9" i="6"/>
  <c r="AX9" i="6"/>
  <c r="AN9" i="6"/>
  <c r="AD9" i="6"/>
  <c r="T9" i="6"/>
  <c r="J9" i="6"/>
  <c r="BP8" i="6"/>
  <c r="BF8" i="6"/>
  <c r="AV8" i="6"/>
  <c r="AL8" i="6"/>
  <c r="AB8" i="6"/>
  <c r="R8" i="6"/>
  <c r="H8" i="6"/>
  <c r="BN7" i="6"/>
  <c r="BD7" i="6"/>
  <c r="AT7" i="6"/>
  <c r="AJ7" i="6"/>
  <c r="Z7" i="6"/>
  <c r="P7" i="6"/>
  <c r="F7" i="6"/>
  <c r="BL6" i="6"/>
  <c r="BB6" i="6"/>
  <c r="AR6" i="6"/>
  <c r="AH6" i="6"/>
  <c r="X6" i="6"/>
  <c r="N6" i="6"/>
  <c r="D6" i="6"/>
  <c r="BJ5" i="6"/>
  <c r="AZ5" i="6"/>
  <c r="AP5" i="6"/>
  <c r="AF5" i="6"/>
  <c r="V5" i="6"/>
  <c r="L5" i="6"/>
  <c r="B5" i="6"/>
  <c r="BH4" i="6"/>
  <c r="AX4" i="6"/>
  <c r="AN4" i="6"/>
  <c r="AD4" i="6"/>
  <c r="T4" i="6"/>
  <c r="J4" i="6"/>
  <c r="BG34" i="6"/>
  <c r="AO34" i="6"/>
  <c r="U34" i="6"/>
  <c r="C34" i="6"/>
  <c r="BB33" i="6"/>
  <c r="AH33" i="6"/>
  <c r="R33" i="6"/>
  <c r="BO31" i="6"/>
  <c r="AU31" i="6"/>
  <c r="AD31" i="6"/>
  <c r="K31" i="6"/>
  <c r="BG30" i="6"/>
  <c r="AQ30" i="6"/>
  <c r="X30" i="6"/>
  <c r="D30" i="6"/>
  <c r="BC29" i="6"/>
  <c r="AJ29" i="6"/>
  <c r="P29" i="6"/>
  <c r="AX28" i="6"/>
  <c r="AF28" i="6"/>
  <c r="N28" i="6"/>
  <c r="BJ27" i="6"/>
  <c r="AR27" i="6"/>
  <c r="AA27" i="6"/>
  <c r="G27" i="6"/>
  <c r="BG26" i="6"/>
  <c r="AN26" i="6"/>
  <c r="T26" i="6"/>
  <c r="C26" i="6"/>
  <c r="BA25" i="6"/>
  <c r="AG25" i="6"/>
  <c r="P25" i="6"/>
  <c r="BN24" i="6"/>
  <c r="AV24" i="6"/>
  <c r="AE24" i="6"/>
  <c r="K24" i="6"/>
  <c r="BI23" i="6"/>
  <c r="AQ23" i="6"/>
  <c r="W23" i="6"/>
  <c r="E23" i="6"/>
  <c r="BC22" i="6"/>
  <c r="AI22" i="6"/>
  <c r="R22" i="6"/>
  <c r="BP21" i="6"/>
  <c r="AV21" i="6"/>
  <c r="AD21" i="6"/>
  <c r="L21" i="6"/>
  <c r="BH20" i="6"/>
  <c r="AQ20" i="6"/>
  <c r="Y20" i="6"/>
  <c r="G20" i="6"/>
  <c r="BG19" i="6"/>
  <c r="AQ19" i="6"/>
  <c r="Y19" i="6"/>
  <c r="I19" i="6"/>
  <c r="BI18" i="6"/>
  <c r="AQ18" i="6"/>
  <c r="AC18" i="6"/>
  <c r="N18" i="6"/>
  <c r="BB17" i="6"/>
  <c r="AN17" i="6"/>
  <c r="Y17" i="6"/>
  <c r="K17" i="6"/>
  <c r="BM16" i="6"/>
  <c r="AX16" i="6"/>
  <c r="AK16" i="6"/>
  <c r="V16" i="6"/>
  <c r="H16" i="6"/>
  <c r="BK15" i="6"/>
  <c r="AV15" i="6"/>
  <c r="AI15" i="6"/>
  <c r="T15" i="6"/>
  <c r="F15" i="6"/>
  <c r="BI14" i="6"/>
  <c r="AW14" i="6"/>
  <c r="AK14" i="6"/>
  <c r="Z14" i="6"/>
  <c r="O14" i="6"/>
  <c r="D14" i="6"/>
  <c r="BI13" i="6"/>
  <c r="AW13" i="6"/>
  <c r="AL13" i="6"/>
  <c r="AA13" i="6"/>
  <c r="P13" i="6"/>
  <c r="E13" i="6"/>
  <c r="BJ12" i="6"/>
  <c r="AY12" i="6"/>
  <c r="AN12" i="6"/>
  <c r="AC12" i="6"/>
  <c r="Q12" i="6"/>
  <c r="F12" i="6"/>
  <c r="BK11" i="6"/>
  <c r="AZ11" i="6"/>
  <c r="AO11" i="6"/>
  <c r="AD11" i="6"/>
  <c r="S11" i="6"/>
  <c r="H11" i="6"/>
  <c r="BM10" i="6"/>
  <c r="BA10" i="6"/>
  <c r="AP10" i="6"/>
  <c r="AE10" i="6"/>
  <c r="U10" i="6"/>
  <c r="K10" i="6"/>
  <c r="BG9" i="6"/>
  <c r="AW9" i="6"/>
  <c r="AM9" i="6"/>
  <c r="AC9" i="6"/>
  <c r="S9" i="6"/>
  <c r="I9" i="6"/>
  <c r="BO8" i="6"/>
  <c r="BE8" i="6"/>
  <c r="AU8" i="6"/>
  <c r="AK8" i="6"/>
  <c r="AA8" i="6"/>
  <c r="Q8" i="6"/>
  <c r="G8" i="6"/>
  <c r="BM7" i="6"/>
  <c r="BC7" i="6"/>
  <c r="AS7" i="6"/>
  <c r="AI7" i="6"/>
  <c r="Y7" i="6"/>
  <c r="O7" i="6"/>
  <c r="E7" i="6"/>
  <c r="BK6" i="6"/>
  <c r="BA6" i="6"/>
  <c r="AQ6" i="6"/>
  <c r="AG6" i="6"/>
  <c r="W6" i="6"/>
  <c r="M6" i="6"/>
  <c r="C6" i="6"/>
  <c r="BI5" i="6"/>
  <c r="AY5" i="6"/>
  <c r="AO5" i="6"/>
  <c r="AE5" i="6"/>
  <c r="U5" i="6"/>
  <c r="K5" i="6"/>
  <c r="BG4" i="6"/>
  <c r="AW4" i="6"/>
  <c r="AM4" i="6"/>
  <c r="AC4" i="6"/>
  <c r="S4" i="6"/>
  <c r="I4" i="6"/>
  <c r="BA34" i="6"/>
  <c r="AG34" i="6"/>
  <c r="P34" i="6"/>
  <c r="BO33" i="6"/>
  <c r="AW33" i="6"/>
  <c r="AE33" i="6"/>
  <c r="K33" i="6"/>
  <c r="BI31" i="6"/>
  <c r="AQ31" i="6"/>
  <c r="W31" i="6"/>
  <c r="F31" i="6"/>
  <c r="BD30" i="6"/>
  <c r="AJ30" i="6"/>
  <c r="R30" i="6"/>
  <c r="BP29" i="6"/>
  <c r="AV29" i="6"/>
  <c r="AE29" i="6"/>
  <c r="M29" i="6"/>
  <c r="BJ28" i="6"/>
  <c r="AS28" i="6"/>
  <c r="Z28" i="6"/>
  <c r="F28" i="6"/>
  <c r="BF27" i="6"/>
  <c r="AM27" i="6"/>
  <c r="S27" i="6"/>
  <c r="B27" i="6"/>
  <c r="AZ26" i="6"/>
  <c r="AI26" i="6"/>
  <c r="Q26" i="6"/>
  <c r="BM25" i="6"/>
  <c r="AU25" i="6"/>
  <c r="AC25" i="6"/>
  <c r="I25" i="6"/>
  <c r="BJ24" i="6"/>
  <c r="AQ24" i="6"/>
  <c r="W24" i="6"/>
  <c r="F24" i="6"/>
  <c r="BC23" i="6"/>
  <c r="AI23" i="6"/>
  <c r="S23" i="6"/>
  <c r="BP22" i="6"/>
  <c r="AV22" i="6"/>
  <c r="AE22" i="6"/>
  <c r="L22" i="6"/>
  <c r="BH21" i="6"/>
  <c r="AQ21" i="6"/>
  <c r="Y21" i="6"/>
  <c r="E21" i="6"/>
  <c r="BD20" i="6"/>
  <c r="AK20" i="6"/>
  <c r="R20" i="6"/>
  <c r="C20" i="6"/>
  <c r="BB19" i="6"/>
  <c r="AJ19" i="6"/>
  <c r="U19" i="6"/>
  <c r="D19" i="6"/>
  <c r="BB18" i="6"/>
  <c r="AM18" i="6"/>
  <c r="X18" i="6"/>
  <c r="K18" i="6"/>
  <c r="BL17" i="6"/>
  <c r="AX17" i="6"/>
  <c r="AI17" i="6"/>
  <c r="U17" i="6"/>
  <c r="G17" i="6"/>
  <c r="BH16" i="6"/>
  <c r="AU16" i="6"/>
  <c r="AF16" i="6"/>
  <c r="R16" i="6"/>
  <c r="C16" i="6"/>
  <c r="BF15" i="6"/>
  <c r="AS15" i="6"/>
  <c r="AD15" i="6"/>
  <c r="P15" i="6"/>
  <c r="B15" i="6"/>
  <c r="BF14" i="6"/>
  <c r="AS14" i="6"/>
  <c r="AH14" i="6"/>
  <c r="W14" i="6"/>
  <c r="K14" i="6"/>
  <c r="BP13" i="6"/>
  <c r="BE13" i="6"/>
  <c r="AT13" i="6"/>
  <c r="AI13" i="6"/>
  <c r="X13" i="6"/>
  <c r="M13" i="6"/>
  <c r="B13" i="6"/>
  <c r="BG12" i="6"/>
  <c r="AU12" i="6"/>
  <c r="AJ12" i="6"/>
  <c r="Y12" i="6"/>
  <c r="N12" i="6"/>
  <c r="C12" i="6"/>
  <c r="BH11" i="6"/>
  <c r="AW11" i="6"/>
  <c r="AL11" i="6"/>
  <c r="AA11" i="6"/>
  <c r="O11" i="6"/>
  <c r="D11" i="6"/>
  <c r="BI10" i="6"/>
  <c r="AX10" i="6"/>
  <c r="AM10" i="6"/>
  <c r="AB10" i="6"/>
  <c r="R10" i="6"/>
  <c r="H10" i="6"/>
  <c r="BN9" i="6"/>
  <c r="BD9" i="6"/>
  <c r="AT9" i="6"/>
  <c r="AJ9" i="6"/>
  <c r="Z9" i="6"/>
  <c r="P9" i="6"/>
  <c r="F9" i="6"/>
  <c r="BL8" i="6"/>
  <c r="BB8" i="6"/>
  <c r="AR8" i="6"/>
  <c r="AH8" i="6"/>
  <c r="X8" i="6"/>
  <c r="N8" i="6"/>
  <c r="D8" i="6"/>
  <c r="BJ7" i="6"/>
  <c r="AZ7" i="6"/>
  <c r="AP7" i="6"/>
  <c r="AF7" i="6"/>
  <c r="V7" i="6"/>
  <c r="L7" i="6"/>
  <c r="B7" i="6"/>
  <c r="BH6" i="6"/>
  <c r="AX6" i="6"/>
  <c r="AN6" i="6"/>
  <c r="AD6" i="6"/>
  <c r="T6" i="6"/>
  <c r="J6" i="6"/>
  <c r="BP5" i="6"/>
  <c r="BF5" i="6"/>
  <c r="AV5" i="6"/>
  <c r="AL5" i="6"/>
  <c r="AB5" i="6"/>
  <c r="R5" i="6"/>
  <c r="H5" i="6"/>
  <c r="BN4" i="6"/>
  <c r="BD4" i="6"/>
  <c r="AT4" i="6"/>
  <c r="AJ4" i="6"/>
  <c r="Z4" i="6"/>
  <c r="P4" i="6"/>
  <c r="P39" i="3" s="1"/>
  <c r="F4" i="6"/>
  <c r="AJ34" i="6"/>
  <c r="L33" i="6"/>
  <c r="AW29" i="6"/>
  <c r="AC28" i="6"/>
  <c r="V27" i="6"/>
  <c r="BL24" i="6"/>
  <c r="AO23" i="6"/>
  <c r="N22" i="6"/>
  <c r="H21" i="6"/>
  <c r="BG18" i="6"/>
  <c r="BM17" i="6"/>
  <c r="BK16" i="6"/>
  <c r="C15" i="6"/>
  <c r="N14" i="6"/>
  <c r="Z13" i="6"/>
  <c r="AW12" i="6"/>
  <c r="BJ11" i="6"/>
  <c r="G11" i="6"/>
  <c r="AC10" i="6"/>
  <c r="AV9" i="6"/>
  <c r="Y8" i="6"/>
  <c r="AR7" i="6"/>
  <c r="U6" i="6"/>
  <c r="AM5" i="6"/>
  <c r="BF4" i="6"/>
  <c r="H4" i="6"/>
  <c r="T34" i="6"/>
  <c r="BF30" i="6"/>
  <c r="AI29" i="6"/>
  <c r="AA28" i="6"/>
  <c r="E27" i="6"/>
  <c r="BN25" i="6"/>
  <c r="AS24" i="6"/>
  <c r="AM23" i="6"/>
  <c r="M22" i="6"/>
  <c r="BD19" i="6"/>
  <c r="BE18" i="6"/>
  <c r="AZ17" i="6"/>
  <c r="BJ16" i="6"/>
  <c r="BI15" i="6"/>
  <c r="M14" i="6"/>
  <c r="Y13" i="6"/>
  <c r="AM12" i="6"/>
  <c r="BI11" i="6"/>
  <c r="E11" i="6"/>
  <c r="T10" i="6"/>
  <c r="AU9" i="6"/>
  <c r="BN8" i="6"/>
  <c r="P8" i="6"/>
  <c r="AQ7" i="6"/>
  <c r="BJ6" i="6"/>
  <c r="L6" i="6"/>
  <c r="AD5" i="6"/>
  <c r="BE4" i="6"/>
  <c r="G4" i="6"/>
  <c r="S34" i="6"/>
  <c r="BN31" i="6"/>
  <c r="BE30" i="6"/>
  <c r="AG29" i="6"/>
  <c r="L28" i="6"/>
  <c r="D27" i="6"/>
  <c r="AY25" i="6"/>
  <c r="AR24" i="6"/>
  <c r="V23" i="6"/>
  <c r="BG20" i="6"/>
  <c r="BC19" i="6"/>
  <c r="AP18" i="6"/>
  <c r="AY17" i="6"/>
  <c r="AW16" i="6"/>
  <c r="BH15" i="6"/>
  <c r="BH14" i="6"/>
  <c r="C14" i="6"/>
  <c r="O13" i="6"/>
  <c r="AK12" i="6"/>
  <c r="AY11" i="6"/>
  <c r="S10" i="6"/>
  <c r="AL9" i="6"/>
  <c r="BM8" i="6"/>
  <c r="O8" i="6"/>
  <c r="AH7" i="6"/>
  <c r="BI6" i="6"/>
  <c r="K6" i="6"/>
  <c r="AC5" i="6"/>
  <c r="AV4" i="6"/>
  <c r="BK31" i="6"/>
  <c r="AN30" i="6"/>
  <c r="O29" i="6"/>
  <c r="J28" i="6"/>
  <c r="AW25" i="6"/>
  <c r="AB24" i="6"/>
  <c r="U23" i="6"/>
  <c r="BN21" i="6"/>
  <c r="BF20" i="6"/>
  <c r="AO19" i="6"/>
  <c r="AO18" i="6"/>
  <c r="AM17" i="6"/>
  <c r="AV16" i="6"/>
  <c r="AU15" i="6"/>
  <c r="BG14" i="6"/>
  <c r="N13" i="6"/>
  <c r="AA12" i="6"/>
  <c r="AX11" i="6"/>
  <c r="BK10" i="6"/>
  <c r="J10" i="6"/>
  <c r="AK9" i="6"/>
  <c r="BD8" i="6"/>
  <c r="F8" i="6"/>
  <c r="AG7" i="6"/>
  <c r="AZ6" i="6"/>
  <c r="B6" i="6"/>
  <c r="T5" i="6"/>
  <c r="AU4" i="6"/>
  <c r="BP33" i="6"/>
  <c r="AT31" i="6"/>
  <c r="AK30" i="6"/>
  <c r="N29" i="6"/>
  <c r="BE26" i="6"/>
  <c r="AE25" i="6"/>
  <c r="Z24" i="6"/>
  <c r="B23" i="6"/>
  <c r="BK21" i="6"/>
  <c r="AM20" i="6"/>
  <c r="AM19" i="6"/>
  <c r="AA18" i="6"/>
  <c r="AK17" i="6"/>
  <c r="AI16" i="6"/>
  <c r="AT15" i="6"/>
  <c r="AV14" i="6"/>
  <c r="BG13" i="6"/>
  <c r="D13" i="6"/>
  <c r="Z12" i="6"/>
  <c r="AN11" i="6"/>
  <c r="BJ10" i="6"/>
  <c r="I10" i="6"/>
  <c r="AB9" i="6"/>
  <c r="BC8" i="6"/>
  <c r="E8" i="6"/>
  <c r="X7" i="6"/>
  <c r="AY6" i="6"/>
  <c r="S5" i="6"/>
  <c r="AL4" i="6"/>
  <c r="BA33" i="6"/>
  <c r="AS31" i="6"/>
  <c r="W30" i="6"/>
  <c r="BI27" i="6"/>
  <c r="BA26" i="6"/>
  <c r="AD25" i="6"/>
  <c r="I24" i="6"/>
  <c r="AU21" i="6"/>
  <c r="AL20" i="6"/>
  <c r="X19" i="6"/>
  <c r="Z18" i="6"/>
  <c r="X17" i="6"/>
  <c r="AG16" i="6"/>
  <c r="AG15" i="6"/>
  <c r="AT14" i="6"/>
  <c r="BF13" i="6"/>
  <c r="C13" i="6"/>
  <c r="P12" i="6"/>
  <c r="AM11" i="6"/>
  <c r="AZ10" i="6"/>
  <c r="AA9" i="6"/>
  <c r="AT8" i="6"/>
  <c r="W7" i="6"/>
  <c r="AP6" i="6"/>
  <c r="BH5" i="6"/>
  <c r="J5" i="6"/>
  <c r="AK4" i="6"/>
  <c r="AY33" i="6"/>
  <c r="AB31" i="6"/>
  <c r="T30" i="6"/>
  <c r="BO28" i="6"/>
  <c r="BH27" i="6"/>
  <c r="AM26" i="6"/>
  <c r="N25" i="6"/>
  <c r="H24" i="6"/>
  <c r="BA22" i="6"/>
  <c r="AT21" i="6"/>
  <c r="W20" i="6"/>
  <c r="W19" i="6"/>
  <c r="M18" i="6"/>
  <c r="V17" i="6"/>
  <c r="T16" i="6"/>
  <c r="AE15" i="6"/>
  <c r="AJ14" i="6"/>
  <c r="AV13" i="6"/>
  <c r="O12" i="6"/>
  <c r="AC11" i="6"/>
  <c r="AY10" i="6"/>
  <c r="BP9" i="6"/>
  <c r="R9" i="6"/>
  <c r="AS8" i="6"/>
  <c r="BL7" i="6"/>
  <c r="N7" i="6"/>
  <c r="AO6" i="6"/>
  <c r="BG5" i="6"/>
  <c r="I5" i="6"/>
  <c r="AB4" i="6"/>
  <c r="BC34" i="6"/>
  <c r="AG33" i="6"/>
  <c r="Y31" i="6"/>
  <c r="C30" i="6"/>
  <c r="BM28" i="6"/>
  <c r="AO27" i="6"/>
  <c r="AK26" i="6"/>
  <c r="J25" i="6"/>
  <c r="AY22" i="6"/>
  <c r="AA21" i="6"/>
  <c r="U20" i="6"/>
  <c r="F19" i="6"/>
  <c r="L18" i="6"/>
  <c r="J17" i="6"/>
  <c r="S16" i="6"/>
  <c r="R15" i="6"/>
  <c r="AI14" i="6"/>
  <c r="AU13" i="6"/>
  <c r="BI12" i="6"/>
  <c r="E12" i="6"/>
  <c r="AB11" i="6"/>
  <c r="AO10" i="6"/>
  <c r="BO9" i="6"/>
  <c r="Q9" i="6"/>
  <c r="AJ8" i="6"/>
  <c r="BK7" i="6"/>
  <c r="M7" i="6"/>
  <c r="AF6" i="6"/>
  <c r="AX5" i="6"/>
  <c r="AA4" i="6"/>
  <c r="BB34" i="6"/>
  <c r="AF33" i="6"/>
  <c r="J31" i="6"/>
  <c r="AW28" i="6"/>
  <c r="AN27" i="6"/>
  <c r="S26" i="6"/>
  <c r="BE23" i="6"/>
  <c r="AH22" i="6"/>
  <c r="Z21" i="6"/>
  <c r="F20" i="6"/>
  <c r="E19" i="6"/>
  <c r="I17" i="6"/>
  <c r="G16" i="6"/>
  <c r="Q15" i="6"/>
  <c r="Y14" i="6"/>
  <c r="AK13" i="6"/>
  <c r="BH12" i="6"/>
  <c r="D12" i="6"/>
  <c r="R11" i="6"/>
  <c r="AN10" i="6"/>
  <c r="BF9" i="6"/>
  <c r="H9" i="6"/>
  <c r="AI8" i="6"/>
  <c r="BB7" i="6"/>
  <c r="D7" i="6"/>
  <c r="AE6" i="6"/>
  <c r="AW5" i="6"/>
  <c r="BP4" i="6"/>
  <c r="R4" i="6"/>
  <c r="AM34" i="6"/>
  <c r="O33" i="6"/>
  <c r="H31" i="6"/>
  <c r="BA29" i="6"/>
  <c r="AU28" i="6"/>
  <c r="X27" i="6"/>
  <c r="R26" i="6"/>
  <c r="BM24" i="6"/>
  <c r="BD23" i="6"/>
  <c r="AG22" i="6"/>
  <c r="J21" i="6"/>
  <c r="E20" i="6"/>
  <c r="BO17" i="6"/>
  <c r="E16" i="6"/>
  <c r="E15" i="6"/>
  <c r="X14" i="6"/>
  <c r="AJ13" i="6"/>
  <c r="AX12" i="6"/>
  <c r="Q11" i="6"/>
  <c r="AD10" i="6"/>
  <c r="BE9" i="6"/>
  <c r="G9" i="6"/>
  <c r="Z8" i="6"/>
  <c r="BA7" i="6"/>
  <c r="C7" i="6"/>
  <c r="V6" i="6"/>
  <c r="AN5" i="6"/>
  <c r="BO4" i="6"/>
  <c r="Q4" i="6"/>
  <c r="BQ82" i="9"/>
  <c r="BQ76" i="9"/>
  <c r="BQ97" i="9"/>
  <c r="AC70" i="9"/>
  <c r="S70" i="9"/>
  <c r="I70" i="9"/>
  <c r="R69" i="9"/>
  <c r="H69" i="9"/>
  <c r="Q68" i="9"/>
  <c r="G68" i="9"/>
  <c r="AT67" i="9"/>
  <c r="AJ67" i="9"/>
  <c r="Z67" i="9"/>
  <c r="P67" i="9"/>
  <c r="F67" i="9"/>
  <c r="BM66" i="9"/>
  <c r="BC66" i="9"/>
  <c r="AI66" i="9"/>
  <c r="O66" i="9"/>
  <c r="E66" i="9"/>
  <c r="BB65" i="9"/>
  <c r="AH65" i="9"/>
  <c r="N65" i="9"/>
  <c r="D65" i="9"/>
  <c r="BK64" i="9"/>
  <c r="AG64" i="9"/>
  <c r="M64" i="9"/>
  <c r="C64" i="9"/>
  <c r="BJ63" i="9"/>
  <c r="AF63" i="9"/>
  <c r="L63" i="9"/>
  <c r="B63" i="9"/>
  <c r="U62" i="9"/>
  <c r="BP70" i="9"/>
  <c r="AL70" i="9"/>
  <c r="AB70" i="9"/>
  <c r="R70" i="9"/>
  <c r="H70" i="9"/>
  <c r="Q69" i="9"/>
  <c r="G69" i="9"/>
  <c r="P68" i="9"/>
  <c r="F68" i="9"/>
  <c r="BC67" i="9"/>
  <c r="AI67" i="9"/>
  <c r="O67" i="9"/>
  <c r="E67" i="9"/>
  <c r="BB66" i="9"/>
  <c r="AH66" i="9"/>
  <c r="N66" i="9"/>
  <c r="D66" i="9"/>
  <c r="BK65" i="9"/>
  <c r="AG65" i="9"/>
  <c r="M65" i="9"/>
  <c r="C65" i="9"/>
  <c r="BJ64" i="9"/>
  <c r="AF64" i="9"/>
  <c r="L64" i="9"/>
  <c r="B64" i="9"/>
  <c r="U63" i="9"/>
  <c r="K63" i="9"/>
  <c r="BH62" i="9"/>
  <c r="T62" i="9"/>
  <c r="BO70" i="9"/>
  <c r="Q70" i="9"/>
  <c r="G70" i="9"/>
  <c r="AT69" i="9"/>
  <c r="BN70" i="9"/>
  <c r="AT70" i="9"/>
  <c r="Z70" i="9"/>
  <c r="P70" i="9"/>
  <c r="F70" i="9"/>
  <c r="BC69" i="9"/>
  <c r="BC70" i="9"/>
  <c r="O70" i="9"/>
  <c r="E70" i="9"/>
  <c r="BB69" i="9"/>
  <c r="BB70" i="9"/>
  <c r="N70" i="9"/>
  <c r="D70" i="9"/>
  <c r="AG70" i="9"/>
  <c r="T70" i="9"/>
  <c r="L69" i="9"/>
  <c r="S68" i="9"/>
  <c r="E68" i="9"/>
  <c r="BL67" i="9"/>
  <c r="S67" i="9"/>
  <c r="G67" i="9"/>
  <c r="BK66" i="9"/>
  <c r="S66" i="9"/>
  <c r="G66" i="9"/>
  <c r="T65" i="9"/>
  <c r="H65" i="9"/>
  <c r="U64" i="9"/>
  <c r="I64" i="9"/>
  <c r="AI63" i="9"/>
  <c r="X63" i="9"/>
  <c r="M63" i="9"/>
  <c r="P62" i="9"/>
  <c r="F62" i="9"/>
  <c r="BC61" i="9"/>
  <c r="O61" i="9"/>
  <c r="E61" i="9"/>
  <c r="BB60" i="9"/>
  <c r="AH60" i="9"/>
  <c r="X60" i="9"/>
  <c r="N60" i="9"/>
  <c r="D60" i="9"/>
  <c r="AG59" i="9"/>
  <c r="M59" i="9"/>
  <c r="C59" i="9"/>
  <c r="BJ58" i="9"/>
  <c r="AP58" i="9"/>
  <c r="V58" i="9"/>
  <c r="L58" i="9"/>
  <c r="B58" i="9"/>
  <c r="U57" i="9"/>
  <c r="K57" i="9"/>
  <c r="BH56" i="9"/>
  <c r="T56" i="9"/>
  <c r="J56" i="9"/>
  <c r="AW55" i="9"/>
  <c r="AC55" i="9"/>
  <c r="S55" i="9"/>
  <c r="I55" i="9"/>
  <c r="AL54" i="9"/>
  <c r="AB54" i="9"/>
  <c r="R54" i="9"/>
  <c r="H54" i="9"/>
  <c r="Q53" i="9"/>
  <c r="G53" i="9"/>
  <c r="BN52" i="9"/>
  <c r="AT52" i="9"/>
  <c r="Z52" i="9"/>
  <c r="P52" i="9"/>
  <c r="F52" i="9"/>
  <c r="AS51" i="9"/>
  <c r="AI51" i="9"/>
  <c r="O51" i="9"/>
  <c r="E51" i="9"/>
  <c r="BB50" i="9"/>
  <c r="AH50" i="9"/>
  <c r="M70" i="9"/>
  <c r="AG69" i="9"/>
  <c r="K69" i="9"/>
  <c r="R68" i="9"/>
  <c r="D68" i="9"/>
  <c r="BK67" i="9"/>
  <c r="AC67" i="9"/>
  <c r="R67" i="9"/>
  <c r="D67" i="9"/>
  <c r="BJ66" i="9"/>
  <c r="R66" i="9"/>
  <c r="F66" i="9"/>
  <c r="BJ65" i="9"/>
  <c r="S65" i="9"/>
  <c r="G65" i="9"/>
  <c r="T64" i="9"/>
  <c r="H64" i="9"/>
  <c r="BB63" i="9"/>
  <c r="AH63" i="9"/>
  <c r="J63" i="9"/>
  <c r="AK62" i="9"/>
  <c r="O62" i="9"/>
  <c r="E62" i="9"/>
  <c r="BB61" i="9"/>
  <c r="AH61" i="9"/>
  <c r="X61" i="9"/>
  <c r="N61" i="9"/>
  <c r="D61" i="9"/>
  <c r="AG60" i="9"/>
  <c r="M60" i="9"/>
  <c r="C60" i="9"/>
  <c r="BJ59" i="9"/>
  <c r="AP59" i="9"/>
  <c r="AF59" i="9"/>
  <c r="L59" i="9"/>
  <c r="B59" i="9"/>
  <c r="U58" i="9"/>
  <c r="K58" i="9"/>
  <c r="BH57" i="9"/>
  <c r="T57" i="9"/>
  <c r="J57" i="9"/>
  <c r="AC56" i="9"/>
  <c r="S56" i="9"/>
  <c r="I56" i="9"/>
  <c r="BP55" i="9"/>
  <c r="BF55" i="9"/>
  <c r="AL55" i="9"/>
  <c r="AB55" i="9"/>
  <c r="R55" i="9"/>
  <c r="H55" i="9"/>
  <c r="Q54" i="9"/>
  <c r="G54" i="9"/>
  <c r="AT53" i="9"/>
  <c r="Z53" i="9"/>
  <c r="P53" i="9"/>
  <c r="F53" i="9"/>
  <c r="AS52" i="9"/>
  <c r="AI52" i="9"/>
  <c r="Y52" i="9"/>
  <c r="O52" i="9"/>
  <c r="E52" i="9"/>
  <c r="BB51" i="9"/>
  <c r="X51" i="9"/>
  <c r="N51" i="9"/>
  <c r="D51" i="9"/>
  <c r="AQ50" i="9"/>
  <c r="AG50" i="9"/>
  <c r="AE70" i="9"/>
  <c r="L70" i="9"/>
  <c r="AF69" i="9"/>
  <c r="J69" i="9"/>
  <c r="O68" i="9"/>
  <c r="C68" i="9"/>
  <c r="BJ67" i="9"/>
  <c r="AB67" i="9"/>
  <c r="Q67" i="9"/>
  <c r="C67" i="9"/>
  <c r="Q66" i="9"/>
  <c r="C66" i="9"/>
  <c r="R65" i="9"/>
  <c r="F65" i="9"/>
  <c r="S64" i="9"/>
  <c r="G64" i="9"/>
  <c r="AG63" i="9"/>
  <c r="I63" i="9"/>
  <c r="AT62" i="9"/>
  <c r="Z62" i="9"/>
  <c r="N62" i="9"/>
  <c r="D62" i="9"/>
  <c r="AG61" i="9"/>
  <c r="M61" i="9"/>
  <c r="C61" i="9"/>
  <c r="BJ60" i="9"/>
  <c r="AP60" i="9"/>
  <c r="AF60" i="9"/>
  <c r="L60" i="9"/>
  <c r="B60" i="9"/>
  <c r="U59" i="9"/>
  <c r="K59" i="9"/>
  <c r="BH58" i="9"/>
  <c r="T58" i="9"/>
  <c r="J58" i="9"/>
  <c r="AW57" i="9"/>
  <c r="AC57" i="9"/>
  <c r="S57" i="9"/>
  <c r="I57" i="9"/>
  <c r="BF56" i="9"/>
  <c r="AL56" i="9"/>
  <c r="AB56" i="9"/>
  <c r="R56" i="9"/>
  <c r="H56" i="9"/>
  <c r="BO55" i="9"/>
  <c r="Q55" i="9"/>
  <c r="G55" i="9"/>
  <c r="AT54" i="9"/>
  <c r="Z54" i="9"/>
  <c r="P54" i="9"/>
  <c r="F54" i="9"/>
  <c r="O53" i="9"/>
  <c r="E53" i="9"/>
  <c r="BB52" i="9"/>
  <c r="X52" i="9"/>
  <c r="K70" i="9"/>
  <c r="U69" i="9"/>
  <c r="I69" i="9"/>
  <c r="N68" i="9"/>
  <c r="B68" i="9"/>
  <c r="N67" i="9"/>
  <c r="B67" i="9"/>
  <c r="BH66" i="9"/>
  <c r="Z66" i="9"/>
  <c r="P66" i="9"/>
  <c r="B66" i="9"/>
  <c r="BH65" i="9"/>
  <c r="Q65" i="9"/>
  <c r="E65" i="9"/>
  <c r="BH64" i="9"/>
  <c r="R64" i="9"/>
  <c r="F64" i="9"/>
  <c r="T63" i="9"/>
  <c r="H63" i="9"/>
  <c r="AI62" i="9"/>
  <c r="M62" i="9"/>
  <c r="C62" i="9"/>
  <c r="BJ61" i="9"/>
  <c r="AZ61" i="9"/>
  <c r="AP61" i="9"/>
  <c r="AF61" i="9"/>
  <c r="L61" i="9"/>
  <c r="B61" i="9"/>
  <c r="U60" i="9"/>
  <c r="K60" i="9"/>
  <c r="BH59" i="9"/>
  <c r="T59" i="9"/>
  <c r="J59" i="9"/>
  <c r="BG58" i="9"/>
  <c r="AW58" i="9"/>
  <c r="S58" i="9"/>
  <c r="I58" i="9"/>
  <c r="BP57" i="9"/>
  <c r="BF57" i="9"/>
  <c r="AL57" i="9"/>
  <c r="AB57" i="9"/>
  <c r="R57" i="9"/>
  <c r="H57" i="9"/>
  <c r="J70" i="9"/>
  <c r="T69" i="9"/>
  <c r="F69" i="9"/>
  <c r="M68" i="9"/>
  <c r="BH67" i="9"/>
  <c r="M67" i="9"/>
  <c r="M66" i="9"/>
  <c r="Z65" i="9"/>
  <c r="P65" i="9"/>
  <c r="B65" i="9"/>
  <c r="Q64" i="9"/>
  <c r="E64" i="9"/>
  <c r="S63" i="9"/>
  <c r="G63" i="9"/>
  <c r="BB62" i="9"/>
  <c r="AH62" i="9"/>
  <c r="X62" i="9"/>
  <c r="L62" i="9"/>
  <c r="B62" i="9"/>
  <c r="U61" i="9"/>
  <c r="K61" i="9"/>
  <c r="BH60" i="9"/>
  <c r="T60" i="9"/>
  <c r="J60" i="9"/>
  <c r="BG59" i="9"/>
  <c r="AW59" i="9"/>
  <c r="S59" i="9"/>
  <c r="I59" i="9"/>
  <c r="BP58" i="9"/>
  <c r="BJ70" i="9"/>
  <c r="C70" i="9"/>
  <c r="BJ69" i="9"/>
  <c r="S69" i="9"/>
  <c r="E69" i="9"/>
  <c r="L68" i="9"/>
  <c r="L67" i="9"/>
  <c r="AT66" i="9"/>
  <c r="AJ66" i="9"/>
  <c r="L66" i="9"/>
  <c r="O65" i="9"/>
  <c r="Z64" i="9"/>
  <c r="P64" i="9"/>
  <c r="D64" i="9"/>
  <c r="BH63" i="9"/>
  <c r="R63" i="9"/>
  <c r="F63" i="9"/>
  <c r="AG62" i="9"/>
  <c r="K62" i="9"/>
  <c r="BH61" i="9"/>
  <c r="T61" i="9"/>
  <c r="J61" i="9"/>
  <c r="AW60" i="9"/>
  <c r="S60" i="9"/>
  <c r="I60" i="9"/>
  <c r="BF59" i="9"/>
  <c r="AB59" i="9"/>
  <c r="R59" i="9"/>
  <c r="H59" i="9"/>
  <c r="V70" i="9"/>
  <c r="Z69" i="9"/>
  <c r="N69" i="9"/>
  <c r="B69" i="9"/>
  <c r="I68" i="9"/>
  <c r="AF67" i="9"/>
  <c r="U67" i="9"/>
  <c r="I67" i="9"/>
  <c r="BN66" i="9"/>
  <c r="U66" i="9"/>
  <c r="I66" i="9"/>
  <c r="BN65" i="9"/>
  <c r="AF65" i="9"/>
  <c r="J65" i="9"/>
  <c r="BO64" i="9"/>
  <c r="AI64" i="9"/>
  <c r="K64" i="9"/>
  <c r="AK63" i="9"/>
  <c r="Z63" i="9"/>
  <c r="O63" i="9"/>
  <c r="C63" i="9"/>
  <c r="R62" i="9"/>
  <c r="H62" i="9"/>
  <c r="Q61" i="9"/>
  <c r="G61" i="9"/>
  <c r="BN60" i="9"/>
  <c r="O69" i="9"/>
  <c r="AT64" i="9"/>
  <c r="I62" i="9"/>
  <c r="G60" i="9"/>
  <c r="AJ59" i="9"/>
  <c r="AG58" i="9"/>
  <c r="W58" i="9"/>
  <c r="E58" i="9"/>
  <c r="G57" i="9"/>
  <c r="Q56" i="9"/>
  <c r="D56" i="9"/>
  <c r="BH55" i="9"/>
  <c r="L55" i="9"/>
  <c r="K54" i="9"/>
  <c r="L53" i="9"/>
  <c r="BP52" i="9"/>
  <c r="BE52" i="9"/>
  <c r="AG52" i="9"/>
  <c r="T52" i="9"/>
  <c r="H52" i="9"/>
  <c r="U51" i="9"/>
  <c r="I51" i="9"/>
  <c r="BN50" i="9"/>
  <c r="AS50" i="9"/>
  <c r="AF50" i="9"/>
  <c r="V50" i="9"/>
  <c r="L50" i="9"/>
  <c r="B50" i="9"/>
  <c r="U49" i="9"/>
  <c r="K49" i="9"/>
  <c r="BH48" i="9"/>
  <c r="T48" i="9"/>
  <c r="J48" i="9"/>
  <c r="BG47" i="9"/>
  <c r="AW47" i="9"/>
  <c r="AC47" i="9"/>
  <c r="S47" i="9"/>
  <c r="I47" i="9"/>
  <c r="BP46" i="9"/>
  <c r="BF46" i="9"/>
  <c r="AB46" i="9"/>
  <c r="R46" i="9"/>
  <c r="H46" i="9"/>
  <c r="BO45" i="9"/>
  <c r="Q45" i="9"/>
  <c r="G45" i="9"/>
  <c r="AT44" i="9"/>
  <c r="Z44" i="9"/>
  <c r="P44" i="9"/>
  <c r="F44" i="9"/>
  <c r="BC43" i="9"/>
  <c r="O43" i="9"/>
  <c r="E43" i="9"/>
  <c r="BB42" i="9"/>
  <c r="N42" i="9"/>
  <c r="D42" i="9"/>
  <c r="M41" i="9"/>
  <c r="C41" i="9"/>
  <c r="BC34" i="9"/>
  <c r="O34" i="9"/>
  <c r="E34" i="9"/>
  <c r="BB33" i="9"/>
  <c r="N33" i="9"/>
  <c r="D33" i="9"/>
  <c r="M31" i="9"/>
  <c r="C31" i="9"/>
  <c r="BJ30" i="9"/>
  <c r="AF30" i="9"/>
  <c r="L30" i="9"/>
  <c r="B30" i="9"/>
  <c r="U29" i="9"/>
  <c r="K29" i="9"/>
  <c r="BH28" i="9"/>
  <c r="T28" i="9"/>
  <c r="J28" i="9"/>
  <c r="S27" i="9"/>
  <c r="I27" i="9"/>
  <c r="M69" i="9"/>
  <c r="AH64" i="9"/>
  <c r="O64" i="9"/>
  <c r="G62" i="9"/>
  <c r="AT61" i="9"/>
  <c r="S61" i="9"/>
  <c r="Z60" i="9"/>
  <c r="F60" i="9"/>
  <c r="AT59" i="9"/>
  <c r="BO58" i="9"/>
  <c r="BB58" i="9"/>
  <c r="AQ58" i="9"/>
  <c r="R58" i="9"/>
  <c r="D58" i="9"/>
  <c r="F57" i="9"/>
  <c r="P56" i="9"/>
  <c r="C56" i="9"/>
  <c r="K55" i="9"/>
  <c r="W54" i="9"/>
  <c r="J54" i="9"/>
  <c r="K53" i="9"/>
  <c r="BO52" i="9"/>
  <c r="S52" i="9"/>
  <c r="G52" i="9"/>
  <c r="AP51" i="9"/>
  <c r="T51" i="9"/>
  <c r="H51" i="9"/>
  <c r="U50" i="9"/>
  <c r="K50" i="9"/>
  <c r="BH49" i="9"/>
  <c r="T49" i="9"/>
  <c r="J49" i="9"/>
  <c r="BG48" i="9"/>
  <c r="AW48" i="9"/>
  <c r="S48" i="9"/>
  <c r="I48" i="9"/>
  <c r="BP47" i="9"/>
  <c r="BF47" i="9"/>
  <c r="AL47" i="9"/>
  <c r="AB47" i="9"/>
  <c r="R47" i="9"/>
  <c r="H47" i="9"/>
  <c r="BO46" i="9"/>
  <c r="Q46" i="9"/>
  <c r="G46" i="9"/>
  <c r="BN45" i="9"/>
  <c r="AT45" i="9"/>
  <c r="Z45" i="9"/>
  <c r="P45" i="9"/>
  <c r="F45" i="9"/>
  <c r="O44" i="9"/>
  <c r="E44" i="9"/>
  <c r="BB43" i="9"/>
  <c r="X43" i="9"/>
  <c r="N43" i="9"/>
  <c r="D43" i="9"/>
  <c r="M42" i="9"/>
  <c r="C42" i="9"/>
  <c r="BJ41" i="9"/>
  <c r="L41" i="9"/>
  <c r="B41" i="9"/>
  <c r="BB34" i="9"/>
  <c r="N34" i="9"/>
  <c r="D34" i="9"/>
  <c r="AG33" i="9"/>
  <c r="M33" i="9"/>
  <c r="C33" i="9"/>
  <c r="L31" i="9"/>
  <c r="B31" i="9"/>
  <c r="U30" i="9"/>
  <c r="K30" i="9"/>
  <c r="BH29" i="9"/>
  <c r="T29" i="9"/>
  <c r="J29" i="9"/>
  <c r="S28" i="9"/>
  <c r="I28" i="9"/>
  <c r="BP27" i="9"/>
  <c r="D69" i="9"/>
  <c r="AG66" i="9"/>
  <c r="BP64" i="9"/>
  <c r="BB64" i="9"/>
  <c r="N64" i="9"/>
  <c r="BF61" i="9"/>
  <c r="R61" i="9"/>
  <c r="AL60" i="9"/>
  <c r="E60" i="9"/>
  <c r="AH59" i="9"/>
  <c r="Q59" i="9"/>
  <c r="BN58" i="9"/>
  <c r="Q58" i="9"/>
  <c r="C58" i="9"/>
  <c r="AT57" i="9"/>
  <c r="AI57" i="9"/>
  <c r="E57" i="9"/>
  <c r="O56" i="9"/>
  <c r="B56" i="9"/>
  <c r="AT55" i="9"/>
  <c r="J55" i="9"/>
  <c r="I54" i="9"/>
  <c r="J53" i="9"/>
  <c r="AP52" i="9"/>
  <c r="R52" i="9"/>
  <c r="D52" i="9"/>
  <c r="S51" i="9"/>
  <c r="G51" i="9"/>
  <c r="AP50" i="9"/>
  <c r="T50" i="9"/>
  <c r="J50" i="9"/>
  <c r="AW49" i="9"/>
  <c r="S49" i="9"/>
  <c r="I49" i="9"/>
  <c r="BP48" i="9"/>
  <c r="BF48" i="9"/>
  <c r="AB48" i="9"/>
  <c r="R48" i="9"/>
  <c r="H48" i="9"/>
  <c r="BO47" i="9"/>
  <c r="AK47" i="9"/>
  <c r="Q47" i="9"/>
  <c r="G47" i="9"/>
  <c r="BN46" i="9"/>
  <c r="AT46" i="9"/>
  <c r="AJ46" i="9"/>
  <c r="Z46" i="9"/>
  <c r="P46" i="9"/>
  <c r="F46" i="9"/>
  <c r="BC45" i="9"/>
  <c r="AS45" i="9"/>
  <c r="Y45" i="9"/>
  <c r="O45" i="9"/>
  <c r="E45" i="9"/>
  <c r="BB44" i="9"/>
  <c r="N44" i="9"/>
  <c r="D44" i="9"/>
  <c r="M43" i="9"/>
  <c r="C43" i="9"/>
  <c r="BJ42" i="9"/>
  <c r="L42" i="9"/>
  <c r="B42" i="9"/>
  <c r="AE41" i="9"/>
  <c r="U41" i="9"/>
  <c r="K41" i="9"/>
  <c r="AG34" i="9"/>
  <c r="W34" i="9"/>
  <c r="M34" i="9"/>
  <c r="C34" i="9"/>
  <c r="BJ33" i="9"/>
  <c r="AF33" i="9"/>
  <c r="L33" i="9"/>
  <c r="B33" i="9"/>
  <c r="K31" i="9"/>
  <c r="BH30" i="9"/>
  <c r="T30" i="9"/>
  <c r="J30" i="9"/>
  <c r="S29" i="9"/>
  <c r="C69" i="9"/>
  <c r="T68" i="9"/>
  <c r="T67" i="9"/>
  <c r="AF66" i="9"/>
  <c r="T66" i="9"/>
  <c r="BN64" i="9"/>
  <c r="J64" i="9"/>
  <c r="Q63" i="9"/>
  <c r="P61" i="9"/>
  <c r="BC59" i="9"/>
  <c r="P59" i="9"/>
  <c r="P58" i="9"/>
  <c r="D57" i="9"/>
  <c r="BJ56" i="9"/>
  <c r="N56" i="9"/>
  <c r="F55" i="9"/>
  <c r="U54" i="9"/>
  <c r="E54" i="9"/>
  <c r="BB53" i="9"/>
  <c r="I53" i="9"/>
  <c r="Q52" i="9"/>
  <c r="C52" i="9"/>
  <c r="BJ51" i="9"/>
  <c r="R51" i="9"/>
  <c r="F51" i="9"/>
  <c r="AZ50" i="9"/>
  <c r="S50" i="9"/>
  <c r="I50" i="9"/>
  <c r="BP49" i="9"/>
  <c r="AL49" i="9"/>
  <c r="R49" i="9"/>
  <c r="H49" i="9"/>
  <c r="BO48" i="9"/>
  <c r="Q48" i="9"/>
  <c r="G48" i="9"/>
  <c r="BN47" i="9"/>
  <c r="AT47" i="9"/>
  <c r="Z47" i="9"/>
  <c r="P47" i="9"/>
  <c r="F47" i="9"/>
  <c r="AS46" i="9"/>
  <c r="Y46" i="9"/>
  <c r="O46" i="9"/>
  <c r="E46" i="9"/>
  <c r="BB45" i="9"/>
  <c r="N45" i="9"/>
  <c r="D45" i="9"/>
  <c r="AQ44" i="9"/>
  <c r="M44" i="9"/>
  <c r="C44" i="9"/>
  <c r="BJ43" i="9"/>
  <c r="L43" i="9"/>
  <c r="B43" i="9"/>
  <c r="BI42" i="9"/>
  <c r="U42" i="9"/>
  <c r="K42" i="9"/>
  <c r="BH41" i="9"/>
  <c r="T41" i="9"/>
  <c r="J41" i="9"/>
  <c r="BJ34" i="9"/>
  <c r="V34" i="9"/>
  <c r="L34" i="9"/>
  <c r="B34" i="9"/>
  <c r="U33" i="9"/>
  <c r="K33" i="9"/>
  <c r="T31" i="9"/>
  <c r="J31" i="9"/>
  <c r="AC30" i="9"/>
  <c r="S30" i="9"/>
  <c r="I30" i="9"/>
  <c r="BP29" i="9"/>
  <c r="K68" i="9"/>
  <c r="AH67" i="9"/>
  <c r="K67" i="9"/>
  <c r="K66" i="9"/>
  <c r="P63" i="9"/>
  <c r="I61" i="9"/>
  <c r="BB59" i="9"/>
  <c r="O59" i="9"/>
  <c r="O58" i="9"/>
  <c r="BO57" i="9"/>
  <c r="BC57" i="9"/>
  <c r="Q57" i="9"/>
  <c r="C57" i="9"/>
  <c r="Z56" i="9"/>
  <c r="M56" i="9"/>
  <c r="BN55" i="9"/>
  <c r="BC55" i="9"/>
  <c r="U55" i="9"/>
  <c r="E55" i="9"/>
  <c r="BB54" i="9"/>
  <c r="T54" i="9"/>
  <c r="D54" i="9"/>
  <c r="U53" i="9"/>
  <c r="H53" i="9"/>
  <c r="N52" i="9"/>
  <c r="B52" i="9"/>
  <c r="Q51" i="9"/>
  <c r="C51" i="9"/>
  <c r="BJ50" i="9"/>
  <c r="R50" i="9"/>
  <c r="H50" i="9"/>
  <c r="BO49" i="9"/>
  <c r="Q49" i="9"/>
  <c r="G49" i="9"/>
  <c r="BN48" i="9"/>
  <c r="AT48" i="9"/>
  <c r="Z48" i="9"/>
  <c r="P48" i="9"/>
  <c r="F48" i="9"/>
  <c r="AI47" i="9"/>
  <c r="Y47" i="9"/>
  <c r="O47" i="9"/>
  <c r="E47" i="9"/>
  <c r="BB46" i="9"/>
  <c r="N46" i="9"/>
  <c r="D46" i="9"/>
  <c r="AQ45" i="9"/>
  <c r="W45" i="9"/>
  <c r="M45" i="9"/>
  <c r="C45" i="9"/>
  <c r="BJ44" i="9"/>
  <c r="AP44" i="9"/>
  <c r="L44" i="9"/>
  <c r="B44" i="9"/>
  <c r="BI43" i="9"/>
  <c r="AE43" i="9"/>
  <c r="U43" i="9"/>
  <c r="K43" i="9"/>
  <c r="BH42" i="9"/>
  <c r="T42" i="9"/>
  <c r="J42" i="9"/>
  <c r="AW41" i="9"/>
  <c r="W70" i="9"/>
  <c r="J68" i="9"/>
  <c r="AG67" i="9"/>
  <c r="J67" i="9"/>
  <c r="J66" i="9"/>
  <c r="AT65" i="9"/>
  <c r="AJ65" i="9"/>
  <c r="AT63" i="9"/>
  <c r="N63" i="9"/>
  <c r="BJ62" i="9"/>
  <c r="AB61" i="9"/>
  <c r="H61" i="9"/>
  <c r="BF60" i="9"/>
  <c r="AT60" i="9"/>
  <c r="R60" i="9"/>
  <c r="N59" i="9"/>
  <c r="AL58" i="9"/>
  <c r="N58" i="9"/>
  <c r="BN57" i="9"/>
  <c r="BB57" i="9"/>
  <c r="P57" i="9"/>
  <c r="B57" i="9"/>
  <c r="L56" i="9"/>
  <c r="BB55" i="9"/>
  <c r="T55" i="9"/>
  <c r="D55" i="9"/>
  <c r="AE54" i="9"/>
  <c r="S54" i="9"/>
  <c r="C54" i="9"/>
  <c r="BJ53" i="9"/>
  <c r="AE53" i="9"/>
  <c r="T53" i="9"/>
  <c r="D53" i="9"/>
  <c r="BJ52" i="9"/>
  <c r="M52" i="9"/>
  <c r="BH51" i="9"/>
  <c r="AW51" i="9"/>
  <c r="P51" i="9"/>
  <c r="B51" i="9"/>
  <c r="Q50" i="9"/>
  <c r="G50" i="9"/>
  <c r="BN49" i="9"/>
  <c r="AT49" i="9"/>
  <c r="Z49" i="9"/>
  <c r="P49" i="9"/>
  <c r="F49" i="9"/>
  <c r="AS48" i="9"/>
  <c r="AI48" i="9"/>
  <c r="Y48" i="9"/>
  <c r="O48" i="9"/>
  <c r="E48" i="9"/>
  <c r="BB47" i="9"/>
  <c r="X47" i="9"/>
  <c r="N47" i="9"/>
  <c r="D47" i="9"/>
  <c r="W46" i="9"/>
  <c r="M46" i="9"/>
  <c r="C46" i="9"/>
  <c r="BJ45" i="9"/>
  <c r="AP45" i="9"/>
  <c r="V45" i="9"/>
  <c r="L45" i="9"/>
  <c r="B45" i="9"/>
  <c r="AE44" i="9"/>
  <c r="U44" i="9"/>
  <c r="K44" i="9"/>
  <c r="BH43" i="9"/>
  <c r="T43" i="9"/>
  <c r="J43" i="9"/>
  <c r="AC42" i="9"/>
  <c r="S42" i="9"/>
  <c r="I42" i="9"/>
  <c r="AI69" i="9"/>
  <c r="BP66" i="9"/>
  <c r="BP65" i="9"/>
  <c r="K65" i="9"/>
  <c r="AF62" i="9"/>
  <c r="Q62" i="9"/>
  <c r="AW61" i="9"/>
  <c r="BP60" i="9"/>
  <c r="BC60" i="9"/>
  <c r="O60" i="9"/>
  <c r="E59" i="9"/>
  <c r="AT58" i="9"/>
  <c r="AI58" i="9"/>
  <c r="G58" i="9"/>
  <c r="M57" i="9"/>
  <c r="BC56" i="9"/>
  <c r="F56" i="9"/>
  <c r="BJ55" i="9"/>
  <c r="N55" i="9"/>
  <c r="BH54" i="9"/>
  <c r="M54" i="9"/>
  <c r="AL53" i="9"/>
  <c r="AB53" i="9"/>
  <c r="N53" i="9"/>
  <c r="J52" i="9"/>
  <c r="BO51" i="9"/>
  <c r="BE51" i="9"/>
  <c r="AT51" i="9"/>
  <c r="K51" i="9"/>
  <c r="BP50" i="9"/>
  <c r="X50" i="9"/>
  <c r="N50" i="9"/>
  <c r="D50" i="9"/>
  <c r="AQ49" i="9"/>
  <c r="AG49" i="9"/>
  <c r="M49" i="9"/>
  <c r="C49" i="9"/>
  <c r="BJ48" i="9"/>
  <c r="AF48" i="9"/>
  <c r="V48" i="9"/>
  <c r="L48" i="9"/>
  <c r="B48" i="9"/>
  <c r="U47" i="9"/>
  <c r="K47" i="9"/>
  <c r="BH46" i="9"/>
  <c r="T46" i="9"/>
  <c r="J46" i="9"/>
  <c r="BG45" i="9"/>
  <c r="S45" i="9"/>
  <c r="I45" i="9"/>
  <c r="AL44" i="9"/>
  <c r="AB44" i="9"/>
  <c r="R44" i="9"/>
  <c r="H44" i="9"/>
  <c r="BO66" i="9"/>
  <c r="L65" i="9"/>
  <c r="F59" i="9"/>
  <c r="O54" i="9"/>
  <c r="E50" i="9"/>
  <c r="AS49" i="9"/>
  <c r="AF49" i="9"/>
  <c r="O49" i="9"/>
  <c r="M48" i="9"/>
  <c r="BH47" i="9"/>
  <c r="C47" i="9"/>
  <c r="L46" i="9"/>
  <c r="BH45" i="9"/>
  <c r="R45" i="9"/>
  <c r="BD42" i="9"/>
  <c r="E42" i="9"/>
  <c r="Z41" i="9"/>
  <c r="N41" i="9"/>
  <c r="Z34" i="9"/>
  <c r="J34" i="9"/>
  <c r="T33" i="9"/>
  <c r="F33" i="9"/>
  <c r="G31" i="9"/>
  <c r="BK30" i="9"/>
  <c r="P30" i="9"/>
  <c r="N29" i="9"/>
  <c r="B29" i="9"/>
  <c r="Q28" i="9"/>
  <c r="E28" i="9"/>
  <c r="BJ27" i="9"/>
  <c r="AF27" i="9"/>
  <c r="K27" i="9"/>
  <c r="S26" i="9"/>
  <c r="I26" i="9"/>
  <c r="R25" i="9"/>
  <c r="H25" i="9"/>
  <c r="Q24" i="9"/>
  <c r="G24" i="9"/>
  <c r="BN23" i="9"/>
  <c r="AT23" i="9"/>
  <c r="Z23" i="9"/>
  <c r="P23" i="9"/>
  <c r="F23" i="9"/>
  <c r="BC22" i="9"/>
  <c r="O22" i="9"/>
  <c r="E22" i="9"/>
  <c r="BB21" i="9"/>
  <c r="AH21" i="9"/>
  <c r="X21" i="9"/>
  <c r="N21" i="9"/>
  <c r="D21" i="9"/>
  <c r="M20" i="9"/>
  <c r="C20" i="9"/>
  <c r="BJ19" i="9"/>
  <c r="L19" i="9"/>
  <c r="B19" i="9"/>
  <c r="AE18" i="9"/>
  <c r="U18" i="9"/>
  <c r="K18" i="9"/>
  <c r="BH17" i="9"/>
  <c r="T17" i="9"/>
  <c r="J17" i="9"/>
  <c r="S16" i="9"/>
  <c r="I16" i="9"/>
  <c r="BP15" i="9"/>
  <c r="R15" i="9"/>
  <c r="H15" i="9"/>
  <c r="BO14" i="9"/>
  <c r="BE14" i="9"/>
  <c r="Q14" i="9"/>
  <c r="G14" i="9"/>
  <c r="BN13" i="9"/>
  <c r="AT13" i="9"/>
  <c r="Z13" i="9"/>
  <c r="P13" i="9"/>
  <c r="F13" i="9"/>
  <c r="AS12" i="9"/>
  <c r="AI12" i="9"/>
  <c r="O12" i="9"/>
  <c r="E12" i="9"/>
  <c r="BB11" i="9"/>
  <c r="N11" i="9"/>
  <c r="D11" i="9"/>
  <c r="BK10" i="9"/>
  <c r="BA10" i="9"/>
  <c r="AG10" i="9"/>
  <c r="M10" i="9"/>
  <c r="C10" i="9"/>
  <c r="BJ9" i="9"/>
  <c r="V9" i="9"/>
  <c r="L9" i="9"/>
  <c r="B9" i="9"/>
  <c r="AE8" i="9"/>
  <c r="U8" i="9"/>
  <c r="K8" i="9"/>
  <c r="BH7" i="9"/>
  <c r="T7" i="9"/>
  <c r="J7" i="9"/>
  <c r="U70" i="9"/>
  <c r="BH69" i="9"/>
  <c r="I65" i="9"/>
  <c r="BO60" i="9"/>
  <c r="D59" i="9"/>
  <c r="Z58" i="9"/>
  <c r="BJ57" i="9"/>
  <c r="N54" i="9"/>
  <c r="BP51" i="9"/>
  <c r="C50" i="9"/>
  <c r="N49" i="9"/>
  <c r="AG48" i="9"/>
  <c r="K48" i="9"/>
  <c r="B47" i="9"/>
  <c r="K46" i="9"/>
  <c r="BF45" i="9"/>
  <c r="K45" i="9"/>
  <c r="AT41" i="9"/>
  <c r="Y41" i="9"/>
  <c r="I41" i="9"/>
  <c r="AT34" i="9"/>
  <c r="I34" i="9"/>
  <c r="S33" i="9"/>
  <c r="E33" i="9"/>
  <c r="F31" i="9"/>
  <c r="AB30" i="9"/>
  <c r="O30" i="9"/>
  <c r="BO29" i="9"/>
  <c r="AT29" i="9"/>
  <c r="AJ29" i="9"/>
  <c r="Z29" i="9"/>
  <c r="M29" i="9"/>
  <c r="P28" i="9"/>
  <c r="D28" i="9"/>
  <c r="U27" i="9"/>
  <c r="J27" i="9"/>
  <c r="R26" i="9"/>
  <c r="H26" i="9"/>
  <c r="AK25" i="9"/>
  <c r="Q25" i="9"/>
  <c r="G25" i="9"/>
  <c r="AT24" i="9"/>
  <c r="Z24" i="9"/>
  <c r="P24" i="9"/>
  <c r="F24" i="9"/>
  <c r="BC23" i="9"/>
  <c r="O23" i="9"/>
  <c r="E23" i="9"/>
  <c r="BB22" i="9"/>
  <c r="AH22" i="9"/>
  <c r="X22" i="9"/>
  <c r="N22" i="9"/>
  <c r="D22" i="9"/>
  <c r="AQ21" i="9"/>
  <c r="AG21" i="9"/>
  <c r="W21" i="9"/>
  <c r="M21" i="9"/>
  <c r="C21" i="9"/>
  <c r="BJ20" i="9"/>
  <c r="L20" i="9"/>
  <c r="B20" i="9"/>
  <c r="U19" i="9"/>
  <c r="K19" i="9"/>
  <c r="BH18" i="9"/>
  <c r="T18" i="9"/>
  <c r="J18" i="9"/>
  <c r="AW17" i="9"/>
  <c r="S17" i="9"/>
  <c r="I17" i="9"/>
  <c r="AL16" i="9"/>
  <c r="AB16" i="9"/>
  <c r="R16" i="9"/>
  <c r="H16" i="9"/>
  <c r="BO15" i="9"/>
  <c r="BE15" i="9"/>
  <c r="Q15" i="9"/>
  <c r="G15" i="9"/>
  <c r="BN14" i="9"/>
  <c r="AT14" i="9"/>
  <c r="AJ14" i="9"/>
  <c r="Z14" i="9"/>
  <c r="P14" i="9"/>
  <c r="F14" i="9"/>
  <c r="AS13" i="9"/>
  <c r="AI13" i="9"/>
  <c r="O13" i="9"/>
  <c r="E13" i="9"/>
  <c r="BB12" i="9"/>
  <c r="AH12" i="9"/>
  <c r="X12" i="9"/>
  <c r="N12" i="9"/>
  <c r="D12" i="9"/>
  <c r="AG11" i="9"/>
  <c r="M11" i="9"/>
  <c r="C11" i="9"/>
  <c r="BJ10" i="9"/>
  <c r="V10" i="9"/>
  <c r="L10" i="9"/>
  <c r="B10" i="9"/>
  <c r="AE9" i="9"/>
  <c r="U9" i="9"/>
  <c r="K9" i="9"/>
  <c r="BH8" i="9"/>
  <c r="T8" i="9"/>
  <c r="J8" i="9"/>
  <c r="AW7" i="9"/>
  <c r="AC7" i="9"/>
  <c r="B70" i="9"/>
  <c r="H66" i="9"/>
  <c r="Q60" i="9"/>
  <c r="O57" i="9"/>
  <c r="L54" i="9"/>
  <c r="BH53" i="9"/>
  <c r="BN51" i="9"/>
  <c r="BO50" i="9"/>
  <c r="AP49" i="9"/>
  <c r="L49" i="9"/>
  <c r="AE48" i="9"/>
  <c r="D48" i="9"/>
  <c r="AE46" i="9"/>
  <c r="I46" i="9"/>
  <c r="AE45" i="9"/>
  <c r="J45" i="9"/>
  <c r="S43" i="9"/>
  <c r="BD41" i="9"/>
  <c r="AI41" i="9"/>
  <c r="H41" i="9"/>
  <c r="BP34" i="9"/>
  <c r="H34" i="9"/>
  <c r="R33" i="9"/>
  <c r="S31" i="9"/>
  <c r="E31" i="9"/>
  <c r="N30" i="9"/>
  <c r="BN29" i="9"/>
  <c r="BC29" i="9"/>
  <c r="AI29" i="9"/>
  <c r="L29" i="9"/>
  <c r="BP28" i="9"/>
  <c r="O28" i="9"/>
  <c r="C28" i="9"/>
  <c r="BH27" i="9"/>
  <c r="T27" i="9"/>
  <c r="H27" i="9"/>
  <c r="AK26" i="9"/>
  <c r="Q26" i="9"/>
  <c r="G26" i="9"/>
  <c r="AT25" i="9"/>
  <c r="Z25" i="9"/>
  <c r="P25" i="9"/>
  <c r="F25" i="9"/>
  <c r="BC24" i="9"/>
  <c r="O24" i="9"/>
  <c r="E24" i="9"/>
  <c r="BB23" i="9"/>
  <c r="AH23" i="9"/>
  <c r="X23" i="9"/>
  <c r="N23" i="9"/>
  <c r="D23" i="9"/>
  <c r="AG22" i="9"/>
  <c r="M22" i="9"/>
  <c r="C22" i="9"/>
  <c r="BJ21" i="9"/>
  <c r="AP21" i="9"/>
  <c r="V21" i="9"/>
  <c r="L21" i="9"/>
  <c r="B21" i="9"/>
  <c r="U20" i="9"/>
  <c r="K20" i="9"/>
  <c r="BH19" i="9"/>
  <c r="T19" i="9"/>
  <c r="J19" i="9"/>
  <c r="AW18" i="9"/>
  <c r="AC18" i="9"/>
  <c r="S18" i="9"/>
  <c r="I18" i="9"/>
  <c r="AL17" i="9"/>
  <c r="AB17" i="9"/>
  <c r="R17" i="9"/>
  <c r="H17" i="9"/>
  <c r="Q16" i="9"/>
  <c r="G16" i="9"/>
  <c r="BN15" i="9"/>
  <c r="AT15" i="9"/>
  <c r="Z15" i="9"/>
  <c r="P15" i="9"/>
  <c r="F15" i="9"/>
  <c r="AS14" i="9"/>
  <c r="AI14" i="9"/>
  <c r="BH70" i="9"/>
  <c r="P69" i="9"/>
  <c r="H68" i="9"/>
  <c r="S62" i="9"/>
  <c r="P60" i="9"/>
  <c r="X58" i="9"/>
  <c r="N57" i="9"/>
  <c r="B54" i="9"/>
  <c r="W52" i="9"/>
  <c r="Z51" i="9"/>
  <c r="Z50" i="9"/>
  <c r="BB49" i="9"/>
  <c r="E49" i="9"/>
  <c r="C48" i="9"/>
  <c r="B46" i="9"/>
  <c r="H45" i="9"/>
  <c r="BH44" i="9"/>
  <c r="AW44" i="9"/>
  <c r="R43" i="9"/>
  <c r="R42" i="9"/>
  <c r="BC41" i="9"/>
  <c r="G41" i="9"/>
  <c r="BO34" i="9"/>
  <c r="U34" i="9"/>
  <c r="G34" i="9"/>
  <c r="Q33" i="9"/>
  <c r="R31" i="9"/>
  <c r="D31" i="9"/>
  <c r="Z30" i="9"/>
  <c r="M30" i="9"/>
  <c r="BM29" i="9"/>
  <c r="BB29" i="9"/>
  <c r="AH29" i="9"/>
  <c r="I29" i="9"/>
  <c r="BO28" i="9"/>
  <c r="AT28" i="9"/>
  <c r="AJ28" i="9"/>
  <c r="Z28" i="9"/>
  <c r="N28" i="9"/>
  <c r="B28" i="9"/>
  <c r="R27" i="9"/>
  <c r="G27" i="9"/>
  <c r="AT26" i="9"/>
  <c r="Z26" i="9"/>
  <c r="P26" i="9"/>
  <c r="F26" i="9"/>
  <c r="AI25" i="9"/>
  <c r="O25" i="9"/>
  <c r="E25" i="9"/>
  <c r="BB24" i="9"/>
  <c r="AH24" i="9"/>
  <c r="X24" i="9"/>
  <c r="N24" i="9"/>
  <c r="D24" i="9"/>
  <c r="AG23" i="9"/>
  <c r="M23" i="9"/>
  <c r="C23" i="9"/>
  <c r="BJ22" i="9"/>
  <c r="AP22" i="9"/>
  <c r="AF22" i="9"/>
  <c r="L22" i="9"/>
  <c r="B22" i="9"/>
  <c r="U21" i="9"/>
  <c r="K21" i="9"/>
  <c r="BH20" i="9"/>
  <c r="T20" i="9"/>
  <c r="J20" i="9"/>
  <c r="AC19" i="9"/>
  <c r="S19" i="9"/>
  <c r="I19" i="9"/>
  <c r="BP18" i="9"/>
  <c r="BF18" i="9"/>
  <c r="AL18" i="9"/>
  <c r="AB18" i="9"/>
  <c r="R18" i="9"/>
  <c r="H18" i="9"/>
  <c r="Q17" i="9"/>
  <c r="G17" i="9"/>
  <c r="AT16" i="9"/>
  <c r="Z16" i="9"/>
  <c r="BB67" i="9"/>
  <c r="BO65" i="9"/>
  <c r="E63" i="9"/>
  <c r="J62" i="9"/>
  <c r="H60" i="9"/>
  <c r="Z59" i="9"/>
  <c r="AH58" i="9"/>
  <c r="M58" i="9"/>
  <c r="L57" i="9"/>
  <c r="AT56" i="9"/>
  <c r="AI56" i="9"/>
  <c r="P55" i="9"/>
  <c r="AJ51" i="9"/>
  <c r="AL50" i="9"/>
  <c r="D49" i="9"/>
  <c r="BB48" i="9"/>
  <c r="BA47" i="9"/>
  <c r="T44" i="9"/>
  <c r="Q43" i="9"/>
  <c r="Q42" i="9"/>
  <c r="BB41" i="9"/>
  <c r="F41" i="9"/>
  <c r="BN34" i="9"/>
  <c r="T34" i="9"/>
  <c r="F34" i="9"/>
  <c r="BH33" i="9"/>
  <c r="P33" i="9"/>
  <c r="Q31" i="9"/>
  <c r="H30" i="9"/>
  <c r="AG29" i="9"/>
  <c r="H29" i="9"/>
  <c r="BN28" i="9"/>
  <c r="AI28" i="9"/>
  <c r="M28" i="9"/>
  <c r="Q27" i="9"/>
  <c r="F27" i="9"/>
  <c r="AI26" i="9"/>
  <c r="O26" i="9"/>
  <c r="E26" i="9"/>
  <c r="BB25" i="9"/>
  <c r="AH25" i="9"/>
  <c r="X25" i="9"/>
  <c r="N25" i="9"/>
  <c r="D25" i="9"/>
  <c r="AG24" i="9"/>
  <c r="M24" i="9"/>
  <c r="C24" i="9"/>
  <c r="BJ23" i="9"/>
  <c r="AP23" i="9"/>
  <c r="AF23" i="9"/>
  <c r="D63" i="9"/>
  <c r="Z61" i="9"/>
  <c r="H58" i="9"/>
  <c r="U56" i="9"/>
  <c r="O55" i="9"/>
  <c r="S53" i="9"/>
  <c r="AW52" i="9"/>
  <c r="U52" i="9"/>
  <c r="AZ49" i="9"/>
  <c r="B49" i="9"/>
  <c r="V47" i="9"/>
  <c r="BP45" i="9"/>
  <c r="AL45" i="9"/>
  <c r="AB45" i="9"/>
  <c r="S44" i="9"/>
  <c r="AC43" i="9"/>
  <c r="P43" i="9"/>
  <c r="P42" i="9"/>
  <c r="S41" i="9"/>
  <c r="E41" i="9"/>
  <c r="AE34" i="9"/>
  <c r="S34" i="9"/>
  <c r="Z33" i="9"/>
  <c r="O33" i="9"/>
  <c r="P31" i="9"/>
  <c r="AT30" i="9"/>
  <c r="AJ30" i="9"/>
  <c r="G30" i="9"/>
  <c r="BK29" i="9"/>
  <c r="AF29" i="9"/>
  <c r="G29" i="9"/>
  <c r="BB28" i="9"/>
  <c r="AH28" i="9"/>
  <c r="L28" i="9"/>
  <c r="BO27" i="9"/>
  <c r="AK27" i="9"/>
  <c r="P27" i="9"/>
  <c r="E27" i="9"/>
  <c r="BB26" i="9"/>
  <c r="AH26" i="9"/>
  <c r="X26" i="9"/>
  <c r="N26" i="9"/>
  <c r="D26" i="9"/>
  <c r="AG25" i="9"/>
  <c r="M25" i="9"/>
  <c r="C25" i="9"/>
  <c r="BJ24" i="9"/>
  <c r="AZ24" i="9"/>
  <c r="AP24" i="9"/>
  <c r="AF24" i="9"/>
  <c r="L24" i="9"/>
  <c r="B24" i="9"/>
  <c r="U23" i="9"/>
  <c r="K23" i="9"/>
  <c r="BH22" i="9"/>
  <c r="T22" i="9"/>
  <c r="J22" i="9"/>
  <c r="BG21" i="9"/>
  <c r="AW21" i="9"/>
  <c r="S21" i="9"/>
  <c r="I21" i="9"/>
  <c r="BP20" i="9"/>
  <c r="BF20" i="9"/>
  <c r="AL20" i="9"/>
  <c r="AB20" i="9"/>
  <c r="R20" i="9"/>
  <c r="H20" i="9"/>
  <c r="Q19" i="9"/>
  <c r="G19" i="9"/>
  <c r="BN18" i="9"/>
  <c r="H67" i="9"/>
  <c r="E56" i="9"/>
  <c r="B55" i="9"/>
  <c r="AW54" i="9"/>
  <c r="C53" i="9"/>
  <c r="I52" i="9"/>
  <c r="L51" i="9"/>
  <c r="M50" i="9"/>
  <c r="AI49" i="9"/>
  <c r="U48" i="9"/>
  <c r="BJ47" i="9"/>
  <c r="L47" i="9"/>
  <c r="U46" i="9"/>
  <c r="U45" i="9"/>
  <c r="AC44" i="9"/>
  <c r="I44" i="9"/>
  <c r="Z43" i="9"/>
  <c r="G43" i="9"/>
  <c r="Z42" i="9"/>
  <c r="G42" i="9"/>
  <c r="AB41" i="9"/>
  <c r="P41" i="9"/>
  <c r="AB34" i="9"/>
  <c r="P34" i="9"/>
  <c r="AI33" i="9"/>
  <c r="H33" i="9"/>
  <c r="I31" i="9"/>
  <c r="AG30" i="9"/>
  <c r="R30" i="9"/>
  <c r="D30" i="9"/>
  <c r="P29" i="9"/>
  <c r="D29" i="9"/>
  <c r="BJ28" i="9"/>
  <c r="U28" i="9"/>
  <c r="G28" i="9"/>
  <c r="BB27" i="9"/>
  <c r="AH27" i="9"/>
  <c r="M27" i="9"/>
  <c r="B27" i="9"/>
  <c r="U26" i="9"/>
  <c r="K26" i="9"/>
  <c r="BH25" i="9"/>
  <c r="T25" i="9"/>
  <c r="J25" i="9"/>
  <c r="AW24" i="9"/>
  <c r="S24" i="9"/>
  <c r="I24" i="9"/>
  <c r="BP23" i="9"/>
  <c r="BF23" i="9"/>
  <c r="AL23" i="9"/>
  <c r="AB23" i="9"/>
  <c r="R23" i="9"/>
  <c r="AI65" i="9"/>
  <c r="U65" i="9"/>
  <c r="AB60" i="9"/>
  <c r="AE55" i="9"/>
  <c r="M53" i="9"/>
  <c r="J51" i="9"/>
  <c r="BJ49" i="9"/>
  <c r="AG47" i="9"/>
  <c r="J44" i="9"/>
  <c r="AT43" i="9"/>
  <c r="J33" i="9"/>
  <c r="BL30" i="9"/>
  <c r="R29" i="9"/>
  <c r="D27" i="9"/>
  <c r="AF25" i="9"/>
  <c r="S25" i="9"/>
  <c r="BF22" i="9"/>
  <c r="AT22" i="9"/>
  <c r="U22" i="9"/>
  <c r="P21" i="9"/>
  <c r="BN20" i="9"/>
  <c r="S20" i="9"/>
  <c r="Z19" i="9"/>
  <c r="H19" i="9"/>
  <c r="BJ18" i="9"/>
  <c r="G18" i="9"/>
  <c r="BB17" i="9"/>
  <c r="U17" i="9"/>
  <c r="C17" i="9"/>
  <c r="N16" i="9"/>
  <c r="AS15" i="9"/>
  <c r="AI15" i="9"/>
  <c r="X15" i="9"/>
  <c r="K15" i="9"/>
  <c r="BB14" i="9"/>
  <c r="AP14" i="9"/>
  <c r="S14" i="9"/>
  <c r="E14" i="9"/>
  <c r="S13" i="9"/>
  <c r="G13" i="9"/>
  <c r="AP12" i="9"/>
  <c r="S12" i="9"/>
  <c r="G12" i="9"/>
  <c r="AF11" i="9"/>
  <c r="V11" i="9"/>
  <c r="J11" i="9"/>
  <c r="BO10" i="9"/>
  <c r="J10" i="9"/>
  <c r="BO9" i="9"/>
  <c r="AT9" i="9"/>
  <c r="AJ9" i="9"/>
  <c r="Y9" i="9"/>
  <c r="M9" i="9"/>
  <c r="BF8" i="9"/>
  <c r="AL8" i="9"/>
  <c r="O8" i="9"/>
  <c r="C8" i="9"/>
  <c r="AB7" i="9"/>
  <c r="Q7" i="9"/>
  <c r="F7" i="9"/>
  <c r="BC6" i="9"/>
  <c r="O6" i="9"/>
  <c r="E6" i="9"/>
  <c r="BB5" i="9"/>
  <c r="N5" i="9"/>
  <c r="D5" i="9"/>
  <c r="M4" i="9"/>
  <c r="C4" i="9"/>
  <c r="K56" i="9"/>
  <c r="B53" i="9"/>
  <c r="BK47" i="9"/>
  <c r="G44" i="9"/>
  <c r="I43" i="9"/>
  <c r="AC34" i="9"/>
  <c r="BC33" i="9"/>
  <c r="I33" i="9"/>
  <c r="Q29" i="9"/>
  <c r="BK27" i="9"/>
  <c r="C27" i="9"/>
  <c r="BH26" i="9"/>
  <c r="L25" i="9"/>
  <c r="U24" i="9"/>
  <c r="T23" i="9"/>
  <c r="S22" i="9"/>
  <c r="BP21" i="9"/>
  <c r="O21" i="9"/>
  <c r="Q20" i="9"/>
  <c r="AT19" i="9"/>
  <c r="F19" i="9"/>
  <c r="F18" i="9"/>
  <c r="AE17" i="9"/>
  <c r="P17" i="9"/>
  <c r="B17" i="9"/>
  <c r="BH16" i="9"/>
  <c r="M16" i="9"/>
  <c r="W15" i="9"/>
  <c r="J15" i="9"/>
  <c r="R14" i="9"/>
  <c r="D14" i="9"/>
  <c r="BJ13" i="9"/>
  <c r="AZ13" i="9"/>
  <c r="R13" i="9"/>
  <c r="D13" i="9"/>
  <c r="AZ12" i="9"/>
  <c r="R12" i="9"/>
  <c r="F12" i="9"/>
  <c r="AE11" i="9"/>
  <c r="U11" i="9"/>
  <c r="I11" i="9"/>
  <c r="BN10" i="9"/>
  <c r="BB10" i="9"/>
  <c r="U10" i="9"/>
  <c r="I10" i="9"/>
  <c r="BN9" i="9"/>
  <c r="AS9" i="9"/>
  <c r="J9" i="9"/>
  <c r="BP8" i="9"/>
  <c r="Z8" i="9"/>
  <c r="N8" i="9"/>
  <c r="B8" i="9"/>
  <c r="AL7" i="9"/>
  <c r="P7" i="9"/>
  <c r="E7" i="9"/>
  <c r="BB6" i="9"/>
  <c r="X6" i="9"/>
  <c r="N6" i="9"/>
  <c r="D6" i="9"/>
  <c r="M5" i="9"/>
  <c r="C5" i="9"/>
  <c r="BJ4" i="9"/>
  <c r="L4" i="9"/>
  <c r="B4" i="9"/>
  <c r="G56" i="9"/>
  <c r="V46" i="9"/>
  <c r="T45" i="9"/>
  <c r="H43" i="9"/>
  <c r="AT42" i="9"/>
  <c r="AL41" i="9"/>
  <c r="G33" i="9"/>
  <c r="O31" i="9"/>
  <c r="O29" i="9"/>
  <c r="AG28" i="9"/>
  <c r="Z27" i="9"/>
  <c r="K25" i="9"/>
  <c r="T24" i="9"/>
  <c r="AW23" i="9"/>
  <c r="S23" i="9"/>
  <c r="R22" i="9"/>
  <c r="BO21" i="9"/>
  <c r="J21" i="9"/>
  <c r="P20" i="9"/>
  <c r="BC19" i="9"/>
  <c r="AI19" i="9"/>
  <c r="E19" i="9"/>
  <c r="E18" i="9"/>
  <c r="O17" i="9"/>
  <c r="L16" i="9"/>
  <c r="BB15" i="9"/>
  <c r="AG15" i="9"/>
  <c r="I15" i="9"/>
  <c r="O14" i="9"/>
  <c r="C14" i="9"/>
  <c r="Q13" i="9"/>
  <c r="C13" i="9"/>
  <c r="BJ12" i="9"/>
  <c r="Q12" i="9"/>
  <c r="C12" i="9"/>
  <c r="BJ11" i="9"/>
  <c r="T11" i="9"/>
  <c r="H11" i="9"/>
  <c r="T10" i="9"/>
  <c r="H10" i="9"/>
  <c r="BB9" i="9"/>
  <c r="W9" i="9"/>
  <c r="I9" i="9"/>
  <c r="BO8" i="9"/>
  <c r="AT8" i="9"/>
  <c r="Y8" i="9"/>
  <c r="M8" i="9"/>
  <c r="Z7" i="9"/>
  <c r="O7" i="9"/>
  <c r="D7" i="9"/>
  <c r="M6" i="9"/>
  <c r="C6" i="9"/>
  <c r="BJ5" i="9"/>
  <c r="L5" i="9"/>
  <c r="B5" i="9"/>
  <c r="AE4" i="9"/>
  <c r="U4" i="9"/>
  <c r="K4" i="9"/>
  <c r="F61" i="9"/>
  <c r="Z55" i="9"/>
  <c r="P50" i="9"/>
  <c r="BJ46" i="9"/>
  <c r="AW46" i="9"/>
  <c r="S46" i="9"/>
  <c r="F43" i="9"/>
  <c r="N31" i="9"/>
  <c r="Q30" i="9"/>
  <c r="F29" i="9"/>
  <c r="AF28" i="9"/>
  <c r="R28" i="9"/>
  <c r="AG26" i="9"/>
  <c r="T26" i="9"/>
  <c r="I25" i="9"/>
  <c r="BH24" i="9"/>
  <c r="R24" i="9"/>
  <c r="Q23" i="9"/>
  <c r="Q22" i="9"/>
  <c r="BN21" i="9"/>
  <c r="H21" i="9"/>
  <c r="AC20" i="9"/>
  <c r="O20" i="9"/>
  <c r="BB19" i="9"/>
  <c r="D19" i="9"/>
  <c r="AT18" i="9"/>
  <c r="D18" i="9"/>
  <c r="BJ17" i="9"/>
  <c r="N17" i="9"/>
  <c r="K16" i="9"/>
  <c r="AP15" i="9"/>
  <c r="U15" i="9"/>
  <c r="E15" i="9"/>
  <c r="BJ14" i="9"/>
  <c r="N14" i="9"/>
  <c r="B14" i="9"/>
  <c r="BH13" i="9"/>
  <c r="AL13" i="9"/>
  <c r="N13" i="9"/>
  <c r="B13" i="9"/>
  <c r="P12" i="9"/>
  <c r="B12" i="9"/>
  <c r="S11" i="9"/>
  <c r="G11" i="9"/>
  <c r="S10" i="9"/>
  <c r="G10" i="9"/>
  <c r="T9" i="9"/>
  <c r="H9" i="9"/>
  <c r="BN8" i="9"/>
  <c r="BC8" i="9"/>
  <c r="AS8" i="9"/>
  <c r="L8" i="9"/>
  <c r="AT7" i="9"/>
  <c r="N7" i="9"/>
  <c r="C7" i="9"/>
  <c r="BJ6" i="9"/>
  <c r="L6" i="9"/>
  <c r="B6" i="9"/>
  <c r="BI5" i="9"/>
  <c r="U5" i="9"/>
  <c r="K5" i="9"/>
  <c r="BH4" i="9"/>
  <c r="T4" i="9"/>
  <c r="J4" i="9"/>
  <c r="BF58" i="9"/>
  <c r="BB56" i="9"/>
  <c r="L52" i="9"/>
  <c r="O50" i="9"/>
  <c r="R41" i="9"/>
  <c r="AL34" i="9"/>
  <c r="H31" i="9"/>
  <c r="AI30" i="9"/>
  <c r="F30" i="9"/>
  <c r="E29" i="9"/>
  <c r="K28" i="9"/>
  <c r="AF26" i="9"/>
  <c r="M26" i="9"/>
  <c r="B25" i="9"/>
  <c r="K24" i="9"/>
  <c r="BH23" i="9"/>
  <c r="L23" i="9"/>
  <c r="AB22" i="9"/>
  <c r="P22" i="9"/>
  <c r="G21" i="9"/>
  <c r="AW20" i="9"/>
  <c r="N20" i="9"/>
  <c r="C19" i="9"/>
  <c r="Q18" i="9"/>
  <c r="C18" i="9"/>
  <c r="M17" i="9"/>
  <c r="J16" i="9"/>
  <c r="T15" i="9"/>
  <c r="D15" i="9"/>
  <c r="M14" i="9"/>
  <c r="AW13" i="9"/>
  <c r="M13" i="9"/>
  <c r="BH12" i="9"/>
  <c r="AW12" i="9"/>
  <c r="AL12" i="9"/>
  <c r="Z12" i="9"/>
  <c r="M12" i="9"/>
  <c r="BH11" i="9"/>
  <c r="AW11" i="9"/>
  <c r="AB11" i="9"/>
  <c r="R11" i="9"/>
  <c r="F11" i="9"/>
  <c r="AC10" i="9"/>
  <c r="R10" i="9"/>
  <c r="F10" i="9"/>
  <c r="S9" i="9"/>
  <c r="G9" i="9"/>
  <c r="BB8" i="9"/>
  <c r="W8" i="9"/>
  <c r="I8" i="9"/>
  <c r="M7" i="9"/>
  <c r="B7" i="9"/>
  <c r="BI6" i="9"/>
  <c r="AE6" i="9"/>
  <c r="U6" i="9"/>
  <c r="K6" i="9"/>
  <c r="BH5" i="9"/>
  <c r="T5" i="9"/>
  <c r="J5" i="9"/>
  <c r="AW4" i="9"/>
  <c r="AC4" i="9"/>
  <c r="S4" i="9"/>
  <c r="I4" i="9"/>
  <c r="AK64" i="9"/>
  <c r="X59" i="9"/>
  <c r="K52" i="9"/>
  <c r="AW50" i="9"/>
  <c r="AI50" i="9"/>
  <c r="F50" i="9"/>
  <c r="X49" i="9"/>
  <c r="BG46" i="9"/>
  <c r="O42" i="9"/>
  <c r="Q41" i="9"/>
  <c r="BH34" i="9"/>
  <c r="R34" i="9"/>
  <c r="AH30" i="9"/>
  <c r="E30" i="9"/>
  <c r="C29" i="9"/>
  <c r="H28" i="9"/>
  <c r="AT27" i="9"/>
  <c r="AI27" i="9"/>
  <c r="L26" i="9"/>
  <c r="BF24" i="9"/>
  <c r="J24" i="9"/>
  <c r="J23" i="9"/>
  <c r="K22" i="9"/>
  <c r="AL21" i="9"/>
  <c r="Z21" i="9"/>
  <c r="F21" i="9"/>
  <c r="Z20" i="9"/>
  <c r="I20" i="9"/>
  <c r="R19" i="9"/>
  <c r="BC18" i="9"/>
  <c r="P18" i="9"/>
  <c r="B18" i="9"/>
  <c r="Z17" i="9"/>
  <c r="L17" i="9"/>
  <c r="F16" i="9"/>
  <c r="BJ15" i="9"/>
  <c r="S15" i="9"/>
  <c r="C15" i="9"/>
  <c r="BH14" i="9"/>
  <c r="AW14" i="9"/>
  <c r="X14" i="9"/>
  <c r="L14" i="9"/>
  <c r="X13" i="9"/>
  <c r="L13" i="9"/>
  <c r="L12" i="9"/>
  <c r="BG11" i="9"/>
  <c r="Q11" i="9"/>
  <c r="E11" i="9"/>
  <c r="BH10" i="9"/>
  <c r="AW10" i="9"/>
  <c r="AB10" i="9"/>
  <c r="Q10" i="9"/>
  <c r="E10" i="9"/>
  <c r="R9" i="9"/>
  <c r="F9" i="9"/>
  <c r="AQ8" i="9"/>
  <c r="V8" i="9"/>
  <c r="H8" i="9"/>
  <c r="L7" i="9"/>
  <c r="BH6" i="9"/>
  <c r="T6" i="9"/>
  <c r="J6" i="9"/>
  <c r="AC5" i="9"/>
  <c r="S5" i="9"/>
  <c r="I5" i="9"/>
  <c r="AL4" i="9"/>
  <c r="AB4" i="9"/>
  <c r="R4" i="9"/>
  <c r="H4" i="9"/>
  <c r="G59" i="9"/>
  <c r="F58" i="9"/>
  <c r="Z57" i="9"/>
  <c r="M55" i="9"/>
  <c r="V51" i="9"/>
  <c r="AT50" i="9"/>
  <c r="AH49" i="9"/>
  <c r="J47" i="9"/>
  <c r="BN27" i="9"/>
  <c r="N27" i="9"/>
  <c r="B26" i="9"/>
  <c r="G23" i="9"/>
  <c r="G22" i="9"/>
  <c r="BH21" i="9"/>
  <c r="AI21" i="9"/>
  <c r="R21" i="9"/>
  <c r="BC20" i="9"/>
  <c r="E20" i="9"/>
  <c r="AB19" i="9"/>
  <c r="N19" i="9"/>
  <c r="M18" i="9"/>
  <c r="W17" i="9"/>
  <c r="E17" i="9"/>
  <c r="AE16" i="9"/>
  <c r="P16" i="9"/>
  <c r="C16" i="9"/>
  <c r="M15" i="9"/>
  <c r="U14" i="9"/>
  <c r="I14" i="9"/>
  <c r="AQ13" i="9"/>
  <c r="AF13" i="9"/>
  <c r="U13" i="9"/>
  <c r="I13" i="9"/>
  <c r="BN12" i="9"/>
  <c r="AF12" i="9"/>
  <c r="U12" i="9"/>
  <c r="I12" i="9"/>
  <c r="BN11" i="9"/>
  <c r="AS11" i="9"/>
  <c r="AI11" i="9"/>
  <c r="L11" i="9"/>
  <c r="AT10" i="9"/>
  <c r="Y10" i="9"/>
  <c r="N10" i="9"/>
  <c r="BF9" i="9"/>
  <c r="O9" i="9"/>
  <c r="C9" i="9"/>
  <c r="Q8" i="9"/>
  <c r="E8" i="9"/>
  <c r="AE7" i="9"/>
  <c r="S7" i="9"/>
  <c r="H7" i="9"/>
  <c r="Q6" i="9"/>
  <c r="G6" i="9"/>
  <c r="BD5" i="9"/>
  <c r="AT5" i="9"/>
  <c r="Z5" i="9"/>
  <c r="P5" i="9"/>
  <c r="F5" i="9"/>
  <c r="BC4" i="9"/>
  <c r="AI4" i="9"/>
  <c r="Y4" i="9"/>
  <c r="O4" i="9"/>
  <c r="E4" i="9"/>
  <c r="BJ54" i="9"/>
  <c r="Q34" i="9"/>
  <c r="BJ29" i="9"/>
  <c r="H23" i="9"/>
  <c r="BG22" i="9"/>
  <c r="F22" i="9"/>
  <c r="AT20" i="9"/>
  <c r="AI20" i="9"/>
  <c r="AL19" i="9"/>
  <c r="T16" i="9"/>
  <c r="BH15" i="9"/>
  <c r="N15" i="9"/>
  <c r="H14" i="9"/>
  <c r="AP13" i="9"/>
  <c r="BO11" i="9"/>
  <c r="Y11" i="9"/>
  <c r="AK10" i="9"/>
  <c r="AW9" i="9"/>
  <c r="BJ8" i="9"/>
  <c r="P8" i="9"/>
  <c r="H5" i="9"/>
  <c r="AB42" i="9"/>
  <c r="K34" i="9"/>
  <c r="BJ26" i="9"/>
  <c r="BJ25" i="9"/>
  <c r="B23" i="9"/>
  <c r="T21" i="9"/>
  <c r="G20" i="9"/>
  <c r="BB16" i="9"/>
  <c r="O16" i="9"/>
  <c r="L15" i="9"/>
  <c r="BP12" i="9"/>
  <c r="P10" i="9"/>
  <c r="BH9" i="9"/>
  <c r="Q9" i="9"/>
  <c r="G8" i="9"/>
  <c r="BJ7" i="9"/>
  <c r="S6" i="9"/>
  <c r="AB5" i="9"/>
  <c r="G5" i="9"/>
  <c r="Q4" i="9"/>
  <c r="C55" i="9"/>
  <c r="R53" i="9"/>
  <c r="T47" i="9"/>
  <c r="AB43" i="9"/>
  <c r="AT33" i="9"/>
  <c r="BC30" i="9"/>
  <c r="AG27" i="9"/>
  <c r="O27" i="9"/>
  <c r="J26" i="9"/>
  <c r="U25" i="9"/>
  <c r="AB24" i="9"/>
  <c r="Q21" i="9"/>
  <c r="F20" i="9"/>
  <c r="O18" i="9"/>
  <c r="E16" i="9"/>
  <c r="B15" i="9"/>
  <c r="BP13" i="9"/>
  <c r="BO12" i="9"/>
  <c r="BG10" i="9"/>
  <c r="AI10" i="9"/>
  <c r="O10" i="9"/>
  <c r="BG9" i="9"/>
  <c r="P9" i="9"/>
  <c r="BG8" i="9"/>
  <c r="F8" i="9"/>
  <c r="R6" i="9"/>
  <c r="E5" i="9"/>
  <c r="AT4" i="9"/>
  <c r="P4" i="9"/>
  <c r="BH50" i="9"/>
  <c r="M47" i="9"/>
  <c r="BB30" i="9"/>
  <c r="L27" i="9"/>
  <c r="C26" i="9"/>
  <c r="E21" i="9"/>
  <c r="BB20" i="9"/>
  <c r="D20" i="9"/>
  <c r="BF19" i="9"/>
  <c r="P19" i="9"/>
  <c r="N18" i="9"/>
  <c r="D16" i="9"/>
  <c r="BO13" i="9"/>
  <c r="BB13" i="9"/>
  <c r="V12" i="9"/>
  <c r="P11" i="9"/>
  <c r="BF10" i="9"/>
  <c r="K10" i="9"/>
  <c r="N9" i="9"/>
  <c r="AP8" i="9"/>
  <c r="D8" i="9"/>
  <c r="P6" i="9"/>
  <c r="N4" i="9"/>
  <c r="AW43" i="9"/>
  <c r="O41" i="9"/>
  <c r="BK28" i="9"/>
  <c r="Z22" i="9"/>
  <c r="O19" i="9"/>
  <c r="L18" i="9"/>
  <c r="AT17" i="9"/>
  <c r="K17" i="9"/>
  <c r="BJ16" i="9"/>
  <c r="B16" i="9"/>
  <c r="BP14" i="9"/>
  <c r="T12" i="9"/>
  <c r="O11" i="9"/>
  <c r="D10" i="9"/>
  <c r="E9" i="9"/>
  <c r="U7" i="9"/>
  <c r="AC6" i="9"/>
  <c r="I6" i="9"/>
  <c r="BD4" i="9"/>
  <c r="G4" i="9"/>
  <c r="V49" i="9"/>
  <c r="N48" i="9"/>
  <c r="D41" i="9"/>
  <c r="BO20" i="9"/>
  <c r="M19" i="9"/>
  <c r="BB18" i="9"/>
  <c r="F17" i="9"/>
  <c r="V13" i="9"/>
  <c r="AG12" i="9"/>
  <c r="K12" i="9"/>
  <c r="BF11" i="9"/>
  <c r="AT11" i="9"/>
  <c r="K11" i="9"/>
  <c r="D9" i="9"/>
  <c r="AB8" i="9"/>
  <c r="R7" i="9"/>
  <c r="AW6" i="9"/>
  <c r="AB6" i="9"/>
  <c r="H6" i="9"/>
  <c r="BB4" i="9"/>
  <c r="F4" i="9"/>
  <c r="BH52" i="9"/>
  <c r="AG51" i="9"/>
  <c r="Q44" i="9"/>
  <c r="F42" i="9"/>
  <c r="AJ22" i="9"/>
  <c r="I22" i="9"/>
  <c r="K14" i="9"/>
  <c r="J13" i="9"/>
  <c r="BP10" i="9"/>
  <c r="Z10" i="9"/>
  <c r="AW22" i="9"/>
  <c r="Z18" i="9"/>
  <c r="BP11" i="9"/>
  <c r="B11" i="9"/>
  <c r="AL10" i="9"/>
  <c r="BP9" i="9"/>
  <c r="Z9" i="9"/>
  <c r="S8" i="9"/>
  <c r="D4" i="9"/>
  <c r="F28" i="9"/>
  <c r="BO18" i="9"/>
  <c r="V14" i="9"/>
  <c r="R8" i="9"/>
  <c r="K7" i="9"/>
  <c r="AT6" i="9"/>
  <c r="M51" i="9"/>
  <c r="AG14" i="9"/>
  <c r="T14" i="9"/>
  <c r="AT12" i="9"/>
  <c r="I7" i="9"/>
  <c r="F6" i="9"/>
  <c r="R5" i="9"/>
  <c r="H42" i="9"/>
  <c r="H24" i="9"/>
  <c r="D17" i="9"/>
  <c r="J14" i="9"/>
  <c r="G7" i="9"/>
  <c r="Q5" i="9"/>
  <c r="AC41" i="9"/>
  <c r="C30" i="9"/>
  <c r="U16" i="9"/>
  <c r="T13" i="9"/>
  <c r="AQ12" i="9"/>
  <c r="AQ7" i="9"/>
  <c r="O5" i="9"/>
  <c r="BO23" i="9"/>
  <c r="I23" i="9"/>
  <c r="BF21" i="9"/>
  <c r="AT21" i="9"/>
  <c r="AH13" i="9"/>
  <c r="K13" i="9"/>
  <c r="BB7" i="9"/>
  <c r="AP7" i="9"/>
  <c r="AW15" i="9"/>
  <c r="O15" i="9"/>
  <c r="H12" i="9"/>
  <c r="AB9" i="9"/>
  <c r="Z6" i="9"/>
  <c r="H22" i="9"/>
  <c r="Y15" i="9"/>
  <c r="J12" i="9"/>
  <c r="H13" i="9"/>
  <c r="AG13" i="9"/>
  <c r="X10" i="9"/>
  <c r="Z11" i="9"/>
  <c r="Z4" i="9"/>
  <c r="BQ92" i="9"/>
  <c r="BQ86" i="9"/>
  <c r="BQ84" i="9"/>
  <c r="BQ94" i="9"/>
  <c r="BQ69" i="8"/>
  <c r="BR31" i="8" s="1"/>
  <c r="B66" i="8"/>
  <c r="BQ66" i="8" s="1"/>
  <c r="BR28" i="8" s="1"/>
  <c r="BQ28" i="8"/>
  <c r="B60" i="8"/>
  <c r="BQ60" i="8" s="1"/>
  <c r="BR22" i="8" s="1"/>
  <c r="BQ22" i="8"/>
  <c r="B48" i="8"/>
  <c r="BQ48" i="8" s="1"/>
  <c r="BR10" i="8" s="1"/>
  <c r="BQ10" i="8"/>
  <c r="BQ100" i="9"/>
  <c r="BQ77" i="9"/>
  <c r="BQ95" i="9"/>
  <c r="BQ104" i="9"/>
  <c r="BQ99" i="9"/>
  <c r="BQ98" i="9"/>
  <c r="B44" i="8"/>
  <c r="BQ44" i="8" s="1"/>
  <c r="BR6" i="8" s="1"/>
  <c r="BQ6" i="8"/>
  <c r="BQ78" i="9"/>
  <c r="B51" i="8"/>
  <c r="BQ51" i="8" s="1"/>
  <c r="BR13" i="8" s="1"/>
  <c r="BQ13" i="8"/>
  <c r="B52" i="8"/>
  <c r="BQ52" i="8" s="1"/>
  <c r="BR14" i="8" s="1"/>
  <c r="BQ14" i="8"/>
  <c r="B59" i="8"/>
  <c r="BQ59" i="8" s="1"/>
  <c r="BR21" i="8" s="1"/>
  <c r="BQ21" i="8"/>
  <c r="B61" i="8"/>
  <c r="BQ61" i="8" s="1"/>
  <c r="BR23" i="8" s="1"/>
  <c r="BQ23" i="8"/>
  <c r="B63" i="8"/>
  <c r="BQ63" i="8" s="1"/>
  <c r="BR25" i="8" s="1"/>
  <c r="BQ25" i="8"/>
  <c r="B46" i="8"/>
  <c r="BQ46" i="8" s="1"/>
  <c r="BR8" i="8" s="1"/>
  <c r="BQ8" i="8"/>
  <c r="B43" i="8"/>
  <c r="BQ43" i="8" s="1"/>
  <c r="BR5" i="8" s="1"/>
  <c r="BQ5" i="8"/>
  <c r="B55" i="8"/>
  <c r="BQ55" i="8" s="1"/>
  <c r="BR17" i="8" s="1"/>
  <c r="BQ17" i="8"/>
  <c r="B70" i="8"/>
  <c r="BQ70" i="8" s="1"/>
  <c r="BR33" i="8" s="1"/>
  <c r="BQ33" i="8"/>
  <c r="BQ80" i="9"/>
  <c r="BQ96" i="9"/>
  <c r="B45" i="8"/>
  <c r="BQ45" i="8" s="1"/>
  <c r="BR7" i="8" s="1"/>
  <c r="BQ7" i="8"/>
  <c r="B47" i="8"/>
  <c r="BQ47" i="8" s="1"/>
  <c r="BR9" i="8" s="1"/>
  <c r="BQ9" i="8"/>
  <c r="B68" i="8"/>
  <c r="BQ68" i="8" s="1"/>
  <c r="BR30" i="8" s="1"/>
  <c r="BQ30" i="8"/>
  <c r="B58" i="8"/>
  <c r="BQ58" i="8" s="1"/>
  <c r="BR20" i="8" s="1"/>
  <c r="BQ20" i="8"/>
  <c r="B67" i="8"/>
  <c r="BQ67" i="8" s="1"/>
  <c r="BR29" i="8" s="1"/>
  <c r="BQ29" i="8"/>
  <c r="BQ85" i="9"/>
  <c r="BQ91" i="9"/>
  <c r="B64" i="8"/>
  <c r="BQ64" i="8" s="1"/>
  <c r="BR26" i="8" s="1"/>
  <c r="BQ26" i="8"/>
  <c r="B49" i="8"/>
  <c r="BQ49" i="8" s="1"/>
  <c r="BR11" i="8" s="1"/>
  <c r="BQ11" i="8"/>
  <c r="B56" i="8"/>
  <c r="BQ56" i="8" s="1"/>
  <c r="BR18" i="8" s="1"/>
  <c r="BQ18" i="8"/>
  <c r="B71" i="8"/>
  <c r="BQ71" i="8" s="1"/>
  <c r="BR34" i="8" s="1"/>
  <c r="BQ34" i="8"/>
  <c r="BQ75" i="9"/>
  <c r="B50" i="8"/>
  <c r="BQ50" i="8" s="1"/>
  <c r="BR12" i="8" s="1"/>
  <c r="BQ12" i="8"/>
  <c r="F39" i="3" l="1"/>
  <c r="B39" i="3"/>
  <c r="I39" i="3"/>
  <c r="AI39" i="3"/>
  <c r="Y39" i="3"/>
  <c r="BK39" i="3"/>
  <c r="AG39" i="3"/>
  <c r="R39" i="3"/>
  <c r="Q39" i="3"/>
  <c r="AF39" i="3"/>
  <c r="R41" i="3"/>
  <c r="BH41" i="3"/>
  <c r="S41" i="3"/>
  <c r="AH38" i="3"/>
  <c r="AH39" i="3" s="1"/>
  <c r="H39" i="3"/>
  <c r="Z39" i="3"/>
  <c r="BB39" i="3"/>
  <c r="AW39" i="3"/>
  <c r="BJ39" i="3"/>
  <c r="X39" i="3"/>
  <c r="AE39" i="3"/>
  <c r="U39" i="3"/>
  <c r="Q41" i="3"/>
  <c r="AR40" i="3"/>
  <c r="AR41" i="3" s="1"/>
  <c r="AJ40" i="3"/>
  <c r="AJ41" i="3" s="1"/>
  <c r="AI41" i="3"/>
  <c r="BM38" i="3"/>
  <c r="BM39" i="3" s="1"/>
  <c r="BK40" i="3"/>
  <c r="BK41" i="3" s="1"/>
  <c r="BD40" i="3"/>
  <c r="BD41" i="3" s="1"/>
  <c r="AY38" i="3"/>
  <c r="AY39" i="3" s="1"/>
  <c r="BC38" i="3"/>
  <c r="BC39" i="3" s="1"/>
  <c r="BA38" i="3"/>
  <c r="BA39" i="3" s="1"/>
  <c r="AX40" i="3"/>
  <c r="AX41" i="3" s="1"/>
  <c r="AK40" i="3"/>
  <c r="AK41" i="3" s="1"/>
  <c r="AO40" i="3"/>
  <c r="AO41" i="3" s="1"/>
  <c r="AB38" i="3"/>
  <c r="AB39" i="3" s="1"/>
  <c r="AU38" i="3"/>
  <c r="AU39" i="3" s="1"/>
  <c r="AV40" i="3"/>
  <c r="AV41" i="3" s="1"/>
  <c r="AN40" i="3"/>
  <c r="AN41" i="3" s="1"/>
  <c r="AM40" i="3"/>
  <c r="AM41" i="3" s="1"/>
  <c r="BE38" i="3"/>
  <c r="BE39" i="3" s="1"/>
  <c r="BI38" i="3"/>
  <c r="BI39" i="3" s="1"/>
  <c r="AT38" i="3"/>
  <c r="AT39" i="3" s="1"/>
  <c r="Z40" i="3"/>
  <c r="Z41" i="3" s="1"/>
  <c r="AC38" i="3"/>
  <c r="AC39" i="3" s="1"/>
  <c r="AA38" i="3"/>
  <c r="AA39" i="3" s="1"/>
  <c r="Y41" i="3"/>
  <c r="AE40" i="3"/>
  <c r="AE41" i="3" s="1"/>
  <c r="BL38" i="3"/>
  <c r="BL39" i="3" s="1"/>
  <c r="AD40" i="3"/>
  <c r="AD41" i="3" s="1"/>
  <c r="W40" i="3"/>
  <c r="W41" i="3" s="1"/>
  <c r="AW41" i="3"/>
  <c r="AG41" i="3"/>
  <c r="AH41" i="3"/>
  <c r="AZ41" i="3"/>
  <c r="AF41" i="3"/>
  <c r="U41" i="3"/>
  <c r="BN37" i="3"/>
  <c r="BN38" i="3" s="1"/>
  <c r="BN39" i="3" s="1"/>
  <c r="BO37" i="3"/>
  <c r="BO38" i="3" s="1"/>
  <c r="BO39" i="3" s="1"/>
  <c r="AL41" i="3"/>
  <c r="BJ41" i="3"/>
  <c r="AS41" i="3"/>
  <c r="AQ41" i="3"/>
  <c r="BG41" i="3"/>
  <c r="BB41" i="3"/>
  <c r="AP41" i="3"/>
  <c r="V41" i="3"/>
  <c r="BP40" i="3"/>
  <c r="BP38" i="3"/>
  <c r="BP39" i="3" s="1"/>
  <c r="B43" i="3" a="1"/>
  <c r="B47" i="3" s="1"/>
  <c r="B39" i="7" a="1"/>
  <c r="C21" i="2"/>
  <c r="C18" i="2"/>
  <c r="BQ23" i="9"/>
  <c r="BQ55" i="9"/>
  <c r="BQ51" i="9"/>
  <c r="BQ66" i="9"/>
  <c r="BQ7" i="9"/>
  <c r="BQ14" i="9"/>
  <c r="BQ47" i="9"/>
  <c r="BQ9" i="9"/>
  <c r="BQ56" i="9"/>
  <c r="BQ63" i="9"/>
  <c r="BQ16" i="9"/>
  <c r="BQ17" i="9"/>
  <c r="BQ46" i="9"/>
  <c r="BQ12" i="9"/>
  <c r="BQ4" i="9"/>
  <c r="BQ61" i="9"/>
  <c r="BQ13" i="9"/>
  <c r="BQ8" i="9"/>
  <c r="BQ53" i="9"/>
  <c r="BQ24" i="9"/>
  <c r="BQ22" i="9"/>
  <c r="BQ48" i="9"/>
  <c r="BQ52" i="9"/>
  <c r="BQ20" i="9"/>
  <c r="BQ30" i="9"/>
  <c r="BQ67" i="9"/>
  <c r="BQ10" i="9"/>
  <c r="BQ29" i="9"/>
  <c r="BQ45" i="9"/>
  <c r="BQ41" i="9"/>
  <c r="BQ50" i="9"/>
  <c r="BQ69" i="9"/>
  <c r="BQ68" i="9"/>
  <c r="BQ60" i="9"/>
  <c r="BQ64" i="9"/>
  <c r="BQ18" i="9"/>
  <c r="BQ11" i="9"/>
  <c r="BQ25" i="9"/>
  <c r="BQ6" i="9"/>
  <c r="BQ49" i="9"/>
  <c r="BQ28" i="9"/>
  <c r="BQ70" i="9"/>
  <c r="BQ19" i="9"/>
  <c r="BQ57" i="9"/>
  <c r="BQ44" i="9"/>
  <c r="BQ33" i="9"/>
  <c r="BQ59" i="9"/>
  <c r="BQ15" i="9"/>
  <c r="BQ26" i="9"/>
  <c r="BQ5" i="9"/>
  <c r="BQ27" i="9"/>
  <c r="BQ42" i="9"/>
  <c r="BQ31" i="9"/>
  <c r="BQ65" i="9"/>
  <c r="BQ54" i="9"/>
  <c r="BQ21" i="9"/>
  <c r="BQ34" i="9"/>
  <c r="BQ43" i="9"/>
  <c r="BQ62" i="9"/>
  <c r="BQ58" i="9"/>
  <c r="BM41" i="3" l="1"/>
  <c r="BE41" i="3"/>
  <c r="BI41" i="3"/>
  <c r="AT41" i="3"/>
  <c r="BC41" i="3"/>
  <c r="AB41" i="3"/>
  <c r="BP41" i="3"/>
  <c r="AC41" i="3"/>
  <c r="C43" i="3" a="1"/>
  <c r="C55" i="3" s="1"/>
  <c r="BN40" i="3"/>
  <c r="BN41" i="3" s="1"/>
  <c r="BO40" i="3"/>
  <c r="BO41" i="3" s="1"/>
  <c r="C11" i="1"/>
  <c r="B45" i="3"/>
  <c r="B43" i="3"/>
  <c r="B49" i="3"/>
  <c r="B48" i="3"/>
  <c r="B54" i="3"/>
  <c r="B51" i="3"/>
  <c r="B55" i="3"/>
  <c r="B52" i="3"/>
  <c r="B57" i="3"/>
  <c r="B44" i="3"/>
  <c r="B50" i="3"/>
  <c r="B46" i="3"/>
  <c r="B53" i="3"/>
  <c r="B56" i="3"/>
  <c r="B80" i="7"/>
  <c r="B96" i="7"/>
  <c r="B103" i="7"/>
  <c r="B64" i="7"/>
  <c r="B93" i="7"/>
  <c r="B105" i="7"/>
  <c r="B101" i="7"/>
  <c r="B70" i="7"/>
  <c r="B84" i="7"/>
  <c r="B83" i="7"/>
  <c r="B44" i="7"/>
  <c r="B76" i="7"/>
  <c r="B88" i="7"/>
  <c r="B91" i="7"/>
  <c r="B60" i="7"/>
  <c r="B72" i="7"/>
  <c r="B66" i="7"/>
  <c r="B95" i="7"/>
  <c r="B56" i="7"/>
  <c r="B68" i="7"/>
  <c r="B81" i="7"/>
  <c r="B50" i="7"/>
  <c r="B58" i="7"/>
  <c r="B49" i="7"/>
  <c r="B78" i="7"/>
  <c r="B92" i="7"/>
  <c r="B53" i="7"/>
  <c r="B40" i="7"/>
  <c r="B71" i="7"/>
  <c r="B46" i="7"/>
  <c r="B102" i="7"/>
  <c r="B63" i="7"/>
  <c r="B75" i="7"/>
  <c r="B104" i="7"/>
  <c r="B61" i="7"/>
  <c r="B97" i="7"/>
  <c r="B98" i="7"/>
  <c r="B82" i="7"/>
  <c r="B43" i="7"/>
  <c r="B55" i="7"/>
  <c r="B87" i="7"/>
  <c r="B51" i="7"/>
  <c r="B85" i="7"/>
  <c r="B86" i="7"/>
  <c r="B65" i="7"/>
  <c r="B94" i="7"/>
  <c r="B39" i="7"/>
  <c r="B67" i="7"/>
  <c r="B41" i="7"/>
  <c r="B73" i="7"/>
  <c r="B74" i="7"/>
  <c r="B45" i="7"/>
  <c r="B77" i="7"/>
  <c r="B89" i="7"/>
  <c r="B52" i="7"/>
  <c r="B100" i="7"/>
  <c r="B59" i="7"/>
  <c r="B62" i="7"/>
  <c r="B99" i="7"/>
  <c r="B57" i="7"/>
  <c r="B69" i="7"/>
  <c r="B90" i="7"/>
  <c r="B47" i="7"/>
  <c r="B48" i="7"/>
  <c r="B79" i="7"/>
  <c r="B42" i="7"/>
  <c r="B54" i="7"/>
  <c r="H43" i="3" a="1"/>
  <c r="H68" i="3" s="1"/>
  <c r="C46" i="3" l="1"/>
  <c r="C49" i="3"/>
  <c r="C48" i="3"/>
  <c r="C44" i="3"/>
  <c r="C45" i="3"/>
  <c r="C54" i="3"/>
  <c r="C47" i="3"/>
  <c r="C53" i="3"/>
  <c r="C43" i="3"/>
  <c r="C57" i="3"/>
  <c r="C50" i="3"/>
  <c r="C56" i="3"/>
  <c r="F43" i="3" a="1"/>
  <c r="F54" i="3" s="1"/>
  <c r="C52" i="3"/>
  <c r="C51" i="3"/>
  <c r="G43" i="3" a="1"/>
  <c r="G81" i="3" s="1"/>
  <c r="I81" i="3" s="1"/>
  <c r="A13" i="2"/>
  <c r="A13" i="1"/>
  <c r="H60" i="3"/>
  <c r="H73" i="3"/>
  <c r="H76" i="3"/>
  <c r="H86" i="3"/>
  <c r="H69" i="3"/>
  <c r="H83" i="3"/>
  <c r="H79" i="3"/>
  <c r="H81" i="3"/>
  <c r="H51" i="3"/>
  <c r="H85" i="3"/>
  <c r="H77" i="3"/>
  <c r="H91" i="3"/>
  <c r="H44" i="3"/>
  <c r="H87" i="3"/>
  <c r="H52" i="3"/>
  <c r="H54" i="3"/>
  <c r="H78" i="3"/>
  <c r="H92" i="3"/>
  <c r="H64" i="3"/>
  <c r="H88" i="3"/>
  <c r="H53" i="3"/>
  <c r="H74" i="3"/>
  <c r="H49" i="3"/>
  <c r="H50" i="3"/>
  <c r="H63" i="3"/>
  <c r="H84" i="3"/>
  <c r="H59" i="3"/>
  <c r="H61" i="3"/>
  <c r="H93" i="3"/>
  <c r="H47" i="3"/>
  <c r="H89" i="3"/>
  <c r="H71" i="3"/>
  <c r="H45" i="3"/>
  <c r="H57" i="3"/>
  <c r="H43" i="3"/>
  <c r="H56" i="3"/>
  <c r="H67" i="3"/>
  <c r="H70" i="3"/>
  <c r="H62" i="3"/>
  <c r="H55" i="3"/>
  <c r="H94" i="3"/>
  <c r="H48" i="3"/>
  <c r="H80" i="3"/>
  <c r="H72" i="3"/>
  <c r="H65" i="3"/>
  <c r="H46" i="3"/>
  <c r="H58" i="3"/>
  <c r="H90" i="3"/>
  <c r="H82" i="3"/>
  <c r="H75" i="3"/>
  <c r="H66" i="3"/>
  <c r="F13" i="1" l="1"/>
  <c r="I13" i="1" s="1"/>
  <c r="F88" i="3"/>
  <c r="F75" i="3"/>
  <c r="F86" i="3"/>
  <c r="F44" i="3"/>
  <c r="F80" i="3"/>
  <c r="F82" i="3"/>
  <c r="F87" i="3"/>
  <c r="F90" i="3"/>
  <c r="F93" i="3"/>
  <c r="F83" i="3"/>
  <c r="F71" i="3"/>
  <c r="F61" i="3"/>
  <c r="F70" i="3"/>
  <c r="F60" i="3"/>
  <c r="F55" i="3"/>
  <c r="F74" i="3"/>
  <c r="F79" i="3"/>
  <c r="F63" i="3"/>
  <c r="F68" i="3"/>
  <c r="F58" i="3"/>
  <c r="F51" i="3"/>
  <c r="F89" i="3"/>
  <c r="F59" i="3"/>
  <c r="F43" i="3"/>
  <c r="F91" i="3"/>
  <c r="F66" i="3"/>
  <c r="F56" i="3"/>
  <c r="F48" i="3"/>
  <c r="F72" i="3"/>
  <c r="F67" i="3"/>
  <c r="F57" i="3"/>
  <c r="F73" i="3"/>
  <c r="F46" i="3"/>
  <c r="F65" i="3"/>
  <c r="F45" i="3"/>
  <c r="F78" i="3"/>
  <c r="F92" i="3"/>
  <c r="F52" i="3"/>
  <c r="F62" i="3"/>
  <c r="F69" i="3"/>
  <c r="F49" i="3"/>
  <c r="F64" i="3"/>
  <c r="F81" i="3"/>
  <c r="F76" i="3"/>
  <c r="F94" i="3"/>
  <c r="F84" i="3"/>
  <c r="F53" i="3"/>
  <c r="F47" i="3"/>
  <c r="F85" i="3"/>
  <c r="F50" i="3"/>
  <c r="F77" i="3"/>
  <c r="G63" i="3"/>
  <c r="I63" i="3" s="1"/>
  <c r="J63" i="3" s="1"/>
  <c r="G64" i="3"/>
  <c r="I64" i="3" s="1"/>
  <c r="G45" i="3"/>
  <c r="G70" i="3"/>
  <c r="I70" i="3" s="1"/>
  <c r="J70" i="3" s="1"/>
  <c r="G83" i="3"/>
  <c r="I83" i="3" s="1"/>
  <c r="G48" i="3"/>
  <c r="I48" i="3" s="1"/>
  <c r="J48" i="3" s="1"/>
  <c r="G79" i="3"/>
  <c r="I79" i="3" s="1"/>
  <c r="J79" i="3" s="1"/>
  <c r="G71" i="3"/>
  <c r="I71" i="3" s="1"/>
  <c r="G62" i="3"/>
  <c r="I62" i="3" s="1"/>
  <c r="G68" i="3"/>
  <c r="I68" i="3" s="1"/>
  <c r="G66" i="3"/>
  <c r="I66" i="3" s="1"/>
  <c r="J66" i="3" s="1"/>
  <c r="G69" i="3"/>
  <c r="I69" i="3" s="1"/>
  <c r="G60" i="3"/>
  <c r="I60" i="3" s="1"/>
  <c r="G50" i="3"/>
  <c r="I50" i="3" s="1"/>
  <c r="G43" i="3"/>
  <c r="I43" i="3" s="1"/>
  <c r="G51" i="3"/>
  <c r="I51" i="3" s="1"/>
  <c r="G59" i="3"/>
  <c r="I59" i="3" s="1"/>
  <c r="G87" i="3"/>
  <c r="I87" i="3" s="1"/>
  <c r="G44" i="3"/>
  <c r="G94" i="3"/>
  <c r="I94" i="3" s="1"/>
  <c r="J94" i="3" s="1"/>
  <c r="G56" i="3"/>
  <c r="I56" i="3" s="1"/>
  <c r="J56" i="3" s="1"/>
  <c r="G92" i="3"/>
  <c r="I92" i="3" s="1"/>
  <c r="J92" i="3" s="1"/>
  <c r="G91" i="3"/>
  <c r="I91" i="3" s="1"/>
  <c r="G65" i="3"/>
  <c r="I65" i="3" s="1"/>
  <c r="J65" i="3" s="1"/>
  <c r="G55" i="3"/>
  <c r="I55" i="3" s="1"/>
  <c r="G73" i="3"/>
  <c r="I73" i="3" s="1"/>
  <c r="J73" i="3" s="1"/>
  <c r="G67" i="3"/>
  <c r="I67" i="3" s="1"/>
  <c r="J67" i="3" s="1"/>
  <c r="G47" i="3"/>
  <c r="I47" i="3" s="1"/>
  <c r="G84" i="3"/>
  <c r="I84" i="3" s="1"/>
  <c r="J84" i="3" s="1"/>
  <c r="G49" i="3"/>
  <c r="I49" i="3" s="1"/>
  <c r="G88" i="3"/>
  <c r="I88" i="3" s="1"/>
  <c r="G80" i="3"/>
  <c r="I80" i="3" s="1"/>
  <c r="G72" i="3"/>
  <c r="I72" i="3" s="1"/>
  <c r="G78" i="3"/>
  <c r="I78" i="3" s="1"/>
  <c r="G57" i="3"/>
  <c r="G86" i="3"/>
  <c r="I86" i="3" s="1"/>
  <c r="G85" i="3"/>
  <c r="I85" i="3" s="1"/>
  <c r="J85" i="3" s="1"/>
  <c r="G46" i="3"/>
  <c r="G52" i="3"/>
  <c r="I52" i="3" s="1"/>
  <c r="G53" i="3"/>
  <c r="I53" i="3" s="1"/>
  <c r="J53" i="3" s="1"/>
  <c r="G82" i="3"/>
  <c r="I82" i="3" s="1"/>
  <c r="G93" i="3"/>
  <c r="I93" i="3" s="1"/>
  <c r="J93" i="3" s="1"/>
  <c r="G75" i="3"/>
  <c r="I75" i="3" s="1"/>
  <c r="G76" i="3"/>
  <c r="I76" i="3" s="1"/>
  <c r="J76" i="3" s="1"/>
  <c r="G89" i="3"/>
  <c r="I89" i="3" s="1"/>
  <c r="G61" i="3"/>
  <c r="I61" i="3" s="1"/>
  <c r="G58" i="3"/>
  <c r="I58" i="3" s="1"/>
  <c r="G90" i="3"/>
  <c r="I90" i="3" s="1"/>
  <c r="J90" i="3" s="1"/>
  <c r="G77" i="3"/>
  <c r="I77" i="3" s="1"/>
  <c r="J77" i="3" s="1"/>
  <c r="G54" i="3"/>
  <c r="I54" i="3" s="1"/>
  <c r="G74" i="3"/>
  <c r="I74" i="3" s="1"/>
  <c r="J74" i="3" s="1"/>
  <c r="I46" i="3" l="1"/>
  <c r="J46" i="3" s="1"/>
  <c r="I45" i="3"/>
  <c r="I44" i="3"/>
  <c r="A18" i="1" a="1"/>
  <c r="A18" i="1" s="1"/>
  <c r="G18" i="1" a="1"/>
  <c r="G18" i="1" s="1"/>
  <c r="I57" i="3"/>
  <c r="F18" i="1" a="1"/>
  <c r="I38" i="1" s="1"/>
  <c r="I62" i="1" l="1"/>
  <c r="I48" i="1"/>
  <c r="I46" i="1"/>
  <c r="I68" i="1"/>
  <c r="I59" i="1"/>
  <c r="I69" i="1"/>
  <c r="I39" i="1"/>
  <c r="F18" i="1"/>
  <c r="H18" i="1" a="1"/>
  <c r="H18" i="1" s="1"/>
  <c r="I43" i="1"/>
  <c r="I40" i="1"/>
  <c r="I53" i="1"/>
  <c r="I56" i="1"/>
  <c r="I50" i="1"/>
  <c r="I63" i="1"/>
  <c r="I66" i="1"/>
  <c r="I49" i="1"/>
  <c r="I60" i="1"/>
  <c r="I44" i="1"/>
  <c r="I37" i="1"/>
  <c r="I41" i="1"/>
  <c r="I54" i="1"/>
  <c r="I47" i="1"/>
  <c r="I51" i="1"/>
  <c r="I64" i="1"/>
  <c r="I57" i="1"/>
  <c r="I61" i="1"/>
  <c r="I45" i="1"/>
  <c r="I67" i="1"/>
  <c r="I42" i="1"/>
  <c r="I55" i="1"/>
  <c r="I58" i="1"/>
  <c r="I52" i="1"/>
  <c r="I65" i="1"/>
  <c r="I18" i="1" l="1"/>
  <c r="I36" i="1"/>
  <c r="I25" i="1"/>
  <c r="I27" i="1"/>
  <c r="I22" i="1"/>
  <c r="I20" i="1"/>
  <c r="I30" i="1"/>
  <c r="I19" i="1"/>
  <c r="I23" i="1"/>
  <c r="I34" i="1"/>
  <c r="I32" i="1"/>
  <c r="I33" i="1"/>
  <c r="I26" i="1"/>
  <c r="I21" i="1"/>
  <c r="I35" i="1"/>
  <c r="I28" i="1"/>
  <c r="I29" i="1"/>
  <c r="I31" i="1"/>
  <c r="I24" i="1"/>
  <c r="J50" i="3"/>
  <c r="J78" i="3"/>
  <c r="J69" i="3"/>
  <c r="J71" i="3"/>
  <c r="J62" i="3"/>
  <c r="J49" i="3"/>
  <c r="J68" i="3"/>
  <c r="J83" i="3"/>
  <c r="AZ68" i="4"/>
  <c r="BC68" i="4"/>
  <c r="BJ68" i="4"/>
  <c r="S68" i="4"/>
  <c r="Q68" i="4"/>
  <c r="AG68" i="4"/>
  <c r="BN68" i="4"/>
  <c r="AM68" i="4"/>
  <c r="AU68" i="4"/>
  <c r="J68" i="4"/>
  <c r="I68" i="4"/>
  <c r="AF68" i="4"/>
  <c r="AQ68" i="4"/>
  <c r="Y68" i="4"/>
  <c r="AN68" i="4"/>
  <c r="AI68" i="4"/>
  <c r="H68" i="4"/>
  <c r="BF68" i="4"/>
  <c r="AT68" i="4"/>
  <c r="BI68" i="4"/>
  <c r="F68" i="4"/>
  <c r="AH68" i="4"/>
  <c r="AY68" i="4"/>
  <c r="AC68" i="4"/>
  <c r="X68" i="4"/>
  <c r="D68" i="4"/>
  <c r="BH68" i="4"/>
  <c r="BB68" i="4"/>
  <c r="AJ68" i="4"/>
  <c r="M68" i="4"/>
  <c r="AB68" i="4"/>
  <c r="L68" i="4"/>
  <c r="AK68" i="4"/>
  <c r="BO68" i="4"/>
  <c r="AD68" i="4"/>
  <c r="AX68" i="4"/>
  <c r="U68" i="4"/>
  <c r="N68" i="4"/>
  <c r="Z68" i="4"/>
  <c r="BD68" i="4"/>
  <c r="AS68" i="4"/>
  <c r="AW68" i="4"/>
  <c r="AR68" i="4"/>
  <c r="V68" i="4"/>
  <c r="AO68" i="4"/>
  <c r="AE68" i="4"/>
  <c r="AL68" i="4"/>
  <c r="T68" i="4"/>
  <c r="O68" i="4"/>
  <c r="E68" i="4"/>
  <c r="AV68" i="4"/>
  <c r="BP68" i="4"/>
  <c r="BM68" i="4"/>
  <c r="BL68" i="4"/>
  <c r="B68" i="4"/>
  <c r="W68" i="4"/>
  <c r="C68" i="4"/>
  <c r="G68" i="4"/>
  <c r="K68" i="4"/>
  <c r="P68" i="4"/>
  <c r="R68" i="4"/>
  <c r="AA68" i="4"/>
  <c r="BE68" i="4"/>
  <c r="BA68" i="4"/>
  <c r="AP68" i="4"/>
  <c r="BG68" i="4"/>
  <c r="BK68" i="4"/>
  <c r="K43" i="3" l="1" a="1"/>
  <c r="K63" i="3" s="1"/>
  <c r="D43" i="3" a="1"/>
  <c r="D44" i="3" s="1"/>
  <c r="K85" i="3"/>
  <c r="K48" i="3"/>
  <c r="K69" i="3"/>
  <c r="K50" i="3"/>
  <c r="K86" i="3"/>
  <c r="J86" i="3" s="1"/>
  <c r="K44" i="3"/>
  <c r="J44" i="3" s="1"/>
  <c r="K56" i="3"/>
  <c r="K62" i="3"/>
  <c r="K78" i="3"/>
  <c r="K77" i="3"/>
  <c r="K91" i="3"/>
  <c r="J91" i="3" s="1"/>
  <c r="K67" i="3"/>
  <c r="K94" i="3"/>
  <c r="K45" i="3"/>
  <c r="J45" i="3" s="1"/>
  <c r="K66" i="3"/>
  <c r="K60" i="3"/>
  <c r="J60" i="3" s="1"/>
  <c r="K55" i="3"/>
  <c r="J55" i="3" s="1"/>
  <c r="K54" i="3"/>
  <c r="J54" i="3" s="1"/>
  <c r="K68" i="3"/>
  <c r="K75" i="3"/>
  <c r="J75" i="3" s="1"/>
  <c r="K71" i="3"/>
  <c r="K73" i="3"/>
  <c r="K46" i="3"/>
  <c r="K81" i="3"/>
  <c r="J81" i="3" s="1"/>
  <c r="K92" i="3"/>
  <c r="K88" i="3"/>
  <c r="J88" i="3" s="1"/>
  <c r="K84" i="3"/>
  <c r="K51" i="3"/>
  <c r="J51" i="3" s="1"/>
  <c r="K89" i="3"/>
  <c r="J89" i="3" s="1"/>
  <c r="K64" i="3"/>
  <c r="J64" i="3" s="1"/>
  <c r="K49" i="3"/>
  <c r="K47" i="3"/>
  <c r="J47" i="3" s="1"/>
  <c r="K90" i="3"/>
  <c r="K87" i="3"/>
  <c r="J87" i="3" s="1"/>
  <c r="K72" i="3"/>
  <c r="J72" i="3" s="1"/>
  <c r="K59" i="3"/>
  <c r="J59" i="3" s="1"/>
  <c r="K80" i="3"/>
  <c r="J80" i="3" s="1"/>
  <c r="K43" i="3"/>
  <c r="J43" i="3" s="1"/>
  <c r="K82" i="3"/>
  <c r="J82" i="3" s="1"/>
  <c r="K65" i="3"/>
  <c r="K76" i="3"/>
  <c r="K61" i="3"/>
  <c r="J61" i="3" s="1"/>
  <c r="K52" i="3"/>
  <c r="J52" i="3" s="1"/>
  <c r="K93" i="3"/>
  <c r="K74" i="3"/>
  <c r="K70" i="3"/>
  <c r="K53" i="3"/>
  <c r="D43" i="3"/>
  <c r="D50" i="3" l="1"/>
  <c r="D53" i="3"/>
  <c r="D46" i="3"/>
  <c r="D48" i="3"/>
  <c r="D47" i="3"/>
  <c r="D49" i="3"/>
  <c r="D56" i="3"/>
  <c r="D51" i="3"/>
  <c r="D54" i="3"/>
  <c r="D57" i="3"/>
  <c r="D52" i="3"/>
  <c r="D45" i="3"/>
  <c r="D55" i="3"/>
  <c r="K58" i="3"/>
  <c r="J58" i="3" s="1"/>
  <c r="K57" i="3"/>
  <c r="J57" i="3" s="1"/>
  <c r="K83" i="3"/>
  <c r="K79" i="3"/>
  <c r="J18" i="1" l="1" a="1"/>
  <c r="K59" i="1" s="1"/>
  <c r="J13" i="1"/>
  <c r="K13" i="1" s="1"/>
  <c r="K62" i="1" l="1"/>
  <c r="K23" i="1"/>
  <c r="K36" i="1"/>
  <c r="K61" i="1"/>
  <c r="J18" i="1"/>
  <c r="K18" i="1" s="1"/>
  <c r="K19" i="1"/>
  <c r="K38" i="1"/>
  <c r="K33" i="1"/>
  <c r="K50" i="1"/>
  <c r="K34" i="1"/>
  <c r="K39" i="1"/>
  <c r="K67" i="1"/>
  <c r="K64" i="1"/>
  <c r="K42" i="1"/>
  <c r="K68" i="1"/>
  <c r="K49" i="1"/>
  <c r="K22" i="1"/>
  <c r="K32" i="1"/>
  <c r="K28" i="1"/>
  <c r="K47" i="1"/>
  <c r="K60" i="1"/>
  <c r="K46" i="1"/>
  <c r="K31" i="1"/>
  <c r="K55" i="1"/>
  <c r="K26" i="1"/>
  <c r="K54" i="1"/>
  <c r="K30" i="1"/>
  <c r="K51" i="1"/>
  <c r="K20" i="1"/>
  <c r="K52" i="1"/>
  <c r="K41" i="1"/>
  <c r="K37" i="1"/>
  <c r="K56" i="1"/>
  <c r="K48" i="1"/>
  <c r="K40" i="1"/>
  <c r="K25" i="1"/>
  <c r="K63" i="1"/>
  <c r="K35" i="1"/>
  <c r="K27" i="1"/>
  <c r="K21" i="1"/>
  <c r="K24" i="1"/>
  <c r="K58" i="1"/>
  <c r="K29" i="1"/>
  <c r="K66" i="1"/>
  <c r="K45" i="1"/>
  <c r="K44" i="1"/>
  <c r="K43" i="1"/>
  <c r="K65" i="1"/>
  <c r="K69" i="1"/>
  <c r="K57" i="1"/>
  <c r="K53" i="1"/>
  <c r="J9" i="1" l="1"/>
  <c r="K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<sst xmlns="http://schemas.openxmlformats.org/spreadsheetml/2006/main" count="331" uniqueCount="143">
  <si>
    <t>Equipment Class</t>
  </si>
  <si>
    <t>Skid Steer</t>
  </si>
  <si>
    <t>Plan Hours</t>
  </si>
  <si>
    <t>Hours</t>
  </si>
  <si>
    <t>Service At Shop or In Field</t>
  </si>
  <si>
    <t>Service In Shop</t>
  </si>
  <si>
    <t>Plan Term</t>
  </si>
  <si>
    <t>Months</t>
  </si>
  <si>
    <t>Labor Rate</t>
  </si>
  <si>
    <t>Total Cost For Plan</t>
  </si>
  <si>
    <t>Reimbursement</t>
  </si>
  <si>
    <t>Interval</t>
  </si>
  <si>
    <t>Occurence in Plan</t>
  </si>
  <si>
    <t>Total for Line Item</t>
  </si>
  <si>
    <t>Hours Per item</t>
  </si>
  <si>
    <t>Mahindra 1600 Series</t>
  </si>
  <si>
    <t>Plan Includes Service At Shop or In Field</t>
  </si>
  <si>
    <t>Remibursement Rate</t>
  </si>
  <si>
    <t>Services Included at Interval</t>
  </si>
  <si>
    <t>Labor Hours Reimbursed</t>
  </si>
  <si>
    <t>Remibursement for Service</t>
  </si>
  <si>
    <t>First Service</t>
  </si>
  <si>
    <t>One Time</t>
  </si>
  <si>
    <t>Included Maintenance Interval</t>
  </si>
  <si>
    <t>Category</t>
  </si>
  <si>
    <t>Perform Oil and Filter Change</t>
  </si>
  <si>
    <t xml:space="preserve">Clean Water seperator </t>
  </si>
  <si>
    <t xml:space="preserve">Drain Water from Fuel Tank </t>
  </si>
  <si>
    <t>Perform Transmission Filter and Fluid Service</t>
  </si>
  <si>
    <t xml:space="preserve">Change HST Oil Filter </t>
  </si>
  <si>
    <t>Change Hydraulic Fluid</t>
  </si>
  <si>
    <t>Grease Machine at required lubrication fittings</t>
  </si>
  <si>
    <t>Conduct Multi Point Inpection and make minor adjustments</t>
  </si>
  <si>
    <t>Perform Track Tension Adjustment</t>
  </si>
  <si>
    <t xml:space="preserve">Change fuel filter element </t>
  </si>
  <si>
    <t>Change final drive fluid</t>
  </si>
  <si>
    <t>Change hydraulic return filter</t>
  </si>
  <si>
    <t>Change Hydraulic suction return filter</t>
  </si>
  <si>
    <t xml:space="preserve"> Change Hydraulic Oil Filter and Oil</t>
  </si>
  <si>
    <t xml:space="preserve">Final Drive or Hydrostatic Oil Change </t>
  </si>
  <si>
    <t>Change Transmission Fluid and filters</t>
  </si>
  <si>
    <t>Change Hydraulic fluid</t>
  </si>
  <si>
    <t>Change Oil Seperator Element</t>
  </si>
  <si>
    <t>Clean Water seperator</t>
  </si>
  <si>
    <t>Replace Water Seperator Element</t>
  </si>
  <si>
    <t>Drain Water from Fuel Tank</t>
  </si>
  <si>
    <t>Change fuel Filter Element</t>
  </si>
  <si>
    <t xml:space="preserve">Perform Transmission Fluid and Tank Service </t>
  </si>
  <si>
    <t>Replace Transmission Oil Filters</t>
  </si>
  <si>
    <t>Change Hydraulic Oil Filter</t>
  </si>
  <si>
    <t>Change Hydraulic Pilot Filters and O-Ring</t>
  </si>
  <si>
    <t xml:space="preserve">Change Drive Oil  - Front and Rear or Hydrostatic </t>
  </si>
  <si>
    <t>Change Drive Oil Rear</t>
  </si>
  <si>
    <t xml:space="preserve">Change Drive Oil Front </t>
  </si>
  <si>
    <t>Change Gear Box Oil and Filter</t>
  </si>
  <si>
    <t>Change Gear Box Seals</t>
  </si>
  <si>
    <t>Clean AC Condensor</t>
  </si>
  <si>
    <t>Clean Cabin Air Filter</t>
  </si>
  <si>
    <t>Change Breather Foam</t>
  </si>
  <si>
    <t>Lubricate and Oil Throttle Cable</t>
  </si>
  <si>
    <t>Adjust Track Tension</t>
  </si>
  <si>
    <t>Check and Adjust Valve Clearance</t>
  </si>
  <si>
    <t>Adjust Electonic Clutch</t>
  </si>
  <si>
    <t>Replace Fan/ Drive Belt</t>
  </si>
  <si>
    <t>Replace Air Cleaner element</t>
  </si>
  <si>
    <t>Replace Inner Air Filter</t>
  </si>
  <si>
    <t>Replace Spark Plugs</t>
  </si>
  <si>
    <t xml:space="preserve">Check DEF Injector Tips and Line </t>
  </si>
  <si>
    <t>Perform Coolant System Flush</t>
  </si>
  <si>
    <t>Inspect and Sharpen Blades</t>
  </si>
  <si>
    <t>Perform Brake Fluid Service</t>
  </si>
  <si>
    <t>Minimum Annual Hours</t>
  </si>
  <si>
    <t>Parts and Labor</t>
  </si>
  <si>
    <t>Labor Only</t>
  </si>
  <si>
    <t>RTV</t>
  </si>
  <si>
    <t>Annual</t>
  </si>
  <si>
    <t>Zero Turn Diesel</t>
  </si>
  <si>
    <t>Compact L series</t>
  </si>
  <si>
    <t>Utility under 75 MX&amp;M</t>
  </si>
  <si>
    <t>Utility over 75 M4 class</t>
  </si>
  <si>
    <t>Large Ag M6</t>
  </si>
  <si>
    <t>Excavator - under 3.5 ton</t>
  </si>
  <si>
    <t>Excavator - over 3.5 ton</t>
  </si>
  <si>
    <t>Wheel Loader</t>
  </si>
  <si>
    <t>Telehandler</t>
  </si>
  <si>
    <t>Mahindra Emax</t>
  </si>
  <si>
    <t>Mahindra 4500</t>
  </si>
  <si>
    <t>Mahindra 5500</t>
  </si>
  <si>
    <t>Mahindra 6000</t>
  </si>
  <si>
    <t>Takeuchi TL 8/10/12</t>
  </si>
  <si>
    <t>Takeuchi 228-235-250</t>
  </si>
  <si>
    <t>Takeuchi 260</t>
  </si>
  <si>
    <t>Takeuchi 335</t>
  </si>
  <si>
    <t>Mini Excavator</t>
  </si>
  <si>
    <t>Sub Compact BX</t>
  </si>
  <si>
    <t>FIRST SERVICES</t>
  </si>
  <si>
    <t>ONE TIME SERVICE</t>
  </si>
  <si>
    <t>HOURS PER JOB</t>
  </si>
  <si>
    <t>Job Description</t>
  </si>
  <si>
    <t>PRICE FOR PARTS FOR JOB</t>
  </si>
  <si>
    <t>Hourly Rate</t>
  </si>
  <si>
    <t>Parts Mark up</t>
  </si>
  <si>
    <t>Parts Escalation</t>
  </si>
  <si>
    <t>IF('Scheduled Intervals'!B33&lt;&gt;"",IF($A$2='Scheduled Intervals'!B33,"Yes",""),"")</t>
  </si>
  <si>
    <t>Is Service Included at Interval</t>
  </si>
  <si>
    <t>Total Cost</t>
  </si>
  <si>
    <t>Parts Mark Up</t>
  </si>
  <si>
    <t>Inflation Factor</t>
  </si>
  <si>
    <t>Pricing for a plan with</t>
  </si>
  <si>
    <t>hours maintenance</t>
  </si>
  <si>
    <t>Labor</t>
  </si>
  <si>
    <t>Parts</t>
  </si>
  <si>
    <t>In Store Labor Rate</t>
  </si>
  <si>
    <t>In FIeld Labor Rate</t>
  </si>
  <si>
    <t>Parts Multiplier</t>
  </si>
  <si>
    <t>Total Hours</t>
  </si>
  <si>
    <t>Total Labor</t>
  </si>
  <si>
    <t>Sany SY up to 35</t>
  </si>
  <si>
    <t>Sany SY up to 60</t>
  </si>
  <si>
    <t>Sany SY up to 155</t>
  </si>
  <si>
    <t>Sany SY up to 215</t>
  </si>
  <si>
    <t>Sany SW up to 305</t>
  </si>
  <si>
    <t>Change Fuel Pump Filter and/or PCV Element</t>
  </si>
  <si>
    <t xml:space="preserve">Change or Clean Hydraulic Breather Element </t>
  </si>
  <si>
    <t xml:space="preserve">Change or Clean Hydraulic return  Filter </t>
  </si>
  <si>
    <t>Change Suction  Elements and Hydraulic Fluid</t>
  </si>
  <si>
    <t>Grease Crank Shaft</t>
  </si>
  <si>
    <t>Change or Clean Cabin Air Filter</t>
  </si>
  <si>
    <t>Grease Machine at Assorted Lubrication Points</t>
  </si>
  <si>
    <t>Replace or Replenish Power Steering Fluid</t>
  </si>
  <si>
    <t>Check End Play of  Center Shaft and Make minor Adjustment</t>
  </si>
  <si>
    <t xml:space="preserve">Check PCV and EGR Valves and Check Fuel Injectors </t>
  </si>
  <si>
    <t>Conduct Multi Point Inpection and Make Minor Adjustments</t>
  </si>
  <si>
    <t>Change DEF Suction and Pump Filters</t>
  </si>
  <si>
    <t>Change Swing Drive Oil</t>
  </si>
  <si>
    <t>Perform Annual Oil and Filter Change</t>
  </si>
  <si>
    <t>Annually Grease Machine at Assorted Lubrication Points</t>
  </si>
  <si>
    <t>Conduct Annual Multi Point Inpection and Make Minor Adjustments</t>
  </si>
  <si>
    <t>SCL - DIESEL</t>
  </si>
  <si>
    <t>SCl Gas</t>
  </si>
  <si>
    <t>Zero Turn Gas</t>
  </si>
  <si>
    <t>SCL -  Gas</t>
  </si>
  <si>
    <t>Sany SY up to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</si>
</sst>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#,##0.00;\(#,##0.00\)"/>
  </numFmts>
  <fonts count="8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ptos Narrow"/>
    </font>
    <font>
      <sz val="12"/>
      <name val="Aptos Narrow"/>
    </font>
    <font>
      <sz val="12"/>
      <color rgb="FF000000"/>
      <name val="Arial"/>
      <family val="2"/>
    </font>
    <font>
      <sz val="12"/>
      <color rgb="FF000000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A6C9EB"/>
        <bgColor rgb="FFA6C9EB"/>
      </patternFill>
    </fill>
    <fill>
      <patternFill patternType="solid">
        <fgColor rgb="FFB3E5A1"/>
        <bgColor rgb="FFB3E5A1"/>
      </patternFill>
    </fill>
    <fill>
      <patternFill patternType="solid">
        <fgColor rgb="FFF6C6AC"/>
        <bgColor rgb="FFF6C6AC"/>
      </patternFill>
    </fill>
    <fill>
      <patternFill patternType="solid">
        <fgColor rgb="FFDBE9F7"/>
        <bgColor rgb="FFDBE9F7"/>
      </patternFill>
    </fill>
    <fill>
      <patternFill patternType="solid">
        <fgColor rgb="FFD9F2D0"/>
        <bgColor rgb="FFD9F2D0"/>
      </patternFill>
    </fill>
    <fill>
      <patternFill patternType="solid">
        <fgColor rgb="FFFAE2D5"/>
        <bgColor rgb="FFFAE2D5"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 wrapText="1"/>
    </xf>
    <xf numFmtId="3" fontId="2" fillId="2" borderId="1" xfId="0" applyNumberFormat="1" applyFont="1" applyFill="1" applyBorder="1"/>
    <xf numFmtId="0" fontId="3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2" borderId="1" xfId="0" applyFont="1" applyFill="1" applyBorder="1"/>
    <xf numFmtId="44" fontId="2" fillId="0" borderId="1" xfId="0" applyNumberFormat="1" applyFont="1" applyBorder="1"/>
    <xf numFmtId="44" fontId="4" fillId="0" borderId="0" xfId="0" applyNumberFormat="1" applyFont="1"/>
    <xf numFmtId="0" fontId="4" fillId="0" borderId="0" xfId="0" applyFont="1" applyAlignment="1">
      <alignment horizontal="left" vertical="top" wrapText="1"/>
    </xf>
    <xf numFmtId="165" fontId="1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4" fontId="1" fillId="0" borderId="0" xfId="0" applyNumberFormat="1" applyFont="1"/>
    <xf numFmtId="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43" fontId="1" fillId="0" borderId="0" xfId="0" applyNumberFormat="1" applyFont="1"/>
    <xf numFmtId="165" fontId="1" fillId="0" borderId="0" xfId="0" applyNumberFormat="1" applyFont="1"/>
    <xf numFmtId="0" fontId="1" fillId="3" borderId="0" xfId="0" applyFont="1" applyFill="1"/>
    <xf numFmtId="165" fontId="1" fillId="3" borderId="0" xfId="0" applyNumberFormat="1" applyFont="1" applyFill="1"/>
    <xf numFmtId="1" fontId="2" fillId="2" borderId="1" xfId="0" applyNumberFormat="1" applyFont="1" applyFill="1" applyBorder="1"/>
    <xf numFmtId="0" fontId="2" fillId="0" borderId="0" xfId="0" applyFont="1" applyAlignment="1">
      <alignment horizontal="left" vertical="top" wrapText="1"/>
    </xf>
    <xf numFmtId="4" fontId="4" fillId="0" borderId="0" xfId="0" applyNumberFormat="1" applyFont="1"/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left" wrapText="1"/>
    </xf>
    <xf numFmtId="0" fontId="2" fillId="7" borderId="8" xfId="0" applyFont="1" applyFill="1" applyBorder="1" applyAlignment="1">
      <alignment horizontal="left" wrapText="1"/>
    </xf>
    <xf numFmtId="0" fontId="2" fillId="7" borderId="9" xfId="0" applyFont="1" applyFill="1" applyBorder="1" applyAlignment="1">
      <alignment horizontal="left" wrapText="1"/>
    </xf>
    <xf numFmtId="0" fontId="2" fillId="7" borderId="10" xfId="0" applyFont="1" applyFill="1" applyBorder="1" applyAlignment="1">
      <alignment horizontal="left" wrapText="1"/>
    </xf>
    <xf numFmtId="0" fontId="2" fillId="8" borderId="8" xfId="0" applyFont="1" applyFill="1" applyBorder="1" applyAlignment="1">
      <alignment horizontal="left" wrapText="1"/>
    </xf>
    <xf numFmtId="0" fontId="2" fillId="8" borderId="9" xfId="0" applyFont="1" applyFill="1" applyBorder="1" applyAlignment="1">
      <alignment horizontal="left" wrapText="1"/>
    </xf>
    <xf numFmtId="0" fontId="2" fillId="8" borderId="10" xfId="0" applyFont="1" applyFill="1" applyBorder="1" applyAlignment="1">
      <alignment horizontal="left" wrapText="1"/>
    </xf>
    <xf numFmtId="0" fontId="2" fillId="9" borderId="8" xfId="0" applyFont="1" applyFill="1" applyBorder="1" applyAlignment="1">
      <alignment horizontal="left" wrapText="1"/>
    </xf>
    <xf numFmtId="0" fontId="6" fillId="9" borderId="9" xfId="0" applyFont="1" applyFill="1" applyBorder="1" applyAlignment="1">
      <alignment horizontal="left" wrapText="1"/>
    </xf>
    <xf numFmtId="0" fontId="4" fillId="9" borderId="9" xfId="0" applyFont="1" applyFill="1" applyBorder="1" applyAlignment="1">
      <alignment horizontal="left" wrapText="1"/>
    </xf>
    <xf numFmtId="0" fontId="2" fillId="9" borderId="9" xfId="0" applyFont="1" applyFill="1" applyBorder="1" applyAlignment="1">
      <alignment horizontal="left" wrapText="1"/>
    </xf>
    <xf numFmtId="0" fontId="4" fillId="9" borderId="10" xfId="0" applyFont="1" applyFill="1" applyBorder="1" applyAlignment="1">
      <alignment horizontal="left" wrapText="1"/>
    </xf>
    <xf numFmtId="0" fontId="2" fillId="9" borderId="11" xfId="0" applyFont="1" applyFill="1" applyBorder="1" applyAlignment="1">
      <alignment horizontal="left" wrapText="1"/>
    </xf>
    <xf numFmtId="0" fontId="2" fillId="3" borderId="0" xfId="0" applyFont="1" applyFill="1" applyAlignment="1">
      <alignment wrapText="1"/>
    </xf>
    <xf numFmtId="0" fontId="4" fillId="0" borderId="0" xfId="0" applyFont="1" applyAlignment="1">
      <alignment horizontal="left"/>
    </xf>
    <xf numFmtId="0" fontId="2" fillId="7" borderId="12" xfId="0" applyFont="1" applyFill="1" applyBorder="1" applyAlignment="1">
      <alignment horizontal="left"/>
    </xf>
    <xf numFmtId="0" fontId="4" fillId="7" borderId="13" xfId="0" applyFont="1" applyFill="1" applyBorder="1" applyAlignment="1">
      <alignment horizontal="left"/>
    </xf>
    <xf numFmtId="0" fontId="2" fillId="7" borderId="13" xfId="0" applyFont="1" applyFill="1" applyBorder="1" applyAlignment="1">
      <alignment horizontal="left"/>
    </xf>
    <xf numFmtId="0" fontId="2" fillId="7" borderId="14" xfId="0" applyFont="1" applyFill="1" applyBorder="1" applyAlignment="1">
      <alignment horizontal="left"/>
    </xf>
    <xf numFmtId="0" fontId="4" fillId="8" borderId="12" xfId="0" applyFont="1" applyFill="1" applyBorder="1" applyAlignment="1">
      <alignment horizontal="left"/>
    </xf>
    <xf numFmtId="0" fontId="2" fillId="8" borderId="13" xfId="0" applyFont="1" applyFill="1" applyBorder="1" applyAlignment="1">
      <alignment horizontal="left"/>
    </xf>
    <xf numFmtId="0" fontId="2" fillId="8" borderId="14" xfId="0" applyFont="1" applyFill="1" applyBorder="1" applyAlignment="1">
      <alignment horizontal="left"/>
    </xf>
    <xf numFmtId="0" fontId="4" fillId="9" borderId="12" xfId="0" applyFont="1" applyFill="1" applyBorder="1" applyAlignment="1">
      <alignment horizontal="left"/>
    </xf>
    <xf numFmtId="0" fontId="2" fillId="9" borderId="13" xfId="0" applyFont="1" applyFill="1" applyBorder="1" applyAlignment="1">
      <alignment horizontal="left"/>
    </xf>
    <xf numFmtId="0" fontId="4" fillId="9" borderId="13" xfId="0" applyFont="1" applyFill="1" applyBorder="1" applyAlignment="1">
      <alignment horizontal="left"/>
    </xf>
    <xf numFmtId="0" fontId="2" fillId="9" borderId="15" xfId="0" applyFont="1" applyFill="1" applyBorder="1" applyAlignment="1">
      <alignment horizontal="left"/>
    </xf>
    <xf numFmtId="0" fontId="4" fillId="3" borderId="0" xfId="0" applyFont="1" applyFill="1"/>
    <xf numFmtId="165" fontId="2" fillId="2" borderId="16" xfId="0" applyNumberFormat="1" applyFont="1" applyFill="1" applyBorder="1"/>
    <xf numFmtId="1" fontId="2" fillId="7" borderId="17" xfId="0" applyNumberFormat="1" applyFont="1" applyFill="1" applyBorder="1"/>
    <xf numFmtId="1" fontId="2" fillId="7" borderId="18" xfId="0" applyNumberFormat="1" applyFont="1" applyFill="1" applyBorder="1"/>
    <xf numFmtId="1" fontId="4" fillId="7" borderId="18" xfId="0" applyNumberFormat="1" applyFont="1" applyFill="1" applyBorder="1"/>
    <xf numFmtId="1" fontId="4" fillId="7" borderId="18" xfId="0" applyNumberFormat="1" applyFont="1" applyFill="1" applyBorder="1" applyAlignment="1">
      <alignment horizontal="right"/>
    </xf>
    <xf numFmtId="1" fontId="2" fillId="7" borderId="19" xfId="0" applyNumberFormat="1" applyFont="1" applyFill="1" applyBorder="1"/>
    <xf numFmtId="1" fontId="4" fillId="8" borderId="17" xfId="0" applyNumberFormat="1" applyFont="1" applyFill="1" applyBorder="1"/>
    <xf numFmtId="1" fontId="4" fillId="8" borderId="18" xfId="0" applyNumberFormat="1" applyFont="1" applyFill="1" applyBorder="1"/>
    <xf numFmtId="1" fontId="2" fillId="8" borderId="18" xfId="0" applyNumberFormat="1" applyFont="1" applyFill="1" applyBorder="1"/>
    <xf numFmtId="1" fontId="4" fillId="8" borderId="19" xfId="0" applyNumberFormat="1" applyFont="1" applyFill="1" applyBorder="1"/>
    <xf numFmtId="1" fontId="2" fillId="9" borderId="20" xfId="0" applyNumberFormat="1" applyFont="1" applyFill="1" applyBorder="1"/>
    <xf numFmtId="1" fontId="4" fillId="9" borderId="21" xfId="0" applyNumberFormat="1" applyFont="1" applyFill="1" applyBorder="1"/>
    <xf numFmtId="1" fontId="2" fillId="9" borderId="21" xfId="0" applyNumberFormat="1" applyFont="1" applyFill="1" applyBorder="1"/>
    <xf numFmtId="165" fontId="4" fillId="2" borderId="16" xfId="0" applyNumberFormat="1" applyFont="1" applyFill="1" applyBorder="1"/>
    <xf numFmtId="1" fontId="2" fillId="7" borderId="20" xfId="0" applyNumberFormat="1" applyFont="1" applyFill="1" applyBorder="1"/>
    <xf numFmtId="1" fontId="4" fillId="7" borderId="21" xfId="0" applyNumberFormat="1" applyFont="1" applyFill="1" applyBorder="1"/>
    <xf numFmtId="1" fontId="2" fillId="7" borderId="21" xfId="0" applyNumberFormat="1" applyFont="1" applyFill="1" applyBorder="1"/>
    <xf numFmtId="1" fontId="2" fillId="7" borderId="21" xfId="0" applyNumberFormat="1" applyFont="1" applyFill="1" applyBorder="1" applyAlignment="1">
      <alignment horizontal="right"/>
    </xf>
    <xf numFmtId="1" fontId="4" fillId="7" borderId="22" xfId="0" applyNumberFormat="1" applyFont="1" applyFill="1" applyBorder="1"/>
    <xf numFmtId="1" fontId="2" fillId="8" borderId="20" xfId="0" applyNumberFormat="1" applyFont="1" applyFill="1" applyBorder="1"/>
    <xf numFmtId="1" fontId="4" fillId="8" borderId="21" xfId="0" applyNumberFormat="1" applyFont="1" applyFill="1" applyBorder="1"/>
    <xf numFmtId="1" fontId="2" fillId="8" borderId="21" xfId="0" applyNumberFormat="1" applyFont="1" applyFill="1" applyBorder="1"/>
    <xf numFmtId="1" fontId="2" fillId="8" borderId="22" xfId="0" applyNumberFormat="1" applyFont="1" applyFill="1" applyBorder="1"/>
    <xf numFmtId="1" fontId="4" fillId="7" borderId="21" xfId="0" applyNumberFormat="1" applyFont="1" applyFill="1" applyBorder="1" applyAlignment="1">
      <alignment horizontal="right"/>
    </xf>
    <xf numFmtId="1" fontId="4" fillId="8" borderId="20" xfId="0" applyNumberFormat="1" applyFont="1" applyFill="1" applyBorder="1"/>
    <xf numFmtId="1" fontId="4" fillId="8" borderId="22" xfId="0" applyNumberFormat="1" applyFont="1" applyFill="1" applyBorder="1"/>
    <xf numFmtId="1" fontId="4" fillId="9" borderId="20" xfId="0" applyNumberFormat="1" applyFont="1" applyFill="1" applyBorder="1"/>
    <xf numFmtId="1" fontId="4" fillId="7" borderId="20" xfId="0" applyNumberFormat="1" applyFont="1" applyFill="1" applyBorder="1"/>
    <xf numFmtId="1" fontId="2" fillId="7" borderId="22" xfId="0" applyNumberFormat="1" applyFont="1" applyFill="1" applyBorder="1"/>
    <xf numFmtId="1" fontId="2" fillId="7" borderId="23" xfId="0" applyNumberFormat="1" applyFont="1" applyFill="1" applyBorder="1"/>
    <xf numFmtId="1" fontId="4" fillId="7" borderId="24" xfId="0" applyNumberFormat="1" applyFont="1" applyFill="1" applyBorder="1"/>
    <xf numFmtId="1" fontId="2" fillId="7" borderId="24" xfId="0" applyNumberFormat="1" applyFont="1" applyFill="1" applyBorder="1" applyAlignment="1">
      <alignment horizontal="right"/>
    </xf>
    <xf numFmtId="1" fontId="2" fillId="7" borderId="24" xfId="0" applyNumberFormat="1" applyFont="1" applyFill="1" applyBorder="1"/>
    <xf numFmtId="1" fontId="4" fillId="7" borderId="25" xfId="0" applyNumberFormat="1" applyFont="1" applyFill="1" applyBorder="1"/>
    <xf numFmtId="1" fontId="4" fillId="8" borderId="23" xfId="0" applyNumberFormat="1" applyFont="1" applyFill="1" applyBorder="1"/>
    <xf numFmtId="1" fontId="4" fillId="8" borderId="24" xfId="0" applyNumberFormat="1" applyFont="1" applyFill="1" applyBorder="1"/>
    <xf numFmtId="1" fontId="4" fillId="8" borderId="25" xfId="0" applyNumberFormat="1" applyFont="1" applyFill="1" applyBorder="1"/>
    <xf numFmtId="1" fontId="2" fillId="9" borderId="23" xfId="0" applyNumberFormat="1" applyFont="1" applyFill="1" applyBorder="1"/>
    <xf numFmtId="1" fontId="2" fillId="9" borderId="24" xfId="0" applyNumberFormat="1" applyFont="1" applyFill="1" applyBorder="1"/>
    <xf numFmtId="1" fontId="4" fillId="9" borderId="24" xfId="0" applyNumberFormat="1" applyFont="1" applyFill="1" applyBorder="1"/>
    <xf numFmtId="1" fontId="2" fillId="9" borderId="26" xfId="0" applyNumberFormat="1" applyFont="1" applyFill="1" applyBorder="1"/>
    <xf numFmtId="1" fontId="2" fillId="7" borderId="27" xfId="0" applyNumberFormat="1" applyFont="1" applyFill="1" applyBorder="1"/>
    <xf numFmtId="1" fontId="4" fillId="7" borderId="28" xfId="0" applyNumberFormat="1" applyFont="1" applyFill="1" applyBorder="1"/>
    <xf numFmtId="1" fontId="2" fillId="7" borderId="28" xfId="0" applyNumberFormat="1" applyFont="1" applyFill="1" applyBorder="1" applyAlignment="1">
      <alignment horizontal="right"/>
    </xf>
    <xf numFmtId="1" fontId="2" fillId="7" borderId="28" xfId="0" applyNumberFormat="1" applyFont="1" applyFill="1" applyBorder="1"/>
    <xf numFmtId="1" fontId="4" fillId="7" borderId="29" xfId="0" applyNumberFormat="1" applyFont="1" applyFill="1" applyBorder="1"/>
    <xf numFmtId="1" fontId="4" fillId="8" borderId="27" xfId="0" applyNumberFormat="1" applyFont="1" applyFill="1" applyBorder="1"/>
    <xf numFmtId="1" fontId="4" fillId="8" borderId="28" xfId="0" applyNumberFormat="1" applyFont="1" applyFill="1" applyBorder="1"/>
    <xf numFmtId="1" fontId="4" fillId="8" borderId="29" xfId="0" applyNumberFormat="1" applyFont="1" applyFill="1" applyBorder="1"/>
    <xf numFmtId="1" fontId="2" fillId="9" borderId="27" xfId="0" applyNumberFormat="1" applyFont="1" applyFill="1" applyBorder="1"/>
    <xf numFmtId="1" fontId="2" fillId="9" borderId="28" xfId="0" applyNumberFormat="1" applyFont="1" applyFill="1" applyBorder="1"/>
    <xf numFmtId="1" fontId="4" fillId="9" borderId="28" xfId="0" applyNumberFormat="1" applyFont="1" applyFill="1" applyBorder="1"/>
    <xf numFmtId="1" fontId="4" fillId="3" borderId="0" xfId="0" applyNumberFormat="1" applyFont="1" applyFill="1"/>
    <xf numFmtId="165" fontId="4" fillId="0" borderId="0" xfId="0" applyNumberFormat="1" applyFont="1" applyAlignment="1">
      <alignment horizontal="right"/>
    </xf>
    <xf numFmtId="165" fontId="4" fillId="3" borderId="0" xfId="0" applyNumberFormat="1" applyFont="1" applyFill="1"/>
    <xf numFmtId="0" fontId="4" fillId="0" borderId="0" xfId="0" applyFont="1"/>
    <xf numFmtId="164" fontId="4" fillId="0" borderId="0" xfId="0" applyNumberFormat="1" applyFont="1" applyAlignment="1">
      <alignment horizontal="right"/>
    </xf>
    <xf numFmtId="3" fontId="1" fillId="0" borderId="0" xfId="0" applyNumberFormat="1" applyFont="1"/>
    <xf numFmtId="0" fontId="4" fillId="7" borderId="12" xfId="0" applyFont="1" applyFill="1" applyBorder="1" applyAlignment="1">
      <alignment horizontal="left" wrapText="1"/>
    </xf>
    <xf numFmtId="0" fontId="4" fillId="7" borderId="13" xfId="0" applyFont="1" applyFill="1" applyBorder="1" applyAlignment="1">
      <alignment horizontal="left" wrapText="1"/>
    </xf>
    <xf numFmtId="49" fontId="4" fillId="7" borderId="13" xfId="0" applyNumberFormat="1" applyFont="1" applyFill="1" applyBorder="1" applyAlignment="1">
      <alignment horizontal="left" wrapText="1"/>
    </xf>
    <xf numFmtId="49" fontId="4" fillId="7" borderId="33" xfId="0" applyNumberFormat="1" applyFont="1" applyFill="1" applyBorder="1" applyAlignment="1">
      <alignment horizontal="left" wrapText="1"/>
    </xf>
    <xf numFmtId="0" fontId="4" fillId="8" borderId="12" xfId="0" applyFont="1" applyFill="1" applyBorder="1" applyAlignment="1">
      <alignment horizontal="left" wrapText="1"/>
    </xf>
    <xf numFmtId="0" fontId="4" fillId="8" borderId="13" xfId="0" applyFont="1" applyFill="1" applyBorder="1" applyAlignment="1">
      <alignment horizontal="left" wrapText="1"/>
    </xf>
    <xf numFmtId="0" fontId="4" fillId="8" borderId="33" xfId="0" applyFont="1" applyFill="1" applyBorder="1" applyAlignment="1">
      <alignment horizontal="left" wrapText="1"/>
    </xf>
    <xf numFmtId="0" fontId="4" fillId="9" borderId="34" xfId="0" applyFont="1" applyFill="1" applyBorder="1" applyAlignment="1">
      <alignment horizontal="left" wrapText="1"/>
    </xf>
    <xf numFmtId="0" fontId="4" fillId="9" borderId="35" xfId="0" applyFont="1" applyFill="1" applyBorder="1" applyAlignment="1">
      <alignment horizontal="left" wrapText="1"/>
    </xf>
    <xf numFmtId="0" fontId="4" fillId="9" borderId="36" xfId="0" applyFont="1" applyFill="1" applyBorder="1" applyAlignment="1">
      <alignment horizontal="left" wrapText="1"/>
    </xf>
    <xf numFmtId="43" fontId="4" fillId="0" borderId="0" xfId="0" applyNumberFormat="1" applyFont="1" applyAlignment="1">
      <alignment horizontal="left" wrapText="1"/>
    </xf>
    <xf numFmtId="0" fontId="4" fillId="7" borderId="34" xfId="0" applyFont="1" applyFill="1" applyBorder="1" applyAlignment="1">
      <alignment horizontal="left" wrapText="1"/>
    </xf>
    <xf numFmtId="0" fontId="4" fillId="7" borderId="35" xfId="0" applyFont="1" applyFill="1" applyBorder="1" applyAlignment="1">
      <alignment horizontal="left" wrapText="1"/>
    </xf>
    <xf numFmtId="49" fontId="4" fillId="7" borderId="35" xfId="0" applyNumberFormat="1" applyFont="1" applyFill="1" applyBorder="1" applyAlignment="1">
      <alignment horizontal="left" wrapText="1"/>
    </xf>
    <xf numFmtId="49" fontId="4" fillId="7" borderId="36" xfId="0" applyNumberFormat="1" applyFont="1" applyFill="1" applyBorder="1" applyAlignment="1">
      <alignment horizontal="left" wrapText="1"/>
    </xf>
    <xf numFmtId="0" fontId="4" fillId="8" borderId="37" xfId="0" applyFont="1" applyFill="1" applyBorder="1" applyAlignment="1">
      <alignment horizontal="left" wrapText="1"/>
    </xf>
    <xf numFmtId="0" fontId="2" fillId="8" borderId="35" xfId="0" applyFont="1" applyFill="1" applyBorder="1" applyAlignment="1">
      <alignment horizontal="left" wrapText="1"/>
    </xf>
    <xf numFmtId="0" fontId="4" fillId="8" borderId="35" xfId="0" applyFont="1" applyFill="1" applyBorder="1" applyAlignment="1">
      <alignment horizontal="left" wrapText="1"/>
    </xf>
    <xf numFmtId="0" fontId="4" fillId="8" borderId="38" xfId="0" applyFont="1" applyFill="1" applyBorder="1" applyAlignment="1">
      <alignment horizontal="left" wrapText="1"/>
    </xf>
    <xf numFmtId="43" fontId="4" fillId="0" borderId="0" xfId="0" applyNumberFormat="1" applyFont="1"/>
    <xf numFmtId="43" fontId="4" fillId="7" borderId="39" xfId="0" applyNumberFormat="1" applyFont="1" applyFill="1" applyBorder="1"/>
    <xf numFmtId="43" fontId="4" fillId="7" borderId="40" xfId="0" applyNumberFormat="1" applyFont="1" applyFill="1" applyBorder="1"/>
    <xf numFmtId="43" fontId="2" fillId="7" borderId="40" xfId="0" applyNumberFormat="1" applyFont="1" applyFill="1" applyBorder="1"/>
    <xf numFmtId="43" fontId="2" fillId="7" borderId="41" xfId="0" applyNumberFormat="1" applyFont="1" applyFill="1" applyBorder="1"/>
    <xf numFmtId="43" fontId="4" fillId="8" borderId="42" xfId="0" applyNumberFormat="1" applyFont="1" applyFill="1" applyBorder="1"/>
    <xf numFmtId="43" fontId="4" fillId="8" borderId="40" xfId="0" applyNumberFormat="1" applyFont="1" applyFill="1" applyBorder="1"/>
    <xf numFmtId="43" fontId="2" fillId="8" borderId="40" xfId="0" applyNumberFormat="1" applyFont="1" applyFill="1" applyBorder="1"/>
    <xf numFmtId="43" fontId="4" fillId="8" borderId="43" xfId="0" applyNumberFormat="1" applyFont="1" applyFill="1" applyBorder="1"/>
    <xf numFmtId="43" fontId="4" fillId="9" borderId="39" xfId="0" applyNumberFormat="1" applyFont="1" applyFill="1" applyBorder="1"/>
    <xf numFmtId="43" fontId="4" fillId="9" borderId="40" xfId="0" applyNumberFormat="1" applyFont="1" applyFill="1" applyBorder="1"/>
    <xf numFmtId="43" fontId="2" fillId="9" borderId="40" xfId="0" applyNumberFormat="1" applyFont="1" applyFill="1" applyBorder="1"/>
    <xf numFmtId="43" fontId="4" fillId="7" borderId="21" xfId="0" applyNumberFormat="1" applyFont="1" applyFill="1" applyBorder="1"/>
    <xf numFmtId="43" fontId="2" fillId="7" borderId="21" xfId="0" applyNumberFormat="1" applyFont="1" applyFill="1" applyBorder="1"/>
    <xf numFmtId="43" fontId="4" fillId="7" borderId="22" xfId="0" applyNumberFormat="1" applyFont="1" applyFill="1" applyBorder="1"/>
    <xf numFmtId="43" fontId="4" fillId="8" borderId="44" xfId="0" applyNumberFormat="1" applyFont="1" applyFill="1" applyBorder="1"/>
    <xf numFmtId="43" fontId="4" fillId="8" borderId="21" xfId="0" applyNumberFormat="1" applyFont="1" applyFill="1" applyBorder="1"/>
    <xf numFmtId="43" fontId="2" fillId="8" borderId="21" xfId="0" applyNumberFormat="1" applyFont="1" applyFill="1" applyBorder="1"/>
    <xf numFmtId="43" fontId="4" fillId="8" borderId="16" xfId="0" applyNumberFormat="1" applyFont="1" applyFill="1" applyBorder="1"/>
    <xf numFmtId="43" fontId="4" fillId="9" borderId="20" xfId="0" applyNumberFormat="1" applyFont="1" applyFill="1" applyBorder="1"/>
    <xf numFmtId="43" fontId="4" fillId="9" borderId="21" xfId="0" applyNumberFormat="1" applyFont="1" applyFill="1" applyBorder="1"/>
    <xf numFmtId="43" fontId="2" fillId="9" borderId="21" xfId="0" applyNumberFormat="1" applyFont="1" applyFill="1" applyBorder="1"/>
    <xf numFmtId="43" fontId="2" fillId="8" borderId="44" xfId="0" applyNumberFormat="1" applyFont="1" applyFill="1" applyBorder="1"/>
    <xf numFmtId="43" fontId="2" fillId="9" borderId="20" xfId="0" applyNumberFormat="1" applyFont="1" applyFill="1" applyBorder="1"/>
    <xf numFmtId="43" fontId="4" fillId="7" borderId="20" xfId="0" applyNumberFormat="1" applyFont="1" applyFill="1" applyBorder="1"/>
    <xf numFmtId="43" fontId="2" fillId="8" borderId="16" xfId="0" applyNumberFormat="1" applyFont="1" applyFill="1" applyBorder="1"/>
    <xf numFmtId="43" fontId="2" fillId="7" borderId="22" xfId="0" applyNumberFormat="1" applyFont="1" applyFill="1" applyBorder="1"/>
    <xf numFmtId="43" fontId="2" fillId="7" borderId="20" xfId="0" applyNumberFormat="1" applyFont="1" applyFill="1" applyBorder="1"/>
    <xf numFmtId="1" fontId="1" fillId="0" borderId="0" xfId="0" applyNumberFormat="1" applyFont="1"/>
    <xf numFmtId="0" fontId="4" fillId="0" borderId="0" xfId="0" applyFont="1" applyAlignment="1">
      <alignment wrapText="1"/>
    </xf>
    <xf numFmtId="0" fontId="4" fillId="7" borderId="12" xfId="0" applyFont="1" applyFill="1" applyBorder="1" applyAlignment="1">
      <alignment wrapText="1"/>
    </xf>
    <xf numFmtId="0" fontId="4" fillId="7" borderId="13" xfId="0" applyFont="1" applyFill="1" applyBorder="1" applyAlignment="1">
      <alignment wrapText="1"/>
    </xf>
    <xf numFmtId="0" fontId="4" fillId="8" borderId="12" xfId="0" applyFont="1" applyFill="1" applyBorder="1" applyAlignment="1">
      <alignment wrapText="1"/>
    </xf>
    <xf numFmtId="0" fontId="4" fillId="8" borderId="13" xfId="0" applyFont="1" applyFill="1" applyBorder="1" applyAlignment="1">
      <alignment wrapText="1"/>
    </xf>
    <xf numFmtId="0" fontId="4" fillId="8" borderId="33" xfId="0" applyFont="1" applyFill="1" applyBorder="1" applyAlignment="1">
      <alignment wrapText="1"/>
    </xf>
    <xf numFmtId="0" fontId="4" fillId="9" borderId="34" xfId="0" applyFont="1" applyFill="1" applyBorder="1" applyAlignment="1">
      <alignment wrapText="1"/>
    </xf>
    <xf numFmtId="0" fontId="4" fillId="9" borderId="35" xfId="0" applyFont="1" applyFill="1" applyBorder="1" applyAlignment="1">
      <alignment wrapText="1"/>
    </xf>
    <xf numFmtId="0" fontId="4" fillId="9" borderId="36" xfId="0" applyFont="1" applyFill="1" applyBorder="1" applyAlignment="1">
      <alignment wrapText="1"/>
    </xf>
    <xf numFmtId="43" fontId="4" fillId="0" borderId="0" xfId="0" applyNumberFormat="1" applyFont="1" applyAlignment="1">
      <alignment wrapText="1"/>
    </xf>
    <xf numFmtId="0" fontId="4" fillId="7" borderId="34" xfId="0" applyFont="1" applyFill="1" applyBorder="1" applyAlignment="1">
      <alignment wrapText="1"/>
    </xf>
    <xf numFmtId="0" fontId="4" fillId="7" borderId="35" xfId="0" applyFont="1" applyFill="1" applyBorder="1" applyAlignment="1">
      <alignment wrapText="1"/>
    </xf>
    <xf numFmtId="0" fontId="4" fillId="8" borderId="37" xfId="0" applyFont="1" applyFill="1" applyBorder="1" applyAlignment="1">
      <alignment wrapText="1"/>
    </xf>
    <xf numFmtId="0" fontId="4" fillId="8" borderId="35" xfId="0" applyFont="1" applyFill="1" applyBorder="1" applyAlignment="1">
      <alignment wrapText="1"/>
    </xf>
    <xf numFmtId="0" fontId="4" fillId="8" borderId="38" xfId="0" applyFont="1" applyFill="1" applyBorder="1" applyAlignment="1">
      <alignment wrapText="1"/>
    </xf>
    <xf numFmtId="43" fontId="2" fillId="7" borderId="39" xfId="0" applyNumberFormat="1" applyFont="1" applyFill="1" applyBorder="1"/>
    <xf numFmtId="43" fontId="4" fillId="9" borderId="41" xfId="0" applyNumberFormat="1" applyFont="1" applyFill="1" applyBorder="1"/>
    <xf numFmtId="43" fontId="4" fillId="9" borderId="22" xfId="0" applyNumberFormat="1" applyFont="1" applyFill="1" applyBorder="1"/>
    <xf numFmtId="43" fontId="2" fillId="7" borderId="23" xfId="0" applyNumberFormat="1" applyFont="1" applyFill="1" applyBorder="1"/>
    <xf numFmtId="43" fontId="4" fillId="7" borderId="24" xfId="0" applyNumberFormat="1" applyFont="1" applyFill="1" applyBorder="1"/>
    <xf numFmtId="43" fontId="2" fillId="7" borderId="24" xfId="0" applyNumberFormat="1" applyFont="1" applyFill="1" applyBorder="1"/>
    <xf numFmtId="43" fontId="4" fillId="7" borderId="25" xfId="0" applyNumberFormat="1" applyFont="1" applyFill="1" applyBorder="1"/>
    <xf numFmtId="43" fontId="4" fillId="8" borderId="45" xfId="0" applyNumberFormat="1" applyFont="1" applyFill="1" applyBorder="1"/>
    <xf numFmtId="43" fontId="4" fillId="8" borderId="24" xfId="0" applyNumberFormat="1" applyFont="1" applyFill="1" applyBorder="1"/>
    <xf numFmtId="43" fontId="4" fillId="8" borderId="46" xfId="0" applyNumberFormat="1" applyFont="1" applyFill="1" applyBorder="1"/>
    <xf numFmtId="43" fontId="2" fillId="9" borderId="23" xfId="0" applyNumberFormat="1" applyFont="1" applyFill="1" applyBorder="1"/>
    <xf numFmtId="43" fontId="4" fillId="9" borderId="24" xfId="0" applyNumberFormat="1" applyFont="1" applyFill="1" applyBorder="1"/>
    <xf numFmtId="43" fontId="2" fillId="9" borderId="24" xfId="0" applyNumberFormat="1" applyFont="1" applyFill="1" applyBorder="1"/>
    <xf numFmtId="43" fontId="4" fillId="9" borderId="25" xfId="0" applyNumberFormat="1" applyFont="1" applyFill="1" applyBorder="1"/>
    <xf numFmtId="43" fontId="2" fillId="7" borderId="27" xfId="0" applyNumberFormat="1" applyFont="1" applyFill="1" applyBorder="1"/>
    <xf numFmtId="43" fontId="4" fillId="7" borderId="28" xfId="0" applyNumberFormat="1" applyFont="1" applyFill="1" applyBorder="1"/>
    <xf numFmtId="43" fontId="2" fillId="7" borderId="28" xfId="0" applyNumberFormat="1" applyFont="1" applyFill="1" applyBorder="1"/>
    <xf numFmtId="43" fontId="4" fillId="7" borderId="29" xfId="0" applyNumberFormat="1" applyFont="1" applyFill="1" applyBorder="1"/>
    <xf numFmtId="43" fontId="4" fillId="8" borderId="47" xfId="0" applyNumberFormat="1" applyFont="1" applyFill="1" applyBorder="1"/>
    <xf numFmtId="43" fontId="4" fillId="8" borderId="28" xfId="0" applyNumberFormat="1" applyFont="1" applyFill="1" applyBorder="1"/>
    <xf numFmtId="43" fontId="4" fillId="8" borderId="48" xfId="0" applyNumberFormat="1" applyFont="1" applyFill="1" applyBorder="1"/>
    <xf numFmtId="43" fontId="2" fillId="9" borderId="27" xfId="0" applyNumberFormat="1" applyFont="1" applyFill="1" applyBorder="1"/>
    <xf numFmtId="43" fontId="2" fillId="9" borderId="28" xfId="0" applyNumberFormat="1" applyFont="1" applyFill="1" applyBorder="1"/>
    <xf numFmtId="43" fontId="4" fillId="9" borderId="28" xfId="0" applyNumberFormat="1" applyFont="1" applyFill="1" applyBorder="1"/>
    <xf numFmtId="43" fontId="4" fillId="9" borderId="29" xfId="0" applyNumberFormat="1" applyFont="1" applyFill="1" applyBorder="1"/>
    <xf numFmtId="44" fontId="4" fillId="4" borderId="5" xfId="0" applyNumberFormat="1" applyFont="1" applyFill="1" applyBorder="1" applyAlignment="1">
      <alignment horizontal="center"/>
    </xf>
    <xf numFmtId="44" fontId="4" fillId="4" borderId="6" xfId="0" applyNumberFormat="1" applyFont="1" applyFill="1" applyBorder="1" applyAlignment="1">
      <alignment horizontal="center"/>
    </xf>
    <xf numFmtId="44" fontId="4" fillId="5" borderId="5" xfId="0" applyNumberFormat="1" applyFont="1" applyFill="1" applyBorder="1" applyAlignment="1">
      <alignment horizontal="center"/>
    </xf>
    <xf numFmtId="44" fontId="4" fillId="5" borderId="6" xfId="0" applyNumberFormat="1" applyFont="1" applyFill="1" applyBorder="1" applyAlignment="1">
      <alignment horizontal="center"/>
    </xf>
    <xf numFmtId="44" fontId="4" fillId="0" borderId="0" xfId="0" applyNumberFormat="1" applyFont="1" applyAlignment="1">
      <alignment horizontal="left" wrapText="1"/>
    </xf>
    <xf numFmtId="44" fontId="4" fillId="7" borderId="8" xfId="0" applyNumberFormat="1" applyFont="1" applyFill="1" applyBorder="1" applyAlignment="1">
      <alignment horizontal="left" wrapText="1"/>
    </xf>
    <xf numFmtId="44" fontId="4" fillId="7" borderId="9" xfId="0" applyNumberFormat="1" applyFont="1" applyFill="1" applyBorder="1" applyAlignment="1">
      <alignment horizontal="left" wrapText="1"/>
    </xf>
    <xf numFmtId="44" fontId="4" fillId="7" borderId="10" xfId="0" applyNumberFormat="1" applyFont="1" applyFill="1" applyBorder="1" applyAlignment="1">
      <alignment horizontal="left" wrapText="1"/>
    </xf>
    <xf numFmtId="44" fontId="4" fillId="8" borderId="8" xfId="0" applyNumberFormat="1" applyFont="1" applyFill="1" applyBorder="1" applyAlignment="1">
      <alignment horizontal="left" wrapText="1"/>
    </xf>
    <xf numFmtId="44" fontId="4" fillId="8" borderId="9" xfId="0" applyNumberFormat="1" applyFont="1" applyFill="1" applyBorder="1" applyAlignment="1">
      <alignment horizontal="left" wrapText="1"/>
    </xf>
    <xf numFmtId="44" fontId="4" fillId="8" borderId="10" xfId="0" applyNumberFormat="1" applyFont="1" applyFill="1" applyBorder="1" applyAlignment="1">
      <alignment horizontal="left" wrapText="1"/>
    </xf>
    <xf numFmtId="44" fontId="4" fillId="9" borderId="8" xfId="0" applyNumberFormat="1" applyFont="1" applyFill="1" applyBorder="1" applyAlignment="1">
      <alignment horizontal="left" wrapText="1"/>
    </xf>
    <xf numFmtId="44" fontId="7" fillId="9" borderId="9" xfId="0" applyNumberFormat="1" applyFont="1" applyFill="1" applyBorder="1" applyAlignment="1">
      <alignment horizontal="left" wrapText="1"/>
    </xf>
    <xf numFmtId="44" fontId="4" fillId="9" borderId="9" xfId="0" applyNumberFormat="1" applyFont="1" applyFill="1" applyBorder="1" applyAlignment="1">
      <alignment horizontal="left" wrapText="1"/>
    </xf>
    <xf numFmtId="44" fontId="4" fillId="9" borderId="10" xfId="0" applyNumberFormat="1" applyFont="1" applyFill="1" applyBorder="1" applyAlignment="1">
      <alignment horizontal="left" wrapText="1"/>
    </xf>
    <xf numFmtId="44" fontId="4" fillId="0" borderId="0" xfId="0" applyNumberFormat="1" applyFont="1" applyAlignment="1">
      <alignment horizontal="left"/>
    </xf>
    <xf numFmtId="44" fontId="4" fillId="7" borderId="13" xfId="0" applyNumberFormat="1" applyFont="1" applyFill="1" applyBorder="1" applyAlignment="1">
      <alignment horizontal="left"/>
    </xf>
    <xf numFmtId="44" fontId="4" fillId="7" borderId="14" xfId="0" applyNumberFormat="1" applyFont="1" applyFill="1" applyBorder="1" applyAlignment="1">
      <alignment horizontal="left"/>
    </xf>
    <xf numFmtId="44" fontId="4" fillId="8" borderId="12" xfId="0" applyNumberFormat="1" applyFont="1" applyFill="1" applyBorder="1" applyAlignment="1">
      <alignment horizontal="left"/>
    </xf>
    <xf numFmtId="44" fontId="4" fillId="8" borderId="13" xfId="0" applyNumberFormat="1" applyFont="1" applyFill="1" applyBorder="1" applyAlignment="1">
      <alignment horizontal="left"/>
    </xf>
    <xf numFmtId="44" fontId="4" fillId="8" borderId="14" xfId="0" applyNumberFormat="1" applyFont="1" applyFill="1" applyBorder="1" applyAlignment="1">
      <alignment horizontal="left"/>
    </xf>
    <xf numFmtId="44" fontId="4" fillId="9" borderId="12" xfId="0" applyNumberFormat="1" applyFont="1" applyFill="1" applyBorder="1" applyAlignment="1">
      <alignment horizontal="left"/>
    </xf>
    <xf numFmtId="44" fontId="4" fillId="9" borderId="13" xfId="0" applyNumberFormat="1" applyFont="1" applyFill="1" applyBorder="1" applyAlignment="1">
      <alignment horizontal="left"/>
    </xf>
    <xf numFmtId="44" fontId="4" fillId="9" borderId="14" xfId="0" applyNumberFormat="1" applyFont="1" applyFill="1" applyBorder="1" applyAlignment="1">
      <alignment horizontal="left"/>
    </xf>
    <xf numFmtId="44" fontId="4" fillId="0" borderId="49" xfId="0" applyNumberFormat="1" applyFont="1" applyBorder="1"/>
    <xf numFmtId="44" fontId="4" fillId="7" borderId="17" xfId="0" applyNumberFormat="1" applyFont="1" applyFill="1" applyBorder="1" applyAlignment="1">
      <alignment horizontal="right"/>
    </xf>
    <xf numFmtId="44" fontId="4" fillId="7" borderId="18" xfId="0" applyNumberFormat="1" applyFont="1" applyFill="1" applyBorder="1"/>
    <xf numFmtId="44" fontId="4" fillId="7" borderId="18" xfId="0" applyNumberFormat="1" applyFont="1" applyFill="1" applyBorder="1" applyAlignment="1">
      <alignment horizontal="right"/>
    </xf>
    <xf numFmtId="44" fontId="4" fillId="7" borderId="19" xfId="0" applyNumberFormat="1" applyFont="1" applyFill="1" applyBorder="1"/>
    <xf numFmtId="44" fontId="4" fillId="8" borderId="50" xfId="0" applyNumberFormat="1" applyFont="1" applyFill="1" applyBorder="1"/>
    <xf numFmtId="44" fontId="4" fillId="8" borderId="18" xfId="0" applyNumberFormat="1" applyFont="1" applyFill="1" applyBorder="1"/>
    <xf numFmtId="44" fontId="4" fillId="8" borderId="19" xfId="0" applyNumberFormat="1" applyFont="1" applyFill="1" applyBorder="1"/>
    <xf numFmtId="44" fontId="4" fillId="9" borderId="20" xfId="0" applyNumberFormat="1" applyFont="1" applyFill="1" applyBorder="1"/>
    <xf numFmtId="44" fontId="4" fillId="9" borderId="21" xfId="0" applyNumberFormat="1" applyFont="1" applyFill="1" applyBorder="1"/>
    <xf numFmtId="44" fontId="4" fillId="7" borderId="20" xfId="0" applyNumberFormat="1" applyFont="1" applyFill="1" applyBorder="1"/>
    <xf numFmtId="44" fontId="4" fillId="7" borderId="21" xfId="0" applyNumberFormat="1" applyFont="1" applyFill="1" applyBorder="1"/>
    <xf numFmtId="44" fontId="4" fillId="7" borderId="21" xfId="0" applyNumberFormat="1" applyFont="1" applyFill="1" applyBorder="1" applyAlignment="1">
      <alignment horizontal="right"/>
    </xf>
    <xf numFmtId="44" fontId="4" fillId="7" borderId="22" xfId="0" applyNumberFormat="1" applyFont="1" applyFill="1" applyBorder="1"/>
    <xf numFmtId="44" fontId="4" fillId="8" borderId="44" xfId="0" applyNumberFormat="1" applyFont="1" applyFill="1" applyBorder="1"/>
    <xf numFmtId="44" fontId="4" fillId="8" borderId="21" xfId="0" applyNumberFormat="1" applyFont="1" applyFill="1" applyBorder="1"/>
    <xf numFmtId="44" fontId="4" fillId="8" borderId="22" xfId="0" applyNumberFormat="1" applyFont="1" applyFill="1" applyBorder="1"/>
    <xf numFmtId="1" fontId="2" fillId="0" borderId="0" xfId="0" applyNumberFormat="1" applyFont="1" applyAlignment="1">
      <alignment horizontal="left" wrapText="1"/>
    </xf>
    <xf numFmtId="4" fontId="4" fillId="7" borderId="39" xfId="0" applyNumberFormat="1" applyFont="1" applyFill="1" applyBorder="1"/>
    <xf numFmtId="43" fontId="2" fillId="0" borderId="0" xfId="0" applyNumberFormat="1" applyFont="1"/>
    <xf numFmtId="44" fontId="4" fillId="0" borderId="0" xfId="0" applyNumberFormat="1" applyFont="1" applyAlignment="1">
      <alignment horizontal="right"/>
    </xf>
    <xf numFmtId="9" fontId="4" fillId="0" borderId="0" xfId="0" applyNumberFormat="1" applyFont="1"/>
    <xf numFmtId="166" fontId="1" fillId="0" borderId="0" xfId="0" applyNumberFormat="1" applyFont="1"/>
    <xf numFmtId="166" fontId="4" fillId="0" borderId="0" xfId="0" applyNumberFormat="1" applyFont="1"/>
    <xf numFmtId="165" fontId="4" fillId="0" borderId="0" xfId="0" applyNumberFormat="1" applyFont="1" applyAlignment="1">
      <alignment wrapText="1"/>
    </xf>
    <xf numFmtId="0" fontId="3" fillId="2" borderId="0" xfId="0" applyFont="1" applyFill="1"/>
    <xf numFmtId="9" fontId="2" fillId="2" borderId="1" xfId="0" applyNumberFormat="1" applyFont="1" applyFill="1" applyBorder="1"/>
    <xf numFmtId="0" fontId="2" fillId="0" borderId="0" xfId="0" applyFont="1"/>
    <xf numFmtId="44" fontId="1" fillId="0" borderId="0" xfId="1" applyFont="1" applyAlignment="1">
      <alignment horizontal="right"/>
    </xf>
    <xf numFmtId="44" fontId="3" fillId="0" borderId="0" xfId="1" applyFont="1" applyAlignment="1">
      <alignment horizontal="right"/>
    </xf>
    <xf numFmtId="44" fontId="1" fillId="0" borderId="0" xfId="1" applyFont="1" applyAlignment="1">
      <alignment horizontal="left"/>
    </xf>
    <xf numFmtId="44" fontId="0" fillId="0" borderId="0" xfId="1" applyFont="1"/>
    <xf numFmtId="2" fontId="1" fillId="0" borderId="0" xfId="0" applyNumberFormat="1" applyFont="1" applyAlignment="1">
      <alignment horizontal="right"/>
    </xf>
    <xf numFmtId="2" fontId="0" fillId="0" borderId="0" xfId="0" applyNumberFormat="1"/>
    <xf numFmtId="165" fontId="1" fillId="0" borderId="0" xfId="2" applyNumberFormat="1" applyFont="1" applyAlignment="1">
      <alignment horizontal="right"/>
    </xf>
    <xf numFmtId="165" fontId="4" fillId="2" borderId="49" xfId="0" applyNumberFormat="1" applyFont="1" applyFill="1" applyBorder="1"/>
    <xf numFmtId="0" fontId="4" fillId="0" borderId="0" xfId="0" applyFont="1" applyAlignment="1">
      <alignment horizontal="left" vertical="top" wrapText="1"/>
    </xf>
    <xf numFmtId="0" fontId="0" fillId="0" borderId="0" xfId="0"/>
    <xf numFmtId="0" fontId="4" fillId="4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4" fillId="5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5" fillId="0" borderId="7" xfId="0" applyFont="1" applyBorder="1"/>
    <xf numFmtId="0" fontId="4" fillId="4" borderId="30" xfId="0" applyFont="1" applyFill="1" applyBorder="1" applyAlignment="1">
      <alignment horizontal="center"/>
    </xf>
    <xf numFmtId="0" fontId="5" fillId="0" borderId="31" xfId="0" applyFont="1" applyBorder="1"/>
    <xf numFmtId="0" fontId="5" fillId="0" borderId="32" xfId="0" applyFont="1" applyBorder="1"/>
    <xf numFmtId="0" fontId="4" fillId="5" borderId="15" xfId="0" applyFont="1" applyFill="1" applyBorder="1" applyAlignment="1">
      <alignment horizontal="center"/>
    </xf>
    <xf numFmtId="44" fontId="4" fillId="4" borderId="2" xfId="0" applyNumberFormat="1" applyFont="1" applyFill="1" applyBorder="1" applyAlignment="1">
      <alignment horizontal="center"/>
    </xf>
    <xf numFmtId="44" fontId="4" fillId="5" borderId="2" xfId="0" applyNumberFormat="1" applyFont="1" applyFill="1" applyBorder="1" applyAlignment="1">
      <alignment horizontal="center"/>
    </xf>
    <xf numFmtId="44" fontId="4" fillId="6" borderId="2" xfId="0" applyNumberFormat="1" applyFont="1" applyFill="1" applyBorder="1" applyAlignment="1">
      <alignment horizontal="center"/>
    </xf>
  </cellXfs>
  <cellStyles count="3">
    <cellStyle name="Comma" xfId="2" builtinId="3"/>
    <cellStyle name="Currency" xfId="1" builtinId="4"/>
    <cellStyle name="Normal" xfId="0" builtinId="0"/>
  </cellStyles>
  <dxfs count="4"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52"/>
  <sheetViews>
    <sheetView tabSelected="1" workbookViewId="0">
      <selection activeCell="C10" sqref="C10"/>
    </sheetView>
  </sheetViews>
  <sheetFormatPr baseColWidth="10" defaultColWidth="11.1640625" defaultRowHeight="15" customHeight="1" x14ac:dyDescent="0.2"/>
  <cols>
    <col min="1" max="1" width="11.1640625" customWidth="1"/>
    <col min="2" max="2" width="14.6640625" customWidth="1"/>
    <col min="3" max="3" width="15.1640625" customWidth="1"/>
    <col min="4" max="5" width="11.1640625" customWidth="1"/>
    <col min="6" max="6" width="11.1640625" style="257" customWidth="1"/>
    <col min="9" max="9" width="13.5" customWidth="1"/>
    <col min="10" max="10" width="12.6640625" customWidth="1"/>
  </cols>
  <sheetData>
    <row r="1" spans="1:12" ht="16" x14ac:dyDescent="0.2">
      <c r="F1" s="254"/>
    </row>
    <row r="2" spans="1:12" ht="16" x14ac:dyDescent="0.2">
      <c r="F2" s="254"/>
    </row>
    <row r="3" spans="1:12" ht="39" customHeight="1" x14ac:dyDescent="0.2">
      <c r="A3" s="1" t="s">
        <v>0</v>
      </c>
      <c r="C3" s="2" t="s">
        <v>74</v>
      </c>
      <c r="F3" s="254"/>
    </row>
    <row r="4" spans="1:12" ht="16" x14ac:dyDescent="0.2">
      <c r="F4" s="254"/>
    </row>
    <row r="5" spans="1:12" ht="16" x14ac:dyDescent="0.2">
      <c r="A5" s="1" t="s">
        <v>2</v>
      </c>
      <c r="C5" s="3">
        <v>300</v>
      </c>
      <c r="D5" s="1" t="s">
        <v>3</v>
      </c>
      <c r="E5" s="4"/>
      <c r="F5" s="254"/>
    </row>
    <row r="6" spans="1:12" ht="16" x14ac:dyDescent="0.2">
      <c r="F6" s="254"/>
    </row>
    <row r="7" spans="1:12" ht="16" x14ac:dyDescent="0.2">
      <c r="A7" s="4" t="s">
        <v>4</v>
      </c>
      <c r="C7" s="5" t="s">
        <v>5</v>
      </c>
      <c r="F7" s="254"/>
      <c r="H7" s="4"/>
    </row>
    <row r="8" spans="1:12" ht="16" x14ac:dyDescent="0.2">
      <c r="C8" s="6"/>
      <c r="F8" s="254"/>
      <c r="J8" t="s">
        <v>115</v>
      </c>
      <c r="K8" t="s">
        <v>116</v>
      </c>
    </row>
    <row r="9" spans="1:12" ht="16" x14ac:dyDescent="0.2">
      <c r="A9" s="1" t="s">
        <v>6</v>
      </c>
      <c r="C9" s="7">
        <v>60</v>
      </c>
      <c r="D9" s="1" t="s">
        <v>7</v>
      </c>
      <c r="F9" s="254"/>
      <c r="H9" s="1" t="s">
        <v>8</v>
      </c>
      <c r="I9" s="8">
        <f>IF(C7="Service in Field",'Plan Set Up'!E2,'Plan Set Up'!E1)</f>
        <v>120</v>
      </c>
      <c r="J9" s="259">
        <f>SUM(K13:K132)</f>
        <v>11.549999999999999</v>
      </c>
      <c r="K9" s="257">
        <f>IF(AND(I9&lt;&gt;"",J9&lt;&gt;""),+J9*I9,"")</f>
        <v>1385.9999999999998</v>
      </c>
    </row>
    <row r="10" spans="1:12" ht="16" x14ac:dyDescent="0.2">
      <c r="F10" s="254"/>
    </row>
    <row r="11" spans="1:12" ht="16" x14ac:dyDescent="0.2">
      <c r="A11" s="1" t="s">
        <v>9</v>
      </c>
      <c r="C11" s="9">
        <f>IFERROR(VLOOKUP(C3,'Total Cost for Plan'!A4:BQ34,69,0),0)+180</f>
        <v>2238.34</v>
      </c>
      <c r="F11" s="255" t="s">
        <v>10</v>
      </c>
      <c r="G11" s="4" t="s">
        <v>11</v>
      </c>
      <c r="H11" s="4" t="s">
        <v>12</v>
      </c>
      <c r="I11" s="4" t="s">
        <v>13</v>
      </c>
      <c r="J11" s="4" t="s">
        <v>14</v>
      </c>
      <c r="K11" s="253" t="s">
        <v>115</v>
      </c>
      <c r="L11" s="4"/>
    </row>
    <row r="12" spans="1:12" ht="10.5" customHeight="1" x14ac:dyDescent="0.2">
      <c r="C12" s="9"/>
      <c r="F12" s="254"/>
      <c r="L12" s="4"/>
    </row>
    <row r="13" spans="1:12" ht="16" x14ac:dyDescent="0.2">
      <c r="A13" s="262" t="str">
        <f>_xlfn.TEXTJOIN(", ",TRUE,'Scheduled Intervals'!B43:B92)</f>
        <v>50 hours Perform Oil and Filter Change, Change HST Oil Filter , Grease Machine at required lubrication fittings, Conduct Multi Point Inpection and make minor adjustments, Change Hydraulic suction return filter</v>
      </c>
      <c r="B13" s="263"/>
      <c r="C13" s="263"/>
      <c r="D13" s="263"/>
      <c r="E13" s="263"/>
      <c r="F13" s="254">
        <f>SUM('Scheduled Intervals'!C43:C61)</f>
        <v>351.31</v>
      </c>
      <c r="G13" s="260">
        <f>'Scheduled Intervals'!B37</f>
        <v>50</v>
      </c>
      <c r="H13" s="12">
        <v>1</v>
      </c>
      <c r="I13" s="13">
        <f>F13*H13</f>
        <v>351.31</v>
      </c>
      <c r="J13" s="14">
        <f>SUM('Scheduled Intervals'!D43:D61)</f>
        <v>1.6500000000000004</v>
      </c>
      <c r="K13" s="259">
        <f>IF(AND(H13&lt;&gt;"",J13&lt;&gt;""),+J13*H13,"")</f>
        <v>1.6500000000000004</v>
      </c>
    </row>
    <row r="14" spans="1:12" ht="16" x14ac:dyDescent="0.2">
      <c r="A14" s="263"/>
      <c r="B14" s="263"/>
      <c r="C14" s="263"/>
      <c r="D14" s="263"/>
      <c r="E14" s="263"/>
      <c r="F14" s="254"/>
      <c r="G14" s="260"/>
      <c r="H14" s="15"/>
    </row>
    <row r="15" spans="1:12" ht="33" customHeight="1" x14ac:dyDescent="0.2">
      <c r="A15" s="263"/>
      <c r="B15" s="263"/>
      <c r="C15" s="263"/>
      <c r="D15" s="263"/>
      <c r="E15" s="263"/>
      <c r="F15" s="254"/>
      <c r="G15" s="260"/>
      <c r="H15" s="15"/>
    </row>
    <row r="16" spans="1:12" ht="3.75" customHeight="1" x14ac:dyDescent="0.2">
      <c r="F16" s="254"/>
      <c r="G16" s="260"/>
      <c r="H16" s="15"/>
    </row>
    <row r="17" spans="1:11" ht="20.25" customHeight="1" x14ac:dyDescent="0.2">
      <c r="A17" s="1" t="str">
        <f>CONCATENATE("Includes ",C7)</f>
        <v>Includes Service In Shop</v>
      </c>
      <c r="F17" s="254"/>
      <c r="G17" s="260"/>
      <c r="H17" s="15"/>
    </row>
    <row r="18" spans="1:11" ht="16" x14ac:dyDescent="0.2">
      <c r="A18" s="16" t="str" cm="1">
        <f t="array" ref="A18:A69">_xlfn.SORTBY('Scheduled Intervals'!F43:F94,'Scheduled Intervals'!G43:G94)</f>
        <v>Perform Annual Oil and Filter Change</v>
      </c>
      <c r="B18" s="10"/>
      <c r="C18" s="10"/>
      <c r="D18" s="10"/>
      <c r="E18" s="10"/>
      <c r="F18" s="256" cm="1">
        <f t="array" ref="F18:F69">_xlfn.SORTBY('Scheduled Intervals'!H43:H94,'Scheduled Intervals'!G43:G94)</f>
        <v>89.63</v>
      </c>
      <c r="G18" s="260" cm="1">
        <f t="array" ref="G18:G69">_xlfn.SORTBY('Scheduled Intervals'!G43:G94,'Scheduled Intervals'!G43:G94)</f>
        <v>1</v>
      </c>
      <c r="H18" s="15" cm="1">
        <f t="array" ref="H18:H69">_xlfn.SORTBY('Scheduled Intervals'!I43:I94,'Scheduled Intervals'!G43:G94)</f>
        <v>5</v>
      </c>
      <c r="I18" s="13">
        <f>IF(F18&lt;&gt;"",(F18*H18),"")</f>
        <v>448.15</v>
      </c>
      <c r="J18" s="258" cm="1">
        <f t="array" ref="J18:J69">_xlfn.SORTBY('Scheduled Intervals'!J43:J94,'Scheduled Intervals'!G43:G94)</f>
        <v>0.4</v>
      </c>
      <c r="K18" s="259">
        <f>IF(AND(H18&lt;&gt;"",J18&lt;&gt;""),+J18*H18,"")</f>
        <v>2</v>
      </c>
    </row>
    <row r="19" spans="1:11" ht="16" x14ac:dyDescent="0.2">
      <c r="A19" t="str">
        <v>Annually Grease Machine at Assorted Lubrication Points</v>
      </c>
      <c r="F19" s="257">
        <v>23.07</v>
      </c>
      <c r="G19" s="260">
        <v>1</v>
      </c>
      <c r="H19" s="15">
        <v>5</v>
      </c>
      <c r="I19" s="13">
        <f t="shared" ref="I19:I57" si="0">IF(F19&lt;&gt;"",(F19*H19),"")</f>
        <v>115.35</v>
      </c>
      <c r="J19" s="259">
        <v>0.1</v>
      </c>
      <c r="K19" s="259">
        <f t="shared" ref="K19:K69" si="1">IF(AND(H19&lt;&gt;"",J19&lt;&gt;""),+J19*H19,"")</f>
        <v>0.5</v>
      </c>
    </row>
    <row r="20" spans="1:11" ht="19.5" customHeight="1" x14ac:dyDescent="0.2">
      <c r="A20" t="str">
        <v>Conduct Annual Multi Point Inpection and Make Minor Adjustments</v>
      </c>
      <c r="F20" s="257">
        <v>126</v>
      </c>
      <c r="G20" s="260">
        <v>1</v>
      </c>
      <c r="H20" s="15">
        <v>5</v>
      </c>
      <c r="I20" s="13">
        <f t="shared" si="0"/>
        <v>630</v>
      </c>
      <c r="J20" s="259">
        <v>1.05</v>
      </c>
      <c r="K20" s="259">
        <f t="shared" si="1"/>
        <v>5.25</v>
      </c>
    </row>
    <row r="21" spans="1:11" ht="19.5" customHeight="1" x14ac:dyDescent="0.2">
      <c r="A21" t="str">
        <v>Every 200 hours - Perform Oil and Filter Change</v>
      </c>
      <c r="F21" s="257">
        <v>89.63</v>
      </c>
      <c r="G21" s="260">
        <v>200</v>
      </c>
      <c r="H21" s="15">
        <v>1</v>
      </c>
      <c r="I21" s="13">
        <f t="shared" si="0"/>
        <v>89.63</v>
      </c>
      <c r="J21" s="259">
        <v>0.4</v>
      </c>
      <c r="K21" s="259">
        <f t="shared" si="1"/>
        <v>0.4</v>
      </c>
    </row>
    <row r="22" spans="1:11" ht="19.5" customHeight="1" x14ac:dyDescent="0.2">
      <c r="A22" t="str">
        <v>Every 200 hours - Drain Water from Fuel Tank</v>
      </c>
      <c r="F22" s="257">
        <v>12</v>
      </c>
      <c r="G22" s="260">
        <v>200</v>
      </c>
      <c r="H22" s="15">
        <v>1</v>
      </c>
      <c r="I22" s="13">
        <f t="shared" si="0"/>
        <v>12</v>
      </c>
      <c r="J22" s="259">
        <v>0.1</v>
      </c>
      <c r="K22" s="259">
        <f t="shared" si="1"/>
        <v>0.1</v>
      </c>
    </row>
    <row r="23" spans="1:11" ht="16" x14ac:dyDescent="0.2">
      <c r="A23" t="str">
        <v>Every 200 hours - Replace Transmission Oil Filters</v>
      </c>
      <c r="F23" s="257">
        <v>51.07</v>
      </c>
      <c r="G23" s="260">
        <v>200</v>
      </c>
      <c r="H23" s="15">
        <v>1</v>
      </c>
      <c r="I23" s="13">
        <f t="shared" si="0"/>
        <v>51.07</v>
      </c>
      <c r="J23" s="259">
        <v>0.2</v>
      </c>
      <c r="K23" s="259">
        <f t="shared" si="1"/>
        <v>0.2</v>
      </c>
    </row>
    <row r="24" spans="1:11" ht="16" x14ac:dyDescent="0.2">
      <c r="A24" t="str">
        <v>Every 200 hours - Change Hydraulic Oil Filter</v>
      </c>
      <c r="F24" s="257">
        <v>76.69</v>
      </c>
      <c r="G24" s="260">
        <v>200</v>
      </c>
      <c r="H24" s="15">
        <v>1</v>
      </c>
      <c r="I24" s="13">
        <f t="shared" si="0"/>
        <v>76.69</v>
      </c>
      <c r="J24" s="259">
        <v>0.2</v>
      </c>
      <c r="K24" s="259">
        <f t="shared" si="1"/>
        <v>0.2</v>
      </c>
    </row>
    <row r="25" spans="1:11" ht="16" x14ac:dyDescent="0.2">
      <c r="A25" t="str">
        <v>Every 200 hours - Change Suction  Elements and Hydraulic Fluid</v>
      </c>
      <c r="F25" s="257">
        <v>231.1</v>
      </c>
      <c r="G25" s="260">
        <v>200</v>
      </c>
      <c r="H25" s="15">
        <v>1</v>
      </c>
      <c r="I25" s="13">
        <f t="shared" si="0"/>
        <v>231.1</v>
      </c>
      <c r="J25" s="259">
        <v>0.9</v>
      </c>
      <c r="K25" s="259">
        <f t="shared" si="1"/>
        <v>0.9</v>
      </c>
    </row>
    <row r="26" spans="1:11" ht="16" x14ac:dyDescent="0.2">
      <c r="A26" t="str">
        <v>Every 200 hours - Grease Machine at Assorted Lubrication Points</v>
      </c>
      <c r="F26" s="257">
        <v>23.07</v>
      </c>
      <c r="G26" s="260">
        <v>200</v>
      </c>
      <c r="H26" s="15">
        <v>1</v>
      </c>
      <c r="I26" s="13">
        <f t="shared" si="0"/>
        <v>23.07</v>
      </c>
      <c r="J26" s="259">
        <v>0.1</v>
      </c>
      <c r="K26" s="259">
        <f t="shared" si="1"/>
        <v>0.1</v>
      </c>
    </row>
    <row r="27" spans="1:11" ht="16" x14ac:dyDescent="0.2">
      <c r="A27" t="str">
        <v>Every 200 hours - Conduct Multi Point Inpection and Make Minor Adjustments</v>
      </c>
      <c r="F27" s="257">
        <v>30</v>
      </c>
      <c r="G27" s="260">
        <v>200</v>
      </c>
      <c r="H27" s="15">
        <v>1</v>
      </c>
      <c r="I27" s="13">
        <f t="shared" si="0"/>
        <v>30</v>
      </c>
      <c r="J27" s="259">
        <v>0.25</v>
      </c>
      <c r="K27" s="259">
        <f t="shared" si="1"/>
        <v>0.25</v>
      </c>
    </row>
    <row r="28" spans="1:11" ht="16" x14ac:dyDescent="0.2">
      <c r="A28" t="str">
        <v/>
      </c>
      <c r="F28" s="257" t="str">
        <v/>
      </c>
      <c r="G28" s="260" t="str">
        <v/>
      </c>
      <c r="H28" s="15" t="str">
        <v/>
      </c>
      <c r="I28" s="13" t="str">
        <f t="shared" si="0"/>
        <v/>
      </c>
      <c r="J28" s="259" t="str">
        <v/>
      </c>
      <c r="K28" s="259" t="str">
        <f t="shared" si="1"/>
        <v/>
      </c>
    </row>
    <row r="29" spans="1:11" ht="16" x14ac:dyDescent="0.2">
      <c r="A29" t="str">
        <v/>
      </c>
      <c r="F29" s="257" t="str">
        <v/>
      </c>
      <c r="G29" s="260" t="str">
        <v/>
      </c>
      <c r="H29" s="15" t="str">
        <v/>
      </c>
      <c r="I29" s="13" t="str">
        <f t="shared" si="0"/>
        <v/>
      </c>
      <c r="J29" s="259" t="str">
        <v/>
      </c>
      <c r="K29" s="259" t="str">
        <f t="shared" si="1"/>
        <v/>
      </c>
    </row>
    <row r="30" spans="1:11" ht="16" x14ac:dyDescent="0.2">
      <c r="A30" t="str">
        <v/>
      </c>
      <c r="F30" s="257" t="str">
        <v/>
      </c>
      <c r="G30" s="260" t="str">
        <v/>
      </c>
      <c r="H30" s="15" t="str">
        <v/>
      </c>
      <c r="I30" s="13" t="str">
        <f t="shared" si="0"/>
        <v/>
      </c>
      <c r="J30" s="259" t="str">
        <v/>
      </c>
      <c r="K30" s="259" t="str">
        <f t="shared" si="1"/>
        <v/>
      </c>
    </row>
    <row r="31" spans="1:11" ht="16" x14ac:dyDescent="0.2">
      <c r="A31" t="str">
        <v/>
      </c>
      <c r="F31" s="257" t="str">
        <v/>
      </c>
      <c r="G31" s="260" t="str">
        <v/>
      </c>
      <c r="H31" s="15" t="str">
        <v/>
      </c>
      <c r="I31" s="13" t="str">
        <f t="shared" si="0"/>
        <v/>
      </c>
      <c r="J31" s="259" t="str">
        <v/>
      </c>
      <c r="K31" s="259" t="str">
        <f t="shared" si="1"/>
        <v/>
      </c>
    </row>
    <row r="32" spans="1:11" ht="16" x14ac:dyDescent="0.2">
      <c r="A32" t="str">
        <v/>
      </c>
      <c r="F32" s="257" t="str">
        <v/>
      </c>
      <c r="G32" s="260" t="str">
        <v/>
      </c>
      <c r="H32" s="15" t="str">
        <v/>
      </c>
      <c r="I32" s="13" t="str">
        <f t="shared" si="0"/>
        <v/>
      </c>
      <c r="J32" t="str">
        <v/>
      </c>
      <c r="K32" s="259" t="str">
        <f t="shared" si="1"/>
        <v/>
      </c>
    </row>
    <row r="33" spans="1:11" ht="16" x14ac:dyDescent="0.2">
      <c r="A33" t="str">
        <v/>
      </c>
      <c r="F33" s="257" t="str">
        <v/>
      </c>
      <c r="G33" s="260" t="str">
        <v/>
      </c>
      <c r="H33" s="15" t="str">
        <v/>
      </c>
      <c r="I33" s="13" t="str">
        <f t="shared" si="0"/>
        <v/>
      </c>
      <c r="J33" t="str">
        <v/>
      </c>
      <c r="K33" s="259" t="str">
        <f t="shared" si="1"/>
        <v/>
      </c>
    </row>
    <row r="34" spans="1:11" ht="16" x14ac:dyDescent="0.2">
      <c r="A34" t="str">
        <v/>
      </c>
      <c r="F34" s="257" t="str">
        <v/>
      </c>
      <c r="G34" s="260" t="str">
        <v/>
      </c>
      <c r="H34" s="15" t="str">
        <v/>
      </c>
      <c r="I34" s="13" t="str">
        <f t="shared" si="0"/>
        <v/>
      </c>
      <c r="J34" t="str">
        <v/>
      </c>
      <c r="K34" s="259" t="str">
        <f t="shared" si="1"/>
        <v/>
      </c>
    </row>
    <row r="35" spans="1:11" ht="16" x14ac:dyDescent="0.2">
      <c r="A35" t="str">
        <v/>
      </c>
      <c r="F35" s="257" t="str">
        <v/>
      </c>
      <c r="G35" s="260" t="str">
        <v/>
      </c>
      <c r="H35" s="15" t="str">
        <v/>
      </c>
      <c r="I35" s="13" t="str">
        <f t="shared" si="0"/>
        <v/>
      </c>
      <c r="J35" t="str">
        <v/>
      </c>
      <c r="K35" s="259" t="str">
        <f t="shared" si="1"/>
        <v/>
      </c>
    </row>
    <row r="36" spans="1:11" ht="16" x14ac:dyDescent="0.2">
      <c r="A36" t="str">
        <v/>
      </c>
      <c r="F36" s="257" t="str">
        <v/>
      </c>
      <c r="G36" s="260" t="str">
        <v/>
      </c>
      <c r="H36" s="15" t="str">
        <v/>
      </c>
      <c r="I36" s="13" t="str">
        <f t="shared" si="0"/>
        <v/>
      </c>
      <c r="J36" t="str">
        <v/>
      </c>
      <c r="K36" s="259" t="str">
        <f t="shared" si="1"/>
        <v/>
      </c>
    </row>
    <row r="37" spans="1:11" ht="16" x14ac:dyDescent="0.2">
      <c r="A37" t="str">
        <v/>
      </c>
      <c r="F37" s="257" t="str">
        <v/>
      </c>
      <c r="G37" s="15" t="str">
        <v/>
      </c>
      <c r="H37" s="15" t="str">
        <v/>
      </c>
      <c r="I37" s="13" t="str">
        <f t="shared" si="0"/>
        <v/>
      </c>
      <c r="J37" t="str">
        <v/>
      </c>
      <c r="K37" s="259" t="str">
        <f t="shared" si="1"/>
        <v/>
      </c>
    </row>
    <row r="38" spans="1:11" ht="16" x14ac:dyDescent="0.2">
      <c r="A38" t="str">
        <v/>
      </c>
      <c r="F38" s="257" t="str">
        <v/>
      </c>
      <c r="G38" s="15" t="str">
        <v/>
      </c>
      <c r="H38" s="15" t="str">
        <v/>
      </c>
      <c r="I38" s="13" t="str">
        <f t="shared" si="0"/>
        <v/>
      </c>
      <c r="J38" t="str">
        <v/>
      </c>
      <c r="K38" s="259" t="str">
        <f t="shared" si="1"/>
        <v/>
      </c>
    </row>
    <row r="39" spans="1:11" ht="16" x14ac:dyDescent="0.2">
      <c r="A39" t="str">
        <v/>
      </c>
      <c r="F39" s="257" t="str">
        <v/>
      </c>
      <c r="G39" s="11" t="str">
        <v/>
      </c>
      <c r="H39" s="15" t="str">
        <v/>
      </c>
      <c r="I39" s="13" t="str">
        <f t="shared" si="0"/>
        <v/>
      </c>
      <c r="J39" t="str">
        <v/>
      </c>
      <c r="K39" s="259" t="str">
        <f t="shared" si="1"/>
        <v/>
      </c>
    </row>
    <row r="40" spans="1:11" ht="16" x14ac:dyDescent="0.2">
      <c r="A40" t="str">
        <v/>
      </c>
      <c r="F40" s="257" t="str">
        <v/>
      </c>
      <c r="G40" s="11" t="str">
        <v/>
      </c>
      <c r="H40" s="15" t="str">
        <v/>
      </c>
      <c r="I40" s="13" t="str">
        <f t="shared" si="0"/>
        <v/>
      </c>
      <c r="J40" t="str">
        <v/>
      </c>
      <c r="K40" s="259" t="str">
        <f t="shared" si="1"/>
        <v/>
      </c>
    </row>
    <row r="41" spans="1:11" ht="16" x14ac:dyDescent="0.2">
      <c r="A41" t="str">
        <v/>
      </c>
      <c r="F41" s="257" t="str">
        <v/>
      </c>
      <c r="G41" s="18" t="str">
        <v/>
      </c>
      <c r="H41" s="1" t="str">
        <v/>
      </c>
      <c r="I41" s="13" t="str">
        <f t="shared" si="0"/>
        <v/>
      </c>
      <c r="J41" t="str">
        <v/>
      </c>
      <c r="K41" s="259" t="str">
        <f t="shared" si="1"/>
        <v/>
      </c>
    </row>
    <row r="42" spans="1:11" ht="16" x14ac:dyDescent="0.2">
      <c r="A42" t="str">
        <v/>
      </c>
      <c r="F42" s="257" t="str">
        <v/>
      </c>
      <c r="G42" s="18" t="str">
        <v/>
      </c>
      <c r="H42" s="1" t="str">
        <v/>
      </c>
      <c r="I42" s="13" t="str">
        <f t="shared" si="0"/>
        <v/>
      </c>
      <c r="J42" t="str">
        <v/>
      </c>
      <c r="K42" s="259" t="str">
        <f t="shared" si="1"/>
        <v/>
      </c>
    </row>
    <row r="43" spans="1:11" ht="16" x14ac:dyDescent="0.2">
      <c r="A43" t="str">
        <v/>
      </c>
      <c r="F43" s="257" t="str">
        <v/>
      </c>
      <c r="G43" s="18" t="str">
        <v/>
      </c>
      <c r="H43" s="1" t="str">
        <v/>
      </c>
      <c r="I43" s="13" t="str">
        <f t="shared" si="0"/>
        <v/>
      </c>
      <c r="J43" t="str">
        <v/>
      </c>
      <c r="K43" s="259" t="str">
        <f t="shared" si="1"/>
        <v/>
      </c>
    </row>
    <row r="44" spans="1:11" ht="16" x14ac:dyDescent="0.2">
      <c r="A44" t="str">
        <v/>
      </c>
      <c r="F44" s="257" t="str">
        <v/>
      </c>
      <c r="G44" s="18" t="str">
        <v/>
      </c>
      <c r="H44" s="1" t="str">
        <v/>
      </c>
      <c r="I44" s="13" t="str">
        <f t="shared" si="0"/>
        <v/>
      </c>
      <c r="J44" t="str">
        <v/>
      </c>
      <c r="K44" s="259" t="str">
        <f t="shared" si="1"/>
        <v/>
      </c>
    </row>
    <row r="45" spans="1:11" ht="16" x14ac:dyDescent="0.2">
      <c r="A45" t="str">
        <v/>
      </c>
      <c r="F45" s="257" t="str">
        <v/>
      </c>
      <c r="G45" s="18" t="str">
        <v/>
      </c>
      <c r="H45" s="1" t="str">
        <v/>
      </c>
      <c r="I45" s="13" t="str">
        <f t="shared" si="0"/>
        <v/>
      </c>
      <c r="J45" t="str">
        <v/>
      </c>
      <c r="K45" s="259" t="str">
        <f t="shared" si="1"/>
        <v/>
      </c>
    </row>
    <row r="46" spans="1:11" ht="16" x14ac:dyDescent="0.2">
      <c r="A46" t="str">
        <v/>
      </c>
      <c r="F46" s="257" t="str">
        <v/>
      </c>
      <c r="G46" s="18" t="str">
        <v/>
      </c>
      <c r="H46" s="1" t="str">
        <v/>
      </c>
      <c r="I46" s="13" t="str">
        <f t="shared" si="0"/>
        <v/>
      </c>
      <c r="J46" t="str">
        <v/>
      </c>
      <c r="K46" s="259" t="str">
        <f t="shared" si="1"/>
        <v/>
      </c>
    </row>
    <row r="47" spans="1:11" ht="16" x14ac:dyDescent="0.2">
      <c r="A47" t="str">
        <v/>
      </c>
      <c r="F47" s="257" t="str">
        <v/>
      </c>
      <c r="G47" s="18" t="str">
        <v/>
      </c>
      <c r="H47" s="1" t="str">
        <v/>
      </c>
      <c r="I47" s="13" t="str">
        <f t="shared" si="0"/>
        <v/>
      </c>
      <c r="J47" t="str">
        <v/>
      </c>
      <c r="K47" s="259" t="str">
        <f t="shared" si="1"/>
        <v/>
      </c>
    </row>
    <row r="48" spans="1:11" ht="16" x14ac:dyDescent="0.2">
      <c r="A48" t="str">
        <v/>
      </c>
      <c r="F48" s="257" t="str">
        <v/>
      </c>
      <c r="G48" s="18" t="str">
        <v/>
      </c>
      <c r="H48" s="1" t="str">
        <v/>
      </c>
      <c r="I48" s="13" t="str">
        <f t="shared" si="0"/>
        <v/>
      </c>
      <c r="J48" t="str">
        <v/>
      </c>
      <c r="K48" s="259" t="str">
        <f t="shared" si="1"/>
        <v/>
      </c>
    </row>
    <row r="49" spans="1:11" ht="16" x14ac:dyDescent="0.2">
      <c r="A49" t="str">
        <v/>
      </c>
      <c r="F49" s="257" t="str">
        <v/>
      </c>
      <c r="G49" s="18" t="str">
        <v/>
      </c>
      <c r="H49" s="1" t="str">
        <v/>
      </c>
      <c r="I49" s="13" t="str">
        <f t="shared" si="0"/>
        <v/>
      </c>
      <c r="J49" t="str">
        <v/>
      </c>
      <c r="K49" s="259" t="str">
        <f t="shared" si="1"/>
        <v/>
      </c>
    </row>
    <row r="50" spans="1:11" ht="16" x14ac:dyDescent="0.2">
      <c r="A50" t="str">
        <v/>
      </c>
      <c r="F50" s="257" t="str">
        <v/>
      </c>
      <c r="G50" s="18" t="str">
        <v/>
      </c>
      <c r="H50" s="1" t="str">
        <v/>
      </c>
      <c r="I50" s="13" t="str">
        <f t="shared" si="0"/>
        <v/>
      </c>
      <c r="J50" t="str">
        <v/>
      </c>
      <c r="K50" s="259" t="str">
        <f t="shared" si="1"/>
        <v/>
      </c>
    </row>
    <row r="51" spans="1:11" ht="16" x14ac:dyDescent="0.2">
      <c r="A51" t="str">
        <v/>
      </c>
      <c r="F51" s="257" t="str">
        <v/>
      </c>
      <c r="G51" s="18" t="str">
        <v/>
      </c>
      <c r="H51" s="1" t="str">
        <v/>
      </c>
      <c r="I51" s="13" t="str">
        <f t="shared" si="0"/>
        <v/>
      </c>
      <c r="J51" t="str">
        <v/>
      </c>
      <c r="K51" s="259" t="str">
        <f t="shared" si="1"/>
        <v/>
      </c>
    </row>
    <row r="52" spans="1:11" ht="16" x14ac:dyDescent="0.2">
      <c r="A52" t="str">
        <v/>
      </c>
      <c r="F52" s="257" t="str">
        <v/>
      </c>
      <c r="G52" s="18" t="str">
        <v/>
      </c>
      <c r="H52" s="1" t="str">
        <v/>
      </c>
      <c r="I52" s="13" t="str">
        <f t="shared" si="0"/>
        <v/>
      </c>
      <c r="J52" t="str">
        <v/>
      </c>
      <c r="K52" s="259" t="str">
        <f t="shared" si="1"/>
        <v/>
      </c>
    </row>
    <row r="53" spans="1:11" ht="16" x14ac:dyDescent="0.2">
      <c r="A53" t="str">
        <v/>
      </c>
      <c r="F53" s="257" t="str">
        <v/>
      </c>
      <c r="G53" s="18" t="str">
        <v/>
      </c>
      <c r="H53" s="1" t="str">
        <v/>
      </c>
      <c r="I53" s="13" t="str">
        <f t="shared" si="0"/>
        <v/>
      </c>
      <c r="J53" t="str">
        <v/>
      </c>
      <c r="K53" s="259" t="str">
        <f t="shared" si="1"/>
        <v/>
      </c>
    </row>
    <row r="54" spans="1:11" ht="16" x14ac:dyDescent="0.2">
      <c r="A54" t="str">
        <v/>
      </c>
      <c r="F54" s="257" t="str">
        <v/>
      </c>
      <c r="G54" s="18" t="str">
        <v/>
      </c>
      <c r="H54" s="1" t="str">
        <v/>
      </c>
      <c r="I54" s="13" t="str">
        <f t="shared" si="0"/>
        <v/>
      </c>
      <c r="J54" t="str">
        <v/>
      </c>
      <c r="K54" s="259" t="str">
        <f t="shared" si="1"/>
        <v/>
      </c>
    </row>
    <row r="55" spans="1:11" ht="16" x14ac:dyDescent="0.2">
      <c r="A55" t="str">
        <v/>
      </c>
      <c r="F55" s="257" t="str">
        <v/>
      </c>
      <c r="G55" s="18" t="str">
        <v/>
      </c>
      <c r="H55" s="1" t="str">
        <v/>
      </c>
      <c r="I55" s="13" t="str">
        <f t="shared" si="0"/>
        <v/>
      </c>
      <c r="J55" t="str">
        <v/>
      </c>
      <c r="K55" s="259" t="str">
        <f t="shared" si="1"/>
        <v/>
      </c>
    </row>
    <row r="56" spans="1:11" ht="16" x14ac:dyDescent="0.2">
      <c r="A56" t="str">
        <v/>
      </c>
      <c r="F56" s="257" t="str">
        <v/>
      </c>
      <c r="G56" s="18" t="str">
        <v/>
      </c>
      <c r="H56" s="1" t="str">
        <v/>
      </c>
      <c r="I56" s="13" t="str">
        <f t="shared" si="0"/>
        <v/>
      </c>
      <c r="J56" t="str">
        <v/>
      </c>
      <c r="K56" s="259" t="str">
        <f t="shared" si="1"/>
        <v/>
      </c>
    </row>
    <row r="57" spans="1:11" ht="16" x14ac:dyDescent="0.2">
      <c r="A57" t="str">
        <v/>
      </c>
      <c r="F57" s="257" t="str">
        <v/>
      </c>
      <c r="G57" s="18" t="str">
        <v/>
      </c>
      <c r="H57" s="1" t="str">
        <v/>
      </c>
      <c r="I57" s="13" t="str">
        <f t="shared" si="0"/>
        <v/>
      </c>
      <c r="J57" t="str">
        <v/>
      </c>
      <c r="K57" s="259" t="str">
        <f t="shared" si="1"/>
        <v/>
      </c>
    </row>
    <row r="58" spans="1:11" ht="16" x14ac:dyDescent="0.2">
      <c r="A58" t="str">
        <v/>
      </c>
      <c r="F58" s="257" t="str">
        <v/>
      </c>
      <c r="G58" s="18" t="str">
        <v/>
      </c>
      <c r="H58" s="1" t="str">
        <v/>
      </c>
      <c r="I58" s="13" t="str">
        <f>IF(F58&lt;&gt;"",(F58*H58),"")</f>
        <v/>
      </c>
      <c r="J58" t="str">
        <v/>
      </c>
      <c r="K58" s="259" t="str">
        <f t="shared" si="1"/>
        <v/>
      </c>
    </row>
    <row r="59" spans="1:11" ht="16" x14ac:dyDescent="0.2">
      <c r="A59" t="str">
        <v/>
      </c>
      <c r="F59" s="257" t="str">
        <v/>
      </c>
      <c r="G59" s="18" t="str">
        <v/>
      </c>
      <c r="H59" s="1" t="str">
        <v/>
      </c>
      <c r="I59" s="13" t="str">
        <f t="shared" ref="I59:I69" si="2">IF(F59&lt;&gt;"",(F59*H59),"")</f>
        <v/>
      </c>
      <c r="J59" t="str">
        <v/>
      </c>
      <c r="K59" s="259" t="str">
        <f t="shared" si="1"/>
        <v/>
      </c>
    </row>
    <row r="60" spans="1:11" ht="16" x14ac:dyDescent="0.2">
      <c r="A60" t="str">
        <v/>
      </c>
      <c r="F60" s="257" t="str">
        <v/>
      </c>
      <c r="G60" s="18" t="str">
        <v/>
      </c>
      <c r="H60" s="1" t="str">
        <v/>
      </c>
      <c r="I60" s="13" t="str">
        <f t="shared" si="2"/>
        <v/>
      </c>
      <c r="J60" t="str">
        <v/>
      </c>
      <c r="K60" s="259" t="str">
        <f t="shared" si="1"/>
        <v/>
      </c>
    </row>
    <row r="61" spans="1:11" ht="16" x14ac:dyDescent="0.2">
      <c r="A61" t="str">
        <v/>
      </c>
      <c r="F61" s="257" t="str">
        <v/>
      </c>
      <c r="G61" s="18" t="str">
        <v/>
      </c>
      <c r="H61" s="1" t="str">
        <v/>
      </c>
      <c r="I61" s="13" t="str">
        <f t="shared" si="2"/>
        <v/>
      </c>
      <c r="J61" t="str">
        <v/>
      </c>
      <c r="K61" s="259" t="str">
        <f t="shared" si="1"/>
        <v/>
      </c>
    </row>
    <row r="62" spans="1:11" ht="16" x14ac:dyDescent="0.2">
      <c r="A62" t="str">
        <v/>
      </c>
      <c r="F62" s="257" t="str">
        <v/>
      </c>
      <c r="G62" s="18" t="str">
        <v/>
      </c>
      <c r="H62" s="1" t="str">
        <v/>
      </c>
      <c r="I62" s="13" t="str">
        <f t="shared" si="2"/>
        <v/>
      </c>
      <c r="J62" t="str">
        <v/>
      </c>
      <c r="K62" s="259" t="str">
        <f t="shared" si="1"/>
        <v/>
      </c>
    </row>
    <row r="63" spans="1:11" ht="16" x14ac:dyDescent="0.2">
      <c r="A63" t="str">
        <v/>
      </c>
      <c r="F63" s="257" t="str">
        <v/>
      </c>
      <c r="G63" s="18" t="str">
        <v/>
      </c>
      <c r="H63" s="1" t="str">
        <v/>
      </c>
      <c r="I63" s="13" t="str">
        <f t="shared" si="2"/>
        <v/>
      </c>
      <c r="J63" t="str">
        <v/>
      </c>
      <c r="K63" s="259" t="str">
        <f t="shared" si="1"/>
        <v/>
      </c>
    </row>
    <row r="64" spans="1:11" ht="16" x14ac:dyDescent="0.2">
      <c r="A64" t="str">
        <v/>
      </c>
      <c r="F64" s="257" t="str">
        <v/>
      </c>
      <c r="G64" s="18" t="str">
        <v/>
      </c>
      <c r="H64" s="1" t="str">
        <v/>
      </c>
      <c r="I64" s="13" t="str">
        <f t="shared" si="2"/>
        <v/>
      </c>
      <c r="J64" t="str">
        <v/>
      </c>
      <c r="K64" s="259" t="str">
        <f t="shared" si="1"/>
        <v/>
      </c>
    </row>
    <row r="65" spans="1:26" ht="16" x14ac:dyDescent="0.2">
      <c r="A65" t="str">
        <v/>
      </c>
      <c r="F65" s="257" t="str">
        <v/>
      </c>
      <c r="G65" s="18" t="str">
        <v/>
      </c>
      <c r="H65" s="1" t="str">
        <v/>
      </c>
      <c r="I65" s="13" t="str">
        <f t="shared" si="2"/>
        <v/>
      </c>
      <c r="J65" t="str">
        <v/>
      </c>
      <c r="K65" s="259" t="str">
        <f t="shared" si="1"/>
        <v/>
      </c>
    </row>
    <row r="66" spans="1:26" ht="16" x14ac:dyDescent="0.2">
      <c r="A66" t="str">
        <v/>
      </c>
      <c r="F66" s="257" t="str">
        <v/>
      </c>
      <c r="G66" s="18" t="str">
        <v/>
      </c>
      <c r="H66" s="1" t="str">
        <v/>
      </c>
      <c r="I66" s="13" t="str">
        <f t="shared" si="2"/>
        <v/>
      </c>
      <c r="J66" t="str">
        <v/>
      </c>
      <c r="K66" s="259" t="str">
        <f t="shared" si="1"/>
        <v/>
      </c>
    </row>
    <row r="67" spans="1:26" ht="16" x14ac:dyDescent="0.2">
      <c r="A67" t="str">
        <v/>
      </c>
      <c r="F67" s="257" t="str">
        <v/>
      </c>
      <c r="G67" s="18" t="str">
        <v/>
      </c>
      <c r="H67" s="1" t="str">
        <v/>
      </c>
      <c r="I67" s="13" t="str">
        <f t="shared" si="2"/>
        <v/>
      </c>
      <c r="J67" t="str">
        <v/>
      </c>
      <c r="K67" s="259" t="str">
        <f t="shared" si="1"/>
        <v/>
      </c>
    </row>
    <row r="68" spans="1:26" ht="16" x14ac:dyDescent="0.2">
      <c r="A68" t="str">
        <v/>
      </c>
      <c r="F68" s="257" t="str">
        <v/>
      </c>
      <c r="G68" s="18" t="str">
        <v/>
      </c>
      <c r="H68" s="1" t="str">
        <v/>
      </c>
      <c r="I68" s="13" t="str">
        <f t="shared" si="2"/>
        <v/>
      </c>
      <c r="J68" t="str">
        <v/>
      </c>
      <c r="K68" s="259" t="str">
        <f t="shared" si="1"/>
        <v/>
      </c>
    </row>
    <row r="69" spans="1:26" ht="16" x14ac:dyDescent="0.2">
      <c r="A69" t="str">
        <v/>
      </c>
      <c r="F69" s="257" t="str">
        <v/>
      </c>
      <c r="G69" s="20" t="str">
        <v/>
      </c>
      <c r="H69" s="19" t="str">
        <v/>
      </c>
      <c r="I69" s="13" t="str">
        <f t="shared" si="2"/>
        <v/>
      </c>
      <c r="J69" t="str">
        <v/>
      </c>
      <c r="K69" s="259" t="str">
        <f t="shared" si="1"/>
        <v/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6" x14ac:dyDescent="0.2">
      <c r="G70" s="19"/>
      <c r="H70" s="19"/>
      <c r="I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6" x14ac:dyDescent="0.2"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6" x14ac:dyDescent="0.2"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6" x14ac:dyDescent="0.2">
      <c r="G73" s="1"/>
      <c r="H73" s="1"/>
      <c r="J73" s="1"/>
    </row>
    <row r="74" spans="1:26" ht="16" x14ac:dyDescent="0.2">
      <c r="G74" s="1"/>
      <c r="H74" s="1"/>
      <c r="J74" s="1"/>
    </row>
    <row r="75" spans="1:26" ht="16" x14ac:dyDescent="0.2">
      <c r="G75" s="1"/>
      <c r="H75" s="1"/>
      <c r="J75" s="1"/>
      <c r="K75" s="4"/>
      <c r="L75" s="4"/>
    </row>
    <row r="76" spans="1:26" ht="16" x14ac:dyDescent="0.2">
      <c r="K76" s="4"/>
      <c r="L76" s="4"/>
    </row>
    <row r="77" spans="1:26" ht="16" x14ac:dyDescent="0.2">
      <c r="K77" s="4"/>
      <c r="L77" s="4"/>
    </row>
    <row r="78" spans="1:26" ht="16" x14ac:dyDescent="0.2">
      <c r="K78" s="4"/>
      <c r="L78" s="4"/>
    </row>
    <row r="79" spans="1:26" ht="16" x14ac:dyDescent="0.2">
      <c r="K79" s="4"/>
      <c r="L79" s="4"/>
    </row>
    <row r="80" spans="1:26" ht="16" x14ac:dyDescent="0.2"/>
    <row r="81" spans="1:5" ht="16" x14ac:dyDescent="0.2"/>
    <row r="82" spans="1:5" ht="16" x14ac:dyDescent="0.2"/>
    <row r="83" spans="1:5" ht="16" x14ac:dyDescent="0.2"/>
    <row r="84" spans="1:5" ht="16" x14ac:dyDescent="0.2"/>
    <row r="85" spans="1:5" ht="16" x14ac:dyDescent="0.2"/>
    <row r="86" spans="1:5" ht="16" x14ac:dyDescent="0.2"/>
    <row r="87" spans="1:5" ht="16" x14ac:dyDescent="0.2"/>
    <row r="88" spans="1:5" ht="16" x14ac:dyDescent="0.2"/>
    <row r="89" spans="1:5" ht="16" x14ac:dyDescent="0.2"/>
    <row r="90" spans="1:5" ht="16" x14ac:dyDescent="0.2"/>
    <row r="91" spans="1:5" ht="16" x14ac:dyDescent="0.2"/>
    <row r="92" spans="1:5" ht="16" x14ac:dyDescent="0.2">
      <c r="A92" s="262"/>
      <c r="B92" s="263"/>
      <c r="C92" s="263"/>
      <c r="D92" s="263"/>
      <c r="E92" s="263"/>
    </row>
    <row r="93" spans="1:5" ht="16" x14ac:dyDescent="0.2">
      <c r="A93" s="263"/>
      <c r="B93" s="263"/>
      <c r="C93" s="263"/>
      <c r="D93" s="263"/>
      <c r="E93" s="263"/>
    </row>
    <row r="94" spans="1:5" ht="128" customHeight="1" x14ac:dyDescent="0.2">
      <c r="A94" s="263"/>
      <c r="B94" s="263"/>
      <c r="C94" s="263"/>
      <c r="D94" s="263"/>
      <c r="E94" s="263"/>
    </row>
    <row r="95" spans="1:5" ht="16" x14ac:dyDescent="0.2"/>
    <row r="96" spans="1:5" ht="16" x14ac:dyDescent="0.2"/>
    <row r="97" ht="16" x14ac:dyDescent="0.2"/>
    <row r="98" ht="16" x14ac:dyDescent="0.2"/>
    <row r="99" ht="16" x14ac:dyDescent="0.2"/>
    <row r="100" ht="16" x14ac:dyDescent="0.2"/>
    <row r="101" ht="16" x14ac:dyDescent="0.2"/>
    <row r="102" ht="16" x14ac:dyDescent="0.2"/>
    <row r="103" ht="16" x14ac:dyDescent="0.2"/>
    <row r="104" ht="16" x14ac:dyDescent="0.2"/>
    <row r="105" ht="16" x14ac:dyDescent="0.2"/>
    <row r="106" ht="16" x14ac:dyDescent="0.2"/>
    <row r="107" ht="16" x14ac:dyDescent="0.2"/>
    <row r="108" ht="16" x14ac:dyDescent="0.2"/>
    <row r="109" ht="16" x14ac:dyDescent="0.2"/>
    <row r="110" ht="16" x14ac:dyDescent="0.2"/>
    <row r="111" ht="16" x14ac:dyDescent="0.2"/>
    <row r="112" ht="16" x14ac:dyDescent="0.2"/>
    <row r="113" spans="6:6" ht="16" x14ac:dyDescent="0.2"/>
    <row r="114" spans="6:6" ht="16" x14ac:dyDescent="0.2"/>
    <row r="115" spans="6:6" ht="16" x14ac:dyDescent="0.2"/>
    <row r="116" spans="6:6" ht="16" x14ac:dyDescent="0.2"/>
    <row r="117" spans="6:6" ht="16" x14ac:dyDescent="0.2">
      <c r="F117" s="254"/>
    </row>
    <row r="118" spans="6:6" ht="16" x14ac:dyDescent="0.2">
      <c r="F118" s="254"/>
    </row>
    <row r="119" spans="6:6" ht="16" x14ac:dyDescent="0.2">
      <c r="F119" s="254"/>
    </row>
    <row r="120" spans="6:6" ht="16" x14ac:dyDescent="0.2">
      <c r="F120" s="254"/>
    </row>
    <row r="121" spans="6:6" ht="16" x14ac:dyDescent="0.2">
      <c r="F121" s="254"/>
    </row>
    <row r="122" spans="6:6" ht="16" x14ac:dyDescent="0.2">
      <c r="F122" s="254"/>
    </row>
    <row r="123" spans="6:6" ht="16" x14ac:dyDescent="0.2">
      <c r="F123" s="254"/>
    </row>
    <row r="124" spans="6:6" ht="16" x14ac:dyDescent="0.2">
      <c r="F124" s="254"/>
    </row>
    <row r="125" spans="6:6" ht="16" x14ac:dyDescent="0.2">
      <c r="F125" s="254"/>
    </row>
    <row r="126" spans="6:6" ht="16" x14ac:dyDescent="0.2">
      <c r="F126" s="254"/>
    </row>
    <row r="127" spans="6:6" ht="16" x14ac:dyDescent="0.2">
      <c r="F127" s="254"/>
    </row>
    <row r="128" spans="6:6" ht="16" x14ac:dyDescent="0.2">
      <c r="F128" s="254"/>
    </row>
    <row r="129" spans="6:6" ht="16" x14ac:dyDescent="0.2">
      <c r="F129" s="254"/>
    </row>
    <row r="130" spans="6:6" ht="16" x14ac:dyDescent="0.2">
      <c r="F130" s="254"/>
    </row>
    <row r="131" spans="6:6" ht="16" x14ac:dyDescent="0.2">
      <c r="F131" s="254"/>
    </row>
    <row r="132" spans="6:6" ht="16" x14ac:dyDescent="0.2">
      <c r="F132" s="254"/>
    </row>
    <row r="133" spans="6:6" ht="16" x14ac:dyDescent="0.2">
      <c r="F133" s="254"/>
    </row>
    <row r="134" spans="6:6" ht="16" x14ac:dyDescent="0.2">
      <c r="F134" s="254"/>
    </row>
    <row r="135" spans="6:6" ht="16" x14ac:dyDescent="0.2">
      <c r="F135" s="254"/>
    </row>
    <row r="136" spans="6:6" ht="16" x14ac:dyDescent="0.2">
      <c r="F136" s="254"/>
    </row>
    <row r="137" spans="6:6" ht="16" x14ac:dyDescent="0.2">
      <c r="F137" s="254"/>
    </row>
    <row r="138" spans="6:6" ht="16" x14ac:dyDescent="0.2">
      <c r="F138" s="254"/>
    </row>
    <row r="139" spans="6:6" ht="16" x14ac:dyDescent="0.2">
      <c r="F139" s="254"/>
    </row>
    <row r="140" spans="6:6" ht="16" x14ac:dyDescent="0.2">
      <c r="F140" s="254"/>
    </row>
    <row r="141" spans="6:6" ht="16" x14ac:dyDescent="0.2">
      <c r="F141" s="254"/>
    </row>
    <row r="142" spans="6:6" ht="16" x14ac:dyDescent="0.2">
      <c r="F142" s="254"/>
    </row>
    <row r="143" spans="6:6" ht="16" x14ac:dyDescent="0.2">
      <c r="F143" s="254"/>
    </row>
    <row r="144" spans="6:6" ht="16" x14ac:dyDescent="0.2">
      <c r="F144" s="254"/>
    </row>
    <row r="145" spans="6:6" ht="16" x14ac:dyDescent="0.2">
      <c r="F145" s="254"/>
    </row>
    <row r="146" spans="6:6" ht="16" x14ac:dyDescent="0.2">
      <c r="F146" s="254"/>
    </row>
    <row r="147" spans="6:6" ht="16" x14ac:dyDescent="0.2">
      <c r="F147" s="254"/>
    </row>
    <row r="148" spans="6:6" ht="16" x14ac:dyDescent="0.2">
      <c r="F148" s="254"/>
    </row>
    <row r="149" spans="6:6" ht="16" x14ac:dyDescent="0.2">
      <c r="F149" s="254"/>
    </row>
    <row r="150" spans="6:6" ht="16" x14ac:dyDescent="0.2">
      <c r="F150" s="254"/>
    </row>
    <row r="151" spans="6:6" ht="16" x14ac:dyDescent="0.2">
      <c r="F151" s="254"/>
    </row>
    <row r="152" spans="6:6" ht="16" x14ac:dyDescent="0.2">
      <c r="F152" s="254"/>
    </row>
    <row r="153" spans="6:6" ht="16" x14ac:dyDescent="0.2">
      <c r="F153" s="254"/>
    </row>
    <row r="154" spans="6:6" ht="16" x14ac:dyDescent="0.2">
      <c r="F154" s="254"/>
    </row>
    <row r="155" spans="6:6" ht="16" x14ac:dyDescent="0.2">
      <c r="F155" s="254"/>
    </row>
    <row r="156" spans="6:6" ht="16" x14ac:dyDescent="0.2">
      <c r="F156" s="254"/>
    </row>
    <row r="157" spans="6:6" ht="16" x14ac:dyDescent="0.2">
      <c r="F157" s="254"/>
    </row>
    <row r="158" spans="6:6" ht="16" x14ac:dyDescent="0.2">
      <c r="F158" s="254"/>
    </row>
    <row r="159" spans="6:6" ht="16" x14ac:dyDescent="0.2">
      <c r="F159" s="254"/>
    </row>
    <row r="160" spans="6:6" ht="16" x14ac:dyDescent="0.2">
      <c r="F160" s="254"/>
    </row>
    <row r="161" spans="6:6" ht="16" x14ac:dyDescent="0.2">
      <c r="F161" s="254"/>
    </row>
    <row r="162" spans="6:6" ht="16" x14ac:dyDescent="0.2">
      <c r="F162" s="254"/>
    </row>
    <row r="163" spans="6:6" ht="16" x14ac:dyDescent="0.2">
      <c r="F163" s="254"/>
    </row>
    <row r="164" spans="6:6" ht="16" x14ac:dyDescent="0.2">
      <c r="F164" s="254"/>
    </row>
    <row r="165" spans="6:6" ht="16" x14ac:dyDescent="0.2">
      <c r="F165" s="254"/>
    </row>
    <row r="166" spans="6:6" ht="16" x14ac:dyDescent="0.2">
      <c r="F166" s="254"/>
    </row>
    <row r="167" spans="6:6" ht="16" x14ac:dyDescent="0.2">
      <c r="F167" s="254"/>
    </row>
    <row r="168" spans="6:6" ht="16" x14ac:dyDescent="0.2">
      <c r="F168" s="254"/>
    </row>
    <row r="169" spans="6:6" ht="16" x14ac:dyDescent="0.2">
      <c r="F169" s="254"/>
    </row>
    <row r="170" spans="6:6" ht="16" x14ac:dyDescent="0.2">
      <c r="F170" s="254"/>
    </row>
    <row r="171" spans="6:6" ht="16" x14ac:dyDescent="0.2">
      <c r="F171" s="254"/>
    </row>
    <row r="172" spans="6:6" ht="16" x14ac:dyDescent="0.2">
      <c r="F172" s="254"/>
    </row>
    <row r="173" spans="6:6" ht="16" x14ac:dyDescent="0.2">
      <c r="F173" s="254"/>
    </row>
    <row r="174" spans="6:6" ht="16" x14ac:dyDescent="0.2">
      <c r="F174" s="254"/>
    </row>
    <row r="175" spans="6:6" ht="16" x14ac:dyDescent="0.2">
      <c r="F175" s="254"/>
    </row>
    <row r="176" spans="6:6" ht="16" x14ac:dyDescent="0.2">
      <c r="F176" s="254"/>
    </row>
    <row r="177" spans="6:6" ht="16" x14ac:dyDescent="0.2">
      <c r="F177" s="254"/>
    </row>
    <row r="178" spans="6:6" ht="16" x14ac:dyDescent="0.2">
      <c r="F178" s="254"/>
    </row>
    <row r="179" spans="6:6" ht="16" x14ac:dyDescent="0.2">
      <c r="F179" s="254"/>
    </row>
    <row r="180" spans="6:6" ht="16" x14ac:dyDescent="0.2">
      <c r="F180" s="254"/>
    </row>
    <row r="181" spans="6:6" ht="16" x14ac:dyDescent="0.2">
      <c r="F181" s="254"/>
    </row>
    <row r="182" spans="6:6" ht="16" x14ac:dyDescent="0.2">
      <c r="F182" s="254"/>
    </row>
    <row r="183" spans="6:6" ht="16" x14ac:dyDescent="0.2">
      <c r="F183" s="254"/>
    </row>
    <row r="184" spans="6:6" ht="16" x14ac:dyDescent="0.2">
      <c r="F184" s="254"/>
    </row>
    <row r="185" spans="6:6" ht="16" x14ac:dyDescent="0.2">
      <c r="F185" s="254"/>
    </row>
    <row r="186" spans="6:6" ht="16" x14ac:dyDescent="0.2">
      <c r="F186" s="254"/>
    </row>
    <row r="187" spans="6:6" ht="16" x14ac:dyDescent="0.2">
      <c r="F187" s="254"/>
    </row>
    <row r="188" spans="6:6" ht="16" x14ac:dyDescent="0.2">
      <c r="F188" s="254"/>
    </row>
    <row r="189" spans="6:6" ht="16" x14ac:dyDescent="0.2">
      <c r="F189" s="254"/>
    </row>
    <row r="190" spans="6:6" ht="16" x14ac:dyDescent="0.2">
      <c r="F190" s="254"/>
    </row>
    <row r="191" spans="6:6" ht="16" x14ac:dyDescent="0.2">
      <c r="F191" s="254"/>
    </row>
    <row r="192" spans="6:6" ht="16" x14ac:dyDescent="0.2">
      <c r="F192" s="254"/>
    </row>
    <row r="193" spans="6:6" ht="16" x14ac:dyDescent="0.2">
      <c r="F193" s="254"/>
    </row>
    <row r="194" spans="6:6" ht="16" x14ac:dyDescent="0.2">
      <c r="F194" s="254"/>
    </row>
    <row r="195" spans="6:6" ht="16" x14ac:dyDescent="0.2">
      <c r="F195" s="254"/>
    </row>
    <row r="196" spans="6:6" ht="16" x14ac:dyDescent="0.2">
      <c r="F196" s="254"/>
    </row>
    <row r="197" spans="6:6" ht="16" x14ac:dyDescent="0.2">
      <c r="F197" s="254"/>
    </row>
    <row r="198" spans="6:6" ht="16" x14ac:dyDescent="0.2">
      <c r="F198" s="254"/>
    </row>
    <row r="199" spans="6:6" ht="16" x14ac:dyDescent="0.2">
      <c r="F199" s="254"/>
    </row>
    <row r="200" spans="6:6" ht="16" x14ac:dyDescent="0.2">
      <c r="F200" s="254"/>
    </row>
    <row r="201" spans="6:6" ht="16" x14ac:dyDescent="0.2">
      <c r="F201" s="254"/>
    </row>
    <row r="202" spans="6:6" ht="16" x14ac:dyDescent="0.2">
      <c r="F202" s="254"/>
    </row>
    <row r="203" spans="6:6" ht="16" x14ac:dyDescent="0.2">
      <c r="F203" s="254"/>
    </row>
    <row r="204" spans="6:6" ht="16" x14ac:dyDescent="0.2">
      <c r="F204" s="254"/>
    </row>
    <row r="205" spans="6:6" ht="16" x14ac:dyDescent="0.2">
      <c r="F205" s="254"/>
    </row>
    <row r="206" spans="6:6" ht="16" x14ac:dyDescent="0.2">
      <c r="F206" s="254"/>
    </row>
    <row r="207" spans="6:6" ht="16" x14ac:dyDescent="0.2">
      <c r="F207" s="254"/>
    </row>
    <row r="208" spans="6:6" ht="16" x14ac:dyDescent="0.2">
      <c r="F208" s="254"/>
    </row>
    <row r="209" spans="6:6" ht="16" x14ac:dyDescent="0.2">
      <c r="F209" s="254"/>
    </row>
    <row r="210" spans="6:6" ht="16" x14ac:dyDescent="0.2">
      <c r="F210" s="254"/>
    </row>
    <row r="211" spans="6:6" ht="16" x14ac:dyDescent="0.2">
      <c r="F211" s="254"/>
    </row>
    <row r="212" spans="6:6" ht="16" x14ac:dyDescent="0.2">
      <c r="F212" s="254"/>
    </row>
    <row r="213" spans="6:6" ht="16" x14ac:dyDescent="0.2">
      <c r="F213" s="254"/>
    </row>
    <row r="214" spans="6:6" ht="16" x14ac:dyDescent="0.2">
      <c r="F214" s="254"/>
    </row>
    <row r="215" spans="6:6" ht="16" x14ac:dyDescent="0.2">
      <c r="F215" s="254"/>
    </row>
    <row r="216" spans="6:6" ht="16" x14ac:dyDescent="0.2">
      <c r="F216" s="254"/>
    </row>
    <row r="217" spans="6:6" ht="16" x14ac:dyDescent="0.2">
      <c r="F217" s="254"/>
    </row>
    <row r="218" spans="6:6" ht="16" x14ac:dyDescent="0.2">
      <c r="F218" s="254"/>
    </row>
    <row r="219" spans="6:6" ht="16" x14ac:dyDescent="0.2">
      <c r="F219" s="254"/>
    </row>
    <row r="220" spans="6:6" ht="16" x14ac:dyDescent="0.2">
      <c r="F220" s="254"/>
    </row>
    <row r="221" spans="6:6" ht="16" x14ac:dyDescent="0.2">
      <c r="F221" s="254"/>
    </row>
    <row r="222" spans="6:6" ht="16" x14ac:dyDescent="0.2">
      <c r="F222" s="254"/>
    </row>
    <row r="223" spans="6:6" ht="16" x14ac:dyDescent="0.2">
      <c r="F223" s="254"/>
    </row>
    <row r="224" spans="6:6" ht="16" x14ac:dyDescent="0.2">
      <c r="F224" s="254"/>
    </row>
    <row r="225" spans="6:6" ht="16" x14ac:dyDescent="0.2">
      <c r="F225" s="254"/>
    </row>
    <row r="226" spans="6:6" ht="16" x14ac:dyDescent="0.2">
      <c r="F226" s="254"/>
    </row>
    <row r="227" spans="6:6" ht="16" x14ac:dyDescent="0.2">
      <c r="F227" s="254"/>
    </row>
    <row r="228" spans="6:6" ht="16" x14ac:dyDescent="0.2">
      <c r="F228" s="254"/>
    </row>
    <row r="229" spans="6:6" ht="16" x14ac:dyDescent="0.2">
      <c r="F229" s="254"/>
    </row>
    <row r="230" spans="6:6" ht="16" x14ac:dyDescent="0.2">
      <c r="F230" s="254"/>
    </row>
    <row r="231" spans="6:6" ht="16" x14ac:dyDescent="0.2">
      <c r="F231" s="254"/>
    </row>
    <row r="232" spans="6:6" ht="16" x14ac:dyDescent="0.2">
      <c r="F232" s="254"/>
    </row>
    <row r="233" spans="6:6" ht="16" x14ac:dyDescent="0.2">
      <c r="F233" s="254"/>
    </row>
    <row r="234" spans="6:6" ht="16" x14ac:dyDescent="0.2">
      <c r="F234" s="254"/>
    </row>
    <row r="235" spans="6:6" ht="16" x14ac:dyDescent="0.2">
      <c r="F235" s="254"/>
    </row>
    <row r="236" spans="6:6" ht="16" x14ac:dyDescent="0.2">
      <c r="F236" s="254"/>
    </row>
    <row r="237" spans="6:6" ht="16" x14ac:dyDescent="0.2">
      <c r="F237" s="254"/>
    </row>
    <row r="238" spans="6:6" ht="16" x14ac:dyDescent="0.2">
      <c r="F238" s="254"/>
    </row>
    <row r="239" spans="6:6" ht="16" x14ac:dyDescent="0.2">
      <c r="F239" s="254"/>
    </row>
    <row r="240" spans="6:6" ht="16" x14ac:dyDescent="0.2">
      <c r="F240" s="254"/>
    </row>
    <row r="241" spans="6:6" ht="16" x14ac:dyDescent="0.2">
      <c r="F241" s="254"/>
    </row>
    <row r="242" spans="6:6" ht="16" x14ac:dyDescent="0.2">
      <c r="F242" s="254"/>
    </row>
    <row r="243" spans="6:6" ht="16" x14ac:dyDescent="0.2">
      <c r="F243" s="254"/>
    </row>
    <row r="244" spans="6:6" ht="16" x14ac:dyDescent="0.2">
      <c r="F244" s="254"/>
    </row>
    <row r="245" spans="6:6" ht="16" x14ac:dyDescent="0.2">
      <c r="F245" s="254"/>
    </row>
    <row r="246" spans="6:6" ht="16" x14ac:dyDescent="0.2">
      <c r="F246" s="254"/>
    </row>
    <row r="247" spans="6:6" ht="16" x14ac:dyDescent="0.2">
      <c r="F247" s="254"/>
    </row>
    <row r="248" spans="6:6" ht="16" x14ac:dyDescent="0.2">
      <c r="F248" s="254"/>
    </row>
    <row r="249" spans="6:6" ht="16" x14ac:dyDescent="0.2">
      <c r="F249" s="254"/>
    </row>
    <row r="250" spans="6:6" ht="16" x14ac:dyDescent="0.2">
      <c r="F250" s="254"/>
    </row>
    <row r="251" spans="6:6" ht="16" x14ac:dyDescent="0.2">
      <c r="F251" s="254"/>
    </row>
    <row r="252" spans="6:6" ht="16" x14ac:dyDescent="0.2">
      <c r="F252" s="254"/>
    </row>
    <row r="253" spans="6:6" ht="16" x14ac:dyDescent="0.2">
      <c r="F253" s="254"/>
    </row>
    <row r="254" spans="6:6" ht="16" x14ac:dyDescent="0.2">
      <c r="F254" s="254"/>
    </row>
    <row r="255" spans="6:6" ht="16" x14ac:dyDescent="0.2">
      <c r="F255" s="254"/>
    </row>
    <row r="256" spans="6:6" ht="16" x14ac:dyDescent="0.2">
      <c r="F256" s="254"/>
    </row>
    <row r="257" spans="6:6" ht="16" x14ac:dyDescent="0.2">
      <c r="F257" s="254"/>
    </row>
    <row r="258" spans="6:6" ht="16" x14ac:dyDescent="0.2">
      <c r="F258" s="254"/>
    </row>
    <row r="259" spans="6:6" ht="16" x14ac:dyDescent="0.2">
      <c r="F259" s="254"/>
    </row>
    <row r="260" spans="6:6" ht="16" x14ac:dyDescent="0.2">
      <c r="F260" s="254"/>
    </row>
    <row r="261" spans="6:6" ht="16" x14ac:dyDescent="0.2">
      <c r="F261" s="254"/>
    </row>
    <row r="262" spans="6:6" ht="16" x14ac:dyDescent="0.2">
      <c r="F262" s="254"/>
    </row>
    <row r="263" spans="6:6" ht="16" x14ac:dyDescent="0.2">
      <c r="F263" s="254"/>
    </row>
    <row r="264" spans="6:6" ht="16" x14ac:dyDescent="0.2">
      <c r="F264" s="254"/>
    </row>
    <row r="265" spans="6:6" ht="16" x14ac:dyDescent="0.2">
      <c r="F265" s="254"/>
    </row>
    <row r="266" spans="6:6" ht="16" x14ac:dyDescent="0.2">
      <c r="F266" s="254"/>
    </row>
    <row r="267" spans="6:6" ht="16" x14ac:dyDescent="0.2">
      <c r="F267" s="254"/>
    </row>
    <row r="268" spans="6:6" ht="16" x14ac:dyDescent="0.2">
      <c r="F268" s="254"/>
    </row>
    <row r="269" spans="6:6" ht="16" x14ac:dyDescent="0.2">
      <c r="F269" s="254"/>
    </row>
    <row r="270" spans="6:6" ht="16" x14ac:dyDescent="0.2">
      <c r="F270" s="254"/>
    </row>
    <row r="271" spans="6:6" ht="16" x14ac:dyDescent="0.2">
      <c r="F271" s="254"/>
    </row>
    <row r="272" spans="6:6" ht="16" x14ac:dyDescent="0.2">
      <c r="F272" s="254"/>
    </row>
    <row r="273" spans="6:6" ht="16" x14ac:dyDescent="0.2">
      <c r="F273" s="254"/>
    </row>
    <row r="274" spans="6:6" ht="16" x14ac:dyDescent="0.2">
      <c r="F274" s="254"/>
    </row>
    <row r="275" spans="6:6" ht="16" x14ac:dyDescent="0.2">
      <c r="F275" s="254"/>
    </row>
    <row r="276" spans="6:6" ht="16" x14ac:dyDescent="0.2">
      <c r="F276" s="254"/>
    </row>
    <row r="277" spans="6:6" ht="16" x14ac:dyDescent="0.2">
      <c r="F277" s="254"/>
    </row>
    <row r="278" spans="6:6" ht="16" x14ac:dyDescent="0.2">
      <c r="F278" s="254"/>
    </row>
    <row r="279" spans="6:6" ht="16" x14ac:dyDescent="0.2">
      <c r="F279" s="254"/>
    </row>
    <row r="280" spans="6:6" ht="16" x14ac:dyDescent="0.2">
      <c r="F280" s="254"/>
    </row>
    <row r="281" spans="6:6" ht="16" x14ac:dyDescent="0.2">
      <c r="F281" s="254"/>
    </row>
    <row r="282" spans="6:6" ht="16" x14ac:dyDescent="0.2">
      <c r="F282" s="254"/>
    </row>
    <row r="283" spans="6:6" ht="16" x14ac:dyDescent="0.2">
      <c r="F283" s="254"/>
    </row>
    <row r="284" spans="6:6" ht="16" x14ac:dyDescent="0.2">
      <c r="F284" s="254"/>
    </row>
    <row r="285" spans="6:6" ht="16" x14ac:dyDescent="0.2">
      <c r="F285" s="254"/>
    </row>
    <row r="286" spans="6:6" ht="16" x14ac:dyDescent="0.2">
      <c r="F286" s="254"/>
    </row>
    <row r="287" spans="6:6" ht="16" x14ac:dyDescent="0.2">
      <c r="F287" s="254"/>
    </row>
    <row r="288" spans="6:6" ht="16" x14ac:dyDescent="0.2">
      <c r="F288" s="254"/>
    </row>
    <row r="289" spans="6:6" ht="16" x14ac:dyDescent="0.2">
      <c r="F289" s="254"/>
    </row>
    <row r="290" spans="6:6" ht="16" x14ac:dyDescent="0.2">
      <c r="F290" s="254"/>
    </row>
    <row r="291" spans="6:6" ht="16" x14ac:dyDescent="0.2">
      <c r="F291" s="254"/>
    </row>
    <row r="292" spans="6:6" ht="16" x14ac:dyDescent="0.2">
      <c r="F292" s="254"/>
    </row>
    <row r="293" spans="6:6" ht="16" x14ac:dyDescent="0.2">
      <c r="F293" s="254"/>
    </row>
    <row r="294" spans="6:6" ht="16" x14ac:dyDescent="0.2">
      <c r="F294" s="254"/>
    </row>
    <row r="295" spans="6:6" ht="16" x14ac:dyDescent="0.2">
      <c r="F295" s="254"/>
    </row>
    <row r="296" spans="6:6" ht="16" x14ac:dyDescent="0.2">
      <c r="F296" s="254"/>
    </row>
    <row r="297" spans="6:6" ht="16" x14ac:dyDescent="0.2">
      <c r="F297" s="254"/>
    </row>
    <row r="298" spans="6:6" ht="16" x14ac:dyDescent="0.2">
      <c r="F298" s="254"/>
    </row>
    <row r="299" spans="6:6" ht="16" x14ac:dyDescent="0.2">
      <c r="F299" s="254"/>
    </row>
    <row r="300" spans="6:6" ht="16" x14ac:dyDescent="0.2">
      <c r="F300" s="254"/>
    </row>
    <row r="301" spans="6:6" ht="16" x14ac:dyDescent="0.2">
      <c r="F301" s="254"/>
    </row>
    <row r="302" spans="6:6" ht="16" x14ac:dyDescent="0.2">
      <c r="F302" s="254"/>
    </row>
    <row r="303" spans="6:6" ht="16" x14ac:dyDescent="0.2">
      <c r="F303" s="254"/>
    </row>
    <row r="304" spans="6:6" ht="16" x14ac:dyDescent="0.2">
      <c r="F304" s="254"/>
    </row>
    <row r="305" spans="6:6" ht="16" x14ac:dyDescent="0.2">
      <c r="F305" s="254"/>
    </row>
    <row r="306" spans="6:6" ht="16" x14ac:dyDescent="0.2">
      <c r="F306" s="254"/>
    </row>
    <row r="307" spans="6:6" ht="16" x14ac:dyDescent="0.2">
      <c r="F307" s="254"/>
    </row>
    <row r="308" spans="6:6" ht="16" x14ac:dyDescent="0.2">
      <c r="F308" s="254"/>
    </row>
    <row r="309" spans="6:6" ht="16" x14ac:dyDescent="0.2">
      <c r="F309" s="254"/>
    </row>
    <row r="310" spans="6:6" ht="16" x14ac:dyDescent="0.2">
      <c r="F310" s="254"/>
    </row>
    <row r="311" spans="6:6" ht="16" x14ac:dyDescent="0.2">
      <c r="F311" s="254"/>
    </row>
    <row r="312" spans="6:6" ht="16" x14ac:dyDescent="0.2">
      <c r="F312" s="254"/>
    </row>
    <row r="313" spans="6:6" ht="16" x14ac:dyDescent="0.2">
      <c r="F313" s="254"/>
    </row>
    <row r="314" spans="6:6" ht="16" x14ac:dyDescent="0.2">
      <c r="F314" s="254"/>
    </row>
    <row r="315" spans="6:6" ht="16" x14ac:dyDescent="0.2">
      <c r="F315" s="254"/>
    </row>
    <row r="316" spans="6:6" ht="16" x14ac:dyDescent="0.2">
      <c r="F316" s="254"/>
    </row>
    <row r="317" spans="6:6" ht="16" x14ac:dyDescent="0.2">
      <c r="F317" s="254"/>
    </row>
    <row r="318" spans="6:6" ht="16" x14ac:dyDescent="0.2">
      <c r="F318" s="254"/>
    </row>
    <row r="319" spans="6:6" ht="16" x14ac:dyDescent="0.2">
      <c r="F319" s="254"/>
    </row>
    <row r="320" spans="6:6" ht="16" x14ac:dyDescent="0.2">
      <c r="F320" s="254"/>
    </row>
    <row r="321" spans="6:6" ht="16" x14ac:dyDescent="0.2">
      <c r="F321" s="254"/>
    </row>
    <row r="322" spans="6:6" ht="16" x14ac:dyDescent="0.2">
      <c r="F322" s="254"/>
    </row>
    <row r="323" spans="6:6" ht="16" x14ac:dyDescent="0.2">
      <c r="F323" s="254"/>
    </row>
    <row r="324" spans="6:6" ht="16" x14ac:dyDescent="0.2">
      <c r="F324" s="254"/>
    </row>
    <row r="325" spans="6:6" ht="16" x14ac:dyDescent="0.2">
      <c r="F325" s="254"/>
    </row>
    <row r="326" spans="6:6" ht="16" x14ac:dyDescent="0.2">
      <c r="F326" s="254"/>
    </row>
    <row r="327" spans="6:6" ht="16" x14ac:dyDescent="0.2">
      <c r="F327" s="254"/>
    </row>
    <row r="328" spans="6:6" ht="16" x14ac:dyDescent="0.2">
      <c r="F328" s="254"/>
    </row>
    <row r="329" spans="6:6" ht="16" x14ac:dyDescent="0.2">
      <c r="F329" s="254"/>
    </row>
    <row r="330" spans="6:6" ht="16" x14ac:dyDescent="0.2">
      <c r="F330" s="254"/>
    </row>
    <row r="331" spans="6:6" ht="16" x14ac:dyDescent="0.2">
      <c r="F331" s="254"/>
    </row>
    <row r="332" spans="6:6" ht="16" x14ac:dyDescent="0.2">
      <c r="F332" s="254"/>
    </row>
    <row r="333" spans="6:6" ht="16" x14ac:dyDescent="0.2">
      <c r="F333" s="254"/>
    </row>
    <row r="334" spans="6:6" ht="16" x14ac:dyDescent="0.2">
      <c r="F334" s="254"/>
    </row>
    <row r="335" spans="6:6" ht="16" x14ac:dyDescent="0.2">
      <c r="F335" s="254"/>
    </row>
    <row r="336" spans="6:6" ht="16" x14ac:dyDescent="0.2">
      <c r="F336" s="254"/>
    </row>
    <row r="337" spans="6:6" ht="16" x14ac:dyDescent="0.2">
      <c r="F337" s="254"/>
    </row>
    <row r="338" spans="6:6" ht="16" x14ac:dyDescent="0.2">
      <c r="F338" s="254"/>
    </row>
    <row r="339" spans="6:6" ht="16" x14ac:dyDescent="0.2">
      <c r="F339" s="254"/>
    </row>
    <row r="340" spans="6:6" ht="16" x14ac:dyDescent="0.2">
      <c r="F340" s="254"/>
    </row>
    <row r="341" spans="6:6" ht="16" x14ac:dyDescent="0.2">
      <c r="F341" s="254"/>
    </row>
    <row r="342" spans="6:6" ht="16" x14ac:dyDescent="0.2">
      <c r="F342" s="254"/>
    </row>
    <row r="343" spans="6:6" ht="16" x14ac:dyDescent="0.2">
      <c r="F343" s="254"/>
    </row>
    <row r="344" spans="6:6" ht="16" x14ac:dyDescent="0.2">
      <c r="F344" s="254"/>
    </row>
    <row r="345" spans="6:6" ht="16" x14ac:dyDescent="0.2">
      <c r="F345" s="254"/>
    </row>
    <row r="346" spans="6:6" ht="16" x14ac:dyDescent="0.2">
      <c r="F346" s="254"/>
    </row>
    <row r="347" spans="6:6" ht="16" x14ac:dyDescent="0.2">
      <c r="F347" s="254"/>
    </row>
    <row r="348" spans="6:6" ht="16" x14ac:dyDescent="0.2">
      <c r="F348" s="254"/>
    </row>
    <row r="349" spans="6:6" ht="16" x14ac:dyDescent="0.2">
      <c r="F349" s="254"/>
    </row>
    <row r="350" spans="6:6" ht="16" x14ac:dyDescent="0.2">
      <c r="F350" s="254"/>
    </row>
    <row r="351" spans="6:6" ht="16" x14ac:dyDescent="0.2">
      <c r="F351" s="254"/>
    </row>
    <row r="352" spans="6:6" ht="16" x14ac:dyDescent="0.2">
      <c r="F352" s="254"/>
    </row>
    <row r="353" spans="6:6" ht="16" x14ac:dyDescent="0.2">
      <c r="F353" s="254"/>
    </row>
    <row r="354" spans="6:6" ht="16" x14ac:dyDescent="0.2">
      <c r="F354" s="254"/>
    </row>
    <row r="355" spans="6:6" ht="16" x14ac:dyDescent="0.2">
      <c r="F355" s="254"/>
    </row>
    <row r="356" spans="6:6" ht="16" x14ac:dyDescent="0.2">
      <c r="F356" s="254"/>
    </row>
    <row r="357" spans="6:6" ht="16" x14ac:dyDescent="0.2">
      <c r="F357" s="254"/>
    </row>
    <row r="358" spans="6:6" ht="16" x14ac:dyDescent="0.2">
      <c r="F358" s="254"/>
    </row>
    <row r="359" spans="6:6" ht="16" x14ac:dyDescent="0.2">
      <c r="F359" s="254"/>
    </row>
    <row r="360" spans="6:6" ht="16" x14ac:dyDescent="0.2">
      <c r="F360" s="254"/>
    </row>
    <row r="361" spans="6:6" ht="16" x14ac:dyDescent="0.2">
      <c r="F361" s="254"/>
    </row>
    <row r="362" spans="6:6" ht="16" x14ac:dyDescent="0.2">
      <c r="F362" s="254"/>
    </row>
    <row r="363" spans="6:6" ht="16" x14ac:dyDescent="0.2">
      <c r="F363" s="254"/>
    </row>
    <row r="364" spans="6:6" ht="16" x14ac:dyDescent="0.2">
      <c r="F364" s="254"/>
    </row>
    <row r="365" spans="6:6" ht="16" x14ac:dyDescent="0.2">
      <c r="F365" s="254"/>
    </row>
    <row r="366" spans="6:6" ht="16" x14ac:dyDescent="0.2">
      <c r="F366" s="254"/>
    </row>
    <row r="367" spans="6:6" ht="16" x14ac:dyDescent="0.2">
      <c r="F367" s="254"/>
    </row>
    <row r="368" spans="6:6" ht="16" x14ac:dyDescent="0.2">
      <c r="F368" s="254"/>
    </row>
    <row r="369" spans="6:6" ht="16" x14ac:dyDescent="0.2">
      <c r="F369" s="254"/>
    </row>
    <row r="370" spans="6:6" ht="16" x14ac:dyDescent="0.2">
      <c r="F370" s="254"/>
    </row>
    <row r="371" spans="6:6" ht="16" x14ac:dyDescent="0.2">
      <c r="F371" s="254"/>
    </row>
    <row r="372" spans="6:6" ht="16" x14ac:dyDescent="0.2">
      <c r="F372" s="254"/>
    </row>
    <row r="373" spans="6:6" ht="16" x14ac:dyDescent="0.2">
      <c r="F373" s="254"/>
    </row>
    <row r="374" spans="6:6" ht="16" x14ac:dyDescent="0.2">
      <c r="F374" s="254"/>
    </row>
    <row r="375" spans="6:6" ht="16" x14ac:dyDescent="0.2">
      <c r="F375" s="254"/>
    </row>
    <row r="376" spans="6:6" ht="16" x14ac:dyDescent="0.2">
      <c r="F376" s="254"/>
    </row>
    <row r="377" spans="6:6" ht="16" x14ac:dyDescent="0.2">
      <c r="F377" s="254"/>
    </row>
    <row r="378" spans="6:6" ht="16" x14ac:dyDescent="0.2">
      <c r="F378" s="254"/>
    </row>
    <row r="379" spans="6:6" ht="16" x14ac:dyDescent="0.2">
      <c r="F379" s="254"/>
    </row>
    <row r="380" spans="6:6" ht="16" x14ac:dyDescent="0.2">
      <c r="F380" s="254"/>
    </row>
    <row r="381" spans="6:6" ht="16" x14ac:dyDescent="0.2">
      <c r="F381" s="254"/>
    </row>
    <row r="382" spans="6:6" ht="16" x14ac:dyDescent="0.2">
      <c r="F382" s="254"/>
    </row>
    <row r="383" spans="6:6" ht="16" x14ac:dyDescent="0.2">
      <c r="F383" s="254"/>
    </row>
    <row r="384" spans="6:6" ht="16" x14ac:dyDescent="0.2">
      <c r="F384" s="254"/>
    </row>
    <row r="385" spans="6:6" ht="16" x14ac:dyDescent="0.2">
      <c r="F385" s="254"/>
    </row>
    <row r="386" spans="6:6" ht="16" x14ac:dyDescent="0.2">
      <c r="F386" s="254"/>
    </row>
    <row r="387" spans="6:6" ht="16" x14ac:dyDescent="0.2">
      <c r="F387" s="254"/>
    </row>
    <row r="388" spans="6:6" ht="16" x14ac:dyDescent="0.2">
      <c r="F388" s="254"/>
    </row>
    <row r="389" spans="6:6" ht="16" x14ac:dyDescent="0.2">
      <c r="F389" s="254"/>
    </row>
    <row r="390" spans="6:6" ht="16" x14ac:dyDescent="0.2">
      <c r="F390" s="254"/>
    </row>
    <row r="391" spans="6:6" ht="16" x14ac:dyDescent="0.2">
      <c r="F391" s="254"/>
    </row>
    <row r="392" spans="6:6" ht="16" x14ac:dyDescent="0.2">
      <c r="F392" s="254"/>
    </row>
    <row r="393" spans="6:6" ht="16" x14ac:dyDescent="0.2">
      <c r="F393" s="254"/>
    </row>
    <row r="394" spans="6:6" ht="16" x14ac:dyDescent="0.2">
      <c r="F394" s="254"/>
    </row>
    <row r="395" spans="6:6" ht="16" x14ac:dyDescent="0.2">
      <c r="F395" s="254"/>
    </row>
    <row r="396" spans="6:6" ht="16" x14ac:dyDescent="0.2">
      <c r="F396" s="254"/>
    </row>
    <row r="397" spans="6:6" ht="16" x14ac:dyDescent="0.2">
      <c r="F397" s="254"/>
    </row>
    <row r="398" spans="6:6" ht="16" x14ac:dyDescent="0.2">
      <c r="F398" s="254"/>
    </row>
    <row r="399" spans="6:6" ht="16" x14ac:dyDescent="0.2">
      <c r="F399" s="254"/>
    </row>
    <row r="400" spans="6:6" ht="16" x14ac:dyDescent="0.2">
      <c r="F400" s="254"/>
    </row>
    <row r="401" spans="6:6" ht="16" x14ac:dyDescent="0.2">
      <c r="F401" s="254"/>
    </row>
    <row r="402" spans="6:6" ht="16" x14ac:dyDescent="0.2">
      <c r="F402" s="254"/>
    </row>
    <row r="403" spans="6:6" ht="16" x14ac:dyDescent="0.2">
      <c r="F403" s="254"/>
    </row>
    <row r="404" spans="6:6" ht="16" x14ac:dyDescent="0.2">
      <c r="F404" s="254"/>
    </row>
    <row r="405" spans="6:6" ht="16" x14ac:dyDescent="0.2">
      <c r="F405" s="254"/>
    </row>
    <row r="406" spans="6:6" ht="16" x14ac:dyDescent="0.2">
      <c r="F406" s="254"/>
    </row>
    <row r="407" spans="6:6" ht="16" x14ac:dyDescent="0.2">
      <c r="F407" s="254"/>
    </row>
    <row r="408" spans="6:6" ht="16" x14ac:dyDescent="0.2">
      <c r="F408" s="254"/>
    </row>
    <row r="409" spans="6:6" ht="16" x14ac:dyDescent="0.2">
      <c r="F409" s="254"/>
    </row>
    <row r="410" spans="6:6" ht="16" x14ac:dyDescent="0.2">
      <c r="F410" s="254"/>
    </row>
    <row r="411" spans="6:6" ht="16" x14ac:dyDescent="0.2">
      <c r="F411" s="254"/>
    </row>
    <row r="412" spans="6:6" ht="16" x14ac:dyDescent="0.2">
      <c r="F412" s="254"/>
    </row>
    <row r="413" spans="6:6" ht="16" x14ac:dyDescent="0.2">
      <c r="F413" s="254"/>
    </row>
    <row r="414" spans="6:6" ht="16" x14ac:dyDescent="0.2">
      <c r="F414" s="254"/>
    </row>
    <row r="415" spans="6:6" ht="16" x14ac:dyDescent="0.2">
      <c r="F415" s="254"/>
    </row>
    <row r="416" spans="6:6" ht="16" x14ac:dyDescent="0.2">
      <c r="F416" s="254"/>
    </row>
    <row r="417" spans="6:6" ht="16" x14ac:dyDescent="0.2">
      <c r="F417" s="254"/>
    </row>
    <row r="418" spans="6:6" ht="16" x14ac:dyDescent="0.2">
      <c r="F418" s="254"/>
    </row>
    <row r="419" spans="6:6" ht="16" x14ac:dyDescent="0.2">
      <c r="F419" s="254"/>
    </row>
    <row r="420" spans="6:6" ht="16" x14ac:dyDescent="0.2">
      <c r="F420" s="254"/>
    </row>
    <row r="421" spans="6:6" ht="16" x14ac:dyDescent="0.2">
      <c r="F421" s="254"/>
    </row>
    <row r="422" spans="6:6" ht="16" x14ac:dyDescent="0.2">
      <c r="F422" s="254"/>
    </row>
    <row r="423" spans="6:6" ht="16" x14ac:dyDescent="0.2">
      <c r="F423" s="254"/>
    </row>
    <row r="424" spans="6:6" ht="16" x14ac:dyDescent="0.2">
      <c r="F424" s="254"/>
    </row>
    <row r="425" spans="6:6" ht="16" x14ac:dyDescent="0.2">
      <c r="F425" s="254"/>
    </row>
    <row r="426" spans="6:6" ht="16" x14ac:dyDescent="0.2">
      <c r="F426" s="254"/>
    </row>
    <row r="427" spans="6:6" ht="16" x14ac:dyDescent="0.2">
      <c r="F427" s="254"/>
    </row>
    <row r="428" spans="6:6" ht="16" x14ac:dyDescent="0.2">
      <c r="F428" s="254"/>
    </row>
    <row r="429" spans="6:6" ht="16" x14ac:dyDescent="0.2">
      <c r="F429" s="254"/>
    </row>
    <row r="430" spans="6:6" ht="16" x14ac:dyDescent="0.2">
      <c r="F430" s="254"/>
    </row>
    <row r="431" spans="6:6" ht="16" x14ac:dyDescent="0.2">
      <c r="F431" s="254"/>
    </row>
    <row r="432" spans="6:6" ht="16" x14ac:dyDescent="0.2">
      <c r="F432" s="254"/>
    </row>
    <row r="433" spans="6:6" ht="16" x14ac:dyDescent="0.2">
      <c r="F433" s="254"/>
    </row>
    <row r="434" spans="6:6" ht="16" x14ac:dyDescent="0.2">
      <c r="F434" s="254"/>
    </row>
    <row r="435" spans="6:6" ht="16" x14ac:dyDescent="0.2">
      <c r="F435" s="254"/>
    </row>
    <row r="436" spans="6:6" ht="16" x14ac:dyDescent="0.2">
      <c r="F436" s="254"/>
    </row>
    <row r="437" spans="6:6" ht="16" x14ac:dyDescent="0.2">
      <c r="F437" s="254"/>
    </row>
    <row r="438" spans="6:6" ht="16" x14ac:dyDescent="0.2">
      <c r="F438" s="254"/>
    </row>
    <row r="439" spans="6:6" ht="16" x14ac:dyDescent="0.2">
      <c r="F439" s="254"/>
    </row>
    <row r="440" spans="6:6" ht="16" x14ac:dyDescent="0.2">
      <c r="F440" s="254"/>
    </row>
    <row r="441" spans="6:6" ht="16" x14ac:dyDescent="0.2">
      <c r="F441" s="254"/>
    </row>
    <row r="442" spans="6:6" ht="16" x14ac:dyDescent="0.2">
      <c r="F442" s="254"/>
    </row>
    <row r="443" spans="6:6" ht="16" x14ac:dyDescent="0.2">
      <c r="F443" s="254"/>
    </row>
    <row r="444" spans="6:6" ht="16" x14ac:dyDescent="0.2">
      <c r="F444" s="254"/>
    </row>
    <row r="445" spans="6:6" ht="16" x14ac:dyDescent="0.2">
      <c r="F445" s="254"/>
    </row>
    <row r="446" spans="6:6" ht="16" x14ac:dyDescent="0.2">
      <c r="F446" s="254"/>
    </row>
    <row r="447" spans="6:6" ht="16" x14ac:dyDescent="0.2">
      <c r="F447" s="254"/>
    </row>
    <row r="448" spans="6:6" ht="16" x14ac:dyDescent="0.2">
      <c r="F448" s="254"/>
    </row>
    <row r="449" spans="6:6" ht="16" x14ac:dyDescent="0.2">
      <c r="F449" s="254"/>
    </row>
    <row r="450" spans="6:6" ht="16" x14ac:dyDescent="0.2">
      <c r="F450" s="254"/>
    </row>
    <row r="451" spans="6:6" ht="16" x14ac:dyDescent="0.2">
      <c r="F451" s="254"/>
    </row>
    <row r="452" spans="6:6" ht="16" x14ac:dyDescent="0.2">
      <c r="F452" s="254"/>
    </row>
    <row r="453" spans="6:6" ht="16" x14ac:dyDescent="0.2">
      <c r="F453" s="254"/>
    </row>
    <row r="454" spans="6:6" ht="16" x14ac:dyDescent="0.2">
      <c r="F454" s="254"/>
    </row>
    <row r="455" spans="6:6" ht="16" x14ac:dyDescent="0.2">
      <c r="F455" s="254"/>
    </row>
    <row r="456" spans="6:6" ht="16" x14ac:dyDescent="0.2">
      <c r="F456" s="254"/>
    </row>
    <row r="457" spans="6:6" ht="16" x14ac:dyDescent="0.2">
      <c r="F457" s="254"/>
    </row>
    <row r="458" spans="6:6" ht="16" x14ac:dyDescent="0.2">
      <c r="F458" s="254"/>
    </row>
    <row r="459" spans="6:6" ht="16" x14ac:dyDescent="0.2">
      <c r="F459" s="254"/>
    </row>
    <row r="460" spans="6:6" ht="16" x14ac:dyDescent="0.2">
      <c r="F460" s="254"/>
    </row>
    <row r="461" spans="6:6" ht="16" x14ac:dyDescent="0.2">
      <c r="F461" s="254"/>
    </row>
    <row r="462" spans="6:6" ht="16" x14ac:dyDescent="0.2">
      <c r="F462" s="254"/>
    </row>
    <row r="463" spans="6:6" ht="16" x14ac:dyDescent="0.2">
      <c r="F463" s="254"/>
    </row>
    <row r="464" spans="6:6" ht="16" x14ac:dyDescent="0.2">
      <c r="F464" s="254"/>
    </row>
    <row r="465" spans="6:6" ht="16" x14ac:dyDescent="0.2">
      <c r="F465" s="254"/>
    </row>
    <row r="466" spans="6:6" ht="16" x14ac:dyDescent="0.2">
      <c r="F466" s="254"/>
    </row>
    <row r="467" spans="6:6" ht="16" x14ac:dyDescent="0.2">
      <c r="F467" s="254"/>
    </row>
    <row r="468" spans="6:6" ht="16" x14ac:dyDescent="0.2">
      <c r="F468" s="254"/>
    </row>
    <row r="469" spans="6:6" ht="16" x14ac:dyDescent="0.2">
      <c r="F469" s="254"/>
    </row>
    <row r="470" spans="6:6" ht="16" x14ac:dyDescent="0.2">
      <c r="F470" s="254"/>
    </row>
    <row r="471" spans="6:6" ht="16" x14ac:dyDescent="0.2">
      <c r="F471" s="254"/>
    </row>
    <row r="472" spans="6:6" ht="16" x14ac:dyDescent="0.2">
      <c r="F472" s="254"/>
    </row>
    <row r="473" spans="6:6" ht="16" x14ac:dyDescent="0.2">
      <c r="F473" s="254"/>
    </row>
    <row r="474" spans="6:6" ht="16" x14ac:dyDescent="0.2">
      <c r="F474" s="254"/>
    </row>
    <row r="475" spans="6:6" ht="16" x14ac:dyDescent="0.2">
      <c r="F475" s="254"/>
    </row>
    <row r="476" spans="6:6" ht="16" x14ac:dyDescent="0.2">
      <c r="F476" s="254"/>
    </row>
    <row r="477" spans="6:6" ht="16" x14ac:dyDescent="0.2">
      <c r="F477" s="254"/>
    </row>
    <row r="478" spans="6:6" ht="16" x14ac:dyDescent="0.2">
      <c r="F478" s="254"/>
    </row>
    <row r="479" spans="6:6" ht="16" x14ac:dyDescent="0.2">
      <c r="F479" s="254"/>
    </row>
    <row r="480" spans="6:6" ht="16" x14ac:dyDescent="0.2">
      <c r="F480" s="254"/>
    </row>
    <row r="481" spans="6:6" ht="16" x14ac:dyDescent="0.2">
      <c r="F481" s="254"/>
    </row>
    <row r="482" spans="6:6" ht="16" x14ac:dyDescent="0.2">
      <c r="F482" s="254"/>
    </row>
    <row r="483" spans="6:6" ht="16" x14ac:dyDescent="0.2">
      <c r="F483" s="254"/>
    </row>
    <row r="484" spans="6:6" ht="16" x14ac:dyDescent="0.2">
      <c r="F484" s="254"/>
    </row>
    <row r="485" spans="6:6" ht="16" x14ac:dyDescent="0.2">
      <c r="F485" s="254"/>
    </row>
    <row r="486" spans="6:6" ht="16" x14ac:dyDescent="0.2">
      <c r="F486" s="254"/>
    </row>
    <row r="487" spans="6:6" ht="16" x14ac:dyDescent="0.2">
      <c r="F487" s="254"/>
    </row>
    <row r="488" spans="6:6" ht="16" x14ac:dyDescent="0.2">
      <c r="F488" s="254"/>
    </row>
    <row r="489" spans="6:6" ht="16" x14ac:dyDescent="0.2">
      <c r="F489" s="254"/>
    </row>
    <row r="490" spans="6:6" ht="16" x14ac:dyDescent="0.2">
      <c r="F490" s="254"/>
    </row>
    <row r="491" spans="6:6" ht="16" x14ac:dyDescent="0.2">
      <c r="F491" s="254"/>
    </row>
    <row r="492" spans="6:6" ht="16" x14ac:dyDescent="0.2">
      <c r="F492" s="254"/>
    </row>
    <row r="493" spans="6:6" ht="16" x14ac:dyDescent="0.2">
      <c r="F493" s="254"/>
    </row>
    <row r="494" spans="6:6" ht="16" x14ac:dyDescent="0.2">
      <c r="F494" s="254"/>
    </row>
    <row r="495" spans="6:6" ht="16" x14ac:dyDescent="0.2">
      <c r="F495" s="254"/>
    </row>
    <row r="496" spans="6:6" ht="16" x14ac:dyDescent="0.2">
      <c r="F496" s="254"/>
    </row>
    <row r="497" spans="6:6" ht="16" x14ac:dyDescent="0.2">
      <c r="F497" s="254"/>
    </row>
    <row r="498" spans="6:6" ht="16" x14ac:dyDescent="0.2">
      <c r="F498" s="254"/>
    </row>
    <row r="499" spans="6:6" ht="16" x14ac:dyDescent="0.2">
      <c r="F499" s="254"/>
    </row>
    <row r="500" spans="6:6" ht="16" x14ac:dyDescent="0.2">
      <c r="F500" s="254"/>
    </row>
    <row r="501" spans="6:6" ht="16" x14ac:dyDescent="0.2">
      <c r="F501" s="254"/>
    </row>
    <row r="502" spans="6:6" ht="16" x14ac:dyDescent="0.2">
      <c r="F502" s="254"/>
    </row>
    <row r="503" spans="6:6" ht="16" x14ac:dyDescent="0.2">
      <c r="F503" s="254"/>
    </row>
    <row r="504" spans="6:6" ht="16" x14ac:dyDescent="0.2">
      <c r="F504" s="254"/>
    </row>
    <row r="505" spans="6:6" ht="16" x14ac:dyDescent="0.2">
      <c r="F505" s="254"/>
    </row>
    <row r="506" spans="6:6" ht="16" x14ac:dyDescent="0.2">
      <c r="F506" s="254"/>
    </row>
    <row r="507" spans="6:6" ht="16" x14ac:dyDescent="0.2">
      <c r="F507" s="254"/>
    </row>
    <row r="508" spans="6:6" ht="16" x14ac:dyDescent="0.2">
      <c r="F508" s="254"/>
    </row>
    <row r="509" spans="6:6" ht="16" x14ac:dyDescent="0.2">
      <c r="F509" s="254"/>
    </row>
    <row r="510" spans="6:6" ht="16" x14ac:dyDescent="0.2">
      <c r="F510" s="254"/>
    </row>
    <row r="511" spans="6:6" ht="16" x14ac:dyDescent="0.2">
      <c r="F511" s="254"/>
    </row>
    <row r="512" spans="6:6" ht="16" x14ac:dyDescent="0.2">
      <c r="F512" s="254"/>
    </row>
    <row r="513" spans="6:6" ht="16" x14ac:dyDescent="0.2">
      <c r="F513" s="254"/>
    </row>
    <row r="514" spans="6:6" ht="16" x14ac:dyDescent="0.2">
      <c r="F514" s="254"/>
    </row>
    <row r="515" spans="6:6" ht="16" x14ac:dyDescent="0.2">
      <c r="F515" s="254"/>
    </row>
    <row r="516" spans="6:6" ht="16" x14ac:dyDescent="0.2">
      <c r="F516" s="254"/>
    </row>
    <row r="517" spans="6:6" ht="16" x14ac:dyDescent="0.2">
      <c r="F517" s="254"/>
    </row>
    <row r="518" spans="6:6" ht="16" x14ac:dyDescent="0.2">
      <c r="F518" s="254"/>
    </row>
    <row r="519" spans="6:6" ht="16" x14ac:dyDescent="0.2">
      <c r="F519" s="254"/>
    </row>
    <row r="520" spans="6:6" ht="16" x14ac:dyDescent="0.2">
      <c r="F520" s="254"/>
    </row>
    <row r="521" spans="6:6" ht="16" x14ac:dyDescent="0.2">
      <c r="F521" s="254"/>
    </row>
    <row r="522" spans="6:6" ht="16" x14ac:dyDescent="0.2">
      <c r="F522" s="254"/>
    </row>
    <row r="523" spans="6:6" ht="16" x14ac:dyDescent="0.2">
      <c r="F523" s="254"/>
    </row>
    <row r="524" spans="6:6" ht="16" x14ac:dyDescent="0.2">
      <c r="F524" s="254"/>
    </row>
    <row r="525" spans="6:6" ht="16" x14ac:dyDescent="0.2">
      <c r="F525" s="254"/>
    </row>
    <row r="526" spans="6:6" ht="16" x14ac:dyDescent="0.2">
      <c r="F526" s="254"/>
    </row>
    <row r="527" spans="6:6" ht="16" x14ac:dyDescent="0.2">
      <c r="F527" s="254"/>
    </row>
    <row r="528" spans="6:6" ht="16" x14ac:dyDescent="0.2">
      <c r="F528" s="254"/>
    </row>
    <row r="529" spans="6:6" ht="16" x14ac:dyDescent="0.2">
      <c r="F529" s="254"/>
    </row>
    <row r="530" spans="6:6" ht="16" x14ac:dyDescent="0.2">
      <c r="F530" s="254"/>
    </row>
    <row r="531" spans="6:6" ht="16" x14ac:dyDescent="0.2">
      <c r="F531" s="254"/>
    </row>
    <row r="532" spans="6:6" ht="16" x14ac:dyDescent="0.2">
      <c r="F532" s="254"/>
    </row>
    <row r="533" spans="6:6" ht="16" x14ac:dyDescent="0.2">
      <c r="F533" s="254"/>
    </row>
    <row r="534" spans="6:6" ht="16" x14ac:dyDescent="0.2">
      <c r="F534" s="254"/>
    </row>
    <row r="535" spans="6:6" ht="16" x14ac:dyDescent="0.2">
      <c r="F535" s="254"/>
    </row>
    <row r="536" spans="6:6" ht="16" x14ac:dyDescent="0.2">
      <c r="F536" s="254"/>
    </row>
    <row r="537" spans="6:6" ht="16" x14ac:dyDescent="0.2">
      <c r="F537" s="254"/>
    </row>
    <row r="538" spans="6:6" ht="16" x14ac:dyDescent="0.2">
      <c r="F538" s="254"/>
    </row>
    <row r="539" spans="6:6" ht="16" x14ac:dyDescent="0.2">
      <c r="F539" s="254"/>
    </row>
    <row r="540" spans="6:6" ht="16" x14ac:dyDescent="0.2">
      <c r="F540" s="254"/>
    </row>
    <row r="541" spans="6:6" ht="16" x14ac:dyDescent="0.2">
      <c r="F541" s="254"/>
    </row>
    <row r="542" spans="6:6" ht="16" x14ac:dyDescent="0.2">
      <c r="F542" s="254"/>
    </row>
    <row r="543" spans="6:6" ht="16" x14ac:dyDescent="0.2">
      <c r="F543" s="254"/>
    </row>
    <row r="544" spans="6:6" ht="16" x14ac:dyDescent="0.2">
      <c r="F544" s="254"/>
    </row>
    <row r="545" spans="6:6" ht="16" x14ac:dyDescent="0.2">
      <c r="F545" s="254"/>
    </row>
    <row r="546" spans="6:6" ht="16" x14ac:dyDescent="0.2">
      <c r="F546" s="254"/>
    </row>
    <row r="547" spans="6:6" ht="16" x14ac:dyDescent="0.2">
      <c r="F547" s="254"/>
    </row>
    <row r="548" spans="6:6" ht="16" x14ac:dyDescent="0.2">
      <c r="F548" s="254"/>
    </row>
    <row r="549" spans="6:6" ht="16" x14ac:dyDescent="0.2">
      <c r="F549" s="254"/>
    </row>
    <row r="550" spans="6:6" ht="16" x14ac:dyDescent="0.2">
      <c r="F550" s="254"/>
    </row>
    <row r="551" spans="6:6" ht="16" x14ac:dyDescent="0.2">
      <c r="F551" s="254"/>
    </row>
    <row r="552" spans="6:6" ht="16" x14ac:dyDescent="0.2">
      <c r="F552" s="254"/>
    </row>
    <row r="553" spans="6:6" ht="16" x14ac:dyDescent="0.2">
      <c r="F553" s="254"/>
    </row>
    <row r="554" spans="6:6" ht="16" x14ac:dyDescent="0.2">
      <c r="F554" s="254"/>
    </row>
    <row r="555" spans="6:6" ht="16" x14ac:dyDescent="0.2">
      <c r="F555" s="254"/>
    </row>
    <row r="556" spans="6:6" ht="16" x14ac:dyDescent="0.2">
      <c r="F556" s="254"/>
    </row>
    <row r="557" spans="6:6" ht="16" x14ac:dyDescent="0.2">
      <c r="F557" s="254"/>
    </row>
    <row r="558" spans="6:6" ht="16" x14ac:dyDescent="0.2">
      <c r="F558" s="254"/>
    </row>
    <row r="559" spans="6:6" ht="16" x14ac:dyDescent="0.2">
      <c r="F559" s="254"/>
    </row>
    <row r="560" spans="6:6" ht="16" x14ac:dyDescent="0.2">
      <c r="F560" s="254"/>
    </row>
    <row r="561" spans="6:6" ht="16" x14ac:dyDescent="0.2">
      <c r="F561" s="254"/>
    </row>
    <row r="562" spans="6:6" ht="16" x14ac:dyDescent="0.2">
      <c r="F562" s="254"/>
    </row>
    <row r="563" spans="6:6" ht="16" x14ac:dyDescent="0.2">
      <c r="F563" s="254"/>
    </row>
    <row r="564" spans="6:6" ht="16" x14ac:dyDescent="0.2">
      <c r="F564" s="254"/>
    </row>
    <row r="565" spans="6:6" ht="16" x14ac:dyDescent="0.2">
      <c r="F565" s="254"/>
    </row>
    <row r="566" spans="6:6" ht="16" x14ac:dyDescent="0.2">
      <c r="F566" s="254"/>
    </row>
    <row r="567" spans="6:6" ht="16" x14ac:dyDescent="0.2">
      <c r="F567" s="254"/>
    </row>
    <row r="568" spans="6:6" ht="16" x14ac:dyDescent="0.2">
      <c r="F568" s="254"/>
    </row>
    <row r="569" spans="6:6" ht="16" x14ac:dyDescent="0.2">
      <c r="F569" s="254"/>
    </row>
    <row r="570" spans="6:6" ht="16" x14ac:dyDescent="0.2">
      <c r="F570" s="254"/>
    </row>
    <row r="571" spans="6:6" ht="16" x14ac:dyDescent="0.2">
      <c r="F571" s="254"/>
    </row>
    <row r="572" spans="6:6" ht="16" x14ac:dyDescent="0.2">
      <c r="F572" s="254"/>
    </row>
    <row r="573" spans="6:6" ht="16" x14ac:dyDescent="0.2">
      <c r="F573" s="254"/>
    </row>
    <row r="574" spans="6:6" ht="16" x14ac:dyDescent="0.2">
      <c r="F574" s="254"/>
    </row>
    <row r="575" spans="6:6" ht="16" x14ac:dyDescent="0.2">
      <c r="F575" s="254"/>
    </row>
    <row r="576" spans="6:6" ht="16" x14ac:dyDescent="0.2">
      <c r="F576" s="254"/>
    </row>
    <row r="577" spans="6:6" ht="16" x14ac:dyDescent="0.2">
      <c r="F577" s="254"/>
    </row>
    <row r="578" spans="6:6" ht="16" x14ac:dyDescent="0.2">
      <c r="F578" s="254"/>
    </row>
    <row r="579" spans="6:6" ht="16" x14ac:dyDescent="0.2">
      <c r="F579" s="254"/>
    </row>
    <row r="580" spans="6:6" ht="16" x14ac:dyDescent="0.2">
      <c r="F580" s="254"/>
    </row>
    <row r="581" spans="6:6" ht="16" x14ac:dyDescent="0.2">
      <c r="F581" s="254"/>
    </row>
    <row r="582" spans="6:6" ht="16" x14ac:dyDescent="0.2">
      <c r="F582" s="254"/>
    </row>
    <row r="583" spans="6:6" ht="16" x14ac:dyDescent="0.2">
      <c r="F583" s="254"/>
    </row>
    <row r="584" spans="6:6" ht="16" x14ac:dyDescent="0.2">
      <c r="F584" s="254"/>
    </row>
    <row r="585" spans="6:6" ht="16" x14ac:dyDescent="0.2">
      <c r="F585" s="254"/>
    </row>
    <row r="586" spans="6:6" ht="16" x14ac:dyDescent="0.2">
      <c r="F586" s="254"/>
    </row>
    <row r="587" spans="6:6" ht="16" x14ac:dyDescent="0.2">
      <c r="F587" s="254"/>
    </row>
    <row r="588" spans="6:6" ht="16" x14ac:dyDescent="0.2">
      <c r="F588" s="254"/>
    </row>
    <row r="589" spans="6:6" ht="16" x14ac:dyDescent="0.2">
      <c r="F589" s="254"/>
    </row>
    <row r="590" spans="6:6" ht="16" x14ac:dyDescent="0.2">
      <c r="F590" s="254"/>
    </row>
    <row r="591" spans="6:6" ht="16" x14ac:dyDescent="0.2">
      <c r="F591" s="254"/>
    </row>
    <row r="592" spans="6:6" ht="16" x14ac:dyDescent="0.2">
      <c r="F592" s="254"/>
    </row>
    <row r="593" spans="6:6" ht="16" x14ac:dyDescent="0.2">
      <c r="F593" s="254"/>
    </row>
    <row r="594" spans="6:6" ht="16" x14ac:dyDescent="0.2">
      <c r="F594" s="254"/>
    </row>
    <row r="595" spans="6:6" ht="16" x14ac:dyDescent="0.2">
      <c r="F595" s="254"/>
    </row>
    <row r="596" spans="6:6" ht="16" x14ac:dyDescent="0.2">
      <c r="F596" s="254"/>
    </row>
    <row r="597" spans="6:6" ht="16" x14ac:dyDescent="0.2">
      <c r="F597" s="254"/>
    </row>
    <row r="598" spans="6:6" ht="16" x14ac:dyDescent="0.2">
      <c r="F598" s="254"/>
    </row>
    <row r="599" spans="6:6" ht="16" x14ac:dyDescent="0.2">
      <c r="F599" s="254"/>
    </row>
    <row r="600" spans="6:6" ht="16" x14ac:dyDescent="0.2">
      <c r="F600" s="254"/>
    </row>
    <row r="601" spans="6:6" ht="16" x14ac:dyDescent="0.2">
      <c r="F601" s="254"/>
    </row>
    <row r="602" spans="6:6" ht="16" x14ac:dyDescent="0.2">
      <c r="F602" s="254"/>
    </row>
    <row r="603" spans="6:6" ht="16" x14ac:dyDescent="0.2">
      <c r="F603" s="254"/>
    </row>
    <row r="604" spans="6:6" ht="16" x14ac:dyDescent="0.2">
      <c r="F604" s="254"/>
    </row>
    <row r="605" spans="6:6" ht="16" x14ac:dyDescent="0.2">
      <c r="F605" s="254"/>
    </row>
    <row r="606" spans="6:6" ht="16" x14ac:dyDescent="0.2">
      <c r="F606" s="254"/>
    </row>
    <row r="607" spans="6:6" ht="16" x14ac:dyDescent="0.2">
      <c r="F607" s="254"/>
    </row>
    <row r="608" spans="6:6" ht="16" x14ac:dyDescent="0.2">
      <c r="F608" s="254"/>
    </row>
    <row r="609" spans="6:6" ht="16" x14ac:dyDescent="0.2">
      <c r="F609" s="254"/>
    </row>
    <row r="610" spans="6:6" ht="16" x14ac:dyDescent="0.2">
      <c r="F610" s="254"/>
    </row>
    <row r="611" spans="6:6" ht="16" x14ac:dyDescent="0.2">
      <c r="F611" s="254"/>
    </row>
    <row r="612" spans="6:6" ht="16" x14ac:dyDescent="0.2">
      <c r="F612" s="254"/>
    </row>
    <row r="613" spans="6:6" ht="16" x14ac:dyDescent="0.2">
      <c r="F613" s="254"/>
    </row>
    <row r="614" spans="6:6" ht="16" x14ac:dyDescent="0.2">
      <c r="F614" s="254"/>
    </row>
    <row r="615" spans="6:6" ht="16" x14ac:dyDescent="0.2">
      <c r="F615" s="254"/>
    </row>
    <row r="616" spans="6:6" ht="16" x14ac:dyDescent="0.2">
      <c r="F616" s="254"/>
    </row>
    <row r="617" spans="6:6" ht="16" x14ac:dyDescent="0.2">
      <c r="F617" s="254"/>
    </row>
    <row r="618" spans="6:6" ht="16" x14ac:dyDescent="0.2">
      <c r="F618" s="254"/>
    </row>
    <row r="619" spans="6:6" ht="16" x14ac:dyDescent="0.2">
      <c r="F619" s="254"/>
    </row>
    <row r="620" spans="6:6" ht="16" x14ac:dyDescent="0.2">
      <c r="F620" s="254"/>
    </row>
    <row r="621" spans="6:6" ht="16" x14ac:dyDescent="0.2">
      <c r="F621" s="254"/>
    </row>
    <row r="622" spans="6:6" ht="16" x14ac:dyDescent="0.2">
      <c r="F622" s="254"/>
    </row>
    <row r="623" spans="6:6" ht="16" x14ac:dyDescent="0.2">
      <c r="F623" s="254"/>
    </row>
    <row r="624" spans="6:6" ht="16" x14ac:dyDescent="0.2">
      <c r="F624" s="254"/>
    </row>
    <row r="625" spans="6:6" ht="16" x14ac:dyDescent="0.2">
      <c r="F625" s="254"/>
    </row>
    <row r="626" spans="6:6" ht="16" x14ac:dyDescent="0.2">
      <c r="F626" s="254"/>
    </row>
    <row r="627" spans="6:6" ht="16" x14ac:dyDescent="0.2">
      <c r="F627" s="254"/>
    </row>
    <row r="628" spans="6:6" ht="16" x14ac:dyDescent="0.2">
      <c r="F628" s="254"/>
    </row>
    <row r="629" spans="6:6" ht="16" x14ac:dyDescent="0.2">
      <c r="F629" s="254"/>
    </row>
    <row r="630" spans="6:6" ht="16" x14ac:dyDescent="0.2">
      <c r="F630" s="254"/>
    </row>
    <row r="631" spans="6:6" ht="16" x14ac:dyDescent="0.2">
      <c r="F631" s="254"/>
    </row>
    <row r="632" spans="6:6" ht="16" x14ac:dyDescent="0.2">
      <c r="F632" s="254"/>
    </row>
    <row r="633" spans="6:6" ht="16" x14ac:dyDescent="0.2">
      <c r="F633" s="254"/>
    </row>
    <row r="634" spans="6:6" ht="16" x14ac:dyDescent="0.2">
      <c r="F634" s="254"/>
    </row>
    <row r="635" spans="6:6" ht="16" x14ac:dyDescent="0.2">
      <c r="F635" s="254"/>
    </row>
    <row r="636" spans="6:6" ht="16" x14ac:dyDescent="0.2">
      <c r="F636" s="254"/>
    </row>
    <row r="637" spans="6:6" ht="16" x14ac:dyDescent="0.2">
      <c r="F637" s="254"/>
    </row>
    <row r="638" spans="6:6" ht="16" x14ac:dyDescent="0.2">
      <c r="F638" s="254"/>
    </row>
    <row r="639" spans="6:6" ht="16" x14ac:dyDescent="0.2">
      <c r="F639" s="254"/>
    </row>
    <row r="640" spans="6:6" ht="16" x14ac:dyDescent="0.2">
      <c r="F640" s="254"/>
    </row>
    <row r="641" spans="6:6" ht="16" x14ac:dyDescent="0.2">
      <c r="F641" s="254"/>
    </row>
    <row r="642" spans="6:6" ht="16" x14ac:dyDescent="0.2">
      <c r="F642" s="254"/>
    </row>
    <row r="643" spans="6:6" ht="16" x14ac:dyDescent="0.2">
      <c r="F643" s="254"/>
    </row>
    <row r="644" spans="6:6" ht="16" x14ac:dyDescent="0.2">
      <c r="F644" s="254"/>
    </row>
    <row r="645" spans="6:6" ht="16" x14ac:dyDescent="0.2">
      <c r="F645" s="254"/>
    </row>
    <row r="646" spans="6:6" ht="16" x14ac:dyDescent="0.2">
      <c r="F646" s="254"/>
    </row>
    <row r="647" spans="6:6" ht="16" x14ac:dyDescent="0.2">
      <c r="F647" s="254"/>
    </row>
    <row r="648" spans="6:6" ht="16" x14ac:dyDescent="0.2">
      <c r="F648" s="254"/>
    </row>
    <row r="649" spans="6:6" ht="16" x14ac:dyDescent="0.2">
      <c r="F649" s="254"/>
    </row>
    <row r="650" spans="6:6" ht="16" x14ac:dyDescent="0.2">
      <c r="F650" s="254"/>
    </row>
    <row r="651" spans="6:6" ht="16" x14ac:dyDescent="0.2">
      <c r="F651" s="254"/>
    </row>
    <row r="652" spans="6:6" ht="16" x14ac:dyDescent="0.2">
      <c r="F652" s="254"/>
    </row>
    <row r="653" spans="6:6" ht="16" x14ac:dyDescent="0.2">
      <c r="F653" s="254"/>
    </row>
    <row r="654" spans="6:6" ht="16" x14ac:dyDescent="0.2">
      <c r="F654" s="254"/>
    </row>
    <row r="655" spans="6:6" ht="16" x14ac:dyDescent="0.2">
      <c r="F655" s="254"/>
    </row>
    <row r="656" spans="6:6" ht="16" x14ac:dyDescent="0.2">
      <c r="F656" s="254"/>
    </row>
    <row r="657" spans="6:6" ht="16" x14ac:dyDescent="0.2">
      <c r="F657" s="254"/>
    </row>
    <row r="658" spans="6:6" ht="16" x14ac:dyDescent="0.2">
      <c r="F658" s="254"/>
    </row>
    <row r="659" spans="6:6" ht="16" x14ac:dyDescent="0.2">
      <c r="F659" s="254"/>
    </row>
    <row r="660" spans="6:6" ht="16" x14ac:dyDescent="0.2">
      <c r="F660" s="254"/>
    </row>
    <row r="661" spans="6:6" ht="16" x14ac:dyDescent="0.2">
      <c r="F661" s="254"/>
    </row>
    <row r="662" spans="6:6" ht="16" x14ac:dyDescent="0.2">
      <c r="F662" s="254"/>
    </row>
    <row r="663" spans="6:6" ht="16" x14ac:dyDescent="0.2">
      <c r="F663" s="254"/>
    </row>
    <row r="664" spans="6:6" ht="16" x14ac:dyDescent="0.2">
      <c r="F664" s="254"/>
    </row>
    <row r="665" spans="6:6" ht="16" x14ac:dyDescent="0.2">
      <c r="F665" s="254"/>
    </row>
    <row r="666" spans="6:6" ht="16" x14ac:dyDescent="0.2">
      <c r="F666" s="254"/>
    </row>
    <row r="667" spans="6:6" ht="16" x14ac:dyDescent="0.2">
      <c r="F667" s="254"/>
    </row>
    <row r="668" spans="6:6" ht="16" x14ac:dyDescent="0.2">
      <c r="F668" s="254"/>
    </row>
    <row r="669" spans="6:6" ht="16" x14ac:dyDescent="0.2">
      <c r="F669" s="254"/>
    </row>
    <row r="670" spans="6:6" ht="16" x14ac:dyDescent="0.2">
      <c r="F670" s="254"/>
    </row>
    <row r="671" spans="6:6" ht="16" x14ac:dyDescent="0.2">
      <c r="F671" s="254"/>
    </row>
    <row r="672" spans="6:6" ht="16" x14ac:dyDescent="0.2">
      <c r="F672" s="254"/>
    </row>
    <row r="673" spans="6:6" ht="16" x14ac:dyDescent="0.2">
      <c r="F673" s="254"/>
    </row>
    <row r="674" spans="6:6" ht="16" x14ac:dyDescent="0.2">
      <c r="F674" s="254"/>
    </row>
    <row r="675" spans="6:6" ht="16" x14ac:dyDescent="0.2">
      <c r="F675" s="254"/>
    </row>
    <row r="676" spans="6:6" ht="16" x14ac:dyDescent="0.2">
      <c r="F676" s="254"/>
    </row>
    <row r="677" spans="6:6" ht="16" x14ac:dyDescent="0.2">
      <c r="F677" s="254"/>
    </row>
    <row r="678" spans="6:6" ht="16" x14ac:dyDescent="0.2">
      <c r="F678" s="254"/>
    </row>
    <row r="679" spans="6:6" ht="16" x14ac:dyDescent="0.2">
      <c r="F679" s="254"/>
    </row>
    <row r="680" spans="6:6" ht="16" x14ac:dyDescent="0.2">
      <c r="F680" s="254"/>
    </row>
    <row r="681" spans="6:6" ht="16" x14ac:dyDescent="0.2">
      <c r="F681" s="254"/>
    </row>
    <row r="682" spans="6:6" ht="16" x14ac:dyDescent="0.2">
      <c r="F682" s="254"/>
    </row>
    <row r="683" spans="6:6" ht="16" x14ac:dyDescent="0.2">
      <c r="F683" s="254"/>
    </row>
    <row r="684" spans="6:6" ht="16" x14ac:dyDescent="0.2">
      <c r="F684" s="254"/>
    </row>
    <row r="685" spans="6:6" ht="16" x14ac:dyDescent="0.2">
      <c r="F685" s="254"/>
    </row>
    <row r="686" spans="6:6" ht="16" x14ac:dyDescent="0.2">
      <c r="F686" s="254"/>
    </row>
    <row r="687" spans="6:6" ht="16" x14ac:dyDescent="0.2">
      <c r="F687" s="254"/>
    </row>
    <row r="688" spans="6:6" ht="16" x14ac:dyDescent="0.2">
      <c r="F688" s="254"/>
    </row>
    <row r="689" spans="6:6" ht="16" x14ac:dyDescent="0.2">
      <c r="F689" s="254"/>
    </row>
    <row r="690" spans="6:6" ht="16" x14ac:dyDescent="0.2">
      <c r="F690" s="254"/>
    </row>
    <row r="691" spans="6:6" ht="16" x14ac:dyDescent="0.2">
      <c r="F691" s="254"/>
    </row>
    <row r="692" spans="6:6" ht="16" x14ac:dyDescent="0.2">
      <c r="F692" s="254"/>
    </row>
    <row r="693" spans="6:6" ht="16" x14ac:dyDescent="0.2">
      <c r="F693" s="254"/>
    </row>
    <row r="694" spans="6:6" ht="16" x14ac:dyDescent="0.2">
      <c r="F694" s="254"/>
    </row>
    <row r="695" spans="6:6" ht="16" x14ac:dyDescent="0.2">
      <c r="F695" s="254"/>
    </row>
    <row r="696" spans="6:6" ht="16" x14ac:dyDescent="0.2">
      <c r="F696" s="254"/>
    </row>
    <row r="697" spans="6:6" ht="16" x14ac:dyDescent="0.2">
      <c r="F697" s="254"/>
    </row>
    <row r="698" spans="6:6" ht="16" x14ac:dyDescent="0.2">
      <c r="F698" s="254"/>
    </row>
    <row r="699" spans="6:6" ht="16" x14ac:dyDescent="0.2">
      <c r="F699" s="254"/>
    </row>
    <row r="700" spans="6:6" ht="16" x14ac:dyDescent="0.2">
      <c r="F700" s="254"/>
    </row>
    <row r="701" spans="6:6" ht="16" x14ac:dyDescent="0.2">
      <c r="F701" s="254"/>
    </row>
    <row r="702" spans="6:6" ht="16" x14ac:dyDescent="0.2">
      <c r="F702" s="254"/>
    </row>
    <row r="703" spans="6:6" ht="16" x14ac:dyDescent="0.2">
      <c r="F703" s="254"/>
    </row>
    <row r="704" spans="6:6" ht="16" x14ac:dyDescent="0.2">
      <c r="F704" s="254"/>
    </row>
    <row r="705" spans="6:6" ht="16" x14ac:dyDescent="0.2">
      <c r="F705" s="254"/>
    </row>
    <row r="706" spans="6:6" ht="16" x14ac:dyDescent="0.2">
      <c r="F706" s="254"/>
    </row>
    <row r="707" spans="6:6" ht="16" x14ac:dyDescent="0.2">
      <c r="F707" s="254"/>
    </row>
    <row r="708" spans="6:6" ht="16" x14ac:dyDescent="0.2">
      <c r="F708" s="254"/>
    </row>
    <row r="709" spans="6:6" ht="16" x14ac:dyDescent="0.2">
      <c r="F709" s="254"/>
    </row>
    <row r="710" spans="6:6" ht="16" x14ac:dyDescent="0.2">
      <c r="F710" s="254"/>
    </row>
    <row r="711" spans="6:6" ht="16" x14ac:dyDescent="0.2">
      <c r="F711" s="254"/>
    </row>
    <row r="712" spans="6:6" ht="16" x14ac:dyDescent="0.2">
      <c r="F712" s="254"/>
    </row>
    <row r="713" spans="6:6" ht="16" x14ac:dyDescent="0.2">
      <c r="F713" s="254"/>
    </row>
    <row r="714" spans="6:6" ht="16" x14ac:dyDescent="0.2">
      <c r="F714" s="254"/>
    </row>
    <row r="715" spans="6:6" ht="16" x14ac:dyDescent="0.2">
      <c r="F715" s="254"/>
    </row>
    <row r="716" spans="6:6" ht="16" x14ac:dyDescent="0.2">
      <c r="F716" s="254"/>
    </row>
    <row r="717" spans="6:6" ht="16" x14ac:dyDescent="0.2">
      <c r="F717" s="254"/>
    </row>
    <row r="718" spans="6:6" ht="16" x14ac:dyDescent="0.2">
      <c r="F718" s="254"/>
    </row>
    <row r="719" spans="6:6" ht="16" x14ac:dyDescent="0.2">
      <c r="F719" s="254"/>
    </row>
    <row r="720" spans="6:6" ht="16" x14ac:dyDescent="0.2">
      <c r="F720" s="254"/>
    </row>
    <row r="721" spans="6:6" ht="16" x14ac:dyDescent="0.2">
      <c r="F721" s="254"/>
    </row>
    <row r="722" spans="6:6" ht="16" x14ac:dyDescent="0.2">
      <c r="F722" s="254"/>
    </row>
    <row r="723" spans="6:6" ht="16" x14ac:dyDescent="0.2">
      <c r="F723" s="254"/>
    </row>
    <row r="724" spans="6:6" ht="16" x14ac:dyDescent="0.2">
      <c r="F724" s="254"/>
    </row>
    <row r="725" spans="6:6" ht="16" x14ac:dyDescent="0.2">
      <c r="F725" s="254"/>
    </row>
    <row r="726" spans="6:6" ht="16" x14ac:dyDescent="0.2">
      <c r="F726" s="254"/>
    </row>
    <row r="727" spans="6:6" ht="16" x14ac:dyDescent="0.2">
      <c r="F727" s="254"/>
    </row>
    <row r="728" spans="6:6" ht="16" x14ac:dyDescent="0.2">
      <c r="F728" s="254"/>
    </row>
    <row r="729" spans="6:6" ht="16" x14ac:dyDescent="0.2">
      <c r="F729" s="254"/>
    </row>
    <row r="730" spans="6:6" ht="16" x14ac:dyDescent="0.2">
      <c r="F730" s="254"/>
    </row>
    <row r="731" spans="6:6" ht="16" x14ac:dyDescent="0.2">
      <c r="F731" s="254"/>
    </row>
    <row r="732" spans="6:6" ht="16" x14ac:dyDescent="0.2">
      <c r="F732" s="254"/>
    </row>
    <row r="733" spans="6:6" ht="16" x14ac:dyDescent="0.2">
      <c r="F733" s="254"/>
    </row>
    <row r="734" spans="6:6" ht="16" x14ac:dyDescent="0.2">
      <c r="F734" s="254"/>
    </row>
    <row r="735" spans="6:6" ht="16" x14ac:dyDescent="0.2">
      <c r="F735" s="254"/>
    </row>
    <row r="736" spans="6:6" ht="16" x14ac:dyDescent="0.2">
      <c r="F736" s="254"/>
    </row>
    <row r="737" spans="6:6" ht="16" x14ac:dyDescent="0.2">
      <c r="F737" s="254"/>
    </row>
    <row r="738" spans="6:6" ht="16" x14ac:dyDescent="0.2">
      <c r="F738" s="254"/>
    </row>
    <row r="739" spans="6:6" ht="16" x14ac:dyDescent="0.2">
      <c r="F739" s="254"/>
    </row>
    <row r="740" spans="6:6" ht="16" x14ac:dyDescent="0.2">
      <c r="F740" s="254"/>
    </row>
    <row r="741" spans="6:6" ht="16" x14ac:dyDescent="0.2">
      <c r="F741" s="254"/>
    </row>
    <row r="742" spans="6:6" ht="16" x14ac:dyDescent="0.2">
      <c r="F742" s="254"/>
    </row>
    <row r="743" spans="6:6" ht="16" x14ac:dyDescent="0.2">
      <c r="F743" s="254"/>
    </row>
    <row r="744" spans="6:6" ht="16" x14ac:dyDescent="0.2">
      <c r="F744" s="254"/>
    </row>
    <row r="745" spans="6:6" ht="16" x14ac:dyDescent="0.2">
      <c r="F745" s="254"/>
    </row>
    <row r="746" spans="6:6" ht="16" x14ac:dyDescent="0.2">
      <c r="F746" s="254"/>
    </row>
    <row r="747" spans="6:6" ht="16" x14ac:dyDescent="0.2">
      <c r="F747" s="254"/>
    </row>
    <row r="748" spans="6:6" ht="16" x14ac:dyDescent="0.2">
      <c r="F748" s="254"/>
    </row>
    <row r="749" spans="6:6" ht="16" x14ac:dyDescent="0.2">
      <c r="F749" s="254"/>
    </row>
    <row r="750" spans="6:6" ht="16" x14ac:dyDescent="0.2">
      <c r="F750" s="254"/>
    </row>
    <row r="751" spans="6:6" ht="16" x14ac:dyDescent="0.2">
      <c r="F751" s="254"/>
    </row>
    <row r="752" spans="6:6" ht="16" x14ac:dyDescent="0.2">
      <c r="F752" s="254"/>
    </row>
    <row r="753" spans="6:6" ht="16" x14ac:dyDescent="0.2">
      <c r="F753" s="254"/>
    </row>
    <row r="754" spans="6:6" ht="16" x14ac:dyDescent="0.2">
      <c r="F754" s="254"/>
    </row>
    <row r="755" spans="6:6" ht="16" x14ac:dyDescent="0.2">
      <c r="F755" s="254"/>
    </row>
    <row r="756" spans="6:6" ht="16" x14ac:dyDescent="0.2">
      <c r="F756" s="254"/>
    </row>
    <row r="757" spans="6:6" ht="16" x14ac:dyDescent="0.2">
      <c r="F757" s="254"/>
    </row>
    <row r="758" spans="6:6" ht="16" x14ac:dyDescent="0.2">
      <c r="F758" s="254"/>
    </row>
    <row r="759" spans="6:6" ht="16" x14ac:dyDescent="0.2">
      <c r="F759" s="254"/>
    </row>
    <row r="760" spans="6:6" ht="16" x14ac:dyDescent="0.2">
      <c r="F760" s="254"/>
    </row>
    <row r="761" spans="6:6" ht="16" x14ac:dyDescent="0.2">
      <c r="F761" s="254"/>
    </row>
    <row r="762" spans="6:6" ht="16" x14ac:dyDescent="0.2">
      <c r="F762" s="254"/>
    </row>
    <row r="763" spans="6:6" ht="16" x14ac:dyDescent="0.2">
      <c r="F763" s="254"/>
    </row>
    <row r="764" spans="6:6" ht="16" x14ac:dyDescent="0.2">
      <c r="F764" s="254"/>
    </row>
    <row r="765" spans="6:6" ht="16" x14ac:dyDescent="0.2">
      <c r="F765" s="254"/>
    </row>
    <row r="766" spans="6:6" ht="16" x14ac:dyDescent="0.2">
      <c r="F766" s="254"/>
    </row>
    <row r="767" spans="6:6" ht="16" x14ac:dyDescent="0.2">
      <c r="F767" s="254"/>
    </row>
    <row r="768" spans="6:6" ht="16" x14ac:dyDescent="0.2">
      <c r="F768" s="254"/>
    </row>
    <row r="769" spans="6:6" ht="16" x14ac:dyDescent="0.2">
      <c r="F769" s="254"/>
    </row>
    <row r="770" spans="6:6" ht="16" x14ac:dyDescent="0.2">
      <c r="F770" s="254"/>
    </row>
    <row r="771" spans="6:6" ht="16" x14ac:dyDescent="0.2">
      <c r="F771" s="254"/>
    </row>
    <row r="772" spans="6:6" ht="16" x14ac:dyDescent="0.2">
      <c r="F772" s="254"/>
    </row>
    <row r="773" spans="6:6" ht="16" x14ac:dyDescent="0.2">
      <c r="F773" s="254"/>
    </row>
    <row r="774" spans="6:6" ht="16" x14ac:dyDescent="0.2">
      <c r="F774" s="254"/>
    </row>
    <row r="775" spans="6:6" ht="16" x14ac:dyDescent="0.2">
      <c r="F775" s="254"/>
    </row>
    <row r="776" spans="6:6" ht="16" x14ac:dyDescent="0.2">
      <c r="F776" s="254"/>
    </row>
    <row r="777" spans="6:6" ht="16" x14ac:dyDescent="0.2">
      <c r="F777" s="254"/>
    </row>
    <row r="778" spans="6:6" ht="16" x14ac:dyDescent="0.2">
      <c r="F778" s="254"/>
    </row>
    <row r="779" spans="6:6" ht="16" x14ac:dyDescent="0.2">
      <c r="F779" s="254"/>
    </row>
    <row r="780" spans="6:6" ht="16" x14ac:dyDescent="0.2">
      <c r="F780" s="254"/>
    </row>
    <row r="781" spans="6:6" ht="16" x14ac:dyDescent="0.2">
      <c r="F781" s="254"/>
    </row>
    <row r="782" spans="6:6" ht="16" x14ac:dyDescent="0.2">
      <c r="F782" s="254"/>
    </row>
    <row r="783" spans="6:6" ht="16" x14ac:dyDescent="0.2">
      <c r="F783" s="254"/>
    </row>
    <row r="784" spans="6:6" ht="16" x14ac:dyDescent="0.2">
      <c r="F784" s="254"/>
    </row>
    <row r="785" spans="6:6" ht="16" x14ac:dyDescent="0.2">
      <c r="F785" s="254"/>
    </row>
    <row r="786" spans="6:6" ht="16" x14ac:dyDescent="0.2">
      <c r="F786" s="254"/>
    </row>
    <row r="787" spans="6:6" ht="16" x14ac:dyDescent="0.2">
      <c r="F787" s="254"/>
    </row>
    <row r="788" spans="6:6" ht="16" x14ac:dyDescent="0.2">
      <c r="F788" s="254"/>
    </row>
    <row r="789" spans="6:6" ht="16" x14ac:dyDescent="0.2">
      <c r="F789" s="254"/>
    </row>
    <row r="790" spans="6:6" ht="16" x14ac:dyDescent="0.2">
      <c r="F790" s="254"/>
    </row>
    <row r="791" spans="6:6" ht="16" x14ac:dyDescent="0.2">
      <c r="F791" s="254"/>
    </row>
    <row r="792" spans="6:6" ht="16" x14ac:dyDescent="0.2">
      <c r="F792" s="254"/>
    </row>
    <row r="793" spans="6:6" ht="16" x14ac:dyDescent="0.2">
      <c r="F793" s="254"/>
    </row>
    <row r="794" spans="6:6" ht="16" x14ac:dyDescent="0.2">
      <c r="F794" s="254"/>
    </row>
    <row r="795" spans="6:6" ht="16" x14ac:dyDescent="0.2">
      <c r="F795" s="254"/>
    </row>
    <row r="796" spans="6:6" ht="16" x14ac:dyDescent="0.2">
      <c r="F796" s="254"/>
    </row>
    <row r="797" spans="6:6" ht="16" x14ac:dyDescent="0.2">
      <c r="F797" s="254"/>
    </row>
    <row r="798" spans="6:6" ht="16" x14ac:dyDescent="0.2">
      <c r="F798" s="254"/>
    </row>
    <row r="799" spans="6:6" ht="16" x14ac:dyDescent="0.2">
      <c r="F799" s="254"/>
    </row>
    <row r="800" spans="6:6" ht="16" x14ac:dyDescent="0.2">
      <c r="F800" s="254"/>
    </row>
    <row r="801" spans="6:6" ht="16" x14ac:dyDescent="0.2">
      <c r="F801" s="254"/>
    </row>
    <row r="802" spans="6:6" ht="16" x14ac:dyDescent="0.2">
      <c r="F802" s="254"/>
    </row>
    <row r="803" spans="6:6" ht="16" x14ac:dyDescent="0.2">
      <c r="F803" s="254"/>
    </row>
    <row r="804" spans="6:6" ht="16" x14ac:dyDescent="0.2">
      <c r="F804" s="254"/>
    </row>
    <row r="805" spans="6:6" ht="16" x14ac:dyDescent="0.2">
      <c r="F805" s="254"/>
    </row>
    <row r="806" spans="6:6" ht="16" x14ac:dyDescent="0.2">
      <c r="F806" s="254"/>
    </row>
    <row r="807" spans="6:6" ht="16" x14ac:dyDescent="0.2">
      <c r="F807" s="254"/>
    </row>
    <row r="808" spans="6:6" ht="16" x14ac:dyDescent="0.2">
      <c r="F808" s="254"/>
    </row>
    <row r="809" spans="6:6" ht="16" x14ac:dyDescent="0.2">
      <c r="F809" s="254"/>
    </row>
    <row r="810" spans="6:6" ht="16" x14ac:dyDescent="0.2">
      <c r="F810" s="254"/>
    </row>
    <row r="811" spans="6:6" ht="16" x14ac:dyDescent="0.2">
      <c r="F811" s="254"/>
    </row>
    <row r="812" spans="6:6" ht="16" x14ac:dyDescent="0.2">
      <c r="F812" s="254"/>
    </row>
    <row r="813" spans="6:6" ht="16" x14ac:dyDescent="0.2">
      <c r="F813" s="254"/>
    </row>
    <row r="814" spans="6:6" ht="16" x14ac:dyDescent="0.2">
      <c r="F814" s="254"/>
    </row>
    <row r="815" spans="6:6" ht="16" x14ac:dyDescent="0.2">
      <c r="F815" s="254"/>
    </row>
    <row r="816" spans="6:6" ht="16" x14ac:dyDescent="0.2">
      <c r="F816" s="254"/>
    </row>
    <row r="817" spans="6:6" ht="16" x14ac:dyDescent="0.2">
      <c r="F817" s="254"/>
    </row>
    <row r="818" spans="6:6" ht="16" x14ac:dyDescent="0.2">
      <c r="F818" s="254"/>
    </row>
    <row r="819" spans="6:6" ht="16" x14ac:dyDescent="0.2">
      <c r="F819" s="254"/>
    </row>
    <row r="820" spans="6:6" ht="16" x14ac:dyDescent="0.2">
      <c r="F820" s="254"/>
    </row>
    <row r="821" spans="6:6" ht="16" x14ac:dyDescent="0.2">
      <c r="F821" s="254"/>
    </row>
    <row r="822" spans="6:6" ht="16" x14ac:dyDescent="0.2">
      <c r="F822" s="254"/>
    </row>
    <row r="823" spans="6:6" ht="16" x14ac:dyDescent="0.2">
      <c r="F823" s="254"/>
    </row>
    <row r="824" spans="6:6" ht="16" x14ac:dyDescent="0.2">
      <c r="F824" s="254"/>
    </row>
    <row r="825" spans="6:6" ht="16" x14ac:dyDescent="0.2">
      <c r="F825" s="254"/>
    </row>
    <row r="826" spans="6:6" ht="16" x14ac:dyDescent="0.2">
      <c r="F826" s="254"/>
    </row>
    <row r="827" spans="6:6" ht="16" x14ac:dyDescent="0.2">
      <c r="F827" s="254"/>
    </row>
    <row r="828" spans="6:6" ht="16" x14ac:dyDescent="0.2">
      <c r="F828" s="254"/>
    </row>
    <row r="829" spans="6:6" ht="16" x14ac:dyDescent="0.2">
      <c r="F829" s="254"/>
    </row>
    <row r="830" spans="6:6" ht="16" x14ac:dyDescent="0.2">
      <c r="F830" s="254"/>
    </row>
    <row r="831" spans="6:6" ht="16" x14ac:dyDescent="0.2">
      <c r="F831" s="254"/>
    </row>
    <row r="832" spans="6:6" ht="16" x14ac:dyDescent="0.2">
      <c r="F832" s="254"/>
    </row>
    <row r="833" spans="6:6" ht="16" x14ac:dyDescent="0.2">
      <c r="F833" s="254"/>
    </row>
    <row r="834" spans="6:6" ht="16" x14ac:dyDescent="0.2">
      <c r="F834" s="254"/>
    </row>
    <row r="835" spans="6:6" ht="16" x14ac:dyDescent="0.2">
      <c r="F835" s="254"/>
    </row>
    <row r="836" spans="6:6" ht="16" x14ac:dyDescent="0.2">
      <c r="F836" s="254"/>
    </row>
    <row r="837" spans="6:6" ht="16" x14ac:dyDescent="0.2">
      <c r="F837" s="254"/>
    </row>
    <row r="838" spans="6:6" ht="16" x14ac:dyDescent="0.2">
      <c r="F838" s="254"/>
    </row>
    <row r="839" spans="6:6" ht="16" x14ac:dyDescent="0.2">
      <c r="F839" s="254"/>
    </row>
    <row r="840" spans="6:6" ht="16" x14ac:dyDescent="0.2">
      <c r="F840" s="254"/>
    </row>
    <row r="841" spans="6:6" ht="16" x14ac:dyDescent="0.2">
      <c r="F841" s="254"/>
    </row>
    <row r="842" spans="6:6" ht="16" x14ac:dyDescent="0.2">
      <c r="F842" s="254"/>
    </row>
    <row r="843" spans="6:6" ht="16" x14ac:dyDescent="0.2">
      <c r="F843" s="254"/>
    </row>
    <row r="844" spans="6:6" ht="16" x14ac:dyDescent="0.2">
      <c r="F844" s="254"/>
    </row>
    <row r="845" spans="6:6" ht="16" x14ac:dyDescent="0.2">
      <c r="F845" s="254"/>
    </row>
    <row r="846" spans="6:6" ht="16" x14ac:dyDescent="0.2">
      <c r="F846" s="254"/>
    </row>
    <row r="847" spans="6:6" ht="16" x14ac:dyDescent="0.2">
      <c r="F847" s="254"/>
    </row>
    <row r="848" spans="6:6" ht="16" x14ac:dyDescent="0.2">
      <c r="F848" s="254"/>
    </row>
    <row r="849" spans="6:6" ht="16" x14ac:dyDescent="0.2">
      <c r="F849" s="254"/>
    </row>
    <row r="850" spans="6:6" ht="16" x14ac:dyDescent="0.2">
      <c r="F850" s="254"/>
    </row>
    <row r="851" spans="6:6" ht="16" x14ac:dyDescent="0.2">
      <c r="F851" s="254"/>
    </row>
    <row r="852" spans="6:6" ht="16" x14ac:dyDescent="0.2">
      <c r="F852" s="254"/>
    </row>
    <row r="853" spans="6:6" ht="16" x14ac:dyDescent="0.2">
      <c r="F853" s="254"/>
    </row>
    <row r="854" spans="6:6" ht="16" x14ac:dyDescent="0.2">
      <c r="F854" s="254"/>
    </row>
    <row r="855" spans="6:6" ht="16" x14ac:dyDescent="0.2">
      <c r="F855" s="254"/>
    </row>
    <row r="856" spans="6:6" ht="16" x14ac:dyDescent="0.2">
      <c r="F856" s="254"/>
    </row>
    <row r="857" spans="6:6" ht="16" x14ac:dyDescent="0.2">
      <c r="F857" s="254"/>
    </row>
    <row r="858" spans="6:6" ht="16" x14ac:dyDescent="0.2">
      <c r="F858" s="254"/>
    </row>
    <row r="859" spans="6:6" ht="16" x14ac:dyDescent="0.2">
      <c r="F859" s="254"/>
    </row>
    <row r="860" spans="6:6" ht="16" x14ac:dyDescent="0.2">
      <c r="F860" s="254"/>
    </row>
    <row r="861" spans="6:6" ht="16" x14ac:dyDescent="0.2">
      <c r="F861" s="254"/>
    </row>
    <row r="862" spans="6:6" ht="16" x14ac:dyDescent="0.2">
      <c r="F862" s="254"/>
    </row>
    <row r="863" spans="6:6" ht="16" x14ac:dyDescent="0.2">
      <c r="F863" s="254"/>
    </row>
    <row r="864" spans="6:6" ht="16" x14ac:dyDescent="0.2">
      <c r="F864" s="254"/>
    </row>
    <row r="865" spans="6:6" ht="16" x14ac:dyDescent="0.2">
      <c r="F865" s="254"/>
    </row>
    <row r="866" spans="6:6" ht="16" x14ac:dyDescent="0.2">
      <c r="F866" s="254"/>
    </row>
    <row r="867" spans="6:6" ht="16" x14ac:dyDescent="0.2">
      <c r="F867" s="254"/>
    </row>
    <row r="868" spans="6:6" ht="16" x14ac:dyDescent="0.2">
      <c r="F868" s="254"/>
    </row>
    <row r="869" spans="6:6" ht="16" x14ac:dyDescent="0.2">
      <c r="F869" s="254"/>
    </row>
    <row r="870" spans="6:6" ht="16" x14ac:dyDescent="0.2">
      <c r="F870" s="254"/>
    </row>
    <row r="871" spans="6:6" ht="16" x14ac:dyDescent="0.2">
      <c r="F871" s="254"/>
    </row>
    <row r="872" spans="6:6" ht="16" x14ac:dyDescent="0.2">
      <c r="F872" s="254"/>
    </row>
    <row r="873" spans="6:6" ht="16" x14ac:dyDescent="0.2">
      <c r="F873" s="254"/>
    </row>
    <row r="874" spans="6:6" ht="16" x14ac:dyDescent="0.2">
      <c r="F874" s="254"/>
    </row>
    <row r="875" spans="6:6" ht="16" x14ac:dyDescent="0.2">
      <c r="F875" s="254"/>
    </row>
    <row r="876" spans="6:6" ht="16" x14ac:dyDescent="0.2">
      <c r="F876" s="254"/>
    </row>
    <row r="877" spans="6:6" ht="16" x14ac:dyDescent="0.2">
      <c r="F877" s="254"/>
    </row>
    <row r="878" spans="6:6" ht="16" x14ac:dyDescent="0.2">
      <c r="F878" s="254"/>
    </row>
    <row r="879" spans="6:6" ht="16" x14ac:dyDescent="0.2">
      <c r="F879" s="254"/>
    </row>
    <row r="880" spans="6:6" ht="16" x14ac:dyDescent="0.2">
      <c r="F880" s="254"/>
    </row>
    <row r="881" spans="6:6" ht="16" x14ac:dyDescent="0.2">
      <c r="F881" s="254"/>
    </row>
    <row r="882" spans="6:6" ht="16" x14ac:dyDescent="0.2">
      <c r="F882" s="254"/>
    </row>
    <row r="883" spans="6:6" ht="16" x14ac:dyDescent="0.2">
      <c r="F883" s="254"/>
    </row>
    <row r="884" spans="6:6" ht="16" x14ac:dyDescent="0.2">
      <c r="F884" s="254"/>
    </row>
    <row r="885" spans="6:6" ht="16" x14ac:dyDescent="0.2">
      <c r="F885" s="254"/>
    </row>
    <row r="886" spans="6:6" ht="16" x14ac:dyDescent="0.2">
      <c r="F886" s="254"/>
    </row>
    <row r="887" spans="6:6" ht="16" x14ac:dyDescent="0.2">
      <c r="F887" s="254"/>
    </row>
    <row r="888" spans="6:6" ht="16" x14ac:dyDescent="0.2">
      <c r="F888" s="254"/>
    </row>
    <row r="889" spans="6:6" ht="16" x14ac:dyDescent="0.2">
      <c r="F889" s="254"/>
    </row>
    <row r="890" spans="6:6" ht="16" x14ac:dyDescent="0.2">
      <c r="F890" s="254"/>
    </row>
    <row r="891" spans="6:6" ht="16" x14ac:dyDescent="0.2">
      <c r="F891" s="254"/>
    </row>
    <row r="892" spans="6:6" ht="16" x14ac:dyDescent="0.2">
      <c r="F892" s="254"/>
    </row>
    <row r="893" spans="6:6" ht="16" x14ac:dyDescent="0.2">
      <c r="F893" s="254"/>
    </row>
    <row r="894" spans="6:6" ht="16" x14ac:dyDescent="0.2">
      <c r="F894" s="254"/>
    </row>
    <row r="895" spans="6:6" ht="16" x14ac:dyDescent="0.2">
      <c r="F895" s="254"/>
    </row>
    <row r="896" spans="6:6" ht="16" x14ac:dyDescent="0.2">
      <c r="F896" s="254"/>
    </row>
    <row r="897" spans="6:6" ht="16" x14ac:dyDescent="0.2">
      <c r="F897" s="254"/>
    </row>
    <row r="898" spans="6:6" ht="16" x14ac:dyDescent="0.2">
      <c r="F898" s="254"/>
    </row>
    <row r="899" spans="6:6" ht="16" x14ac:dyDescent="0.2">
      <c r="F899" s="254"/>
    </row>
    <row r="900" spans="6:6" ht="16" x14ac:dyDescent="0.2">
      <c r="F900" s="254"/>
    </row>
    <row r="901" spans="6:6" ht="16" x14ac:dyDescent="0.2">
      <c r="F901" s="254"/>
    </row>
    <row r="902" spans="6:6" ht="16" x14ac:dyDescent="0.2">
      <c r="F902" s="254"/>
    </row>
    <row r="903" spans="6:6" ht="16" x14ac:dyDescent="0.2">
      <c r="F903" s="254"/>
    </row>
    <row r="904" spans="6:6" ht="16" x14ac:dyDescent="0.2">
      <c r="F904" s="254"/>
    </row>
    <row r="905" spans="6:6" ht="16" x14ac:dyDescent="0.2">
      <c r="F905" s="254"/>
    </row>
    <row r="906" spans="6:6" ht="16" x14ac:dyDescent="0.2">
      <c r="F906" s="254"/>
    </row>
    <row r="907" spans="6:6" ht="16" x14ac:dyDescent="0.2">
      <c r="F907" s="254"/>
    </row>
    <row r="908" spans="6:6" ht="16" x14ac:dyDescent="0.2">
      <c r="F908" s="254"/>
    </row>
    <row r="909" spans="6:6" ht="16" x14ac:dyDescent="0.2">
      <c r="F909" s="254"/>
    </row>
    <row r="910" spans="6:6" ht="16" x14ac:dyDescent="0.2">
      <c r="F910" s="254"/>
    </row>
    <row r="911" spans="6:6" ht="16" x14ac:dyDescent="0.2">
      <c r="F911" s="254"/>
    </row>
    <row r="912" spans="6:6" ht="16" x14ac:dyDescent="0.2">
      <c r="F912" s="254"/>
    </row>
    <row r="913" spans="6:6" ht="16" x14ac:dyDescent="0.2">
      <c r="F913" s="254"/>
    </row>
    <row r="914" spans="6:6" ht="16" x14ac:dyDescent="0.2">
      <c r="F914" s="254"/>
    </row>
    <row r="915" spans="6:6" ht="16" x14ac:dyDescent="0.2">
      <c r="F915" s="254"/>
    </row>
    <row r="916" spans="6:6" ht="16" x14ac:dyDescent="0.2">
      <c r="F916" s="254"/>
    </row>
    <row r="917" spans="6:6" ht="16" x14ac:dyDescent="0.2">
      <c r="F917" s="254"/>
    </row>
    <row r="918" spans="6:6" ht="16" x14ac:dyDescent="0.2">
      <c r="F918" s="254"/>
    </row>
    <row r="919" spans="6:6" ht="16" x14ac:dyDescent="0.2">
      <c r="F919" s="254"/>
    </row>
    <row r="920" spans="6:6" ht="16" x14ac:dyDescent="0.2">
      <c r="F920" s="254"/>
    </row>
    <row r="921" spans="6:6" ht="16" x14ac:dyDescent="0.2">
      <c r="F921" s="254"/>
    </row>
    <row r="922" spans="6:6" ht="16" x14ac:dyDescent="0.2">
      <c r="F922" s="254"/>
    </row>
    <row r="923" spans="6:6" ht="16" x14ac:dyDescent="0.2">
      <c r="F923" s="254"/>
    </row>
    <row r="924" spans="6:6" ht="16" x14ac:dyDescent="0.2">
      <c r="F924" s="254"/>
    </row>
    <row r="925" spans="6:6" ht="16" x14ac:dyDescent="0.2">
      <c r="F925" s="254"/>
    </row>
    <row r="926" spans="6:6" ht="16" x14ac:dyDescent="0.2">
      <c r="F926" s="254"/>
    </row>
    <row r="927" spans="6:6" ht="16" x14ac:dyDescent="0.2">
      <c r="F927" s="254"/>
    </row>
    <row r="928" spans="6:6" ht="16" x14ac:dyDescent="0.2">
      <c r="F928" s="254"/>
    </row>
    <row r="929" spans="6:6" ht="16" x14ac:dyDescent="0.2">
      <c r="F929" s="254"/>
    </row>
    <row r="930" spans="6:6" ht="16" x14ac:dyDescent="0.2">
      <c r="F930" s="254"/>
    </row>
    <row r="931" spans="6:6" ht="16" x14ac:dyDescent="0.2">
      <c r="F931" s="254"/>
    </row>
    <row r="932" spans="6:6" ht="16" x14ac:dyDescent="0.2">
      <c r="F932" s="254"/>
    </row>
    <row r="933" spans="6:6" ht="16" x14ac:dyDescent="0.2">
      <c r="F933" s="254"/>
    </row>
    <row r="934" spans="6:6" ht="16" x14ac:dyDescent="0.2">
      <c r="F934" s="254"/>
    </row>
    <row r="935" spans="6:6" ht="16" x14ac:dyDescent="0.2">
      <c r="F935" s="254"/>
    </row>
    <row r="936" spans="6:6" ht="16" x14ac:dyDescent="0.2">
      <c r="F936" s="254"/>
    </row>
    <row r="937" spans="6:6" ht="16" x14ac:dyDescent="0.2">
      <c r="F937" s="254"/>
    </row>
    <row r="938" spans="6:6" ht="16" x14ac:dyDescent="0.2">
      <c r="F938" s="254"/>
    </row>
    <row r="939" spans="6:6" ht="16" x14ac:dyDescent="0.2">
      <c r="F939" s="254"/>
    </row>
    <row r="940" spans="6:6" ht="16" x14ac:dyDescent="0.2">
      <c r="F940" s="254"/>
    </row>
    <row r="941" spans="6:6" ht="16" x14ac:dyDescent="0.2">
      <c r="F941" s="254"/>
    </row>
    <row r="942" spans="6:6" ht="16" x14ac:dyDescent="0.2">
      <c r="F942" s="254"/>
    </row>
    <row r="943" spans="6:6" ht="16" x14ac:dyDescent="0.2">
      <c r="F943" s="254"/>
    </row>
    <row r="944" spans="6:6" ht="16" x14ac:dyDescent="0.2">
      <c r="F944" s="254"/>
    </row>
    <row r="945" spans="6:6" ht="16" x14ac:dyDescent="0.2">
      <c r="F945" s="254"/>
    </row>
    <row r="946" spans="6:6" ht="16" x14ac:dyDescent="0.2">
      <c r="F946" s="254"/>
    </row>
    <row r="947" spans="6:6" ht="16" x14ac:dyDescent="0.2">
      <c r="F947" s="254"/>
    </row>
    <row r="948" spans="6:6" ht="16" x14ac:dyDescent="0.2">
      <c r="F948" s="254"/>
    </row>
    <row r="949" spans="6:6" ht="16" x14ac:dyDescent="0.2">
      <c r="F949" s="254"/>
    </row>
    <row r="950" spans="6:6" ht="16" x14ac:dyDescent="0.2">
      <c r="F950" s="254"/>
    </row>
    <row r="951" spans="6:6" ht="16" x14ac:dyDescent="0.2">
      <c r="F951" s="254"/>
    </row>
    <row r="952" spans="6:6" ht="16" x14ac:dyDescent="0.2">
      <c r="F952" s="254"/>
    </row>
    <row r="953" spans="6:6" ht="16" x14ac:dyDescent="0.2">
      <c r="F953" s="254"/>
    </row>
    <row r="954" spans="6:6" ht="16" x14ac:dyDescent="0.2">
      <c r="F954" s="254"/>
    </row>
    <row r="955" spans="6:6" ht="16" x14ac:dyDescent="0.2">
      <c r="F955" s="254"/>
    </row>
    <row r="956" spans="6:6" ht="16" x14ac:dyDescent="0.2">
      <c r="F956" s="254"/>
    </row>
    <row r="957" spans="6:6" ht="16" x14ac:dyDescent="0.2">
      <c r="F957" s="254"/>
    </row>
    <row r="958" spans="6:6" ht="16" x14ac:dyDescent="0.2">
      <c r="F958" s="254"/>
    </row>
    <row r="959" spans="6:6" ht="16" x14ac:dyDescent="0.2">
      <c r="F959" s="254"/>
    </row>
    <row r="960" spans="6:6" ht="16" x14ac:dyDescent="0.2">
      <c r="F960" s="254"/>
    </row>
    <row r="961" spans="6:6" ht="16" x14ac:dyDescent="0.2">
      <c r="F961" s="254"/>
    </row>
    <row r="962" spans="6:6" ht="16" x14ac:dyDescent="0.2">
      <c r="F962" s="254"/>
    </row>
    <row r="963" spans="6:6" ht="16" x14ac:dyDescent="0.2">
      <c r="F963" s="254"/>
    </row>
    <row r="964" spans="6:6" ht="16" x14ac:dyDescent="0.2">
      <c r="F964" s="254"/>
    </row>
    <row r="965" spans="6:6" ht="16" x14ac:dyDescent="0.2">
      <c r="F965" s="254"/>
    </row>
    <row r="966" spans="6:6" ht="16" x14ac:dyDescent="0.2">
      <c r="F966" s="254"/>
    </row>
    <row r="967" spans="6:6" ht="16" x14ac:dyDescent="0.2">
      <c r="F967" s="254"/>
    </row>
    <row r="968" spans="6:6" ht="16" x14ac:dyDescent="0.2">
      <c r="F968" s="254"/>
    </row>
    <row r="969" spans="6:6" ht="16" x14ac:dyDescent="0.2">
      <c r="F969" s="254"/>
    </row>
    <row r="970" spans="6:6" ht="16" x14ac:dyDescent="0.2">
      <c r="F970" s="254"/>
    </row>
    <row r="971" spans="6:6" ht="16" x14ac:dyDescent="0.2">
      <c r="F971" s="254"/>
    </row>
    <row r="972" spans="6:6" ht="16" x14ac:dyDescent="0.2">
      <c r="F972" s="254"/>
    </row>
    <row r="973" spans="6:6" ht="16" x14ac:dyDescent="0.2">
      <c r="F973" s="254"/>
    </row>
    <row r="974" spans="6:6" ht="16" x14ac:dyDescent="0.2">
      <c r="F974" s="254"/>
    </row>
    <row r="975" spans="6:6" ht="16" x14ac:dyDescent="0.2">
      <c r="F975" s="254"/>
    </row>
    <row r="976" spans="6:6" ht="16" x14ac:dyDescent="0.2">
      <c r="F976" s="254"/>
    </row>
    <row r="977" spans="6:6" ht="16" x14ac:dyDescent="0.2">
      <c r="F977" s="254"/>
    </row>
    <row r="978" spans="6:6" ht="16" x14ac:dyDescent="0.2">
      <c r="F978" s="254"/>
    </row>
    <row r="979" spans="6:6" ht="16" x14ac:dyDescent="0.2">
      <c r="F979" s="254"/>
    </row>
    <row r="980" spans="6:6" ht="16" x14ac:dyDescent="0.2">
      <c r="F980" s="254"/>
    </row>
    <row r="981" spans="6:6" ht="16" x14ac:dyDescent="0.2">
      <c r="F981" s="254"/>
    </row>
    <row r="982" spans="6:6" ht="16" x14ac:dyDescent="0.2">
      <c r="F982" s="254"/>
    </row>
    <row r="983" spans="6:6" ht="16" x14ac:dyDescent="0.2">
      <c r="F983" s="254"/>
    </row>
    <row r="984" spans="6:6" ht="16" x14ac:dyDescent="0.2">
      <c r="F984" s="254"/>
    </row>
    <row r="985" spans="6:6" ht="16" x14ac:dyDescent="0.2">
      <c r="F985" s="254"/>
    </row>
    <row r="986" spans="6:6" ht="16" x14ac:dyDescent="0.2">
      <c r="F986" s="254"/>
    </row>
    <row r="987" spans="6:6" ht="16" x14ac:dyDescent="0.2">
      <c r="F987" s="254"/>
    </row>
    <row r="988" spans="6:6" ht="16" x14ac:dyDescent="0.2">
      <c r="F988" s="254"/>
    </row>
    <row r="989" spans="6:6" ht="16" x14ac:dyDescent="0.2">
      <c r="F989" s="254"/>
    </row>
    <row r="990" spans="6:6" ht="16" x14ac:dyDescent="0.2">
      <c r="F990" s="254"/>
    </row>
    <row r="991" spans="6:6" ht="16" x14ac:dyDescent="0.2">
      <c r="F991" s="254"/>
    </row>
    <row r="992" spans="6:6" ht="16" x14ac:dyDescent="0.2">
      <c r="F992" s="254"/>
    </row>
    <row r="993" spans="6:6" ht="16" x14ac:dyDescent="0.2">
      <c r="F993" s="254"/>
    </row>
    <row r="994" spans="6:6" ht="16" x14ac:dyDescent="0.2">
      <c r="F994" s="254"/>
    </row>
    <row r="995" spans="6:6" ht="16" x14ac:dyDescent="0.2">
      <c r="F995" s="254"/>
    </row>
    <row r="996" spans="6:6" ht="16" x14ac:dyDescent="0.2">
      <c r="F996" s="254"/>
    </row>
    <row r="997" spans="6:6" ht="16" x14ac:dyDescent="0.2">
      <c r="F997" s="254"/>
    </row>
    <row r="998" spans="6:6" ht="16" x14ac:dyDescent="0.2">
      <c r="F998" s="254"/>
    </row>
    <row r="999" spans="6:6" ht="16" x14ac:dyDescent="0.2">
      <c r="F999" s="254"/>
    </row>
    <row r="1000" spans="6:6" ht="16" x14ac:dyDescent="0.2">
      <c r="F1000" s="254"/>
    </row>
    <row r="1001" spans="6:6" ht="16" x14ac:dyDescent="0.2">
      <c r="F1001" s="254"/>
    </row>
    <row r="1002" spans="6:6" ht="16" x14ac:dyDescent="0.2">
      <c r="F1002" s="254"/>
    </row>
    <row r="1003" spans="6:6" ht="16" x14ac:dyDescent="0.2">
      <c r="F1003" s="254"/>
    </row>
    <row r="1004" spans="6:6" ht="16" x14ac:dyDescent="0.2">
      <c r="F1004" s="254"/>
    </row>
    <row r="1005" spans="6:6" ht="16" x14ac:dyDescent="0.2">
      <c r="F1005" s="254"/>
    </row>
    <row r="1006" spans="6:6" ht="16" x14ac:dyDescent="0.2">
      <c r="F1006" s="254"/>
    </row>
    <row r="1007" spans="6:6" ht="16" x14ac:dyDescent="0.2">
      <c r="F1007" s="254"/>
    </row>
    <row r="1008" spans="6:6" ht="16" x14ac:dyDescent="0.2">
      <c r="F1008" s="254"/>
    </row>
    <row r="1009" spans="6:6" ht="16" x14ac:dyDescent="0.2">
      <c r="F1009" s="254"/>
    </row>
    <row r="1010" spans="6:6" ht="16" x14ac:dyDescent="0.2">
      <c r="F1010" s="254"/>
    </row>
    <row r="1011" spans="6:6" ht="16" x14ac:dyDescent="0.2">
      <c r="F1011" s="254"/>
    </row>
    <row r="1012" spans="6:6" ht="16" x14ac:dyDescent="0.2">
      <c r="F1012" s="254"/>
    </row>
    <row r="1013" spans="6:6" ht="16" x14ac:dyDescent="0.2">
      <c r="F1013" s="254"/>
    </row>
    <row r="1014" spans="6:6" ht="16" x14ac:dyDescent="0.2">
      <c r="F1014" s="254"/>
    </row>
    <row r="1015" spans="6:6" ht="16" x14ac:dyDescent="0.2">
      <c r="F1015" s="254"/>
    </row>
    <row r="1016" spans="6:6" ht="16" x14ac:dyDescent="0.2">
      <c r="F1016" s="254"/>
    </row>
    <row r="1017" spans="6:6" ht="16" x14ac:dyDescent="0.2">
      <c r="F1017" s="254"/>
    </row>
    <row r="1018" spans="6:6" ht="16" x14ac:dyDescent="0.2">
      <c r="F1018" s="254"/>
    </row>
    <row r="1019" spans="6:6" ht="16" x14ac:dyDescent="0.2">
      <c r="F1019" s="254"/>
    </row>
    <row r="1020" spans="6:6" ht="16" x14ac:dyDescent="0.2">
      <c r="F1020" s="254"/>
    </row>
    <row r="1021" spans="6:6" ht="16" x14ac:dyDescent="0.2">
      <c r="F1021" s="254"/>
    </row>
    <row r="1022" spans="6:6" ht="16" x14ac:dyDescent="0.2">
      <c r="F1022" s="254"/>
    </row>
    <row r="1023" spans="6:6" ht="16" x14ac:dyDescent="0.2">
      <c r="F1023" s="254"/>
    </row>
    <row r="1024" spans="6:6" ht="16" x14ac:dyDescent="0.2">
      <c r="F1024" s="254"/>
    </row>
    <row r="1025" spans="6:6" ht="16" x14ac:dyDescent="0.2">
      <c r="F1025" s="254"/>
    </row>
    <row r="1026" spans="6:6" ht="16" x14ac:dyDescent="0.2">
      <c r="F1026" s="254"/>
    </row>
    <row r="1027" spans="6:6" ht="16" x14ac:dyDescent="0.2">
      <c r="F1027" s="254"/>
    </row>
    <row r="1028" spans="6:6" ht="16" x14ac:dyDescent="0.2">
      <c r="F1028" s="254"/>
    </row>
    <row r="1029" spans="6:6" ht="16" x14ac:dyDescent="0.2">
      <c r="F1029" s="254"/>
    </row>
    <row r="1030" spans="6:6" ht="16" x14ac:dyDescent="0.2">
      <c r="F1030" s="254"/>
    </row>
    <row r="1031" spans="6:6" ht="16" x14ac:dyDescent="0.2">
      <c r="F1031" s="254"/>
    </row>
    <row r="1032" spans="6:6" ht="16" x14ac:dyDescent="0.2">
      <c r="F1032" s="254"/>
    </row>
    <row r="1033" spans="6:6" ht="16" x14ac:dyDescent="0.2">
      <c r="F1033" s="254"/>
    </row>
    <row r="1034" spans="6:6" ht="16" x14ac:dyDescent="0.2">
      <c r="F1034" s="254"/>
    </row>
    <row r="1035" spans="6:6" ht="16" x14ac:dyDescent="0.2">
      <c r="F1035" s="254"/>
    </row>
    <row r="1036" spans="6:6" ht="16" x14ac:dyDescent="0.2">
      <c r="F1036" s="254"/>
    </row>
    <row r="1037" spans="6:6" ht="16" x14ac:dyDescent="0.2">
      <c r="F1037" s="254"/>
    </row>
    <row r="1038" spans="6:6" ht="16" x14ac:dyDescent="0.2">
      <c r="F1038" s="254"/>
    </row>
    <row r="1039" spans="6:6" ht="16" x14ac:dyDescent="0.2">
      <c r="F1039" s="254"/>
    </row>
    <row r="1040" spans="6:6" ht="16" x14ac:dyDescent="0.2">
      <c r="F1040" s="254"/>
    </row>
    <row r="1041" spans="6:6" ht="16" x14ac:dyDescent="0.2">
      <c r="F1041" s="254"/>
    </row>
    <row r="1042" spans="6:6" ht="16" x14ac:dyDescent="0.2">
      <c r="F1042" s="254"/>
    </row>
    <row r="1043" spans="6:6" ht="16" x14ac:dyDescent="0.2">
      <c r="F1043" s="254"/>
    </row>
    <row r="1044" spans="6:6" ht="16" x14ac:dyDescent="0.2">
      <c r="F1044" s="254"/>
    </row>
    <row r="1045" spans="6:6" ht="16" x14ac:dyDescent="0.2">
      <c r="F1045" s="254"/>
    </row>
    <row r="1046" spans="6:6" ht="16" x14ac:dyDescent="0.2">
      <c r="F1046" s="254"/>
    </row>
    <row r="1047" spans="6:6" ht="16" x14ac:dyDescent="0.2">
      <c r="F1047" s="254"/>
    </row>
    <row r="1048" spans="6:6" ht="16" x14ac:dyDescent="0.2">
      <c r="F1048" s="254"/>
    </row>
    <row r="1049" spans="6:6" ht="16" x14ac:dyDescent="0.2">
      <c r="F1049" s="254"/>
    </row>
    <row r="1050" spans="6:6" ht="16" x14ac:dyDescent="0.2">
      <c r="F1050" s="254"/>
    </row>
    <row r="1051" spans="6:6" ht="16" x14ac:dyDescent="0.2">
      <c r="F1051" s="254"/>
    </row>
    <row r="1052" spans="6:6" ht="16" x14ac:dyDescent="0.2">
      <c r="F1052" s="254"/>
    </row>
  </sheetData>
  <mergeCells count="2">
    <mergeCell ref="A13:E15"/>
    <mergeCell ref="A92:E94"/>
  </mergeCells>
  <dataValidations count="2">
    <dataValidation type="list" allowBlank="1" showErrorMessage="1" sqref="C7" xr:uid="{00000000-0002-0000-0000-000001000000}">
      <formula1>"Service In Shop,Service In Field"</formula1>
    </dataValidation>
    <dataValidation type="list" allowBlank="1" showErrorMessage="1" sqref="C9" xr:uid="{00000000-0002-0000-0000-000002000000}">
      <formula1>"12,18,24,30,36,42,48,54,60"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'Scheduled Intervals'!$A$4:$A$34</xm:f>
          </x14:formula1>
          <xm:sqref>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>
      <selection activeCell="C3" sqref="C3"/>
    </sheetView>
  </sheetViews>
  <sheetFormatPr baseColWidth="10" defaultColWidth="11.1640625" defaultRowHeight="15" customHeight="1" x14ac:dyDescent="0.2"/>
  <cols>
    <col min="1" max="1" width="41.1640625" customWidth="1"/>
    <col min="2" max="2" width="11.83203125" customWidth="1"/>
    <col min="3" max="3" width="22" customWidth="1"/>
    <col min="4" max="26" width="11" customWidth="1"/>
  </cols>
  <sheetData>
    <row r="1" spans="1:5" ht="16" x14ac:dyDescent="0.2"/>
    <row r="2" spans="1:5" ht="16" x14ac:dyDescent="0.2"/>
    <row r="3" spans="1:5" ht="17" x14ac:dyDescent="0.2">
      <c r="A3" s="1" t="s">
        <v>0</v>
      </c>
      <c r="C3" s="2" t="s">
        <v>1</v>
      </c>
    </row>
    <row r="4" spans="1:5" ht="16" x14ac:dyDescent="0.2"/>
    <row r="5" spans="1:5" ht="16" x14ac:dyDescent="0.2">
      <c r="A5" s="1" t="s">
        <v>11</v>
      </c>
      <c r="C5" s="21">
        <v>500</v>
      </c>
      <c r="D5" s="1" t="s">
        <v>3</v>
      </c>
    </row>
    <row r="6" spans="1:5" ht="16" x14ac:dyDescent="0.2"/>
    <row r="7" spans="1:5" ht="16" x14ac:dyDescent="0.2">
      <c r="A7" s="4" t="s">
        <v>16</v>
      </c>
      <c r="C7" s="5" t="s">
        <v>5</v>
      </c>
    </row>
    <row r="8" spans="1:5" ht="16" x14ac:dyDescent="0.2"/>
    <row r="9" spans="1:5" ht="16" x14ac:dyDescent="0.2">
      <c r="A9" s="4" t="s">
        <v>17</v>
      </c>
      <c r="C9" s="13">
        <f>IF(C7="service in Shop",'Plan Set Up'!E1,'Plan Set Up'!E2)</f>
        <v>120</v>
      </c>
    </row>
    <row r="10" spans="1:5" ht="16" x14ac:dyDescent="0.2"/>
    <row r="11" spans="1:5" ht="16" x14ac:dyDescent="0.2">
      <c r="A11" s="1" t="s">
        <v>18</v>
      </c>
    </row>
    <row r="12" spans="1:5" ht="16" x14ac:dyDescent="0.2"/>
    <row r="13" spans="1:5" ht="16" x14ac:dyDescent="0.2">
      <c r="A13" s="262" t="str">
        <f>_xlfn.TEXTJOIN(", ",TRUE,'Included @ Interval'!B39:B126)</f>
        <v>Perform Oil and Filter Change, Drain Water from Fuel Tank, Change fuel Filter Element, Change Hydraulic Oil Filter, Change or Clean Hydraulic Breather Element , Change or Clean Hydraulic return  Filter , Change or Clean Cabin Air Filter, Grease Machine at Assorted Lubrication Points, Replace Air Cleaner element, Conduct Multi Point Inpection and Make Minor Adjustments</v>
      </c>
      <c r="B13" s="263"/>
      <c r="C13" s="263"/>
      <c r="D13" s="263"/>
      <c r="E13" s="263"/>
    </row>
    <row r="14" spans="1:5" ht="16" x14ac:dyDescent="0.2">
      <c r="A14" s="263"/>
      <c r="B14" s="263"/>
      <c r="C14" s="263"/>
      <c r="D14" s="263"/>
      <c r="E14" s="263"/>
    </row>
    <row r="15" spans="1:5" ht="16" hidden="1" x14ac:dyDescent="0.2">
      <c r="A15" s="263"/>
      <c r="B15" s="263"/>
      <c r="C15" s="263"/>
      <c r="D15" s="263"/>
      <c r="E15" s="263"/>
    </row>
    <row r="16" spans="1:5" ht="66" customHeight="1" x14ac:dyDescent="0.2">
      <c r="A16" s="263"/>
      <c r="B16" s="263"/>
      <c r="C16" s="263"/>
      <c r="D16" s="263"/>
      <c r="E16" s="263"/>
    </row>
    <row r="17" spans="1:5" ht="16" x14ac:dyDescent="0.2">
      <c r="A17" s="10"/>
      <c r="B17" s="10"/>
      <c r="C17" s="10"/>
      <c r="D17" s="10"/>
      <c r="E17" s="10"/>
    </row>
    <row r="18" spans="1:5" ht="17" x14ac:dyDescent="0.2">
      <c r="A18" s="22" t="s">
        <v>19</v>
      </c>
      <c r="B18" s="10"/>
      <c r="C18" s="23">
        <f>IFERROR(VLOOKUP($C$3,'Interval Reimb'!A$4:BR431,70,0),0)</f>
        <v>3.7500000000000004</v>
      </c>
      <c r="D18" s="10"/>
      <c r="E18" s="10"/>
    </row>
    <row r="19" spans="1:5" ht="16" x14ac:dyDescent="0.2">
      <c r="A19" s="10"/>
      <c r="B19" s="10"/>
      <c r="C19" s="10"/>
      <c r="D19" s="10"/>
      <c r="E19" s="10"/>
    </row>
    <row r="20" spans="1:5" ht="16" x14ac:dyDescent="0.2"/>
    <row r="21" spans="1:5" ht="16" x14ac:dyDescent="0.2">
      <c r="A21" s="1" t="s">
        <v>20</v>
      </c>
      <c r="C21" s="9">
        <f>IFERROR(VLOOKUP($C$3,'Interval Reimb'!A$4:BQ434,69,0),0)</f>
        <v>1035.58</v>
      </c>
    </row>
    <row r="22" spans="1:5" ht="16" x14ac:dyDescent="0.2"/>
    <row r="23" spans="1:5" ht="16" x14ac:dyDescent="0.2"/>
    <row r="24" spans="1:5" ht="16" x14ac:dyDescent="0.2"/>
  </sheetData>
  <mergeCells count="1">
    <mergeCell ref="A13:E16"/>
  </mergeCells>
  <dataValidations count="1">
    <dataValidation type="list" allowBlank="1" showErrorMessage="1" sqref="C7" xr:uid="{00000000-0002-0000-0100-000002000000}">
      <formula1>"Service In Shop,Service In Field"</formula1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'Scheduled Intervals'!$A$4:$A$34</xm:f>
          </x14:formula1>
          <xm:sqref>C3</xm:sqref>
        </x14:dataValidation>
        <x14:dataValidation type="list" allowBlank="1" showErrorMessage="1" xr:uid="{00000000-0002-0000-0100-000001000000}">
          <x14:formula1>
            <xm:f>'Plan Set Up'!$A$1:$A$69</xm:f>
          </x14:formula1>
          <xm:sqref>C5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Q1006"/>
  <sheetViews>
    <sheetView workbookViewId="0">
      <pane xSplit="1" ySplit="2" topLeftCell="B3" activePane="bottomRight" state="frozen"/>
      <selection activeCell="A13" sqref="A13:E16"/>
      <selection pane="topRight" activeCell="A13" sqref="A13:E16"/>
      <selection pane="bottomLeft" activeCell="A13" sqref="A13:E16"/>
      <selection pane="bottomRight" activeCell="B31" sqref="B31"/>
    </sheetView>
  </sheetViews>
  <sheetFormatPr baseColWidth="10" defaultColWidth="11.1640625" defaultRowHeight="15" customHeight="1" x14ac:dyDescent="0.2"/>
  <cols>
    <col min="1" max="1" width="22.33203125" customWidth="1"/>
    <col min="2" max="2" width="24.83203125" customWidth="1"/>
    <col min="3" max="3" width="20" customWidth="1"/>
    <col min="4" max="5" width="11.1640625" customWidth="1"/>
    <col min="6" max="6" width="15.83203125" customWidth="1"/>
    <col min="7" max="7" width="12.6640625" customWidth="1"/>
    <col min="8" max="8" width="14.5" customWidth="1"/>
    <col min="9" max="9" width="14.83203125" customWidth="1"/>
    <col min="10" max="11" width="11.1640625" customWidth="1"/>
    <col min="12" max="17" width="12.6640625" customWidth="1"/>
    <col min="18" max="20" width="11.1640625" customWidth="1"/>
    <col min="21" max="22" width="15.83203125" customWidth="1"/>
    <col min="23" max="23" width="11.5" customWidth="1"/>
    <col min="24" max="24" width="11.1640625" customWidth="1"/>
    <col min="25" max="25" width="11.5" customWidth="1"/>
    <col min="26" max="27" width="11.1640625" customWidth="1"/>
    <col min="28" max="30" width="12.6640625" customWidth="1"/>
    <col min="31" max="31" width="15.83203125" customWidth="1"/>
    <col min="32" max="34" width="12.6640625" customWidth="1"/>
    <col min="35" max="36" width="15.83203125" customWidth="1"/>
    <col min="37" max="41" width="12.6640625" customWidth="1"/>
    <col min="42" max="45" width="11.1640625" customWidth="1"/>
    <col min="46" max="46" width="11.5" customWidth="1"/>
    <col min="47" max="48" width="11.1640625" customWidth="1"/>
    <col min="49" max="49" width="15" customWidth="1"/>
    <col min="50" max="50" width="11.5" customWidth="1"/>
    <col min="51" max="54" width="11.1640625" customWidth="1"/>
    <col min="55" max="56" width="15.83203125" customWidth="1"/>
    <col min="57" max="57" width="17.83203125" customWidth="1"/>
    <col min="58" max="58" width="15.83203125" customWidth="1"/>
    <col min="59" max="60" width="11.5" customWidth="1"/>
    <col min="61" max="61" width="17.83203125" customWidth="1"/>
    <col min="62" max="65" width="14.6640625" customWidth="1"/>
    <col min="66" max="69" width="11.1640625" customWidth="1"/>
  </cols>
  <sheetData>
    <row r="1" spans="1:69" ht="16" x14ac:dyDescent="0.2">
      <c r="B1" s="264" t="s">
        <v>21</v>
      </c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6"/>
      <c r="N1" s="24"/>
      <c r="O1" s="24"/>
      <c r="P1" s="25"/>
      <c r="Q1" s="267" t="s">
        <v>22</v>
      </c>
      <c r="R1" s="266"/>
      <c r="S1" s="26"/>
      <c r="T1" s="27"/>
      <c r="U1" s="268" t="s">
        <v>23</v>
      </c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65"/>
      <c r="AK1" s="265"/>
      <c r="AL1" s="265"/>
      <c r="AM1" s="265"/>
      <c r="AN1" s="265"/>
      <c r="AO1" s="265"/>
      <c r="AP1" s="265"/>
      <c r="AQ1" s="265"/>
      <c r="AR1" s="265"/>
      <c r="AS1" s="265"/>
      <c r="AT1" s="265"/>
      <c r="AU1" s="265"/>
      <c r="AV1" s="265"/>
      <c r="AW1" s="265"/>
      <c r="AX1" s="265"/>
      <c r="AY1" s="265"/>
      <c r="AZ1" s="265"/>
      <c r="BA1" s="265"/>
      <c r="BB1" s="265"/>
      <c r="BC1" s="265"/>
      <c r="BD1" s="265"/>
      <c r="BE1" s="265"/>
      <c r="BF1" s="265"/>
      <c r="BG1" s="265"/>
      <c r="BH1" s="265"/>
      <c r="BI1" s="265"/>
      <c r="BJ1" s="265"/>
      <c r="BK1" s="265"/>
      <c r="BL1" s="265"/>
      <c r="BM1" s="265"/>
      <c r="BN1" s="265"/>
      <c r="BO1" s="265"/>
      <c r="BP1" s="269"/>
      <c r="BQ1" s="28"/>
    </row>
    <row r="2" spans="1:69" ht="136" x14ac:dyDescent="0.2">
      <c r="A2" s="29" t="s">
        <v>24</v>
      </c>
      <c r="B2" s="30" t="s">
        <v>25</v>
      </c>
      <c r="C2" s="31" t="s">
        <v>26</v>
      </c>
      <c r="D2" s="31" t="s">
        <v>27</v>
      </c>
      <c r="E2" s="31" t="s">
        <v>28</v>
      </c>
      <c r="F2" s="31" t="s">
        <v>29</v>
      </c>
      <c r="G2" s="31" t="s">
        <v>30</v>
      </c>
      <c r="H2" s="31" t="s">
        <v>31</v>
      </c>
      <c r="I2" s="31" t="s">
        <v>32</v>
      </c>
      <c r="J2" s="31" t="s">
        <v>33</v>
      </c>
      <c r="K2" s="31" t="s">
        <v>34</v>
      </c>
      <c r="L2" s="31" t="s">
        <v>35</v>
      </c>
      <c r="M2" s="31" t="s">
        <v>36</v>
      </c>
      <c r="N2" s="31" t="s">
        <v>35</v>
      </c>
      <c r="O2" s="31" t="s">
        <v>35</v>
      </c>
      <c r="P2" s="32" t="s">
        <v>37</v>
      </c>
      <c r="Q2" s="33" t="s">
        <v>38</v>
      </c>
      <c r="R2" s="34" t="s">
        <v>39</v>
      </c>
      <c r="S2" s="34" t="s">
        <v>40</v>
      </c>
      <c r="T2" s="35" t="s">
        <v>41</v>
      </c>
      <c r="U2" s="36" t="s">
        <v>25</v>
      </c>
      <c r="V2" s="37" t="s">
        <v>42</v>
      </c>
      <c r="W2" s="38" t="s">
        <v>43</v>
      </c>
      <c r="X2" s="38" t="s">
        <v>44</v>
      </c>
      <c r="Y2" s="39" t="s">
        <v>45</v>
      </c>
      <c r="Z2" s="39" t="s">
        <v>46</v>
      </c>
      <c r="AA2" s="39" t="s">
        <v>122</v>
      </c>
      <c r="AB2" s="39" t="s">
        <v>47</v>
      </c>
      <c r="AC2" s="38" t="s">
        <v>48</v>
      </c>
      <c r="AD2" s="38"/>
      <c r="AE2" s="39" t="s">
        <v>49</v>
      </c>
      <c r="AF2" s="39" t="s">
        <v>123</v>
      </c>
      <c r="AG2" s="39" t="s">
        <v>124</v>
      </c>
      <c r="AH2" s="39" t="s">
        <v>50</v>
      </c>
      <c r="AI2" s="39" t="s">
        <v>125</v>
      </c>
      <c r="AJ2" s="39" t="s">
        <v>51</v>
      </c>
      <c r="AK2" s="38" t="s">
        <v>52</v>
      </c>
      <c r="AL2" s="39" t="s">
        <v>53</v>
      </c>
      <c r="AM2" s="39" t="s">
        <v>54</v>
      </c>
      <c r="AN2" s="39" t="s">
        <v>55</v>
      </c>
      <c r="AO2" s="38" t="s">
        <v>126</v>
      </c>
      <c r="AP2" s="38" t="s">
        <v>56</v>
      </c>
      <c r="AQ2" s="38" t="s">
        <v>57</v>
      </c>
      <c r="AR2" s="39" t="s">
        <v>58</v>
      </c>
      <c r="AS2" s="39" t="s">
        <v>127</v>
      </c>
      <c r="AT2" s="39" t="s">
        <v>128</v>
      </c>
      <c r="AU2" s="39" t="s">
        <v>59</v>
      </c>
      <c r="AV2" s="38" t="s">
        <v>60</v>
      </c>
      <c r="AW2" s="38" t="s">
        <v>61</v>
      </c>
      <c r="AX2" s="38"/>
      <c r="AY2" s="38" t="s">
        <v>62</v>
      </c>
      <c r="AZ2" s="39" t="s">
        <v>63</v>
      </c>
      <c r="BA2" s="39" t="s">
        <v>129</v>
      </c>
      <c r="BB2" s="39" t="s">
        <v>64</v>
      </c>
      <c r="BC2" s="39" t="s">
        <v>65</v>
      </c>
      <c r="BD2" s="39" t="s">
        <v>66</v>
      </c>
      <c r="BE2" s="39" t="s">
        <v>130</v>
      </c>
      <c r="BF2" s="39" t="s">
        <v>131</v>
      </c>
      <c r="BG2" s="38" t="s">
        <v>67</v>
      </c>
      <c r="BH2" s="39" t="s">
        <v>68</v>
      </c>
      <c r="BI2" s="39" t="s">
        <v>69</v>
      </c>
      <c r="BJ2" s="38" t="s">
        <v>132</v>
      </c>
      <c r="BK2" s="40" t="s">
        <v>133</v>
      </c>
      <c r="BL2" s="39" t="s">
        <v>70</v>
      </c>
      <c r="BM2" s="39" t="s">
        <v>134</v>
      </c>
      <c r="BN2" s="41" t="s">
        <v>135</v>
      </c>
      <c r="BO2" s="41" t="s">
        <v>136</v>
      </c>
      <c r="BP2" s="39" t="s">
        <v>137</v>
      </c>
      <c r="BQ2" s="42" t="s">
        <v>71</v>
      </c>
    </row>
    <row r="3" spans="1:69" ht="16" x14ac:dyDescent="0.2">
      <c r="A3" s="43"/>
      <c r="B3" s="44" t="s">
        <v>72</v>
      </c>
      <c r="C3" s="45" t="s">
        <v>73</v>
      </c>
      <c r="D3" s="45" t="s">
        <v>73</v>
      </c>
      <c r="E3" s="46" t="s">
        <v>72</v>
      </c>
      <c r="F3" s="45" t="s">
        <v>72</v>
      </c>
      <c r="G3" s="45" t="s">
        <v>72</v>
      </c>
      <c r="H3" s="45" t="s">
        <v>72</v>
      </c>
      <c r="I3" s="45" t="s">
        <v>73</v>
      </c>
      <c r="J3" s="45" t="s">
        <v>73</v>
      </c>
      <c r="K3" s="45" t="s">
        <v>72</v>
      </c>
      <c r="L3" s="45" t="s">
        <v>72</v>
      </c>
      <c r="M3" s="46" t="s">
        <v>72</v>
      </c>
      <c r="N3" s="46" t="s">
        <v>72</v>
      </c>
      <c r="O3" s="46" t="s">
        <v>72</v>
      </c>
      <c r="P3" s="47" t="s">
        <v>72</v>
      </c>
      <c r="Q3" s="48" t="s">
        <v>72</v>
      </c>
      <c r="R3" s="49" t="s">
        <v>72</v>
      </c>
      <c r="S3" s="49" t="s">
        <v>72</v>
      </c>
      <c r="T3" s="50" t="s">
        <v>72</v>
      </c>
      <c r="U3" s="51" t="s">
        <v>72</v>
      </c>
      <c r="V3" s="52" t="s">
        <v>72</v>
      </c>
      <c r="W3" s="53" t="s">
        <v>73</v>
      </c>
      <c r="X3" s="53" t="s">
        <v>72</v>
      </c>
      <c r="Y3" s="53" t="s">
        <v>73</v>
      </c>
      <c r="Z3" s="53" t="s">
        <v>72</v>
      </c>
      <c r="AA3" s="53" t="s">
        <v>72</v>
      </c>
      <c r="AB3" s="53" t="s">
        <v>72</v>
      </c>
      <c r="AC3" s="53" t="s">
        <v>72</v>
      </c>
      <c r="AD3" s="53" t="s">
        <v>72</v>
      </c>
      <c r="AE3" s="53" t="s">
        <v>72</v>
      </c>
      <c r="AF3" s="53" t="s">
        <v>72</v>
      </c>
      <c r="AG3" s="53" t="s">
        <v>72</v>
      </c>
      <c r="AH3" s="53" t="s">
        <v>72</v>
      </c>
      <c r="AI3" s="53" t="s">
        <v>72</v>
      </c>
      <c r="AJ3" s="53" t="s">
        <v>72</v>
      </c>
      <c r="AK3" s="53" t="s">
        <v>72</v>
      </c>
      <c r="AL3" s="53" t="s">
        <v>72</v>
      </c>
      <c r="AM3" s="53" t="s">
        <v>72</v>
      </c>
      <c r="AN3" s="53" t="s">
        <v>72</v>
      </c>
      <c r="AO3" s="53" t="s">
        <v>72</v>
      </c>
      <c r="AP3" s="53" t="s">
        <v>73</v>
      </c>
      <c r="AQ3" s="53" t="s">
        <v>73</v>
      </c>
      <c r="AR3" s="53" t="s">
        <v>72</v>
      </c>
      <c r="AS3" s="53" t="s">
        <v>72</v>
      </c>
      <c r="AT3" s="53" t="s">
        <v>72</v>
      </c>
      <c r="AU3" s="53" t="s">
        <v>72</v>
      </c>
      <c r="AV3" s="53" t="s">
        <v>73</v>
      </c>
      <c r="AW3" s="53" t="s">
        <v>72</v>
      </c>
      <c r="AX3" s="53" t="s">
        <v>72</v>
      </c>
      <c r="AY3" s="53" t="s">
        <v>73</v>
      </c>
      <c r="AZ3" s="53" t="s">
        <v>72</v>
      </c>
      <c r="BA3" s="53" t="s">
        <v>72</v>
      </c>
      <c r="BB3" s="53" t="s">
        <v>72</v>
      </c>
      <c r="BC3" s="53" t="s">
        <v>72</v>
      </c>
      <c r="BD3" s="53" t="s">
        <v>72</v>
      </c>
      <c r="BE3" s="53" t="s">
        <v>73</v>
      </c>
      <c r="BF3" s="53" t="s">
        <v>73</v>
      </c>
      <c r="BG3" s="53" t="s">
        <v>73</v>
      </c>
      <c r="BH3" s="53" t="s">
        <v>72</v>
      </c>
      <c r="BI3" s="53" t="s">
        <v>73</v>
      </c>
      <c r="BJ3" s="53" t="s">
        <v>73</v>
      </c>
      <c r="BK3" s="52" t="s">
        <v>72</v>
      </c>
      <c r="BL3" s="52" t="s">
        <v>72</v>
      </c>
      <c r="BM3" s="52" t="s">
        <v>72</v>
      </c>
      <c r="BN3" s="54" t="s">
        <v>72</v>
      </c>
      <c r="BO3" s="54" t="s">
        <v>72</v>
      </c>
      <c r="BP3" s="53" t="s">
        <v>73</v>
      </c>
      <c r="BQ3" s="55"/>
    </row>
    <row r="4" spans="1:69" ht="16" x14ac:dyDescent="0.2">
      <c r="A4" s="56" t="s">
        <v>74</v>
      </c>
      <c r="B4" s="57">
        <v>50</v>
      </c>
      <c r="C4" s="58"/>
      <c r="D4" s="59"/>
      <c r="E4" s="58"/>
      <c r="F4" s="58">
        <v>50</v>
      </c>
      <c r="G4" s="59"/>
      <c r="H4" s="60">
        <v>50</v>
      </c>
      <c r="I4" s="59">
        <v>50</v>
      </c>
      <c r="J4" s="59"/>
      <c r="K4" s="58"/>
      <c r="L4" s="59"/>
      <c r="M4" s="58"/>
      <c r="N4" s="59"/>
      <c r="O4" s="59"/>
      <c r="P4" s="61">
        <v>50</v>
      </c>
      <c r="Q4" s="62"/>
      <c r="R4" s="63"/>
      <c r="S4" s="64"/>
      <c r="T4" s="65"/>
      <c r="U4" s="66">
        <v>200</v>
      </c>
      <c r="V4" s="67"/>
      <c r="W4" s="68"/>
      <c r="X4" s="68"/>
      <c r="Y4" s="68">
        <v>200</v>
      </c>
      <c r="Z4" s="68">
        <v>400</v>
      </c>
      <c r="AA4" s="67"/>
      <c r="AB4" s="68">
        <v>400</v>
      </c>
      <c r="AC4" s="68">
        <v>200</v>
      </c>
      <c r="AD4" s="67"/>
      <c r="AE4" s="67">
        <v>200</v>
      </c>
      <c r="AF4" s="67"/>
      <c r="AG4" s="67"/>
      <c r="AH4" s="67"/>
      <c r="AI4" s="68">
        <v>200</v>
      </c>
      <c r="AJ4" s="68"/>
      <c r="AK4" s="68"/>
      <c r="AL4" s="67">
        <v>400</v>
      </c>
      <c r="AM4" s="67"/>
      <c r="AN4" s="67"/>
      <c r="AO4" s="67"/>
      <c r="AP4" s="67"/>
      <c r="AQ4" s="67"/>
      <c r="AR4" s="67"/>
      <c r="AS4" s="67"/>
      <c r="AT4" s="66">
        <v>200</v>
      </c>
      <c r="AU4" s="67"/>
      <c r="AV4" s="67"/>
      <c r="AW4" s="67">
        <v>800</v>
      </c>
      <c r="AX4" s="67"/>
      <c r="AY4" s="67"/>
      <c r="AZ4" s="67"/>
      <c r="BA4" s="67"/>
      <c r="BB4" s="68">
        <v>1000</v>
      </c>
      <c r="BC4" s="68">
        <v>1000</v>
      </c>
      <c r="BD4" s="67">
        <v>500</v>
      </c>
      <c r="BE4" s="67"/>
      <c r="BF4" s="67"/>
      <c r="BG4" s="67"/>
      <c r="BH4" s="67">
        <v>2000</v>
      </c>
      <c r="BI4" s="67"/>
      <c r="BJ4" s="66">
        <v>200</v>
      </c>
      <c r="BK4" s="67"/>
      <c r="BL4" s="67"/>
      <c r="BM4" s="67"/>
      <c r="BN4" s="66" t="s">
        <v>75</v>
      </c>
      <c r="BO4" s="66" t="s">
        <v>75</v>
      </c>
      <c r="BP4" s="66" t="s">
        <v>75</v>
      </c>
      <c r="BQ4" s="66">
        <v>200</v>
      </c>
    </row>
    <row r="5" spans="1:69" ht="16" x14ac:dyDescent="0.2">
      <c r="A5" s="69" t="s">
        <v>140</v>
      </c>
      <c r="B5" s="70">
        <v>8</v>
      </c>
      <c r="C5" s="71"/>
      <c r="D5" s="71"/>
      <c r="E5" s="71"/>
      <c r="F5" s="72"/>
      <c r="G5" s="72"/>
      <c r="H5" s="73">
        <v>50</v>
      </c>
      <c r="I5" s="72">
        <v>50</v>
      </c>
      <c r="J5" s="71"/>
      <c r="K5" s="72"/>
      <c r="L5" s="71"/>
      <c r="M5" s="71"/>
      <c r="N5" s="71"/>
      <c r="O5" s="71"/>
      <c r="P5" s="74"/>
      <c r="Q5" s="75"/>
      <c r="R5" s="76"/>
      <c r="S5" s="77">
        <v>100</v>
      </c>
      <c r="T5" s="78"/>
      <c r="U5" s="66">
        <v>100</v>
      </c>
      <c r="V5" s="67"/>
      <c r="W5" s="67"/>
      <c r="X5" s="67"/>
      <c r="Y5" s="67"/>
      <c r="Z5" s="68">
        <v>100</v>
      </c>
      <c r="AA5" s="67"/>
      <c r="AB5" s="68">
        <v>400</v>
      </c>
      <c r="AC5" s="68">
        <v>400</v>
      </c>
      <c r="AD5" s="67"/>
      <c r="AE5" s="68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8"/>
      <c r="AR5" s="67"/>
      <c r="AS5" s="68"/>
      <c r="AT5" s="66">
        <v>100</v>
      </c>
      <c r="AU5" s="67"/>
      <c r="AV5" s="67"/>
      <c r="AW5" s="67"/>
      <c r="AX5" s="67"/>
      <c r="AY5" s="67"/>
      <c r="AZ5" s="67"/>
      <c r="BA5" s="67"/>
      <c r="BB5" s="68">
        <v>100</v>
      </c>
      <c r="BC5" s="67"/>
      <c r="BD5" s="68">
        <v>500</v>
      </c>
      <c r="BE5" s="67"/>
      <c r="BF5" s="67"/>
      <c r="BG5" s="67"/>
      <c r="BH5" s="68">
        <v>100</v>
      </c>
      <c r="BI5" s="68">
        <v>100</v>
      </c>
      <c r="BJ5" s="66">
        <v>100</v>
      </c>
      <c r="BK5" s="67"/>
      <c r="BL5" s="67"/>
      <c r="BM5" s="67"/>
      <c r="BN5" s="66" t="s">
        <v>75</v>
      </c>
      <c r="BO5" s="66" t="s">
        <v>75</v>
      </c>
      <c r="BP5" s="66" t="s">
        <v>75</v>
      </c>
      <c r="BQ5" s="66">
        <v>100</v>
      </c>
    </row>
    <row r="6" spans="1:69" ht="16" x14ac:dyDescent="0.2">
      <c r="A6" s="69" t="s">
        <v>76</v>
      </c>
      <c r="B6" s="70">
        <v>50</v>
      </c>
      <c r="C6" s="71"/>
      <c r="D6" s="71"/>
      <c r="E6" s="71"/>
      <c r="F6" s="72">
        <v>50</v>
      </c>
      <c r="G6" s="71"/>
      <c r="H6" s="79">
        <v>50</v>
      </c>
      <c r="I6" s="71">
        <v>50</v>
      </c>
      <c r="J6" s="71"/>
      <c r="K6" s="72"/>
      <c r="L6" s="71"/>
      <c r="M6" s="71"/>
      <c r="N6" s="71"/>
      <c r="O6" s="71"/>
      <c r="P6" s="74"/>
      <c r="Q6" s="80"/>
      <c r="R6" s="76"/>
      <c r="S6" s="76"/>
      <c r="T6" s="81"/>
      <c r="U6" s="82">
        <v>200</v>
      </c>
      <c r="V6" s="67"/>
      <c r="W6" s="67"/>
      <c r="X6" s="68">
        <v>400</v>
      </c>
      <c r="Y6" s="67"/>
      <c r="Z6" s="67">
        <v>400</v>
      </c>
      <c r="AA6" s="67"/>
      <c r="AB6" s="68">
        <v>400</v>
      </c>
      <c r="AC6" s="68">
        <v>200</v>
      </c>
      <c r="AD6" s="67"/>
      <c r="AE6" s="67">
        <v>400</v>
      </c>
      <c r="AF6" s="67"/>
      <c r="AG6" s="67"/>
      <c r="AH6" s="67"/>
      <c r="AI6" s="67"/>
      <c r="AJ6" s="67"/>
      <c r="AK6" s="67"/>
      <c r="AL6" s="67"/>
      <c r="AM6" s="68"/>
      <c r="AN6" s="67"/>
      <c r="AO6" s="67"/>
      <c r="AP6" s="67"/>
      <c r="AQ6" s="67"/>
      <c r="AR6" s="67"/>
      <c r="AS6" s="67"/>
      <c r="AT6" s="82">
        <v>200</v>
      </c>
      <c r="AU6" s="67"/>
      <c r="AV6" s="67"/>
      <c r="AW6" s="67">
        <v>800</v>
      </c>
      <c r="AX6" s="67"/>
      <c r="AY6" s="67"/>
      <c r="AZ6" s="68"/>
      <c r="BA6" s="67"/>
      <c r="BB6" s="67">
        <v>1000</v>
      </c>
      <c r="BC6" s="67">
        <v>1000</v>
      </c>
      <c r="BD6" s="68"/>
      <c r="BE6" s="67"/>
      <c r="BF6" s="67"/>
      <c r="BG6" s="67"/>
      <c r="BH6" s="67">
        <v>2000</v>
      </c>
      <c r="BI6" s="68">
        <v>200</v>
      </c>
      <c r="BJ6" s="82">
        <v>200</v>
      </c>
      <c r="BK6" s="67"/>
      <c r="BL6" s="67"/>
      <c r="BM6" s="67"/>
      <c r="BN6" s="66" t="s">
        <v>75</v>
      </c>
      <c r="BO6" s="66" t="s">
        <v>75</v>
      </c>
      <c r="BP6" s="66" t="s">
        <v>75</v>
      </c>
      <c r="BQ6" s="82">
        <v>200</v>
      </c>
    </row>
    <row r="7" spans="1:69" ht="16" x14ac:dyDescent="0.2">
      <c r="A7" s="56" t="s">
        <v>77</v>
      </c>
      <c r="B7" s="83">
        <v>50</v>
      </c>
      <c r="C7" s="72"/>
      <c r="D7" s="72"/>
      <c r="E7" s="72"/>
      <c r="F7" s="72">
        <v>50</v>
      </c>
      <c r="G7" s="72"/>
      <c r="H7" s="73">
        <v>50</v>
      </c>
      <c r="I7" s="71">
        <v>50</v>
      </c>
      <c r="J7" s="71"/>
      <c r="K7" s="72"/>
      <c r="L7" s="72"/>
      <c r="M7" s="72">
        <v>50</v>
      </c>
      <c r="N7" s="71"/>
      <c r="O7" s="71"/>
      <c r="P7" s="74"/>
      <c r="Q7" s="75"/>
      <c r="R7" s="77"/>
      <c r="S7" s="77"/>
      <c r="T7" s="81"/>
      <c r="U7" s="82">
        <v>200</v>
      </c>
      <c r="V7" s="67"/>
      <c r="W7" s="68"/>
      <c r="X7" s="67"/>
      <c r="Y7" s="68"/>
      <c r="Z7" s="67">
        <v>400</v>
      </c>
      <c r="AA7" s="67"/>
      <c r="AB7" s="68">
        <v>400</v>
      </c>
      <c r="AC7" s="68">
        <v>200</v>
      </c>
      <c r="AD7" s="67"/>
      <c r="AE7" s="68">
        <v>400</v>
      </c>
      <c r="AF7" s="67"/>
      <c r="AG7" s="67"/>
      <c r="AH7" s="67"/>
      <c r="AI7" s="67"/>
      <c r="AJ7" s="67"/>
      <c r="AK7" s="67"/>
      <c r="AL7" s="68">
        <v>800</v>
      </c>
      <c r="AM7" s="67"/>
      <c r="AN7" s="67"/>
      <c r="AO7" s="67"/>
      <c r="AP7" s="68">
        <v>200</v>
      </c>
      <c r="AQ7" s="68">
        <v>200</v>
      </c>
      <c r="AR7" s="67"/>
      <c r="AS7" s="68"/>
      <c r="AT7" s="82">
        <v>200</v>
      </c>
      <c r="AU7" s="67"/>
      <c r="AV7" s="67"/>
      <c r="AW7" s="68">
        <v>800</v>
      </c>
      <c r="AX7" s="67"/>
      <c r="AY7" s="67"/>
      <c r="AZ7" s="68"/>
      <c r="BA7" s="67"/>
      <c r="BB7" s="68">
        <v>1000</v>
      </c>
      <c r="BC7" s="68"/>
      <c r="BD7" s="67"/>
      <c r="BE7" s="67"/>
      <c r="BF7" s="67"/>
      <c r="BG7" s="68"/>
      <c r="BH7" s="67">
        <v>2000</v>
      </c>
      <c r="BI7" s="67"/>
      <c r="BJ7" s="82">
        <v>200</v>
      </c>
      <c r="BK7" s="68"/>
      <c r="BL7" s="67"/>
      <c r="BM7" s="67"/>
      <c r="BN7" s="66" t="s">
        <v>75</v>
      </c>
      <c r="BO7" s="66" t="s">
        <v>75</v>
      </c>
      <c r="BP7" s="66" t="s">
        <v>75</v>
      </c>
      <c r="BQ7" s="82">
        <v>200</v>
      </c>
    </row>
    <row r="8" spans="1:69" ht="16" x14ac:dyDescent="0.2">
      <c r="A8" s="56" t="s">
        <v>78</v>
      </c>
      <c r="B8" s="83">
        <v>50</v>
      </c>
      <c r="C8" s="72"/>
      <c r="D8" s="72"/>
      <c r="E8" s="71"/>
      <c r="F8" s="72">
        <v>50</v>
      </c>
      <c r="G8" s="72"/>
      <c r="H8" s="73">
        <v>50</v>
      </c>
      <c r="I8" s="71">
        <v>50</v>
      </c>
      <c r="J8" s="71"/>
      <c r="K8" s="72"/>
      <c r="L8" s="72"/>
      <c r="M8" s="72"/>
      <c r="N8" s="71"/>
      <c r="O8" s="71"/>
      <c r="P8" s="84"/>
      <c r="Q8" s="75"/>
      <c r="R8" s="77"/>
      <c r="S8" s="77"/>
      <c r="T8" s="81"/>
      <c r="U8" s="66">
        <v>400</v>
      </c>
      <c r="V8" s="68">
        <v>1200</v>
      </c>
      <c r="W8" s="68">
        <v>400</v>
      </c>
      <c r="X8" s="68"/>
      <c r="Y8" s="68">
        <v>400</v>
      </c>
      <c r="Z8" s="68">
        <v>400</v>
      </c>
      <c r="AA8" s="68"/>
      <c r="AB8" s="68">
        <v>400</v>
      </c>
      <c r="AC8" s="68"/>
      <c r="AD8" s="67"/>
      <c r="AE8" s="68">
        <v>400</v>
      </c>
      <c r="AF8" s="67"/>
      <c r="AG8" s="67"/>
      <c r="AH8" s="67"/>
      <c r="AI8" s="67"/>
      <c r="AJ8" s="67"/>
      <c r="AK8" s="67"/>
      <c r="AL8" s="68">
        <v>800</v>
      </c>
      <c r="AM8" s="67"/>
      <c r="AN8" s="67"/>
      <c r="AO8" s="67"/>
      <c r="AP8" s="68">
        <v>800</v>
      </c>
      <c r="AQ8" s="68">
        <v>800</v>
      </c>
      <c r="AR8" s="67"/>
      <c r="AS8" s="68">
        <v>800</v>
      </c>
      <c r="AT8" s="66">
        <v>400</v>
      </c>
      <c r="AU8" s="67"/>
      <c r="AV8" s="67"/>
      <c r="AW8" s="67"/>
      <c r="AX8" s="67"/>
      <c r="AY8" s="67"/>
      <c r="AZ8" s="67"/>
      <c r="BA8" s="67"/>
      <c r="BB8" s="68">
        <v>800</v>
      </c>
      <c r="BC8" s="68">
        <v>800</v>
      </c>
      <c r="BD8" s="67"/>
      <c r="BE8" s="67"/>
      <c r="BF8" s="68">
        <v>1200</v>
      </c>
      <c r="BG8" s="68">
        <v>1200</v>
      </c>
      <c r="BH8" s="67">
        <v>2000</v>
      </c>
      <c r="BI8" s="67"/>
      <c r="BJ8" s="66">
        <v>400</v>
      </c>
      <c r="BK8" s="68"/>
      <c r="BL8" s="67"/>
      <c r="BM8" s="67"/>
      <c r="BN8" s="66" t="s">
        <v>75</v>
      </c>
      <c r="BO8" s="66" t="s">
        <v>75</v>
      </c>
      <c r="BP8" s="66" t="s">
        <v>75</v>
      </c>
      <c r="BQ8" s="66">
        <v>400</v>
      </c>
    </row>
    <row r="9" spans="1:69" ht="16" x14ac:dyDescent="0.2">
      <c r="A9" s="56" t="s">
        <v>79</v>
      </c>
      <c r="B9" s="70">
        <v>50</v>
      </c>
      <c r="C9" s="72"/>
      <c r="D9" s="71"/>
      <c r="E9" s="71"/>
      <c r="F9" s="72"/>
      <c r="G9" s="72"/>
      <c r="H9" s="79">
        <v>50</v>
      </c>
      <c r="I9" s="71">
        <v>50</v>
      </c>
      <c r="J9" s="71"/>
      <c r="K9" s="71"/>
      <c r="L9" s="71"/>
      <c r="M9" s="71"/>
      <c r="N9" s="71"/>
      <c r="O9" s="71"/>
      <c r="P9" s="74"/>
      <c r="Q9" s="80"/>
      <c r="R9" s="76"/>
      <c r="S9" s="76"/>
      <c r="T9" s="81"/>
      <c r="U9" s="82">
        <v>500</v>
      </c>
      <c r="V9" s="67">
        <v>1500</v>
      </c>
      <c r="W9" s="67">
        <v>500</v>
      </c>
      <c r="X9" s="67"/>
      <c r="Y9" s="68">
        <v>500</v>
      </c>
      <c r="Z9" s="67">
        <v>500</v>
      </c>
      <c r="AA9" s="67"/>
      <c r="AB9" s="67">
        <v>1000</v>
      </c>
      <c r="AC9" s="67"/>
      <c r="AD9" s="67"/>
      <c r="AE9" s="67">
        <v>500</v>
      </c>
      <c r="AF9" s="67"/>
      <c r="AG9" s="67"/>
      <c r="AH9" s="67"/>
      <c r="AI9" s="67"/>
      <c r="AJ9" s="67">
        <v>1000</v>
      </c>
      <c r="AK9" s="67"/>
      <c r="AL9" s="67"/>
      <c r="AM9" s="67"/>
      <c r="AN9" s="67"/>
      <c r="AO9" s="67"/>
      <c r="AP9" s="67"/>
      <c r="AQ9" s="67"/>
      <c r="AR9" s="67"/>
      <c r="AS9" s="67">
        <v>1000</v>
      </c>
      <c r="AT9" s="82">
        <v>500</v>
      </c>
      <c r="AU9" s="67"/>
      <c r="AV9" s="67"/>
      <c r="AW9" s="67">
        <v>1000</v>
      </c>
      <c r="AX9" s="67"/>
      <c r="AY9" s="67"/>
      <c r="AZ9" s="67"/>
      <c r="BA9" s="67"/>
      <c r="BB9" s="67">
        <v>1000</v>
      </c>
      <c r="BC9" s="67"/>
      <c r="BD9" s="67"/>
      <c r="BE9" s="67"/>
      <c r="BF9" s="68">
        <v>1500</v>
      </c>
      <c r="BG9" s="67">
        <v>1500</v>
      </c>
      <c r="BH9" s="67">
        <v>2000</v>
      </c>
      <c r="BI9" s="67"/>
      <c r="BJ9" s="82">
        <v>500</v>
      </c>
      <c r="BK9" s="67"/>
      <c r="BL9" s="67"/>
      <c r="BM9" s="67"/>
      <c r="BN9" s="66" t="s">
        <v>75</v>
      </c>
      <c r="BO9" s="66" t="s">
        <v>75</v>
      </c>
      <c r="BP9" s="66" t="s">
        <v>75</v>
      </c>
      <c r="BQ9" s="82">
        <v>500</v>
      </c>
    </row>
    <row r="10" spans="1:69" ht="16" x14ac:dyDescent="0.2">
      <c r="A10" s="56" t="s">
        <v>80</v>
      </c>
      <c r="B10" s="83">
        <v>50</v>
      </c>
      <c r="C10" s="72">
        <v>50</v>
      </c>
      <c r="D10" s="71"/>
      <c r="E10" s="71"/>
      <c r="F10" s="72">
        <v>50</v>
      </c>
      <c r="G10" s="71"/>
      <c r="H10" s="79">
        <v>50</v>
      </c>
      <c r="I10" s="71">
        <v>50</v>
      </c>
      <c r="J10" s="71"/>
      <c r="K10" s="71"/>
      <c r="L10" s="71"/>
      <c r="M10" s="71"/>
      <c r="N10" s="71"/>
      <c r="O10" s="71"/>
      <c r="P10" s="74"/>
      <c r="Q10" s="80"/>
      <c r="R10" s="76"/>
      <c r="S10" s="76"/>
      <c r="T10" s="81"/>
      <c r="U10" s="82">
        <v>500</v>
      </c>
      <c r="V10" s="67">
        <v>1500</v>
      </c>
      <c r="W10" s="67"/>
      <c r="X10" s="68">
        <v>500</v>
      </c>
      <c r="Y10" s="68">
        <v>500</v>
      </c>
      <c r="Z10" s="68">
        <v>500</v>
      </c>
      <c r="AA10" s="67"/>
      <c r="AB10" s="67">
        <v>500</v>
      </c>
      <c r="AC10" s="67">
        <v>500</v>
      </c>
      <c r="AD10" s="67"/>
      <c r="AE10" s="67"/>
      <c r="AF10" s="67"/>
      <c r="AG10" s="68">
        <v>500</v>
      </c>
      <c r="AH10" s="67"/>
      <c r="AI10" s="67">
        <v>500</v>
      </c>
      <c r="AJ10" s="67"/>
      <c r="AK10" s="67">
        <v>500</v>
      </c>
      <c r="AL10" s="67">
        <v>1000</v>
      </c>
      <c r="AM10" s="67"/>
      <c r="AN10" s="67"/>
      <c r="AO10" s="67"/>
      <c r="AP10" s="67"/>
      <c r="AQ10" s="67"/>
      <c r="AR10" s="67"/>
      <c r="AS10" s="67"/>
      <c r="AT10" s="82">
        <v>500</v>
      </c>
      <c r="AU10" s="67"/>
      <c r="AV10" s="67"/>
      <c r="AW10" s="67">
        <v>1000</v>
      </c>
      <c r="AX10" s="67"/>
      <c r="AY10" s="67"/>
      <c r="AZ10" s="67"/>
      <c r="BA10" s="67">
        <v>500</v>
      </c>
      <c r="BB10" s="67">
        <v>1000</v>
      </c>
      <c r="BC10" s="68"/>
      <c r="BD10" s="67"/>
      <c r="BE10" s="67"/>
      <c r="BF10" s="67">
        <v>1500</v>
      </c>
      <c r="BG10" s="67">
        <v>1500</v>
      </c>
      <c r="BH10" s="67">
        <v>2000</v>
      </c>
      <c r="BI10" s="67"/>
      <c r="BJ10" s="82">
        <v>500</v>
      </c>
      <c r="BK10" s="68">
        <v>3000</v>
      </c>
      <c r="BL10" s="67"/>
      <c r="BM10" s="67"/>
      <c r="BN10" s="66" t="s">
        <v>75</v>
      </c>
      <c r="BO10" s="66" t="s">
        <v>75</v>
      </c>
      <c r="BP10" s="66" t="s">
        <v>75</v>
      </c>
      <c r="BQ10" s="82">
        <v>500</v>
      </c>
    </row>
    <row r="11" spans="1:69" ht="16" x14ac:dyDescent="0.2">
      <c r="A11" s="69" t="s">
        <v>1</v>
      </c>
      <c r="B11" s="70">
        <v>50</v>
      </c>
      <c r="C11" s="71"/>
      <c r="D11" s="72">
        <v>50</v>
      </c>
      <c r="E11" s="71"/>
      <c r="F11" s="72">
        <v>50</v>
      </c>
      <c r="G11" s="71"/>
      <c r="H11" s="79">
        <v>50</v>
      </c>
      <c r="I11" s="71">
        <v>50</v>
      </c>
      <c r="J11" s="71">
        <v>50</v>
      </c>
      <c r="K11" s="71"/>
      <c r="L11" s="71"/>
      <c r="M11" s="72"/>
      <c r="N11" s="71"/>
      <c r="O11" s="71"/>
      <c r="P11" s="74"/>
      <c r="Q11" s="75">
        <v>250</v>
      </c>
      <c r="R11" s="76"/>
      <c r="S11" s="76"/>
      <c r="T11" s="81"/>
      <c r="U11" s="82">
        <v>500</v>
      </c>
      <c r="V11" s="67">
        <v>1500</v>
      </c>
      <c r="W11" s="67"/>
      <c r="X11" s="67"/>
      <c r="Y11" s="68">
        <v>500</v>
      </c>
      <c r="Z11" s="67">
        <v>500</v>
      </c>
      <c r="AA11" s="67"/>
      <c r="AB11" s="68">
        <v>1000</v>
      </c>
      <c r="AC11" s="68"/>
      <c r="AD11" s="67"/>
      <c r="AE11" s="67">
        <v>500</v>
      </c>
      <c r="AF11" s="67">
        <v>500</v>
      </c>
      <c r="AG11" s="68">
        <v>500</v>
      </c>
      <c r="AH11" s="67"/>
      <c r="AI11" s="67">
        <v>1000</v>
      </c>
      <c r="AJ11" s="67"/>
      <c r="AK11" s="67"/>
      <c r="AL11" s="67"/>
      <c r="AM11" s="67"/>
      <c r="AN11" s="67"/>
      <c r="AO11" s="67"/>
      <c r="AP11" s="68"/>
      <c r="AQ11" s="67"/>
      <c r="AR11" s="67"/>
      <c r="AS11" s="68">
        <v>500</v>
      </c>
      <c r="AT11" s="82">
        <v>500</v>
      </c>
      <c r="AU11" s="67"/>
      <c r="AV11" s="67"/>
      <c r="AW11" s="67">
        <v>1000</v>
      </c>
      <c r="AX11" s="67"/>
      <c r="AY11" s="67"/>
      <c r="AZ11" s="67"/>
      <c r="BA11" s="67"/>
      <c r="BB11" s="68">
        <v>500</v>
      </c>
      <c r="BC11" s="67"/>
      <c r="BD11" s="67"/>
      <c r="BE11" s="67"/>
      <c r="BF11" s="67">
        <v>1500</v>
      </c>
      <c r="BG11" s="67">
        <v>1500</v>
      </c>
      <c r="BH11" s="67">
        <v>2000</v>
      </c>
      <c r="BI11" s="67"/>
      <c r="BJ11" s="82">
        <v>500</v>
      </c>
      <c r="BK11" s="67"/>
      <c r="BL11" s="67"/>
      <c r="BM11" s="67"/>
      <c r="BN11" s="66" t="s">
        <v>75</v>
      </c>
      <c r="BO11" s="66" t="s">
        <v>75</v>
      </c>
      <c r="BP11" s="66" t="s">
        <v>75</v>
      </c>
      <c r="BQ11" s="82">
        <v>500</v>
      </c>
    </row>
    <row r="12" spans="1:69" ht="16" x14ac:dyDescent="0.2">
      <c r="A12" s="56" t="s">
        <v>81</v>
      </c>
      <c r="B12" s="70">
        <v>50</v>
      </c>
      <c r="C12" s="71">
        <v>50</v>
      </c>
      <c r="D12" s="71">
        <v>50</v>
      </c>
      <c r="E12" s="71"/>
      <c r="F12" s="71"/>
      <c r="G12" s="71"/>
      <c r="H12" s="79">
        <v>50</v>
      </c>
      <c r="I12" s="71">
        <v>50</v>
      </c>
      <c r="J12" s="71"/>
      <c r="K12" s="71"/>
      <c r="L12" s="71"/>
      <c r="M12" s="71"/>
      <c r="N12" s="71"/>
      <c r="O12" s="71"/>
      <c r="P12" s="74"/>
      <c r="Q12" s="75">
        <v>250</v>
      </c>
      <c r="R12" s="77"/>
      <c r="S12" s="77"/>
      <c r="T12" s="78"/>
      <c r="U12" s="66">
        <v>500</v>
      </c>
      <c r="V12" s="68">
        <v>1500</v>
      </c>
      <c r="W12" s="67"/>
      <c r="X12" s="67">
        <v>500</v>
      </c>
      <c r="Y12" s="67"/>
      <c r="Z12" s="67">
        <v>500</v>
      </c>
      <c r="AA12" s="67"/>
      <c r="AB12" s="67"/>
      <c r="AC12" s="67"/>
      <c r="AD12" s="67"/>
      <c r="AE12" s="68"/>
      <c r="AF12" s="68">
        <v>1000</v>
      </c>
      <c r="AG12" s="68">
        <v>1000</v>
      </c>
      <c r="AH12" s="68">
        <v>1000</v>
      </c>
      <c r="AI12" s="67">
        <v>1000</v>
      </c>
      <c r="AJ12" s="67"/>
      <c r="AK12" s="67"/>
      <c r="AL12" s="68">
        <v>1000</v>
      </c>
      <c r="AM12" s="67"/>
      <c r="AN12" s="67"/>
      <c r="AO12" s="67"/>
      <c r="AP12" s="68">
        <v>500</v>
      </c>
      <c r="AQ12" s="68">
        <v>500</v>
      </c>
      <c r="AR12" s="67"/>
      <c r="AS12" s="67">
        <v>1000</v>
      </c>
      <c r="AT12" s="66">
        <v>500</v>
      </c>
      <c r="AU12" s="67"/>
      <c r="AV12" s="67"/>
      <c r="AW12" s="67">
        <v>1000</v>
      </c>
      <c r="AX12" s="67"/>
      <c r="AY12" s="67"/>
      <c r="AZ12" s="68">
        <v>500</v>
      </c>
      <c r="BA12" s="67"/>
      <c r="BB12" s="67">
        <v>1000</v>
      </c>
      <c r="BC12" s="67"/>
      <c r="BD12" s="67"/>
      <c r="BE12" s="67"/>
      <c r="BF12" s="67"/>
      <c r="BG12" s="67"/>
      <c r="BH12" s="67">
        <v>2000</v>
      </c>
      <c r="BI12" s="67"/>
      <c r="BJ12" s="66">
        <v>500</v>
      </c>
      <c r="BK12" s="67"/>
      <c r="BL12" s="67"/>
      <c r="BM12" s="67"/>
      <c r="BN12" s="66" t="s">
        <v>75</v>
      </c>
      <c r="BO12" s="66" t="s">
        <v>75</v>
      </c>
      <c r="BP12" s="66" t="s">
        <v>75</v>
      </c>
      <c r="BQ12" s="66">
        <v>500</v>
      </c>
    </row>
    <row r="13" spans="1:69" ht="16" x14ac:dyDescent="0.2">
      <c r="A13" s="56" t="s">
        <v>82</v>
      </c>
      <c r="B13" s="70">
        <v>50</v>
      </c>
      <c r="C13" s="71">
        <v>50</v>
      </c>
      <c r="D13" s="71">
        <v>50</v>
      </c>
      <c r="E13" s="71"/>
      <c r="F13" s="71"/>
      <c r="G13" s="71"/>
      <c r="H13" s="79">
        <v>50</v>
      </c>
      <c r="I13" s="71">
        <v>50</v>
      </c>
      <c r="J13" s="71"/>
      <c r="K13" s="71"/>
      <c r="L13" s="71"/>
      <c r="M13" s="71"/>
      <c r="N13" s="71"/>
      <c r="O13" s="71"/>
      <c r="P13" s="74"/>
      <c r="Q13" s="75">
        <v>250</v>
      </c>
      <c r="R13" s="76"/>
      <c r="S13" s="76"/>
      <c r="T13" s="81"/>
      <c r="U13" s="82">
        <v>500</v>
      </c>
      <c r="V13" s="68">
        <v>1500</v>
      </c>
      <c r="W13" s="67"/>
      <c r="X13" s="67">
        <v>500</v>
      </c>
      <c r="Y13" s="67"/>
      <c r="Z13" s="67">
        <v>500</v>
      </c>
      <c r="AA13" s="67"/>
      <c r="AB13" s="67"/>
      <c r="AC13" s="67"/>
      <c r="AD13" s="67"/>
      <c r="AE13" s="67"/>
      <c r="AF13" s="68">
        <v>1000</v>
      </c>
      <c r="AG13" s="68">
        <v>1000</v>
      </c>
      <c r="AH13" s="67">
        <v>1000</v>
      </c>
      <c r="AI13" s="67">
        <v>1000</v>
      </c>
      <c r="AJ13" s="67"/>
      <c r="AK13" s="67"/>
      <c r="AL13" s="68">
        <v>1000</v>
      </c>
      <c r="AM13" s="67"/>
      <c r="AN13" s="67"/>
      <c r="AO13" s="67"/>
      <c r="AP13" s="68">
        <v>500</v>
      </c>
      <c r="AQ13" s="68">
        <v>500</v>
      </c>
      <c r="AR13" s="67"/>
      <c r="AS13" s="67">
        <v>1000</v>
      </c>
      <c r="AT13" s="82">
        <v>500</v>
      </c>
      <c r="AU13" s="67"/>
      <c r="AV13" s="67"/>
      <c r="AW13" s="67">
        <v>1000</v>
      </c>
      <c r="AX13" s="67"/>
      <c r="AY13" s="67"/>
      <c r="AZ13" s="68">
        <v>500</v>
      </c>
      <c r="BA13" s="67"/>
      <c r="BB13" s="67">
        <v>500</v>
      </c>
      <c r="BC13" s="67"/>
      <c r="BD13" s="67"/>
      <c r="BE13" s="67"/>
      <c r="BF13" s="67"/>
      <c r="BG13" s="67"/>
      <c r="BH13" s="67">
        <v>2000</v>
      </c>
      <c r="BI13" s="67"/>
      <c r="BJ13" s="82">
        <v>500</v>
      </c>
      <c r="BK13" s="67"/>
      <c r="BL13" s="67"/>
      <c r="BM13" s="67"/>
      <c r="BN13" s="66" t="s">
        <v>75</v>
      </c>
      <c r="BO13" s="66" t="s">
        <v>75</v>
      </c>
      <c r="BP13" s="66" t="s">
        <v>75</v>
      </c>
      <c r="BQ13" s="82">
        <v>500</v>
      </c>
    </row>
    <row r="14" spans="1:69" ht="16" x14ac:dyDescent="0.2">
      <c r="A14" s="69" t="s">
        <v>83</v>
      </c>
      <c r="B14" s="70">
        <v>50</v>
      </c>
      <c r="C14" s="71">
        <v>50</v>
      </c>
      <c r="D14" s="71">
        <v>50</v>
      </c>
      <c r="E14" s="71"/>
      <c r="F14" s="71"/>
      <c r="G14" s="71"/>
      <c r="H14" s="79">
        <v>50</v>
      </c>
      <c r="I14" s="71">
        <v>50</v>
      </c>
      <c r="J14" s="71"/>
      <c r="K14" s="71"/>
      <c r="L14" s="71"/>
      <c r="M14" s="71"/>
      <c r="N14" s="72"/>
      <c r="O14" s="71"/>
      <c r="P14" s="74"/>
      <c r="Q14" s="80"/>
      <c r="R14" s="77">
        <v>250</v>
      </c>
      <c r="S14" s="76"/>
      <c r="T14" s="81"/>
      <c r="U14" s="82">
        <v>500</v>
      </c>
      <c r="V14" s="68">
        <v>1500</v>
      </c>
      <c r="W14" s="67"/>
      <c r="X14" s="68">
        <v>500</v>
      </c>
      <c r="Y14" s="67"/>
      <c r="Z14" s="67">
        <v>500</v>
      </c>
      <c r="AA14" s="67"/>
      <c r="AB14" s="67"/>
      <c r="AC14" s="67"/>
      <c r="AD14" s="67"/>
      <c r="AE14" s="67"/>
      <c r="AF14" s="67"/>
      <c r="AG14" s="67">
        <v>500</v>
      </c>
      <c r="AH14" s="67"/>
      <c r="AI14" s="67">
        <v>1000</v>
      </c>
      <c r="AJ14" s="68">
        <v>1000</v>
      </c>
      <c r="AK14" s="67"/>
      <c r="AL14" s="67"/>
      <c r="AM14" s="67"/>
      <c r="AN14" s="67"/>
      <c r="AO14" s="67"/>
      <c r="AP14" s="68">
        <v>500</v>
      </c>
      <c r="AQ14" s="67"/>
      <c r="AR14" s="67"/>
      <c r="AS14" s="67">
        <v>1000</v>
      </c>
      <c r="AT14" s="82">
        <v>500</v>
      </c>
      <c r="AU14" s="67"/>
      <c r="AV14" s="67"/>
      <c r="AW14" s="67">
        <v>1000</v>
      </c>
      <c r="AX14" s="67"/>
      <c r="AY14" s="67"/>
      <c r="AZ14" s="67"/>
      <c r="BA14" s="67"/>
      <c r="BB14" s="67">
        <v>1000</v>
      </c>
      <c r="BC14" s="67"/>
      <c r="BD14" s="67"/>
      <c r="BE14" s="67">
        <v>500</v>
      </c>
      <c r="BF14" s="67"/>
      <c r="BG14" s="67"/>
      <c r="BH14" s="67">
        <v>2000</v>
      </c>
      <c r="BI14" s="67"/>
      <c r="BJ14" s="82">
        <v>500</v>
      </c>
      <c r="BK14" s="67"/>
      <c r="BL14" s="67"/>
      <c r="BM14" s="67"/>
      <c r="BN14" s="66" t="s">
        <v>75</v>
      </c>
      <c r="BO14" s="66" t="s">
        <v>75</v>
      </c>
      <c r="BP14" s="66" t="s">
        <v>75</v>
      </c>
      <c r="BQ14" s="82">
        <v>500</v>
      </c>
    </row>
    <row r="15" spans="1:69" ht="16" x14ac:dyDescent="0.2">
      <c r="A15" s="69" t="s">
        <v>84</v>
      </c>
      <c r="B15" s="70">
        <v>50</v>
      </c>
      <c r="C15" s="71">
        <v>50</v>
      </c>
      <c r="D15" s="71">
        <v>50</v>
      </c>
      <c r="E15" s="71"/>
      <c r="F15" s="71"/>
      <c r="G15" s="71"/>
      <c r="H15" s="79">
        <v>50</v>
      </c>
      <c r="I15" s="71">
        <v>50</v>
      </c>
      <c r="J15" s="71"/>
      <c r="K15" s="71"/>
      <c r="L15" s="71"/>
      <c r="M15" s="71"/>
      <c r="N15" s="71"/>
      <c r="O15" s="71"/>
      <c r="P15" s="74"/>
      <c r="Q15" s="80"/>
      <c r="R15" s="77">
        <v>250</v>
      </c>
      <c r="S15" s="76"/>
      <c r="T15" s="81"/>
      <c r="U15" s="82">
        <v>500</v>
      </c>
      <c r="V15" s="67"/>
      <c r="W15" s="68">
        <v>500</v>
      </c>
      <c r="X15" s="68">
        <v>500</v>
      </c>
      <c r="Y15" s="68">
        <v>500</v>
      </c>
      <c r="Z15" s="68">
        <v>500</v>
      </c>
      <c r="AA15" s="67"/>
      <c r="AB15" s="67"/>
      <c r="AC15" s="67"/>
      <c r="AD15" s="67"/>
      <c r="AE15" s="67"/>
      <c r="AF15" s="67"/>
      <c r="AG15" s="67">
        <v>500</v>
      </c>
      <c r="AH15" s="67"/>
      <c r="AI15" s="67">
        <v>1000</v>
      </c>
      <c r="AJ15" s="67"/>
      <c r="AK15" s="67"/>
      <c r="AL15" s="67"/>
      <c r="AM15" s="67"/>
      <c r="AN15" s="67"/>
      <c r="AO15" s="67"/>
      <c r="AP15" s="68">
        <v>500</v>
      </c>
      <c r="AQ15" s="67"/>
      <c r="AR15" s="67"/>
      <c r="AS15" s="67">
        <v>1000</v>
      </c>
      <c r="AT15" s="82">
        <v>500</v>
      </c>
      <c r="AU15" s="67"/>
      <c r="AV15" s="67"/>
      <c r="AW15" s="67">
        <v>1000</v>
      </c>
      <c r="AX15" s="67"/>
      <c r="AY15" s="67"/>
      <c r="AZ15" s="67"/>
      <c r="BA15" s="67"/>
      <c r="BB15" s="67">
        <v>1000</v>
      </c>
      <c r="BC15" s="67"/>
      <c r="BD15" s="67"/>
      <c r="BE15" s="67">
        <v>500</v>
      </c>
      <c r="BF15" s="67"/>
      <c r="BG15" s="67"/>
      <c r="BH15" s="67">
        <v>2000</v>
      </c>
      <c r="BI15" s="67"/>
      <c r="BJ15" s="82">
        <v>500</v>
      </c>
      <c r="BK15" s="67"/>
      <c r="BL15" s="67"/>
      <c r="BM15" s="67"/>
      <c r="BN15" s="66" t="s">
        <v>75</v>
      </c>
      <c r="BO15" s="66" t="s">
        <v>75</v>
      </c>
      <c r="BP15" s="66" t="s">
        <v>75</v>
      </c>
      <c r="BQ15" s="82">
        <v>500</v>
      </c>
    </row>
    <row r="16" spans="1:69" ht="16" x14ac:dyDescent="0.2">
      <c r="A16" s="69" t="s">
        <v>85</v>
      </c>
      <c r="B16" s="70">
        <v>50</v>
      </c>
      <c r="C16" s="71"/>
      <c r="D16" s="71"/>
      <c r="E16" s="79">
        <v>50</v>
      </c>
      <c r="F16" s="72">
        <v>50</v>
      </c>
      <c r="G16" s="72"/>
      <c r="H16" s="79">
        <v>50</v>
      </c>
      <c r="I16" s="71">
        <v>50</v>
      </c>
      <c r="J16" s="71"/>
      <c r="K16" s="72"/>
      <c r="L16" s="71">
        <v>50</v>
      </c>
      <c r="M16" s="72"/>
      <c r="N16" s="71"/>
      <c r="O16" s="71"/>
      <c r="P16" s="74"/>
      <c r="Q16" s="80"/>
      <c r="R16" s="76"/>
      <c r="S16" s="76"/>
      <c r="T16" s="81"/>
      <c r="U16" s="82">
        <v>250</v>
      </c>
      <c r="V16" s="67"/>
      <c r="W16" s="67"/>
      <c r="X16" s="67"/>
      <c r="Y16" s="67"/>
      <c r="Z16" s="68">
        <v>250</v>
      </c>
      <c r="AA16" s="67"/>
      <c r="AB16" s="67">
        <v>500</v>
      </c>
      <c r="AC16" s="68"/>
      <c r="AD16" s="67"/>
      <c r="AE16" s="68">
        <v>250</v>
      </c>
      <c r="AF16" s="67"/>
      <c r="AG16" s="67"/>
      <c r="AH16" s="67"/>
      <c r="AI16" s="67"/>
      <c r="AJ16" s="67"/>
      <c r="AK16" s="67"/>
      <c r="AL16" s="67">
        <v>500</v>
      </c>
      <c r="AM16" s="67"/>
      <c r="AN16" s="67"/>
      <c r="AO16" s="67"/>
      <c r="AP16" s="67"/>
      <c r="AQ16" s="67"/>
      <c r="AR16" s="67"/>
      <c r="AS16" s="67"/>
      <c r="AT16" s="82">
        <v>250</v>
      </c>
      <c r="AU16" s="67"/>
      <c r="AV16" s="67"/>
      <c r="AW16" s="67"/>
      <c r="AX16" s="67"/>
      <c r="AY16" s="67"/>
      <c r="AZ16" s="67"/>
      <c r="BA16" s="67"/>
      <c r="BB16" s="68">
        <v>500</v>
      </c>
      <c r="BC16" s="67"/>
      <c r="BD16" s="67"/>
      <c r="BE16" s="67"/>
      <c r="BF16" s="67"/>
      <c r="BG16" s="67"/>
      <c r="BH16" s="68">
        <v>1000</v>
      </c>
      <c r="BI16" s="67"/>
      <c r="BJ16" s="82">
        <v>250</v>
      </c>
      <c r="BK16" s="67"/>
      <c r="BL16" s="67"/>
      <c r="BM16" s="67"/>
      <c r="BN16" s="66" t="s">
        <v>75</v>
      </c>
      <c r="BO16" s="66" t="s">
        <v>75</v>
      </c>
      <c r="BP16" s="66" t="s">
        <v>75</v>
      </c>
      <c r="BQ16" s="82">
        <v>250</v>
      </c>
    </row>
    <row r="17" spans="1:69" ht="16" x14ac:dyDescent="0.2">
      <c r="A17" s="69" t="s">
        <v>15</v>
      </c>
      <c r="B17" s="70">
        <v>50</v>
      </c>
      <c r="C17" s="71">
        <v>50</v>
      </c>
      <c r="D17" s="71"/>
      <c r="E17" s="71">
        <v>50</v>
      </c>
      <c r="F17" s="71">
        <v>50</v>
      </c>
      <c r="G17" s="71"/>
      <c r="H17" s="79">
        <v>50</v>
      </c>
      <c r="I17" s="71">
        <v>50</v>
      </c>
      <c r="J17" s="71"/>
      <c r="K17" s="71">
        <v>50</v>
      </c>
      <c r="L17" s="71">
        <v>50</v>
      </c>
      <c r="M17" s="72"/>
      <c r="N17" s="71"/>
      <c r="O17" s="71"/>
      <c r="P17" s="84"/>
      <c r="Q17" s="80"/>
      <c r="R17" s="76"/>
      <c r="S17" s="76"/>
      <c r="T17" s="81"/>
      <c r="U17" s="82">
        <v>100</v>
      </c>
      <c r="V17" s="67"/>
      <c r="W17" s="67">
        <v>100</v>
      </c>
      <c r="X17" s="67"/>
      <c r="Y17" s="67"/>
      <c r="Z17" s="68">
        <v>100</v>
      </c>
      <c r="AA17" s="67"/>
      <c r="AB17" s="67">
        <v>300</v>
      </c>
      <c r="AC17" s="67"/>
      <c r="AD17" s="67"/>
      <c r="AE17" s="67">
        <v>300</v>
      </c>
      <c r="AF17" s="67"/>
      <c r="AG17" s="67"/>
      <c r="AH17" s="67"/>
      <c r="AI17" s="67"/>
      <c r="AJ17" s="67"/>
      <c r="AK17" s="67"/>
      <c r="AL17" s="68">
        <v>400</v>
      </c>
      <c r="AM17" s="67"/>
      <c r="AN17" s="67"/>
      <c r="AO17" s="67"/>
      <c r="AP17" s="67"/>
      <c r="AQ17" s="67"/>
      <c r="AR17" s="67"/>
      <c r="AS17" s="67"/>
      <c r="AT17" s="82">
        <v>100</v>
      </c>
      <c r="AU17" s="67"/>
      <c r="AV17" s="67"/>
      <c r="AW17" s="68">
        <v>400</v>
      </c>
      <c r="AX17" s="67"/>
      <c r="AY17" s="67"/>
      <c r="AZ17" s="67"/>
      <c r="BA17" s="67"/>
      <c r="BB17" s="68">
        <v>300</v>
      </c>
      <c r="BC17" s="67"/>
      <c r="BD17" s="67"/>
      <c r="BE17" s="67"/>
      <c r="BF17" s="67"/>
      <c r="BG17" s="67"/>
      <c r="BH17" s="67">
        <v>1000</v>
      </c>
      <c r="BI17" s="67"/>
      <c r="BJ17" s="82">
        <v>100</v>
      </c>
      <c r="BK17" s="67"/>
      <c r="BL17" s="67"/>
      <c r="BM17" s="67"/>
      <c r="BN17" s="66" t="s">
        <v>75</v>
      </c>
      <c r="BO17" s="66" t="s">
        <v>75</v>
      </c>
      <c r="BP17" s="66" t="s">
        <v>75</v>
      </c>
      <c r="BQ17" s="82">
        <v>100</v>
      </c>
    </row>
    <row r="18" spans="1:69" ht="16" x14ac:dyDescent="0.2">
      <c r="A18" s="69" t="s">
        <v>86</v>
      </c>
      <c r="B18" s="83">
        <v>50</v>
      </c>
      <c r="C18" s="71"/>
      <c r="D18" s="71"/>
      <c r="E18" s="72"/>
      <c r="F18" s="72">
        <v>50</v>
      </c>
      <c r="G18" s="72"/>
      <c r="H18" s="79">
        <v>50</v>
      </c>
      <c r="I18" s="71">
        <v>50</v>
      </c>
      <c r="J18" s="71"/>
      <c r="K18" s="72"/>
      <c r="L18" s="71"/>
      <c r="M18" s="71"/>
      <c r="N18" s="71"/>
      <c r="O18" s="71"/>
      <c r="P18" s="74"/>
      <c r="Q18" s="80"/>
      <c r="R18" s="76"/>
      <c r="S18" s="76"/>
      <c r="T18" s="81"/>
      <c r="U18" s="66">
        <v>400</v>
      </c>
      <c r="V18" s="67"/>
      <c r="W18" s="67"/>
      <c r="X18" s="67"/>
      <c r="Y18" s="67"/>
      <c r="Z18" s="67">
        <v>200</v>
      </c>
      <c r="AA18" s="67"/>
      <c r="AB18" s="68">
        <v>1000</v>
      </c>
      <c r="AC18" s="68">
        <v>1600</v>
      </c>
      <c r="AD18" s="67"/>
      <c r="AE18" s="68">
        <v>400</v>
      </c>
      <c r="AF18" s="67"/>
      <c r="AG18" s="67"/>
      <c r="AH18" s="67"/>
      <c r="AI18" s="67"/>
      <c r="AJ18" s="67"/>
      <c r="AK18" s="67"/>
      <c r="AL18" s="68">
        <v>200</v>
      </c>
      <c r="AM18" s="67"/>
      <c r="AN18" s="67"/>
      <c r="AO18" s="67"/>
      <c r="AP18" s="67"/>
      <c r="AQ18" s="67"/>
      <c r="AR18" s="67"/>
      <c r="AS18" s="67"/>
      <c r="AT18" s="66">
        <v>200</v>
      </c>
      <c r="AU18" s="67"/>
      <c r="AV18" s="67"/>
      <c r="AW18" s="67">
        <v>1000</v>
      </c>
      <c r="AX18" s="67"/>
      <c r="AY18" s="67"/>
      <c r="AZ18" s="67"/>
      <c r="BA18" s="67"/>
      <c r="BB18" s="68">
        <v>800</v>
      </c>
      <c r="BC18" s="68">
        <v>800</v>
      </c>
      <c r="BD18" s="67"/>
      <c r="BE18" s="67"/>
      <c r="BF18" s="68">
        <v>1600</v>
      </c>
      <c r="BG18" s="67"/>
      <c r="BH18" s="67">
        <v>1000</v>
      </c>
      <c r="BI18" s="67"/>
      <c r="BJ18" s="66">
        <v>200</v>
      </c>
      <c r="BK18" s="67"/>
      <c r="BL18" s="67"/>
      <c r="BM18" s="67"/>
      <c r="BN18" s="66" t="s">
        <v>75</v>
      </c>
      <c r="BO18" s="66" t="s">
        <v>75</v>
      </c>
      <c r="BP18" s="66" t="s">
        <v>75</v>
      </c>
      <c r="BQ18" s="66">
        <v>400</v>
      </c>
    </row>
    <row r="19" spans="1:69" ht="16" x14ac:dyDescent="0.2">
      <c r="A19" s="69" t="s">
        <v>87</v>
      </c>
      <c r="B19" s="83">
        <v>50</v>
      </c>
      <c r="C19" s="71"/>
      <c r="D19" s="71"/>
      <c r="E19" s="71"/>
      <c r="F19" s="72">
        <v>50</v>
      </c>
      <c r="G19" s="72"/>
      <c r="H19" s="79">
        <v>50</v>
      </c>
      <c r="I19" s="71">
        <v>50</v>
      </c>
      <c r="J19" s="71"/>
      <c r="K19" s="72"/>
      <c r="L19" s="71"/>
      <c r="M19" s="71"/>
      <c r="N19" s="71"/>
      <c r="O19" s="71"/>
      <c r="P19" s="84"/>
      <c r="Q19" s="80"/>
      <c r="R19" s="76"/>
      <c r="S19" s="76"/>
      <c r="T19" s="81"/>
      <c r="U19" s="66">
        <v>250</v>
      </c>
      <c r="V19" s="67"/>
      <c r="W19" s="67"/>
      <c r="X19" s="67"/>
      <c r="Y19" s="67"/>
      <c r="Z19" s="68">
        <v>500</v>
      </c>
      <c r="AA19" s="67"/>
      <c r="AB19" s="68">
        <v>650</v>
      </c>
      <c r="AC19" s="68">
        <v>650</v>
      </c>
      <c r="AD19" s="67"/>
      <c r="AE19" s="68"/>
      <c r="AF19" s="67"/>
      <c r="AG19" s="67"/>
      <c r="AH19" s="67"/>
      <c r="AI19" s="68">
        <v>2000</v>
      </c>
      <c r="AJ19" s="67"/>
      <c r="AK19" s="67"/>
      <c r="AL19" s="68">
        <v>650</v>
      </c>
      <c r="AM19" s="67"/>
      <c r="AN19" s="67"/>
      <c r="AO19" s="67"/>
      <c r="AP19" s="67"/>
      <c r="AQ19" s="67"/>
      <c r="AR19" s="67"/>
      <c r="AS19" s="67"/>
      <c r="AT19" s="66">
        <v>250</v>
      </c>
      <c r="AU19" s="67"/>
      <c r="AV19" s="67"/>
      <c r="AW19" s="67"/>
      <c r="AX19" s="67"/>
      <c r="AY19" s="67"/>
      <c r="AZ19" s="67"/>
      <c r="BA19" s="67"/>
      <c r="BB19" s="68">
        <v>1000</v>
      </c>
      <c r="BC19" s="68">
        <v>1000</v>
      </c>
      <c r="BD19" s="67"/>
      <c r="BE19" s="67"/>
      <c r="BF19" s="68">
        <v>1750</v>
      </c>
      <c r="BG19" s="67"/>
      <c r="BH19" s="68">
        <v>1000</v>
      </c>
      <c r="BI19" s="67"/>
      <c r="BJ19" s="66">
        <v>250</v>
      </c>
      <c r="BK19" s="67"/>
      <c r="BL19" s="67"/>
      <c r="BM19" s="67"/>
      <c r="BN19" s="66" t="s">
        <v>75</v>
      </c>
      <c r="BO19" s="66" t="s">
        <v>75</v>
      </c>
      <c r="BP19" s="66" t="s">
        <v>75</v>
      </c>
      <c r="BQ19" s="66">
        <v>250</v>
      </c>
    </row>
    <row r="20" spans="1:69" ht="16" x14ac:dyDescent="0.2">
      <c r="A20" s="69" t="s">
        <v>88</v>
      </c>
      <c r="B20" s="83">
        <v>50</v>
      </c>
      <c r="C20" s="71"/>
      <c r="D20" s="71"/>
      <c r="E20" s="71"/>
      <c r="F20" s="72">
        <v>50</v>
      </c>
      <c r="G20" s="72"/>
      <c r="H20" s="79">
        <v>50</v>
      </c>
      <c r="I20" s="71">
        <v>50</v>
      </c>
      <c r="J20" s="71"/>
      <c r="K20" s="72"/>
      <c r="L20" s="72"/>
      <c r="M20" s="72"/>
      <c r="N20" s="71"/>
      <c r="O20" s="71"/>
      <c r="P20" s="74"/>
      <c r="Q20" s="80"/>
      <c r="R20" s="76"/>
      <c r="S20" s="76"/>
      <c r="T20" s="81"/>
      <c r="U20" s="82">
        <v>500</v>
      </c>
      <c r="V20" s="67"/>
      <c r="W20" s="67"/>
      <c r="X20" s="67"/>
      <c r="Y20" s="67"/>
      <c r="Z20" s="67">
        <v>250</v>
      </c>
      <c r="AA20" s="67"/>
      <c r="AB20" s="68">
        <v>1250</v>
      </c>
      <c r="AC20" s="68">
        <v>500</v>
      </c>
      <c r="AD20" s="67"/>
      <c r="AE20" s="68"/>
      <c r="AF20" s="67"/>
      <c r="AG20" s="67"/>
      <c r="AH20" s="67"/>
      <c r="AI20" s="67">
        <v>500</v>
      </c>
      <c r="AJ20" s="67"/>
      <c r="AK20" s="67"/>
      <c r="AL20" s="67">
        <v>500</v>
      </c>
      <c r="AM20" s="67"/>
      <c r="AN20" s="67"/>
      <c r="AO20" s="67"/>
      <c r="AP20" s="67"/>
      <c r="AQ20" s="67"/>
      <c r="AR20" s="67"/>
      <c r="AS20" s="67"/>
      <c r="AT20" s="66">
        <v>250</v>
      </c>
      <c r="AU20" s="67"/>
      <c r="AV20" s="67"/>
      <c r="AW20" s="67">
        <v>1000</v>
      </c>
      <c r="AX20" s="67"/>
      <c r="AY20" s="67"/>
      <c r="AZ20" s="67"/>
      <c r="BA20" s="67"/>
      <c r="BB20" s="68">
        <v>1000</v>
      </c>
      <c r="BC20" s="68">
        <v>1000</v>
      </c>
      <c r="BD20" s="67"/>
      <c r="BE20" s="67"/>
      <c r="BF20" s="67">
        <v>1500</v>
      </c>
      <c r="BG20" s="67"/>
      <c r="BH20" s="67">
        <v>1000</v>
      </c>
      <c r="BI20" s="67"/>
      <c r="BJ20" s="66">
        <v>250</v>
      </c>
      <c r="BK20" s="67"/>
      <c r="BL20" s="67"/>
      <c r="BM20" s="67"/>
      <c r="BN20" s="66" t="s">
        <v>75</v>
      </c>
      <c r="BO20" s="66" t="s">
        <v>75</v>
      </c>
      <c r="BP20" s="66" t="s">
        <v>75</v>
      </c>
      <c r="BQ20" s="82">
        <v>500</v>
      </c>
    </row>
    <row r="21" spans="1:69" ht="16" x14ac:dyDescent="0.2">
      <c r="A21" s="69" t="s">
        <v>89</v>
      </c>
      <c r="B21" s="83">
        <v>50</v>
      </c>
      <c r="C21" s="72">
        <v>50</v>
      </c>
      <c r="D21" s="72">
        <v>50</v>
      </c>
      <c r="E21" s="71"/>
      <c r="F21" s="71">
        <v>50</v>
      </c>
      <c r="G21" s="71"/>
      <c r="H21" s="79">
        <v>50</v>
      </c>
      <c r="I21" s="71">
        <v>50</v>
      </c>
      <c r="J21" s="71"/>
      <c r="K21" s="71"/>
      <c r="L21" s="71"/>
      <c r="M21" s="72">
        <v>50</v>
      </c>
      <c r="N21" s="71"/>
      <c r="O21" s="71"/>
      <c r="P21" s="84">
        <v>50</v>
      </c>
      <c r="Q21" s="80"/>
      <c r="R21" s="76"/>
      <c r="S21" s="76"/>
      <c r="T21" s="81"/>
      <c r="U21" s="82">
        <v>500</v>
      </c>
      <c r="V21" s="68">
        <v>1500</v>
      </c>
      <c r="W21" s="68">
        <v>250</v>
      </c>
      <c r="X21" s="67">
        <v>1500</v>
      </c>
      <c r="Y21" s="67"/>
      <c r="Z21" s="67">
        <v>500</v>
      </c>
      <c r="AA21" s="67"/>
      <c r="AB21" s="67"/>
      <c r="AC21" s="67"/>
      <c r="AD21" s="67"/>
      <c r="AE21" s="68"/>
      <c r="AF21" s="67"/>
      <c r="AG21" s="68">
        <v>500</v>
      </c>
      <c r="AH21" s="68">
        <v>500</v>
      </c>
      <c r="AI21" s="68">
        <v>1000</v>
      </c>
      <c r="AJ21" s="67"/>
      <c r="AK21" s="67"/>
      <c r="AL21" s="68">
        <v>250</v>
      </c>
      <c r="AM21" s="67"/>
      <c r="AN21" s="67"/>
      <c r="AO21" s="67"/>
      <c r="AP21" s="67">
        <v>250</v>
      </c>
      <c r="AQ21" s="68">
        <v>250</v>
      </c>
      <c r="AR21" s="67"/>
      <c r="AS21" s="67"/>
      <c r="AT21" s="82">
        <v>500</v>
      </c>
      <c r="AU21" s="67"/>
      <c r="AV21" s="67"/>
      <c r="AW21" s="67">
        <v>1000</v>
      </c>
      <c r="AX21" s="67"/>
      <c r="AY21" s="67"/>
      <c r="AZ21" s="67"/>
      <c r="BA21" s="67"/>
      <c r="BB21" s="67">
        <v>250</v>
      </c>
      <c r="BC21" s="67"/>
      <c r="BD21" s="67"/>
      <c r="BE21" s="67"/>
      <c r="BF21" s="67">
        <v>1500</v>
      </c>
      <c r="BG21" s="67">
        <v>1500</v>
      </c>
      <c r="BH21" s="67">
        <v>1000</v>
      </c>
      <c r="BI21" s="67"/>
      <c r="BJ21" s="82">
        <v>500</v>
      </c>
      <c r="BK21" s="67"/>
      <c r="BL21" s="67"/>
      <c r="BM21" s="67"/>
      <c r="BN21" s="66" t="s">
        <v>75</v>
      </c>
      <c r="BO21" s="66" t="s">
        <v>75</v>
      </c>
      <c r="BP21" s="66" t="s">
        <v>75</v>
      </c>
      <c r="BQ21" s="82">
        <v>500</v>
      </c>
    </row>
    <row r="22" spans="1:69" ht="16" x14ac:dyDescent="0.2">
      <c r="A22" s="69" t="s">
        <v>90</v>
      </c>
      <c r="B22" s="70">
        <v>50</v>
      </c>
      <c r="C22" s="72">
        <v>50</v>
      </c>
      <c r="D22" s="71"/>
      <c r="E22" s="71"/>
      <c r="F22" s="72"/>
      <c r="G22" s="71"/>
      <c r="H22" s="79">
        <v>50</v>
      </c>
      <c r="I22" s="71">
        <v>50</v>
      </c>
      <c r="J22" s="71"/>
      <c r="K22" s="71"/>
      <c r="L22" s="71"/>
      <c r="M22" s="71"/>
      <c r="N22" s="71"/>
      <c r="O22" s="71"/>
      <c r="P22" s="74"/>
      <c r="Q22" s="80">
        <v>250</v>
      </c>
      <c r="R22" s="77">
        <v>250</v>
      </c>
      <c r="S22" s="76"/>
      <c r="T22" s="81"/>
      <c r="U22" s="82">
        <v>250</v>
      </c>
      <c r="V22" s="67"/>
      <c r="W22" s="67"/>
      <c r="X22" s="67">
        <v>500</v>
      </c>
      <c r="Y22" s="67"/>
      <c r="Z22" s="67">
        <v>500</v>
      </c>
      <c r="AA22" s="67"/>
      <c r="AB22" s="67">
        <v>1000</v>
      </c>
      <c r="AC22" s="67"/>
      <c r="AD22" s="67"/>
      <c r="AE22" s="67"/>
      <c r="AF22" s="68">
        <v>1000</v>
      </c>
      <c r="AG22" s="68">
        <v>1000</v>
      </c>
      <c r="AH22" s="67">
        <v>1000</v>
      </c>
      <c r="AI22" s="67"/>
      <c r="AJ22" s="68">
        <v>1000</v>
      </c>
      <c r="AK22" s="67"/>
      <c r="AL22" s="67"/>
      <c r="AM22" s="67"/>
      <c r="AN22" s="67"/>
      <c r="AO22" s="67"/>
      <c r="AP22" s="67">
        <v>250</v>
      </c>
      <c r="AQ22" s="67"/>
      <c r="AR22" s="67"/>
      <c r="AS22" s="67"/>
      <c r="AT22" s="82">
        <v>250</v>
      </c>
      <c r="AU22" s="67"/>
      <c r="AV22" s="67"/>
      <c r="AW22" s="67">
        <v>2000</v>
      </c>
      <c r="AX22" s="67"/>
      <c r="AY22" s="67"/>
      <c r="AZ22" s="67"/>
      <c r="BA22" s="67"/>
      <c r="BB22" s="67">
        <v>1000</v>
      </c>
      <c r="BC22" s="67">
        <v>1000</v>
      </c>
      <c r="BD22" s="67"/>
      <c r="BE22" s="67"/>
      <c r="BF22" s="67">
        <v>1500</v>
      </c>
      <c r="BG22" s="67">
        <v>1500</v>
      </c>
      <c r="BH22" s="67">
        <v>2000</v>
      </c>
      <c r="BI22" s="67"/>
      <c r="BJ22" s="82">
        <v>250</v>
      </c>
      <c r="BK22" s="67"/>
      <c r="BL22" s="67"/>
      <c r="BM22" s="67"/>
      <c r="BN22" s="66" t="s">
        <v>75</v>
      </c>
      <c r="BO22" s="66" t="s">
        <v>75</v>
      </c>
      <c r="BP22" s="66" t="s">
        <v>75</v>
      </c>
      <c r="BQ22" s="82">
        <v>250</v>
      </c>
    </row>
    <row r="23" spans="1:69" ht="16" x14ac:dyDescent="0.2">
      <c r="A23" s="69" t="s">
        <v>91</v>
      </c>
      <c r="B23" s="70">
        <v>50</v>
      </c>
      <c r="C23" s="71"/>
      <c r="D23" s="72">
        <v>50</v>
      </c>
      <c r="E23" s="71"/>
      <c r="F23" s="71"/>
      <c r="G23" s="71"/>
      <c r="H23" s="79">
        <v>50</v>
      </c>
      <c r="I23" s="71">
        <v>50</v>
      </c>
      <c r="J23" s="71"/>
      <c r="K23" s="71"/>
      <c r="L23" s="72"/>
      <c r="M23" s="72"/>
      <c r="N23" s="71"/>
      <c r="O23" s="71"/>
      <c r="P23" s="84"/>
      <c r="Q23" s="75">
        <v>250</v>
      </c>
      <c r="R23" s="77">
        <v>250</v>
      </c>
      <c r="S23" s="76"/>
      <c r="T23" s="81"/>
      <c r="U23" s="82">
        <v>500</v>
      </c>
      <c r="V23" s="67"/>
      <c r="W23" s="67"/>
      <c r="X23" s="67">
        <v>250</v>
      </c>
      <c r="Y23" s="67"/>
      <c r="Z23" s="67">
        <v>250</v>
      </c>
      <c r="AA23" s="67"/>
      <c r="AB23" s="67">
        <v>1000</v>
      </c>
      <c r="AC23" s="67"/>
      <c r="AD23" s="67"/>
      <c r="AE23" s="67"/>
      <c r="AF23" s="68">
        <v>1000</v>
      </c>
      <c r="AG23" s="68">
        <v>1000</v>
      </c>
      <c r="AH23" s="67">
        <v>1000</v>
      </c>
      <c r="AI23" s="67"/>
      <c r="AJ23" s="67"/>
      <c r="AK23" s="67"/>
      <c r="AL23" s="68">
        <v>1000</v>
      </c>
      <c r="AM23" s="67"/>
      <c r="AN23" s="67"/>
      <c r="AO23" s="67"/>
      <c r="AP23" s="67">
        <v>250</v>
      </c>
      <c r="AQ23" s="67"/>
      <c r="AR23" s="67"/>
      <c r="AS23" s="67"/>
      <c r="AT23" s="82">
        <v>500</v>
      </c>
      <c r="AU23" s="67"/>
      <c r="AV23" s="67"/>
      <c r="AW23" s="67">
        <v>1000</v>
      </c>
      <c r="AX23" s="67"/>
      <c r="AY23" s="67"/>
      <c r="AZ23" s="67"/>
      <c r="BA23" s="67"/>
      <c r="BB23" s="67">
        <v>1000</v>
      </c>
      <c r="BC23" s="67">
        <v>1000</v>
      </c>
      <c r="BD23" s="67"/>
      <c r="BE23" s="67"/>
      <c r="BF23" s="67">
        <v>1500</v>
      </c>
      <c r="BG23" s="67"/>
      <c r="BH23" s="67">
        <v>2000</v>
      </c>
      <c r="BI23" s="67"/>
      <c r="BJ23" s="82">
        <v>500</v>
      </c>
      <c r="BK23" s="67"/>
      <c r="BL23" s="67"/>
      <c r="BM23" s="67"/>
      <c r="BN23" s="66" t="s">
        <v>75</v>
      </c>
      <c r="BO23" s="66" t="s">
        <v>75</v>
      </c>
      <c r="BP23" s="66" t="s">
        <v>75</v>
      </c>
      <c r="BQ23" s="82">
        <v>500</v>
      </c>
    </row>
    <row r="24" spans="1:69" ht="16" x14ac:dyDescent="0.2">
      <c r="A24" s="69" t="s">
        <v>92</v>
      </c>
      <c r="B24" s="83">
        <v>50</v>
      </c>
      <c r="C24" s="71"/>
      <c r="D24" s="71"/>
      <c r="E24" s="71"/>
      <c r="F24" s="71"/>
      <c r="G24" s="71"/>
      <c r="H24" s="79">
        <v>50</v>
      </c>
      <c r="I24" s="71">
        <v>50</v>
      </c>
      <c r="J24" s="71"/>
      <c r="K24" s="71"/>
      <c r="L24" s="71"/>
      <c r="M24" s="71"/>
      <c r="N24" s="71"/>
      <c r="O24" s="71"/>
      <c r="P24" s="74"/>
      <c r="Q24" s="80">
        <v>250</v>
      </c>
      <c r="R24" s="76"/>
      <c r="S24" s="76"/>
      <c r="T24" s="81"/>
      <c r="U24" s="82">
        <v>250</v>
      </c>
      <c r="V24" s="67"/>
      <c r="W24" s="67"/>
      <c r="X24" s="67">
        <v>500</v>
      </c>
      <c r="Y24" s="67"/>
      <c r="Z24" s="67">
        <v>500</v>
      </c>
      <c r="AA24" s="67"/>
      <c r="AB24" s="67">
        <v>1000</v>
      </c>
      <c r="AC24" s="67"/>
      <c r="AD24" s="67"/>
      <c r="AE24" s="67"/>
      <c r="AF24" s="67">
        <v>1000</v>
      </c>
      <c r="AG24" s="68">
        <v>1000</v>
      </c>
      <c r="AH24" s="67">
        <v>1000</v>
      </c>
      <c r="AI24" s="67"/>
      <c r="AJ24" s="67"/>
      <c r="AK24" s="67"/>
      <c r="AL24" s="67"/>
      <c r="AM24" s="67"/>
      <c r="AN24" s="67"/>
      <c r="AO24" s="67"/>
      <c r="AP24" s="67">
        <v>250</v>
      </c>
      <c r="AQ24" s="67"/>
      <c r="AR24" s="67"/>
      <c r="AS24" s="67"/>
      <c r="AT24" s="82">
        <v>250</v>
      </c>
      <c r="AU24" s="67"/>
      <c r="AV24" s="67"/>
      <c r="AW24" s="67">
        <v>1000</v>
      </c>
      <c r="AX24" s="67"/>
      <c r="AY24" s="67"/>
      <c r="AZ24" s="67">
        <v>500</v>
      </c>
      <c r="BA24" s="67"/>
      <c r="BB24" s="67">
        <v>500</v>
      </c>
      <c r="BC24" s="67">
        <v>1000</v>
      </c>
      <c r="BD24" s="67"/>
      <c r="BE24" s="67"/>
      <c r="BF24" s="67">
        <v>1500</v>
      </c>
      <c r="BG24" s="67"/>
      <c r="BH24" s="67">
        <v>2000</v>
      </c>
      <c r="BI24" s="67"/>
      <c r="BJ24" s="82">
        <v>250</v>
      </c>
      <c r="BK24" s="67"/>
      <c r="BL24" s="67"/>
      <c r="BM24" s="67"/>
      <c r="BN24" s="66" t="s">
        <v>75</v>
      </c>
      <c r="BO24" s="66" t="s">
        <v>75</v>
      </c>
      <c r="BP24" s="66" t="s">
        <v>75</v>
      </c>
      <c r="BQ24" s="82">
        <v>250</v>
      </c>
    </row>
    <row r="25" spans="1:69" ht="16" x14ac:dyDescent="0.2">
      <c r="A25" s="69" t="s">
        <v>117</v>
      </c>
      <c r="B25" s="83">
        <v>50</v>
      </c>
      <c r="C25" s="72"/>
      <c r="D25" s="72">
        <v>50</v>
      </c>
      <c r="E25" s="71"/>
      <c r="F25" s="71"/>
      <c r="G25" s="71"/>
      <c r="H25" s="79">
        <v>50</v>
      </c>
      <c r="I25" s="71">
        <v>50</v>
      </c>
      <c r="J25" s="71"/>
      <c r="K25" s="71"/>
      <c r="L25" s="71"/>
      <c r="M25" s="72"/>
      <c r="N25" s="71"/>
      <c r="O25" s="71"/>
      <c r="P25" s="74"/>
      <c r="Q25" s="75">
        <v>100</v>
      </c>
      <c r="R25" s="77">
        <v>250</v>
      </c>
      <c r="S25" s="76"/>
      <c r="T25" s="78"/>
      <c r="U25" s="82">
        <v>250</v>
      </c>
      <c r="V25" s="67"/>
      <c r="W25" s="67"/>
      <c r="X25" s="68">
        <v>500</v>
      </c>
      <c r="Y25" s="67"/>
      <c r="Z25" s="67">
        <v>500</v>
      </c>
      <c r="AA25" s="67"/>
      <c r="AB25" s="67"/>
      <c r="AC25" s="67"/>
      <c r="AD25" s="67"/>
      <c r="AE25" s="67"/>
      <c r="AF25" s="68">
        <v>1000</v>
      </c>
      <c r="AG25" s="68">
        <v>1000</v>
      </c>
      <c r="AH25" s="68">
        <v>1000</v>
      </c>
      <c r="AI25" s="67">
        <v>2000</v>
      </c>
      <c r="AJ25" s="67"/>
      <c r="AK25" s="67">
        <v>500</v>
      </c>
      <c r="AL25" s="67"/>
      <c r="AM25" s="67"/>
      <c r="AN25" s="67"/>
      <c r="AO25" s="67"/>
      <c r="AP25" s="67"/>
      <c r="AQ25" s="67"/>
      <c r="AR25" s="67"/>
      <c r="AS25" s="67"/>
      <c r="AT25" s="82">
        <v>250</v>
      </c>
      <c r="AU25" s="67"/>
      <c r="AV25" s="67"/>
      <c r="AW25" s="67"/>
      <c r="AX25" s="67"/>
      <c r="AY25" s="67"/>
      <c r="AZ25" s="67"/>
      <c r="BA25" s="67"/>
      <c r="BB25" s="68">
        <v>500</v>
      </c>
      <c r="BC25" s="67"/>
      <c r="BD25" s="67"/>
      <c r="BE25" s="67"/>
      <c r="BF25" s="67"/>
      <c r="BG25" s="67"/>
      <c r="BH25" s="68">
        <v>2000</v>
      </c>
      <c r="BI25" s="67"/>
      <c r="BJ25" s="82">
        <v>250</v>
      </c>
      <c r="BK25" s="67"/>
      <c r="BL25" s="67"/>
      <c r="BM25" s="67"/>
      <c r="BN25" s="66" t="s">
        <v>75</v>
      </c>
      <c r="BO25" s="66" t="s">
        <v>75</v>
      </c>
      <c r="BP25" s="66" t="s">
        <v>75</v>
      </c>
      <c r="BQ25" s="82">
        <v>250</v>
      </c>
    </row>
    <row r="26" spans="1:69" ht="16" x14ac:dyDescent="0.2">
      <c r="A26" s="69" t="s">
        <v>118</v>
      </c>
      <c r="B26" s="70">
        <v>50</v>
      </c>
      <c r="C26" s="71"/>
      <c r="D26" s="72">
        <v>50</v>
      </c>
      <c r="E26" s="71"/>
      <c r="F26" s="71"/>
      <c r="G26" s="71"/>
      <c r="H26" s="73">
        <v>50</v>
      </c>
      <c r="I26" s="72">
        <v>50</v>
      </c>
      <c r="J26" s="71"/>
      <c r="K26" s="71"/>
      <c r="L26" s="71"/>
      <c r="M26" s="71"/>
      <c r="N26" s="71"/>
      <c r="O26" s="71"/>
      <c r="P26" s="74"/>
      <c r="Q26" s="75">
        <v>100</v>
      </c>
      <c r="R26" s="77">
        <v>250</v>
      </c>
      <c r="S26" s="76"/>
      <c r="T26" s="81"/>
      <c r="U26" s="66">
        <v>250</v>
      </c>
      <c r="V26" s="67"/>
      <c r="W26" s="68"/>
      <c r="X26" s="68">
        <v>500</v>
      </c>
      <c r="Y26" s="68"/>
      <c r="Z26" s="68">
        <v>500</v>
      </c>
      <c r="AA26" s="68"/>
      <c r="AB26" s="67"/>
      <c r="AC26" s="67"/>
      <c r="AD26" s="67"/>
      <c r="AE26" s="68"/>
      <c r="AF26" s="68">
        <v>1000</v>
      </c>
      <c r="AG26" s="68">
        <v>1000</v>
      </c>
      <c r="AH26" s="68">
        <v>1000</v>
      </c>
      <c r="AI26" s="68">
        <v>2000</v>
      </c>
      <c r="AJ26" s="67"/>
      <c r="AK26" s="68">
        <v>500</v>
      </c>
      <c r="AL26" s="68"/>
      <c r="AM26" s="67"/>
      <c r="AN26" s="67"/>
      <c r="AO26" s="67"/>
      <c r="AP26" s="67"/>
      <c r="AQ26" s="67"/>
      <c r="AR26" s="67"/>
      <c r="AS26" s="67"/>
      <c r="AT26" s="66">
        <v>250</v>
      </c>
      <c r="AU26" s="67"/>
      <c r="AV26" s="68"/>
      <c r="AW26" s="67"/>
      <c r="AX26" s="67"/>
      <c r="AY26" s="67"/>
      <c r="AZ26" s="67"/>
      <c r="BA26" s="67"/>
      <c r="BB26" s="68">
        <v>500</v>
      </c>
      <c r="BC26" s="67"/>
      <c r="BD26" s="67"/>
      <c r="BE26" s="67"/>
      <c r="BF26" s="67"/>
      <c r="BG26" s="67"/>
      <c r="BH26" s="68">
        <v>2000</v>
      </c>
      <c r="BI26" s="67"/>
      <c r="BJ26" s="66">
        <v>250</v>
      </c>
      <c r="BK26" s="68"/>
      <c r="BL26" s="67"/>
      <c r="BM26" s="67"/>
      <c r="BN26" s="66" t="s">
        <v>75</v>
      </c>
      <c r="BO26" s="66" t="s">
        <v>75</v>
      </c>
      <c r="BP26" s="66" t="s">
        <v>75</v>
      </c>
      <c r="BQ26" s="66">
        <v>250</v>
      </c>
    </row>
    <row r="27" spans="1:69" ht="16" x14ac:dyDescent="0.2">
      <c r="A27" s="69" t="s">
        <v>119</v>
      </c>
      <c r="B27" s="70">
        <v>50</v>
      </c>
      <c r="C27" s="71"/>
      <c r="D27" s="72">
        <v>50</v>
      </c>
      <c r="E27" s="71"/>
      <c r="F27" s="71"/>
      <c r="G27" s="71"/>
      <c r="H27" s="73">
        <v>50</v>
      </c>
      <c r="I27" s="72">
        <v>50</v>
      </c>
      <c r="J27" s="72">
        <v>50</v>
      </c>
      <c r="K27" s="71"/>
      <c r="L27" s="71"/>
      <c r="M27" s="71"/>
      <c r="N27" s="71"/>
      <c r="O27" s="71"/>
      <c r="P27" s="74"/>
      <c r="Q27" s="75">
        <v>250</v>
      </c>
      <c r="R27" s="76"/>
      <c r="S27" s="76"/>
      <c r="T27" s="78"/>
      <c r="U27" s="66">
        <v>500</v>
      </c>
      <c r="V27" s="67"/>
      <c r="W27" s="67"/>
      <c r="X27" s="67"/>
      <c r="Y27" s="67"/>
      <c r="Z27" s="68">
        <v>500</v>
      </c>
      <c r="AA27" s="67"/>
      <c r="AB27" s="67"/>
      <c r="AC27" s="67"/>
      <c r="AD27" s="67"/>
      <c r="AE27" s="68"/>
      <c r="AF27" s="68">
        <v>500</v>
      </c>
      <c r="AG27" s="68">
        <v>1000</v>
      </c>
      <c r="AH27" s="68">
        <v>1000</v>
      </c>
      <c r="AI27" s="68">
        <v>400</v>
      </c>
      <c r="AJ27" s="67"/>
      <c r="AK27" s="68">
        <v>2000</v>
      </c>
      <c r="AL27" s="68"/>
      <c r="AM27" s="67"/>
      <c r="AN27" s="67"/>
      <c r="AO27" s="67"/>
      <c r="AP27" s="67"/>
      <c r="AQ27" s="67"/>
      <c r="AR27" s="67"/>
      <c r="AS27" s="67"/>
      <c r="AT27" s="66">
        <v>500</v>
      </c>
      <c r="AU27" s="67"/>
      <c r="AV27" s="68"/>
      <c r="AW27" s="67"/>
      <c r="AX27" s="67"/>
      <c r="AY27" s="67"/>
      <c r="AZ27" s="67"/>
      <c r="BA27" s="67"/>
      <c r="BB27" s="68">
        <v>500</v>
      </c>
      <c r="BC27" s="67"/>
      <c r="BD27" s="67"/>
      <c r="BE27" s="67"/>
      <c r="BF27" s="67"/>
      <c r="BG27" s="67"/>
      <c r="BH27" s="68">
        <v>2000</v>
      </c>
      <c r="BI27" s="67"/>
      <c r="BJ27" s="66">
        <v>500</v>
      </c>
      <c r="BK27" s="68">
        <v>1000</v>
      </c>
      <c r="BL27" s="67"/>
      <c r="BM27" s="67"/>
      <c r="BN27" s="66" t="s">
        <v>75</v>
      </c>
      <c r="BO27" s="66" t="s">
        <v>75</v>
      </c>
      <c r="BP27" s="66" t="s">
        <v>75</v>
      </c>
      <c r="BQ27" s="66">
        <v>500</v>
      </c>
    </row>
    <row r="28" spans="1:69" ht="16" x14ac:dyDescent="0.2">
      <c r="A28" s="69" t="s">
        <v>120</v>
      </c>
      <c r="B28" s="70">
        <v>50</v>
      </c>
      <c r="C28" s="71"/>
      <c r="D28" s="72">
        <v>50</v>
      </c>
      <c r="E28" s="71"/>
      <c r="F28" s="71"/>
      <c r="G28" s="71"/>
      <c r="H28" s="73">
        <v>50</v>
      </c>
      <c r="I28" s="72">
        <v>50</v>
      </c>
      <c r="J28" s="71"/>
      <c r="K28" s="72"/>
      <c r="L28" s="71"/>
      <c r="M28" s="72"/>
      <c r="N28" s="71"/>
      <c r="O28" s="71"/>
      <c r="P28" s="84"/>
      <c r="Q28" s="75">
        <v>250</v>
      </c>
      <c r="R28" s="77">
        <v>250</v>
      </c>
      <c r="S28" s="76"/>
      <c r="T28" s="81"/>
      <c r="U28" s="66">
        <v>500</v>
      </c>
      <c r="V28" s="67"/>
      <c r="W28" s="67"/>
      <c r="X28" s="67"/>
      <c r="Y28" s="67"/>
      <c r="Z28" s="68">
        <v>500</v>
      </c>
      <c r="AA28" s="67"/>
      <c r="AB28" s="67"/>
      <c r="AC28" s="67"/>
      <c r="AD28" s="67"/>
      <c r="AE28" s="68"/>
      <c r="AF28" s="68">
        <v>500</v>
      </c>
      <c r="AG28" s="68">
        <v>1000</v>
      </c>
      <c r="AH28" s="68">
        <v>500</v>
      </c>
      <c r="AI28" s="68">
        <v>2000</v>
      </c>
      <c r="AJ28" s="68">
        <v>500</v>
      </c>
      <c r="AK28" s="67"/>
      <c r="AL28" s="67"/>
      <c r="AM28" s="67"/>
      <c r="AN28" s="67"/>
      <c r="AO28" s="67"/>
      <c r="AP28" s="68"/>
      <c r="AQ28" s="68"/>
      <c r="AR28" s="67"/>
      <c r="AS28" s="67"/>
      <c r="AT28" s="66">
        <v>500</v>
      </c>
      <c r="AU28" s="67"/>
      <c r="AV28" s="68"/>
      <c r="AW28" s="67"/>
      <c r="AX28" s="67"/>
      <c r="AY28" s="67"/>
      <c r="AZ28" s="67"/>
      <c r="BA28" s="67"/>
      <c r="BB28" s="68">
        <v>500</v>
      </c>
      <c r="BC28" s="67"/>
      <c r="BD28" s="67"/>
      <c r="BE28" s="67"/>
      <c r="BF28" s="67"/>
      <c r="BG28" s="68"/>
      <c r="BH28" s="68">
        <v>2000</v>
      </c>
      <c r="BI28" s="67"/>
      <c r="BJ28" s="66">
        <v>500</v>
      </c>
      <c r="BK28" s="68">
        <v>1000</v>
      </c>
      <c r="BL28" s="67"/>
      <c r="BM28" s="67"/>
      <c r="BN28" s="66" t="s">
        <v>75</v>
      </c>
      <c r="BO28" s="66" t="s">
        <v>75</v>
      </c>
      <c r="BP28" s="66" t="s">
        <v>75</v>
      </c>
      <c r="BQ28" s="66">
        <v>500</v>
      </c>
    </row>
    <row r="29" spans="1:69" ht="16" x14ac:dyDescent="0.2">
      <c r="A29" s="69" t="s">
        <v>142</v>
      </c>
      <c r="B29" s="70">
        <v>50</v>
      </c>
      <c r="C29" s="71"/>
      <c r="D29" s="72">
        <v>50</v>
      </c>
      <c r="E29" s="71"/>
      <c r="F29" s="71"/>
      <c r="G29" s="71"/>
      <c r="H29" s="73">
        <v>50</v>
      </c>
      <c r="I29" s="72">
        <v>50</v>
      </c>
      <c r="J29" s="72"/>
      <c r="K29" s="71"/>
      <c r="L29" s="72"/>
      <c r="M29" s="72"/>
      <c r="N29" s="71"/>
      <c r="O29" s="71"/>
      <c r="P29" s="84"/>
      <c r="Q29" s="75">
        <v>250</v>
      </c>
      <c r="R29" s="77">
        <v>250</v>
      </c>
      <c r="S29" s="76"/>
      <c r="T29" s="81"/>
      <c r="U29" s="66">
        <v>500</v>
      </c>
      <c r="V29" s="67"/>
      <c r="W29" s="67"/>
      <c r="X29" s="67"/>
      <c r="Y29" s="68"/>
      <c r="Z29" s="68">
        <v>500</v>
      </c>
      <c r="AA29" s="68"/>
      <c r="AB29" s="67"/>
      <c r="AC29" s="67"/>
      <c r="AD29" s="67"/>
      <c r="AE29" s="68"/>
      <c r="AF29" s="68">
        <v>1000</v>
      </c>
      <c r="AG29" s="68">
        <v>1000</v>
      </c>
      <c r="AH29" s="68">
        <v>1000</v>
      </c>
      <c r="AI29" s="68">
        <v>2000</v>
      </c>
      <c r="AJ29" s="68">
        <v>2000</v>
      </c>
      <c r="AK29" s="67"/>
      <c r="AL29" s="67"/>
      <c r="AM29" s="67"/>
      <c r="AN29" s="67"/>
      <c r="AO29" s="67"/>
      <c r="AP29" s="68"/>
      <c r="AQ29" s="68"/>
      <c r="AR29" s="67"/>
      <c r="AS29" s="67"/>
      <c r="AT29" s="66">
        <v>500</v>
      </c>
      <c r="AU29" s="67"/>
      <c r="AV29" s="68"/>
      <c r="AW29" s="67"/>
      <c r="AX29" s="67"/>
      <c r="AY29" s="67"/>
      <c r="AZ29" s="67"/>
      <c r="BA29" s="67"/>
      <c r="BB29" s="68">
        <v>500</v>
      </c>
      <c r="BC29" s="68">
        <v>500</v>
      </c>
      <c r="BD29" s="67"/>
      <c r="BE29" s="67"/>
      <c r="BF29" s="67"/>
      <c r="BG29" s="68"/>
      <c r="BH29" s="68">
        <v>2000</v>
      </c>
      <c r="BI29" s="67"/>
      <c r="BJ29" s="66">
        <v>500</v>
      </c>
      <c r="BK29" s="68">
        <v>1000</v>
      </c>
      <c r="BL29" s="67"/>
      <c r="BM29" s="68">
        <v>500</v>
      </c>
      <c r="BN29" s="66" t="s">
        <v>75</v>
      </c>
      <c r="BO29" s="66" t="s">
        <v>75</v>
      </c>
      <c r="BP29" s="66" t="s">
        <v>75</v>
      </c>
      <c r="BQ29" s="66">
        <v>500</v>
      </c>
    </row>
    <row r="30" spans="1:69" ht="16" x14ac:dyDescent="0.2">
      <c r="A30" s="69" t="s">
        <v>121</v>
      </c>
      <c r="B30" s="70">
        <v>50</v>
      </c>
      <c r="C30" s="71"/>
      <c r="D30" s="72">
        <v>50</v>
      </c>
      <c r="E30" s="72">
        <v>50</v>
      </c>
      <c r="F30" s="71"/>
      <c r="G30" s="72"/>
      <c r="H30" s="73">
        <v>50</v>
      </c>
      <c r="I30" s="72">
        <v>50</v>
      </c>
      <c r="J30" s="72"/>
      <c r="K30" s="72">
        <v>50</v>
      </c>
      <c r="L30" s="71"/>
      <c r="M30" s="72">
        <v>50</v>
      </c>
      <c r="N30" s="72">
        <v>50</v>
      </c>
      <c r="O30" s="71"/>
      <c r="P30" s="74"/>
      <c r="Q30" s="80"/>
      <c r="R30" s="76"/>
      <c r="S30" s="76"/>
      <c r="T30" s="81"/>
      <c r="U30" s="66">
        <v>250</v>
      </c>
      <c r="V30" s="67"/>
      <c r="W30" s="68"/>
      <c r="X30" s="67"/>
      <c r="Y30" s="67"/>
      <c r="Z30" s="68">
        <v>500</v>
      </c>
      <c r="AA30" s="68"/>
      <c r="AB30" s="68">
        <v>1000</v>
      </c>
      <c r="AC30" s="68">
        <v>1000</v>
      </c>
      <c r="AD30" s="67"/>
      <c r="AE30" s="68"/>
      <c r="AF30" s="68">
        <v>500</v>
      </c>
      <c r="AG30" s="68">
        <v>1000</v>
      </c>
      <c r="AH30" s="68">
        <v>1000</v>
      </c>
      <c r="AI30" s="68">
        <v>2000</v>
      </c>
      <c r="AJ30" s="68">
        <v>1000</v>
      </c>
      <c r="AK30" s="68"/>
      <c r="AL30" s="68"/>
      <c r="AM30" s="67"/>
      <c r="AN30" s="67"/>
      <c r="AO30" s="67"/>
      <c r="AP30" s="68"/>
      <c r="AQ30" s="68"/>
      <c r="AR30" s="67"/>
      <c r="AS30" s="68"/>
      <c r="AT30" s="66">
        <v>250</v>
      </c>
      <c r="AU30" s="67"/>
      <c r="AV30" s="67"/>
      <c r="AW30" s="68"/>
      <c r="AX30" s="67"/>
      <c r="AY30" s="67"/>
      <c r="AZ30" s="67"/>
      <c r="BA30" s="67"/>
      <c r="BB30" s="68">
        <v>1000</v>
      </c>
      <c r="BC30" s="68">
        <v>1000</v>
      </c>
      <c r="BD30" s="67"/>
      <c r="BE30" s="67"/>
      <c r="BF30" s="67"/>
      <c r="BG30" s="68"/>
      <c r="BH30" s="68">
        <v>2000</v>
      </c>
      <c r="BI30" s="67"/>
      <c r="BJ30" s="66">
        <v>250</v>
      </c>
      <c r="BK30" s="68">
        <v>1000</v>
      </c>
      <c r="BL30" s="68">
        <v>1000</v>
      </c>
      <c r="BM30" s="67"/>
      <c r="BN30" s="66" t="s">
        <v>75</v>
      </c>
      <c r="BO30" s="66" t="s">
        <v>75</v>
      </c>
      <c r="BP30" s="66" t="s">
        <v>75</v>
      </c>
      <c r="BQ30" s="66">
        <v>250</v>
      </c>
    </row>
    <row r="31" spans="1:69" ht="16" x14ac:dyDescent="0.2">
      <c r="A31" s="69" t="s">
        <v>138</v>
      </c>
      <c r="B31" s="70">
        <v>50</v>
      </c>
      <c r="C31" s="71"/>
      <c r="D31" s="71"/>
      <c r="E31" s="71"/>
      <c r="F31" s="72">
        <v>50</v>
      </c>
      <c r="G31" s="71"/>
      <c r="H31" s="79">
        <v>50</v>
      </c>
      <c r="I31" s="71">
        <v>50</v>
      </c>
      <c r="J31" s="71"/>
      <c r="K31" s="72"/>
      <c r="L31" s="71"/>
      <c r="M31" s="71"/>
      <c r="N31" s="71"/>
      <c r="O31" s="71"/>
      <c r="P31" s="74"/>
      <c r="Q31" s="80"/>
      <c r="R31" s="76"/>
      <c r="S31" s="76"/>
      <c r="T31" s="81"/>
      <c r="U31" s="82">
        <v>200</v>
      </c>
      <c r="V31" s="67"/>
      <c r="W31" s="67"/>
      <c r="X31" s="68">
        <v>400</v>
      </c>
      <c r="Y31" s="67"/>
      <c r="Z31" s="67">
        <v>400</v>
      </c>
      <c r="AA31" s="67"/>
      <c r="AB31" s="68">
        <v>400</v>
      </c>
      <c r="AC31" s="68">
        <v>200</v>
      </c>
      <c r="AD31" s="67"/>
      <c r="AE31" s="67">
        <v>400</v>
      </c>
      <c r="AF31" s="67"/>
      <c r="AG31" s="67"/>
      <c r="AH31" s="67"/>
      <c r="AI31" s="67"/>
      <c r="AJ31" s="67"/>
      <c r="AK31" s="67"/>
      <c r="AL31" s="67"/>
      <c r="AM31" s="68"/>
      <c r="AN31" s="67"/>
      <c r="AO31" s="67"/>
      <c r="AP31" s="67"/>
      <c r="AQ31" s="67"/>
      <c r="AR31" s="67"/>
      <c r="AS31" s="67"/>
      <c r="AT31" s="82">
        <v>200</v>
      </c>
      <c r="AU31" s="67"/>
      <c r="AV31" s="67"/>
      <c r="AW31" s="67">
        <v>800</v>
      </c>
      <c r="AX31" s="67"/>
      <c r="AY31" s="67"/>
      <c r="AZ31" s="68"/>
      <c r="BA31" s="67"/>
      <c r="BB31" s="67">
        <v>1000</v>
      </c>
      <c r="BC31" s="67">
        <v>1000</v>
      </c>
      <c r="BD31" s="68"/>
      <c r="BE31" s="67"/>
      <c r="BF31" s="67"/>
      <c r="BG31" s="67"/>
      <c r="BH31" s="67">
        <v>2000</v>
      </c>
      <c r="BI31" s="68">
        <v>200</v>
      </c>
      <c r="BJ31" s="82">
        <v>200</v>
      </c>
      <c r="BK31" s="67"/>
      <c r="BL31" s="67"/>
      <c r="BM31" s="67"/>
      <c r="BN31" s="66" t="s">
        <v>75</v>
      </c>
      <c r="BO31" s="66" t="s">
        <v>75</v>
      </c>
      <c r="BP31" s="66" t="s">
        <v>75</v>
      </c>
      <c r="BQ31" s="82">
        <v>200</v>
      </c>
    </row>
    <row r="32" spans="1:69" ht="16" x14ac:dyDescent="0.2">
      <c r="A32" s="261" t="s">
        <v>141</v>
      </c>
      <c r="B32" s="70">
        <v>8</v>
      </c>
      <c r="C32" s="71"/>
      <c r="D32" s="71"/>
      <c r="E32" s="71"/>
      <c r="F32" s="72"/>
      <c r="G32" s="72"/>
      <c r="H32" s="73">
        <v>50</v>
      </c>
      <c r="I32" s="72">
        <v>50</v>
      </c>
      <c r="J32" s="71"/>
      <c r="K32" s="72"/>
      <c r="L32" s="71"/>
      <c r="M32" s="71"/>
      <c r="N32" s="71"/>
      <c r="O32" s="71"/>
      <c r="P32" s="74"/>
      <c r="Q32" s="75"/>
      <c r="R32" s="76"/>
      <c r="S32" s="77">
        <v>100</v>
      </c>
      <c r="T32" s="78"/>
      <c r="U32" s="66">
        <v>100</v>
      </c>
      <c r="V32" s="67"/>
      <c r="W32" s="67"/>
      <c r="X32" s="67"/>
      <c r="Y32" s="67"/>
      <c r="Z32" s="68">
        <v>100</v>
      </c>
      <c r="AA32" s="67"/>
      <c r="AB32" s="68">
        <v>400</v>
      </c>
      <c r="AC32" s="68">
        <v>400</v>
      </c>
      <c r="AD32" s="67"/>
      <c r="AE32" s="68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67"/>
      <c r="AS32" s="68"/>
      <c r="AT32" s="66">
        <v>100</v>
      </c>
      <c r="AU32" s="67"/>
      <c r="AV32" s="67"/>
      <c r="AW32" s="67"/>
      <c r="AX32" s="67"/>
      <c r="AY32" s="67"/>
      <c r="AZ32" s="67"/>
      <c r="BA32" s="67"/>
      <c r="BB32" s="68">
        <v>100</v>
      </c>
      <c r="BC32" s="67"/>
      <c r="BD32" s="68">
        <v>500</v>
      </c>
      <c r="BE32" s="67"/>
      <c r="BF32" s="67"/>
      <c r="BG32" s="67"/>
      <c r="BH32" s="68">
        <v>100</v>
      </c>
      <c r="BI32" s="68">
        <v>100</v>
      </c>
      <c r="BJ32" s="66">
        <v>100</v>
      </c>
      <c r="BK32" s="67"/>
      <c r="BL32" s="67"/>
      <c r="BM32" s="67"/>
      <c r="BN32" s="66" t="s">
        <v>75</v>
      </c>
      <c r="BO32" s="66" t="s">
        <v>75</v>
      </c>
      <c r="BP32" s="66" t="s">
        <v>75</v>
      </c>
      <c r="BQ32" s="66">
        <v>100</v>
      </c>
    </row>
    <row r="33" spans="1:69" ht="16" x14ac:dyDescent="0.2">
      <c r="A33" s="56" t="s">
        <v>93</v>
      </c>
      <c r="B33" s="85">
        <v>50</v>
      </c>
      <c r="C33" s="86"/>
      <c r="D33" s="86"/>
      <c r="E33" s="86"/>
      <c r="F33" s="88">
        <v>50</v>
      </c>
      <c r="G33" s="86"/>
      <c r="H33" s="87">
        <v>50</v>
      </c>
      <c r="I33" s="88">
        <v>50</v>
      </c>
      <c r="J33" s="86"/>
      <c r="K33" s="86"/>
      <c r="L33" s="86"/>
      <c r="M33" s="86"/>
      <c r="N33" s="86"/>
      <c r="O33" s="86"/>
      <c r="P33" s="89"/>
      <c r="Q33" s="90"/>
      <c r="R33" s="91"/>
      <c r="S33" s="91"/>
      <c r="T33" s="92"/>
      <c r="U33" s="93">
        <v>100</v>
      </c>
      <c r="V33" s="94"/>
      <c r="W33" s="94"/>
      <c r="X33" s="95"/>
      <c r="Y33" s="95"/>
      <c r="Z33" s="94">
        <v>250</v>
      </c>
      <c r="AA33" s="95"/>
      <c r="AB33" s="94"/>
      <c r="AC33" s="94"/>
      <c r="AD33" s="95"/>
      <c r="AE33" s="94"/>
      <c r="AF33" s="94">
        <v>1000</v>
      </c>
      <c r="AG33" s="94">
        <v>250</v>
      </c>
      <c r="AH33" s="95"/>
      <c r="AI33" s="94">
        <v>500</v>
      </c>
      <c r="AJ33" s="95"/>
      <c r="AK33" s="95"/>
      <c r="AL33" s="94"/>
      <c r="AM33" s="95"/>
      <c r="AN33" s="95"/>
      <c r="AO33" s="95"/>
      <c r="AP33" s="95"/>
      <c r="AQ33" s="95"/>
      <c r="AR33" s="95"/>
      <c r="AS33" s="95"/>
      <c r="AT33" s="96">
        <v>100</v>
      </c>
      <c r="AU33" s="95"/>
      <c r="AV33" s="95"/>
      <c r="AW33" s="94"/>
      <c r="AX33" s="95"/>
      <c r="AY33" s="95"/>
      <c r="AZ33" s="95"/>
      <c r="BA33" s="95"/>
      <c r="BB33" s="94">
        <v>250</v>
      </c>
      <c r="BC33" s="94">
        <v>250</v>
      </c>
      <c r="BD33" s="95"/>
      <c r="BE33" s="95"/>
      <c r="BF33" s="95"/>
      <c r="BG33" s="95"/>
      <c r="BH33" s="94">
        <v>2000</v>
      </c>
      <c r="BI33" s="95"/>
      <c r="BJ33" s="96">
        <v>100</v>
      </c>
      <c r="BK33" s="95"/>
      <c r="BL33" s="95"/>
      <c r="BM33" s="95"/>
      <c r="BN33" s="66" t="s">
        <v>75</v>
      </c>
      <c r="BO33" s="66" t="s">
        <v>75</v>
      </c>
      <c r="BP33" s="66" t="s">
        <v>75</v>
      </c>
      <c r="BQ33" s="93">
        <v>100</v>
      </c>
    </row>
    <row r="34" spans="1:69" ht="16" x14ac:dyDescent="0.2">
      <c r="A34" s="56" t="s">
        <v>94</v>
      </c>
      <c r="B34" s="97">
        <v>50</v>
      </c>
      <c r="C34" s="98"/>
      <c r="D34" s="98"/>
      <c r="E34" s="98"/>
      <c r="F34" s="98"/>
      <c r="G34" s="98"/>
      <c r="H34" s="99">
        <v>50</v>
      </c>
      <c r="I34" s="100">
        <v>50</v>
      </c>
      <c r="J34" s="98"/>
      <c r="K34" s="98"/>
      <c r="L34" s="98"/>
      <c r="M34" s="98"/>
      <c r="N34" s="98"/>
      <c r="O34" s="98"/>
      <c r="P34" s="101"/>
      <c r="Q34" s="102"/>
      <c r="R34" s="103"/>
      <c r="S34" s="103"/>
      <c r="T34" s="104"/>
      <c r="U34" s="105">
        <v>400</v>
      </c>
      <c r="V34" s="106">
        <v>1400</v>
      </c>
      <c r="W34" s="106">
        <v>400</v>
      </c>
      <c r="X34" s="107"/>
      <c r="Y34" s="107"/>
      <c r="Z34" s="106">
        <v>400</v>
      </c>
      <c r="AA34" s="107"/>
      <c r="AB34" s="106">
        <v>400</v>
      </c>
      <c r="AC34" s="106">
        <v>200</v>
      </c>
      <c r="AD34" s="107"/>
      <c r="AE34" s="106">
        <v>400</v>
      </c>
      <c r="AF34" s="107"/>
      <c r="AG34" s="106">
        <v>400</v>
      </c>
      <c r="AH34" s="107"/>
      <c r="AI34" s="107"/>
      <c r="AJ34" s="107"/>
      <c r="AK34" s="107"/>
      <c r="AL34" s="106">
        <v>800</v>
      </c>
      <c r="AM34" s="107"/>
      <c r="AN34" s="107"/>
      <c r="AO34" s="107"/>
      <c r="AP34" s="107"/>
      <c r="AQ34" s="107"/>
      <c r="AR34" s="107"/>
      <c r="AS34" s="107"/>
      <c r="AT34" s="106">
        <v>400</v>
      </c>
      <c r="AU34" s="107"/>
      <c r="AV34" s="107"/>
      <c r="AW34" s="106"/>
      <c r="AX34" s="107"/>
      <c r="AY34" s="107"/>
      <c r="AZ34" s="107"/>
      <c r="BA34" s="107"/>
      <c r="BB34" s="106">
        <v>1000</v>
      </c>
      <c r="BC34" s="106">
        <v>1000</v>
      </c>
      <c r="BD34" s="107"/>
      <c r="BE34" s="107"/>
      <c r="BF34" s="107"/>
      <c r="BG34" s="107"/>
      <c r="BH34" s="106">
        <v>2000</v>
      </c>
      <c r="BI34" s="107"/>
      <c r="BJ34" s="106">
        <v>400</v>
      </c>
      <c r="BK34" s="107"/>
      <c r="BL34" s="107"/>
      <c r="BM34" s="107"/>
      <c r="BN34" s="66" t="s">
        <v>75</v>
      </c>
      <c r="BO34" s="66" t="s">
        <v>75</v>
      </c>
      <c r="BP34" s="66" t="s">
        <v>75</v>
      </c>
      <c r="BQ34" s="105">
        <v>400</v>
      </c>
    </row>
    <row r="35" spans="1:69" ht="16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BQ35" s="108"/>
    </row>
    <row r="36" spans="1:69" ht="16" x14ac:dyDescent="0.2">
      <c r="B36" s="109">
        <f t="shared" ref="B36:AG36" si="0">_xlfn.XLOOKUP($A$37,$A$4:$A$34,B4:B34)</f>
        <v>50</v>
      </c>
      <c r="C36" s="109">
        <f t="shared" si="0"/>
        <v>0</v>
      </c>
      <c r="D36" s="109">
        <f t="shared" si="0"/>
        <v>0</v>
      </c>
      <c r="E36" s="109">
        <f t="shared" si="0"/>
        <v>0</v>
      </c>
      <c r="F36" s="109">
        <f t="shared" si="0"/>
        <v>50</v>
      </c>
      <c r="G36" s="109">
        <f t="shared" si="0"/>
        <v>0</v>
      </c>
      <c r="H36" s="109">
        <f t="shared" si="0"/>
        <v>50</v>
      </c>
      <c r="I36" s="109">
        <f t="shared" si="0"/>
        <v>50</v>
      </c>
      <c r="J36" s="109">
        <f t="shared" si="0"/>
        <v>0</v>
      </c>
      <c r="K36" s="109">
        <f t="shared" si="0"/>
        <v>0</v>
      </c>
      <c r="L36" s="109">
        <f t="shared" si="0"/>
        <v>0</v>
      </c>
      <c r="M36" s="109">
        <f t="shared" si="0"/>
        <v>0</v>
      </c>
      <c r="N36" s="109">
        <f t="shared" si="0"/>
        <v>0</v>
      </c>
      <c r="O36" s="109">
        <f t="shared" si="0"/>
        <v>0</v>
      </c>
      <c r="P36" s="109">
        <f t="shared" si="0"/>
        <v>50</v>
      </c>
      <c r="Q36" s="109">
        <f t="shared" si="0"/>
        <v>0</v>
      </c>
      <c r="R36" s="109">
        <f t="shared" si="0"/>
        <v>0</v>
      </c>
      <c r="S36" s="109">
        <f t="shared" si="0"/>
        <v>0</v>
      </c>
      <c r="T36" s="109">
        <f t="shared" si="0"/>
        <v>0</v>
      </c>
      <c r="U36" s="109">
        <f t="shared" si="0"/>
        <v>200</v>
      </c>
      <c r="V36" s="109">
        <f t="shared" si="0"/>
        <v>0</v>
      </c>
      <c r="W36" s="109">
        <f t="shared" si="0"/>
        <v>0</v>
      </c>
      <c r="X36" s="109">
        <f t="shared" si="0"/>
        <v>0</v>
      </c>
      <c r="Y36" s="109">
        <f t="shared" si="0"/>
        <v>200</v>
      </c>
      <c r="Z36" s="109">
        <f t="shared" si="0"/>
        <v>400</v>
      </c>
      <c r="AA36" s="109">
        <f t="shared" si="0"/>
        <v>0</v>
      </c>
      <c r="AB36" s="109">
        <f t="shared" si="0"/>
        <v>400</v>
      </c>
      <c r="AC36" s="109">
        <f t="shared" si="0"/>
        <v>200</v>
      </c>
      <c r="AD36" s="109">
        <f t="shared" si="0"/>
        <v>0</v>
      </c>
      <c r="AE36" s="109">
        <f t="shared" si="0"/>
        <v>200</v>
      </c>
      <c r="AF36" s="109">
        <f t="shared" si="0"/>
        <v>0</v>
      </c>
      <c r="AG36" s="109">
        <f t="shared" si="0"/>
        <v>0</v>
      </c>
      <c r="AH36" s="109">
        <f t="shared" ref="AH36:BP36" si="1">_xlfn.XLOOKUP($A$37,$A$4:$A$34,AH4:AH34)</f>
        <v>0</v>
      </c>
      <c r="AI36" s="109">
        <f t="shared" si="1"/>
        <v>200</v>
      </c>
      <c r="AJ36" s="109">
        <f t="shared" si="1"/>
        <v>0</v>
      </c>
      <c r="AK36" s="109">
        <f t="shared" si="1"/>
        <v>0</v>
      </c>
      <c r="AL36" s="109">
        <f t="shared" si="1"/>
        <v>400</v>
      </c>
      <c r="AM36" s="109">
        <f t="shared" si="1"/>
        <v>0</v>
      </c>
      <c r="AN36" s="109">
        <f t="shared" si="1"/>
        <v>0</v>
      </c>
      <c r="AO36" s="109">
        <f t="shared" si="1"/>
        <v>0</v>
      </c>
      <c r="AP36" s="109">
        <f t="shared" si="1"/>
        <v>0</v>
      </c>
      <c r="AQ36" s="109">
        <f t="shared" si="1"/>
        <v>0</v>
      </c>
      <c r="AR36" s="109">
        <f t="shared" si="1"/>
        <v>0</v>
      </c>
      <c r="AS36" s="109">
        <f t="shared" si="1"/>
        <v>0</v>
      </c>
      <c r="AT36" s="109">
        <f t="shared" si="1"/>
        <v>200</v>
      </c>
      <c r="AU36" s="109">
        <f t="shared" si="1"/>
        <v>0</v>
      </c>
      <c r="AV36" s="109">
        <f t="shared" si="1"/>
        <v>0</v>
      </c>
      <c r="AW36" s="109">
        <f t="shared" si="1"/>
        <v>800</v>
      </c>
      <c r="AX36" s="109">
        <f t="shared" si="1"/>
        <v>0</v>
      </c>
      <c r="AY36" s="109">
        <f t="shared" si="1"/>
        <v>0</v>
      </c>
      <c r="AZ36" s="109">
        <f t="shared" si="1"/>
        <v>0</v>
      </c>
      <c r="BA36" s="109">
        <f t="shared" si="1"/>
        <v>0</v>
      </c>
      <c r="BB36" s="109">
        <f t="shared" si="1"/>
        <v>1000</v>
      </c>
      <c r="BC36" s="109">
        <f t="shared" si="1"/>
        <v>1000</v>
      </c>
      <c r="BD36" s="109">
        <f t="shared" si="1"/>
        <v>500</v>
      </c>
      <c r="BE36" s="109">
        <f t="shared" si="1"/>
        <v>0</v>
      </c>
      <c r="BF36" s="109">
        <f t="shared" si="1"/>
        <v>0</v>
      </c>
      <c r="BG36" s="109">
        <f t="shared" si="1"/>
        <v>0</v>
      </c>
      <c r="BH36" s="109">
        <f t="shared" si="1"/>
        <v>2000</v>
      </c>
      <c r="BI36" s="109">
        <f t="shared" si="1"/>
        <v>0</v>
      </c>
      <c r="BJ36" s="109">
        <f t="shared" si="1"/>
        <v>200</v>
      </c>
      <c r="BK36" s="109">
        <f t="shared" si="1"/>
        <v>0</v>
      </c>
      <c r="BL36" s="109">
        <f t="shared" si="1"/>
        <v>0</v>
      </c>
      <c r="BM36" s="109">
        <f t="shared" si="1"/>
        <v>0</v>
      </c>
      <c r="BN36" s="109" t="str">
        <f t="shared" si="1"/>
        <v>Annual</v>
      </c>
      <c r="BO36" s="109" t="str">
        <f t="shared" si="1"/>
        <v>Annual</v>
      </c>
      <c r="BP36" s="109" t="str">
        <f t="shared" si="1"/>
        <v>Annual</v>
      </c>
      <c r="BQ36" s="110"/>
    </row>
    <row r="37" spans="1:69" ht="16" x14ac:dyDescent="0.2">
      <c r="A37" s="1" t="str">
        <f>'Plan Summary'!C3</f>
        <v>RTV</v>
      </c>
      <c r="B37" s="109">
        <f t="shared" ref="B37:P37" si="2">VLOOKUP($A$37,$A$4:$P$34,COLUMN(B1),FALSE)</f>
        <v>50</v>
      </c>
      <c r="C37" s="109">
        <f t="shared" si="2"/>
        <v>0</v>
      </c>
      <c r="D37" s="109">
        <f t="shared" si="2"/>
        <v>0</v>
      </c>
      <c r="E37" s="109">
        <f t="shared" si="2"/>
        <v>0</v>
      </c>
      <c r="F37" s="109">
        <f t="shared" si="2"/>
        <v>50</v>
      </c>
      <c r="G37" s="109">
        <f t="shared" si="2"/>
        <v>0</v>
      </c>
      <c r="H37" s="109">
        <f t="shared" si="2"/>
        <v>50</v>
      </c>
      <c r="I37" s="109">
        <f t="shared" si="2"/>
        <v>50</v>
      </c>
      <c r="J37" s="109">
        <f t="shared" si="2"/>
        <v>0</v>
      </c>
      <c r="K37" s="109">
        <f t="shared" si="2"/>
        <v>0</v>
      </c>
      <c r="L37" s="109">
        <f t="shared" si="2"/>
        <v>0</v>
      </c>
      <c r="M37" s="109">
        <f t="shared" si="2"/>
        <v>0</v>
      </c>
      <c r="N37" s="109">
        <f t="shared" si="2"/>
        <v>0</v>
      </c>
      <c r="O37" s="109">
        <f t="shared" si="2"/>
        <v>0</v>
      </c>
      <c r="P37" s="109">
        <f t="shared" si="2"/>
        <v>50</v>
      </c>
      <c r="Q37" s="109" t="str">
        <f>IF(Q36=0,"",IF(Q36&lt;$A40,Q36,""))</f>
        <v/>
      </c>
      <c r="R37" s="109" t="str">
        <f>IF(R36=0,"",IF(R36&lt;$A40,R36,""))</f>
        <v/>
      </c>
      <c r="S37" s="109" t="str">
        <f>IF(S36=0,"",IF(S36&lt;$A40,S36,""))</f>
        <v/>
      </c>
      <c r="T37" s="109" t="str">
        <f>IF(T36=0,"",IF(T36&lt;$A40,T36,""))</f>
        <v/>
      </c>
      <c r="U37" s="109">
        <f>IF(U36=0,"",IF(U36&lt;=$A40,U36,""))</f>
        <v>200</v>
      </c>
      <c r="V37" s="109" t="str">
        <f t="shared" ref="V37:AI37" si="3">IF(V36=0,"",IF(V36&lt;=$A40,V36,""))</f>
        <v/>
      </c>
      <c r="W37" s="109" t="str">
        <f t="shared" si="3"/>
        <v/>
      </c>
      <c r="X37" s="109" t="str">
        <f t="shared" si="3"/>
        <v/>
      </c>
      <c r="Y37" s="109">
        <f t="shared" si="3"/>
        <v>200</v>
      </c>
      <c r="Z37" s="109" t="str">
        <f t="shared" si="3"/>
        <v/>
      </c>
      <c r="AA37" s="109" t="str">
        <f t="shared" si="3"/>
        <v/>
      </c>
      <c r="AB37" s="109" t="str">
        <f t="shared" si="3"/>
        <v/>
      </c>
      <c r="AC37" s="109">
        <f t="shared" si="3"/>
        <v>200</v>
      </c>
      <c r="AD37" s="109" t="str">
        <f t="shared" si="3"/>
        <v/>
      </c>
      <c r="AE37" s="109">
        <f t="shared" si="3"/>
        <v>200</v>
      </c>
      <c r="AF37" s="109" t="str">
        <f t="shared" si="3"/>
        <v/>
      </c>
      <c r="AG37" s="109" t="str">
        <f t="shared" si="3"/>
        <v/>
      </c>
      <c r="AH37" s="109" t="str">
        <f t="shared" si="3"/>
        <v/>
      </c>
      <c r="AI37" s="109">
        <f t="shared" si="3"/>
        <v>200</v>
      </c>
      <c r="AJ37" s="109" t="str">
        <f t="shared" ref="AJ37" si="4">IF(AJ36=0,"",IF(AJ36&lt;=$A40,AJ36,""))</f>
        <v/>
      </c>
      <c r="AK37" s="109" t="str">
        <f t="shared" ref="AK37" si="5">IF(AK36=0,"",IF(AK36&lt;=$A40,AK36,""))</f>
        <v/>
      </c>
      <c r="AL37" s="109" t="str">
        <f t="shared" ref="AL37" si="6">IF(AL36=0,"",IF(AL36&lt;=$A40,AL36,""))</f>
        <v/>
      </c>
      <c r="AM37" s="109" t="str">
        <f t="shared" ref="AM37" si="7">IF(AM36=0,"",IF(AM36&lt;=$A40,AM36,""))</f>
        <v/>
      </c>
      <c r="AN37" s="109" t="str">
        <f t="shared" ref="AN37" si="8">IF(AN36=0,"",IF(AN36&lt;=$A40,AN36,""))</f>
        <v/>
      </c>
      <c r="AO37" s="109" t="str">
        <f t="shared" ref="AO37" si="9">IF(AO36=0,"",IF(AO36&lt;=$A40,AO36,""))</f>
        <v/>
      </c>
      <c r="AP37" s="109" t="str">
        <f t="shared" ref="AP37" si="10">IF(AP36=0,"",IF(AP36&lt;=$A40,AP36,""))</f>
        <v/>
      </c>
      <c r="AQ37" s="109" t="str">
        <f t="shared" ref="AQ37" si="11">IF(AQ36=0,"",IF(AQ36&lt;=$A40,AQ36,""))</f>
        <v/>
      </c>
      <c r="AR37" s="109" t="str">
        <f t="shared" ref="AR37" si="12">IF(AR36=0,"",IF(AR36&lt;=$A40,AR36,""))</f>
        <v/>
      </c>
      <c r="AS37" s="109" t="str">
        <f t="shared" ref="AS37" si="13">IF(AS36=0,"",IF(AS36&lt;=$A40,AS36,""))</f>
        <v/>
      </c>
      <c r="AT37" s="109">
        <f t="shared" ref="AT37" si="14">IF(AT36=0,"",IF(AT36&lt;=$A40,AT36,""))</f>
        <v>200</v>
      </c>
      <c r="AU37" s="109" t="str">
        <f t="shared" ref="AU37" si="15">IF(AU36=0,"",IF(AU36&lt;=$A40,AU36,""))</f>
        <v/>
      </c>
      <c r="AV37" s="109" t="str">
        <f t="shared" ref="AV37" si="16">IF(AV36=0,"",IF(AV36&lt;=$A40,AV36,""))</f>
        <v/>
      </c>
      <c r="AW37" s="109" t="str">
        <f t="shared" ref="AW37" si="17">IF(AW36=0,"",IF(AW36&lt;=$A40,AW36,""))</f>
        <v/>
      </c>
      <c r="AX37" s="109" t="str">
        <f t="shared" ref="AX37" si="18">IF(AX36=0,"",IF(AX36&lt;=$A40,AX36,""))</f>
        <v/>
      </c>
      <c r="AY37" s="109" t="str">
        <f t="shared" ref="AY37" si="19">IF(AY36=0,"",IF(AY36&lt;=$A40,AY36,""))</f>
        <v/>
      </c>
      <c r="AZ37" s="109" t="str">
        <f t="shared" ref="AZ37" si="20">IF(AZ36=0,"",IF(AZ36&lt;=$A40,AZ36,""))</f>
        <v/>
      </c>
      <c r="BA37" s="109" t="str">
        <f t="shared" ref="BA37" si="21">IF(BA36=0,"",IF(BA36&lt;=$A40,BA36,""))</f>
        <v/>
      </c>
      <c r="BB37" s="109" t="str">
        <f t="shared" ref="BB37" si="22">IF(BB36=0,"",IF(BB36&lt;=$A40,BB36,""))</f>
        <v/>
      </c>
      <c r="BC37" s="109" t="str">
        <f t="shared" ref="BC37" si="23">IF(BC36=0,"",IF(BC36&lt;=$A40,BC36,""))</f>
        <v/>
      </c>
      <c r="BD37" s="109" t="str">
        <f t="shared" ref="BD37" si="24">IF(BD36=0,"",IF(BD36&lt;=$A40,BD36,""))</f>
        <v/>
      </c>
      <c r="BE37" s="109" t="str">
        <f t="shared" ref="BE37" si="25">IF(BE36=0,"",IF(BE36&lt;=$A40,BE36,""))</f>
        <v/>
      </c>
      <c r="BF37" s="109" t="str">
        <f t="shared" ref="BF37" si="26">IF(BF36=0,"",IF(BF36&lt;=$A40,BF36,""))</f>
        <v/>
      </c>
      <c r="BG37" s="109" t="str">
        <f t="shared" ref="BG37" si="27">IF(BG36=0,"",IF(BG36&lt;=$A40,BG36,""))</f>
        <v/>
      </c>
      <c r="BH37" s="109" t="str">
        <f t="shared" ref="BH37" si="28">IF(BH36=0,"",IF(BH36&lt;=$A40,BH36,""))</f>
        <v/>
      </c>
      <c r="BI37" s="109" t="str">
        <f t="shared" ref="BI37" si="29">IF(BI36=0,"",IF(BI36&lt;=$A40,BI36,""))</f>
        <v/>
      </c>
      <c r="BJ37" s="109">
        <f t="shared" ref="BJ37" si="30">IF(BJ36=0,"",IF(BJ36&lt;=$A40,BJ36,""))</f>
        <v>200</v>
      </c>
      <c r="BK37" s="109" t="str">
        <f t="shared" ref="BK37" si="31">IF(BK36=0,"",IF(BK36&lt;=$A40,BK36,""))</f>
        <v/>
      </c>
      <c r="BL37" s="109" t="str">
        <f t="shared" ref="BL37" si="32">IF(BL36=0,"",IF(BL36&lt;=$A40,BL36,""))</f>
        <v/>
      </c>
      <c r="BM37" s="109" t="str">
        <f t="shared" ref="BM37" si="33">IF(BM36=0,"",IF(BM36&lt;=$A40,BM36,""))</f>
        <v/>
      </c>
      <c r="BN37" s="109">
        <f>IF($A42="OK","",1)</f>
        <v>1</v>
      </c>
      <c r="BO37" s="109">
        <f>IF($A42="OK","",1)</f>
        <v>1</v>
      </c>
      <c r="BP37" s="109">
        <f>IF($A42="OK","",1)</f>
        <v>1</v>
      </c>
      <c r="BQ37" s="110"/>
    </row>
    <row r="38" spans="1:69" ht="16" x14ac:dyDescent="0.2">
      <c r="B38" s="111" t="str">
        <f t="shared" ref="B38:P38" si="34">IF(B37&gt;0,B2,"")</f>
        <v>Perform Oil and Filter Change</v>
      </c>
      <c r="C38" s="1" t="str">
        <f t="shared" si="34"/>
        <v/>
      </c>
      <c r="D38" s="1" t="str">
        <f t="shared" si="34"/>
        <v/>
      </c>
      <c r="E38" s="1" t="str">
        <f t="shared" si="34"/>
        <v/>
      </c>
      <c r="F38" s="1" t="str">
        <f t="shared" si="34"/>
        <v xml:space="preserve">Change HST Oil Filter </v>
      </c>
      <c r="G38" s="1" t="str">
        <f t="shared" si="34"/>
        <v/>
      </c>
      <c r="H38" s="1" t="str">
        <f t="shared" si="34"/>
        <v>Grease Machine at required lubrication fittings</v>
      </c>
      <c r="I38" s="1" t="str">
        <f t="shared" si="34"/>
        <v>Conduct Multi Point Inpection and make minor adjustments</v>
      </c>
      <c r="J38" s="1" t="str">
        <f t="shared" si="34"/>
        <v/>
      </c>
      <c r="K38" s="1" t="str">
        <f t="shared" si="34"/>
        <v/>
      </c>
      <c r="L38" s="1" t="str">
        <f t="shared" si="34"/>
        <v/>
      </c>
      <c r="M38" s="1" t="str">
        <f t="shared" si="34"/>
        <v/>
      </c>
      <c r="N38" s="1" t="str">
        <f t="shared" si="34"/>
        <v/>
      </c>
      <c r="O38" s="1" t="str">
        <f t="shared" si="34"/>
        <v/>
      </c>
      <c r="P38" s="1" t="str">
        <f t="shared" si="34"/>
        <v>Change Hydraulic suction return filter</v>
      </c>
      <c r="Q38" s="1" t="str">
        <f t="shared" ref="Q38:AV38" si="35">IF(Q37&lt;&gt;"",Q2,"")</f>
        <v/>
      </c>
      <c r="R38" s="1" t="str">
        <f t="shared" si="35"/>
        <v/>
      </c>
      <c r="S38" s="1" t="str">
        <f t="shared" si="35"/>
        <v/>
      </c>
      <c r="T38" s="1" t="str">
        <f t="shared" si="35"/>
        <v/>
      </c>
      <c r="U38" s="1" t="str">
        <f t="shared" si="35"/>
        <v>Perform Oil and Filter Change</v>
      </c>
      <c r="V38" s="1" t="str">
        <f t="shared" si="35"/>
        <v/>
      </c>
      <c r="W38" s="1" t="str">
        <f t="shared" si="35"/>
        <v/>
      </c>
      <c r="X38" s="1" t="str">
        <f t="shared" si="35"/>
        <v/>
      </c>
      <c r="Y38" s="1" t="str">
        <f t="shared" si="35"/>
        <v>Drain Water from Fuel Tank</v>
      </c>
      <c r="Z38" s="1" t="str">
        <f t="shared" si="35"/>
        <v/>
      </c>
      <c r="AA38" s="1" t="str">
        <f t="shared" si="35"/>
        <v/>
      </c>
      <c r="AB38" s="1" t="str">
        <f t="shared" si="35"/>
        <v/>
      </c>
      <c r="AC38" s="1" t="str">
        <f t="shared" si="35"/>
        <v>Replace Transmission Oil Filters</v>
      </c>
      <c r="AD38" s="1" t="str">
        <f t="shared" si="35"/>
        <v/>
      </c>
      <c r="AE38" s="1" t="str">
        <f t="shared" si="35"/>
        <v>Change Hydraulic Oil Filter</v>
      </c>
      <c r="AF38" s="1" t="str">
        <f t="shared" si="35"/>
        <v/>
      </c>
      <c r="AG38" s="1" t="str">
        <f t="shared" si="35"/>
        <v/>
      </c>
      <c r="AH38" s="1" t="str">
        <f t="shared" si="35"/>
        <v/>
      </c>
      <c r="AI38" s="1" t="str">
        <f t="shared" si="35"/>
        <v>Change Suction  Elements and Hydraulic Fluid</v>
      </c>
      <c r="AJ38" s="1" t="str">
        <f t="shared" si="35"/>
        <v/>
      </c>
      <c r="AK38" s="1" t="str">
        <f t="shared" si="35"/>
        <v/>
      </c>
      <c r="AL38" s="1" t="str">
        <f t="shared" si="35"/>
        <v/>
      </c>
      <c r="AM38" s="1" t="str">
        <f t="shared" si="35"/>
        <v/>
      </c>
      <c r="AN38" s="1" t="str">
        <f t="shared" si="35"/>
        <v/>
      </c>
      <c r="AO38" s="1" t="str">
        <f t="shared" si="35"/>
        <v/>
      </c>
      <c r="AP38" s="1" t="str">
        <f t="shared" si="35"/>
        <v/>
      </c>
      <c r="AQ38" s="1" t="str">
        <f t="shared" si="35"/>
        <v/>
      </c>
      <c r="AR38" s="1" t="str">
        <f t="shared" si="35"/>
        <v/>
      </c>
      <c r="AS38" s="1" t="str">
        <f t="shared" si="35"/>
        <v/>
      </c>
      <c r="AT38" s="1" t="str">
        <f t="shared" si="35"/>
        <v>Grease Machine at Assorted Lubrication Points</v>
      </c>
      <c r="AU38" s="1" t="str">
        <f t="shared" si="35"/>
        <v/>
      </c>
      <c r="AV38" s="1" t="str">
        <f t="shared" si="35"/>
        <v/>
      </c>
      <c r="AW38" s="1" t="str">
        <f t="shared" ref="AW38:CB38" si="36">IF(AW37&lt;&gt;"",AW2,"")</f>
        <v/>
      </c>
      <c r="AX38" s="1" t="str">
        <f t="shared" si="36"/>
        <v/>
      </c>
      <c r="AY38" s="1" t="str">
        <f t="shared" si="36"/>
        <v/>
      </c>
      <c r="AZ38" s="1" t="str">
        <f t="shared" si="36"/>
        <v/>
      </c>
      <c r="BA38" s="1" t="str">
        <f t="shared" si="36"/>
        <v/>
      </c>
      <c r="BB38" s="1" t="str">
        <f t="shared" si="36"/>
        <v/>
      </c>
      <c r="BC38" s="1" t="str">
        <f t="shared" si="36"/>
        <v/>
      </c>
      <c r="BD38" s="1" t="str">
        <f t="shared" si="36"/>
        <v/>
      </c>
      <c r="BE38" s="1" t="str">
        <f t="shared" si="36"/>
        <v/>
      </c>
      <c r="BF38" s="1" t="str">
        <f t="shared" si="36"/>
        <v/>
      </c>
      <c r="BG38" s="1" t="str">
        <f t="shared" si="36"/>
        <v/>
      </c>
      <c r="BH38" s="1" t="str">
        <f t="shared" si="36"/>
        <v/>
      </c>
      <c r="BI38" s="1" t="str">
        <f t="shared" si="36"/>
        <v/>
      </c>
      <c r="BJ38" s="1" t="str">
        <f t="shared" si="36"/>
        <v>Conduct Multi Point Inpection and Make Minor Adjustments</v>
      </c>
      <c r="BK38" s="1" t="str">
        <f t="shared" si="36"/>
        <v/>
      </c>
      <c r="BL38" s="1" t="str">
        <f t="shared" si="36"/>
        <v/>
      </c>
      <c r="BM38" s="1" t="str">
        <f t="shared" si="36"/>
        <v/>
      </c>
      <c r="BN38" s="1" t="str">
        <f t="shared" si="36"/>
        <v>Perform Annual Oil and Filter Change</v>
      </c>
      <c r="BO38" s="1" t="str">
        <f t="shared" si="36"/>
        <v>Annually Grease Machine at Assorted Lubrication Points</v>
      </c>
      <c r="BP38" s="1" t="str">
        <f t="shared" si="36"/>
        <v>Conduct Annual Multi Point Inpection and Make Minor Adjustments</v>
      </c>
      <c r="BQ38" s="110"/>
    </row>
    <row r="39" spans="1:69" ht="16" x14ac:dyDescent="0.2">
      <c r="B39" s="112">
        <f>IF(B38&gt;"", _xlfn.XLOOKUP($A$37,'Total Cost Per Service)'!$A4:$A34,'Total Cost Per Service)'!B4:B34),"")</f>
        <v>89.63</v>
      </c>
      <c r="C39" s="112" t="str">
        <f>IF(C38&gt;"", _xlfn.XLOOKUP($A$37,'Total Cost Per Service)'!$A4:$A34,'Total Cost Per Service)'!C4:C34),"")</f>
        <v/>
      </c>
      <c r="D39" s="112" t="str">
        <f>IF(D38&gt;"", _xlfn.XLOOKUP($A$37,'Total Cost Per Service)'!$A4:$A34,'Total Cost Per Service)'!D4:D34),"")</f>
        <v/>
      </c>
      <c r="E39" s="112" t="str">
        <f>IF(E38&gt;"", _xlfn.XLOOKUP($A$37,'Total Cost Per Service)'!$A4:$A34,'Total Cost Per Service)'!E4:E34),"")</f>
        <v/>
      </c>
      <c r="F39" s="112">
        <f>IF(F38&gt;"", _xlfn.XLOOKUP($A$37,'Total Cost Per Service)'!$A4:$A34,'Total Cost Per Service)'!F4:F34),"")</f>
        <v>148.69</v>
      </c>
      <c r="G39" s="112" t="str">
        <f>IF(G38&gt;"", _xlfn.XLOOKUP($A$37,'Total Cost Per Service)'!$A4:$A34,'Total Cost Per Service)'!G4:G34),"")</f>
        <v/>
      </c>
      <c r="H39" s="112">
        <f>IF(H38&gt;"", _xlfn.XLOOKUP($A$37,'Total Cost Per Service)'!$A4:$A34,'Total Cost Per Service)'!H4:H34),"")</f>
        <v>23.07</v>
      </c>
      <c r="I39" s="112">
        <f>IF(I38&gt;"", _xlfn.XLOOKUP($A$37,'Total Cost Per Service)'!$A4:$A34,'Total Cost Per Service)'!I4:I34),"")</f>
        <v>30</v>
      </c>
      <c r="J39" s="112" t="str">
        <f>IF(J38&gt;"", _xlfn.XLOOKUP($A$37,'Total Cost Per Service)'!$A4:$A34,'Total Cost Per Service)'!J4:J34),"")</f>
        <v/>
      </c>
      <c r="K39" s="112" t="str">
        <f>IF(K38&gt;"", _xlfn.XLOOKUP($A$37,'Total Cost Per Service)'!$A4:$A34,'Total Cost Per Service)'!K4:K34),"")</f>
        <v/>
      </c>
      <c r="L39" s="112" t="str">
        <f>IF(L38&gt;"", _xlfn.XLOOKUP($A$37,'Total Cost Per Service)'!$A4:$A34,'Total Cost Per Service)'!L4:L34),"")</f>
        <v/>
      </c>
      <c r="M39" s="112" t="str">
        <f>IF(M38&gt;"", _xlfn.XLOOKUP($A$37,'Total Cost Per Service)'!$A4:$A34,'Total Cost Per Service)'!M4:M34),"")</f>
        <v/>
      </c>
      <c r="N39" s="112" t="str">
        <f>IF(N38&gt;"", _xlfn.XLOOKUP($A$37,'Total Cost Per Service)'!$A4:$A34,'Total Cost Per Service)'!N4:N34),"")</f>
        <v/>
      </c>
      <c r="O39" s="112" t="str">
        <f>IF(O38&gt;"", _xlfn.XLOOKUP($A$37,'Total Cost Per Service)'!$A4:$A34,'Total Cost Per Service)'!O4:O34),"")</f>
        <v/>
      </c>
      <c r="P39" s="112">
        <f>IF(P38&gt;"", _xlfn.XLOOKUP($A$37,'Total Cost Per Service)'!$A4:$A34,'Total Cost Per Service)'!P4:P34),"")</f>
        <v>59.92</v>
      </c>
      <c r="Q39" s="112" t="str">
        <f>IF(Q38&gt;"", _xlfn.XLOOKUP($A$37,'Total Cost Per Service)'!$A4:$A34,'Total Cost Per Service)'!Q4:Q34),"")</f>
        <v/>
      </c>
      <c r="R39" s="112" t="str">
        <f>IF(R38&gt;"", _xlfn.XLOOKUP($A$37,'Total Cost Per Service)'!$A4:$A34,'Total Cost Per Service)'!R4:R34),"")</f>
        <v/>
      </c>
      <c r="S39" s="112" t="str">
        <f>IF(S38&gt;"", _xlfn.XLOOKUP($A$37,'Total Cost Per Service)'!$A4:$A34,'Total Cost Per Service)'!S4:S34),"")</f>
        <v/>
      </c>
      <c r="T39" s="112" t="str">
        <f>IF(T38&gt;"", _xlfn.XLOOKUP($A$37,'Total Cost Per Service)'!$A4:$A34,'Total Cost Per Service)'!T4:T34),"")</f>
        <v/>
      </c>
      <c r="U39" s="112">
        <f>IF(U38&gt;"", _xlfn.XLOOKUP($A$37,'Total Cost Per Service)'!$A4:$A34,'Total Cost Per Service)'!U4:U34),"")</f>
        <v>89.63</v>
      </c>
      <c r="V39" s="112" t="str">
        <f>IF(V38&gt;"", _xlfn.XLOOKUP($A$37,'Total Cost Per Service)'!$A4:$A34,'Total Cost Per Service)'!V4:V34),"")</f>
        <v/>
      </c>
      <c r="W39" s="112" t="str">
        <f>IF(W38&gt;"", _xlfn.XLOOKUP($A$37,'Total Cost Per Service)'!$A4:$A34,'Total Cost Per Service)'!W4:W34),"")</f>
        <v/>
      </c>
      <c r="X39" s="112" t="str">
        <f>IF(X38&gt;"", _xlfn.XLOOKUP($A$37,'Total Cost Per Service)'!$A4:$A34,'Total Cost Per Service)'!X4:X34),"")</f>
        <v/>
      </c>
      <c r="Y39" s="112">
        <f>IF(Y38&gt;"", _xlfn.XLOOKUP($A$37,'Total Cost Per Service)'!$A4:$A34,'Total Cost Per Service)'!Y4:Y34),"")</f>
        <v>12</v>
      </c>
      <c r="Z39" s="112" t="str">
        <f>IF(Z38&gt;"", _xlfn.XLOOKUP($A$37,'Total Cost Per Service)'!$A4:$A34,'Total Cost Per Service)'!Z4:Z34),"")</f>
        <v/>
      </c>
      <c r="AA39" s="112" t="str">
        <f>IF(AA38&gt;"", _xlfn.XLOOKUP($A$37,'Total Cost Per Service)'!$A4:$A34,'Total Cost Per Service)'!AA4:AA34),"")</f>
        <v/>
      </c>
      <c r="AB39" s="112" t="str">
        <f>IF(AB38&gt;"", _xlfn.XLOOKUP($A$37,'Total Cost Per Service)'!$A4:$A34,'Total Cost Per Service)'!AB4:AB34),"")</f>
        <v/>
      </c>
      <c r="AC39" s="112">
        <f>IF(AC38&gt;"", _xlfn.XLOOKUP($A$37,'Total Cost Per Service)'!$A4:$A34,'Total Cost Per Service)'!AC4:AC34),"")</f>
        <v>51.07</v>
      </c>
      <c r="AD39" s="112" t="str">
        <f>IF(AD38&gt;"", _xlfn.XLOOKUP($A$37,'Total Cost Per Service)'!$A4:$A34,'Total Cost Per Service)'!AD4:AD34),"")</f>
        <v/>
      </c>
      <c r="AE39" s="112">
        <f>IF(AE38&gt;"", _xlfn.XLOOKUP($A$37,'Total Cost Per Service)'!$A4:$A34,'Total Cost Per Service)'!AE4:AE34),"")</f>
        <v>76.69</v>
      </c>
      <c r="AF39" s="112" t="str">
        <f>IF(AF38&gt;"", _xlfn.XLOOKUP($A$37,'Total Cost Per Service)'!$A4:$A34,'Total Cost Per Service)'!AF4:AF34),"")</f>
        <v/>
      </c>
      <c r="AG39" s="112" t="str">
        <f>IF(AG38&gt;"", _xlfn.XLOOKUP($A$37,'Total Cost Per Service)'!$A4:$A34,'Total Cost Per Service)'!AG4:AG34),"")</f>
        <v/>
      </c>
      <c r="AH39" s="112" t="str">
        <f>IF(AH38&gt;"", _xlfn.XLOOKUP($A$37,'Total Cost Per Service)'!$A4:$A34,'Total Cost Per Service)'!AH4:AH34),"")</f>
        <v/>
      </c>
      <c r="AI39" s="112">
        <f>IF(AI38&gt;"", _xlfn.XLOOKUP($A$37,'Total Cost Per Service)'!$A4:$A34,'Total Cost Per Service)'!AI4:AI34),"")</f>
        <v>231.1</v>
      </c>
      <c r="AJ39" s="112" t="str">
        <f>IF(AJ38&gt;"", _xlfn.XLOOKUP($A$37,'Total Cost Per Service)'!$A4:$A34,'Total Cost Per Service)'!AJ4:AJ34),"")</f>
        <v/>
      </c>
      <c r="AK39" s="112" t="str">
        <f>IF(AK38&gt;"", _xlfn.XLOOKUP($A$37,'Total Cost Per Service)'!$A4:$A34,'Total Cost Per Service)'!AK4:AK34),"")</f>
        <v/>
      </c>
      <c r="AL39" s="112" t="str">
        <f>IF(AL38&gt;"", _xlfn.XLOOKUP($A$37,'Total Cost Per Service)'!$A4:$A34,'Total Cost Per Service)'!AL4:AL34),"")</f>
        <v/>
      </c>
      <c r="AM39" s="112" t="str">
        <f>IF(AM38&gt;"", _xlfn.XLOOKUP($A$37,'Total Cost Per Service)'!$A4:$A34,'Total Cost Per Service)'!AM4:AM34),"")</f>
        <v/>
      </c>
      <c r="AN39" s="112" t="str">
        <f>IF(AN38&gt;"", _xlfn.XLOOKUP($A$37,'Total Cost Per Service)'!$A4:$A34,'Total Cost Per Service)'!AN4:AN34),"")</f>
        <v/>
      </c>
      <c r="AO39" s="112" t="str">
        <f>IF(AO38&gt;"", _xlfn.XLOOKUP($A$37,'Total Cost Per Service)'!$A4:$A34,'Total Cost Per Service)'!AO4:AO34),"")</f>
        <v/>
      </c>
      <c r="AP39" s="112" t="str">
        <f>IF(AP38&gt;"", _xlfn.XLOOKUP($A$37,'Total Cost Per Service)'!$A4:$A34,'Total Cost Per Service)'!AP4:AP34),"")</f>
        <v/>
      </c>
      <c r="AQ39" s="112" t="str">
        <f>IF(AQ38&gt;"", _xlfn.XLOOKUP($A$37,'Total Cost Per Service)'!$A4:$A34,'Total Cost Per Service)'!AQ4:AQ34),"")</f>
        <v/>
      </c>
      <c r="AR39" s="112" t="str">
        <f>IF(AR38&gt;"", _xlfn.XLOOKUP($A$37,'Total Cost Per Service)'!$A4:$A34,'Total Cost Per Service)'!AR4:AR34),"")</f>
        <v/>
      </c>
      <c r="AS39" s="112" t="str">
        <f>IF(AS38&gt;"", _xlfn.XLOOKUP($A$37,'Total Cost Per Service)'!$A4:$A34,'Total Cost Per Service)'!AS4:AS34),"")</f>
        <v/>
      </c>
      <c r="AT39" s="112">
        <f>IF(AT38&gt;"", _xlfn.XLOOKUP($A$37,'Total Cost Per Service)'!$A4:$A34,'Total Cost Per Service)'!AT4:AT34),"")</f>
        <v>23.07</v>
      </c>
      <c r="AU39" s="112" t="str">
        <f>IF(AU38&gt;"", _xlfn.XLOOKUP($A$37,'Total Cost Per Service)'!$A4:$A34,'Total Cost Per Service)'!AU4:AU34),"")</f>
        <v/>
      </c>
      <c r="AV39" s="112" t="str">
        <f>IF(AV38&gt;"", _xlfn.XLOOKUP($A$37,'Total Cost Per Service)'!$A4:$A34,'Total Cost Per Service)'!AV4:AV34),"")</f>
        <v/>
      </c>
      <c r="AW39" s="112" t="str">
        <f>IF(AW38&gt;"", _xlfn.XLOOKUP($A$37,'Total Cost Per Service)'!$A4:$A34,'Total Cost Per Service)'!AW4:AW34),"")</f>
        <v/>
      </c>
      <c r="AX39" s="112" t="str">
        <f>IF(AX38&gt;"", _xlfn.XLOOKUP($A$37,'Total Cost Per Service)'!$A4:$A34,'Total Cost Per Service)'!AX4:AX34),"")</f>
        <v/>
      </c>
      <c r="AY39" s="112" t="str">
        <f>IF(AY38&gt;"", _xlfn.XLOOKUP($A$37,'Total Cost Per Service)'!$A4:$A34,'Total Cost Per Service)'!AY4:AY34),"")</f>
        <v/>
      </c>
      <c r="AZ39" s="112" t="str">
        <f>IF(AZ38&gt;"", _xlfn.XLOOKUP($A$37,'Total Cost Per Service)'!$A4:$A34,'Total Cost Per Service)'!AZ4:AZ34),"")</f>
        <v/>
      </c>
      <c r="BA39" s="112" t="str">
        <f>IF(BA38&gt;"", _xlfn.XLOOKUP($A$37,'Total Cost Per Service)'!$A4:$A34,'Total Cost Per Service)'!BA4:BA34),"")</f>
        <v/>
      </c>
      <c r="BB39" s="112" t="str">
        <f>IF(BB38&gt;"", _xlfn.XLOOKUP($A$37,'Total Cost Per Service)'!$A4:$A34,'Total Cost Per Service)'!BB4:BB34),"")</f>
        <v/>
      </c>
      <c r="BC39" s="112" t="str">
        <f>IF(BC38&gt;"", _xlfn.XLOOKUP($A$37,'Total Cost Per Service)'!$A4:$A34,'Total Cost Per Service)'!BC4:BC34),"")</f>
        <v/>
      </c>
      <c r="BD39" s="112" t="str">
        <f>IF(BD38&gt;"", _xlfn.XLOOKUP($A$37,'Total Cost Per Service)'!$A4:$A34,'Total Cost Per Service)'!BD4:BD34),"")</f>
        <v/>
      </c>
      <c r="BE39" s="112" t="str">
        <f>IF(BE38&gt;"", _xlfn.XLOOKUP($A$37,'Total Cost Per Service)'!$A4:$A34,'Total Cost Per Service)'!BE4:BE34),"")</f>
        <v/>
      </c>
      <c r="BF39" s="112" t="str">
        <f>IF(BF38&gt;"", _xlfn.XLOOKUP($A$37,'Total Cost Per Service)'!$A4:$A34,'Total Cost Per Service)'!BF4:BF34),"")</f>
        <v/>
      </c>
      <c r="BG39" s="112" t="str">
        <f>IF(BG38&gt;"", _xlfn.XLOOKUP($A$37,'Total Cost Per Service)'!$A4:$A34,'Total Cost Per Service)'!BG4:BG34),"")</f>
        <v/>
      </c>
      <c r="BH39" s="112" t="str">
        <f>IF(BH38&gt;"", _xlfn.XLOOKUP($A$37,'Total Cost Per Service)'!$A4:$A34,'Total Cost Per Service)'!BH4:BH34),"")</f>
        <v/>
      </c>
      <c r="BI39" s="112" t="str">
        <f>IF(BI38&gt;"", _xlfn.XLOOKUP($A$37,'Total Cost Per Service)'!$A4:$A34,'Total Cost Per Service)'!BI4:BI34),"")</f>
        <v/>
      </c>
      <c r="BJ39" s="112">
        <f>IF(BJ38&gt;"", _xlfn.XLOOKUP($A$37,'Total Cost Per Service)'!$A4:$A34,'Total Cost Per Service)'!BJ4:BJ34),"")</f>
        <v>30</v>
      </c>
      <c r="BK39" s="112" t="str">
        <f>IF(BK38&gt;"", _xlfn.XLOOKUP($A$37,'Total Cost Per Service)'!$A4:$A34,'Total Cost Per Service)'!BK4:BK34),"")</f>
        <v/>
      </c>
      <c r="BL39" s="112" t="str">
        <f>IF(BL38&gt;"", _xlfn.XLOOKUP($A$37,'Total Cost Per Service)'!$A4:$A34,'Total Cost Per Service)'!BL4:BL34),"")</f>
        <v/>
      </c>
      <c r="BM39" s="112" t="str">
        <f>IF(BM38&gt;"", _xlfn.XLOOKUP($A$37,'Total Cost Per Service)'!$A4:$A34,'Total Cost Per Service)'!BM4:BM34),"")</f>
        <v/>
      </c>
      <c r="BN39" s="112">
        <f>IF(BN38&gt;"", _xlfn.XLOOKUP($A$37,'Total Cost Per Service)'!$A4:$A34,'Total Cost Per Service)'!BN4:BN34),"")</f>
        <v>89.63</v>
      </c>
      <c r="BO39" s="112">
        <f>IF(BO38&gt;"", _xlfn.XLOOKUP($A$37,'Total Cost Per Service)'!$A4:$A34,'Total Cost Per Service)'!BO4:BO34),"")</f>
        <v>23.07</v>
      </c>
      <c r="BP39" s="112">
        <f>IF(BP38&gt;"", _xlfn.XLOOKUP($A$37,'Total Cost Per Service)'!$A4:$A34,'Total Cost Per Service)'!BP4:BP34),"")</f>
        <v>126</v>
      </c>
      <c r="BQ39" s="55"/>
    </row>
    <row r="40" spans="1:69" ht="16" x14ac:dyDescent="0.2">
      <c r="A40" s="113">
        <f>'Plan Summary'!C5</f>
        <v>300</v>
      </c>
      <c r="Q40" s="18" t="str">
        <f t="shared" ref="Q40" si="37">IF(Q37&lt;=$A40,Q37,"")</f>
        <v/>
      </c>
      <c r="R40" s="18" t="str">
        <f t="shared" ref="R40" si="38">IF(R37&lt;=$A40,R37,"")</f>
        <v/>
      </c>
      <c r="S40" s="18" t="str">
        <f t="shared" ref="S40" si="39">IF(S37&lt;=$A40,S37,"")</f>
        <v/>
      </c>
      <c r="T40" s="18" t="str">
        <f t="shared" ref="T40" si="40">IF(T37&lt;=$A40,T37,"")</f>
        <v/>
      </c>
      <c r="U40" s="18">
        <f t="shared" ref="U40:BN40" si="41">IF(U37&lt;=$A40,U37,"")</f>
        <v>200</v>
      </c>
      <c r="V40" s="18" t="str">
        <f t="shared" ref="V40:BM40" si="42">IF(V37&lt;=$A40,V37,"")</f>
        <v/>
      </c>
      <c r="W40" s="18" t="str">
        <f t="shared" si="42"/>
        <v/>
      </c>
      <c r="X40" s="18" t="str">
        <f t="shared" si="42"/>
        <v/>
      </c>
      <c r="Y40" s="18">
        <f t="shared" si="42"/>
        <v>200</v>
      </c>
      <c r="Z40" s="18" t="str">
        <f t="shared" si="42"/>
        <v/>
      </c>
      <c r="AA40" s="18" t="str">
        <f t="shared" si="42"/>
        <v/>
      </c>
      <c r="AB40" s="18" t="str">
        <f t="shared" si="42"/>
        <v/>
      </c>
      <c r="AC40" s="18">
        <f t="shared" si="42"/>
        <v>200</v>
      </c>
      <c r="AD40" s="18" t="str">
        <f t="shared" si="42"/>
        <v/>
      </c>
      <c r="AE40" s="18">
        <f t="shared" si="42"/>
        <v>200</v>
      </c>
      <c r="AF40" s="18" t="str">
        <f t="shared" si="42"/>
        <v/>
      </c>
      <c r="AG40" s="18" t="str">
        <f t="shared" si="42"/>
        <v/>
      </c>
      <c r="AH40" s="18" t="str">
        <f t="shared" si="42"/>
        <v/>
      </c>
      <c r="AI40" s="18">
        <f t="shared" si="42"/>
        <v>200</v>
      </c>
      <c r="AJ40" s="18" t="str">
        <f t="shared" si="42"/>
        <v/>
      </c>
      <c r="AK40" s="18" t="str">
        <f t="shared" si="42"/>
        <v/>
      </c>
      <c r="AL40" s="18" t="str">
        <f t="shared" si="42"/>
        <v/>
      </c>
      <c r="AM40" s="18" t="str">
        <f t="shared" si="42"/>
        <v/>
      </c>
      <c r="AN40" s="18" t="str">
        <f t="shared" si="42"/>
        <v/>
      </c>
      <c r="AO40" s="18" t="str">
        <f t="shared" si="42"/>
        <v/>
      </c>
      <c r="AP40" s="18" t="str">
        <f t="shared" si="42"/>
        <v/>
      </c>
      <c r="AQ40" s="18" t="str">
        <f t="shared" si="42"/>
        <v/>
      </c>
      <c r="AR40" s="18" t="str">
        <f t="shared" si="42"/>
        <v/>
      </c>
      <c r="AS40" s="18" t="str">
        <f t="shared" si="42"/>
        <v/>
      </c>
      <c r="AT40" s="18">
        <f t="shared" si="42"/>
        <v>200</v>
      </c>
      <c r="AU40" s="18" t="str">
        <f t="shared" si="42"/>
        <v/>
      </c>
      <c r="AV40" s="18" t="str">
        <f t="shared" si="42"/>
        <v/>
      </c>
      <c r="AW40" s="18" t="str">
        <f t="shared" si="42"/>
        <v/>
      </c>
      <c r="AX40" s="18" t="str">
        <f t="shared" si="42"/>
        <v/>
      </c>
      <c r="AY40" s="18" t="str">
        <f t="shared" si="42"/>
        <v/>
      </c>
      <c r="AZ40" s="18" t="str">
        <f t="shared" si="42"/>
        <v/>
      </c>
      <c r="BA40" s="18" t="str">
        <f t="shared" si="42"/>
        <v/>
      </c>
      <c r="BB40" s="18" t="str">
        <f t="shared" si="42"/>
        <v/>
      </c>
      <c r="BC40" s="18" t="str">
        <f t="shared" si="42"/>
        <v/>
      </c>
      <c r="BD40" s="18" t="str">
        <f t="shared" si="42"/>
        <v/>
      </c>
      <c r="BE40" s="18" t="str">
        <f t="shared" si="42"/>
        <v/>
      </c>
      <c r="BF40" s="18" t="str">
        <f t="shared" si="42"/>
        <v/>
      </c>
      <c r="BG40" s="18" t="str">
        <f t="shared" si="42"/>
        <v/>
      </c>
      <c r="BH40" s="18" t="str">
        <f t="shared" si="42"/>
        <v/>
      </c>
      <c r="BI40" s="18" t="str">
        <f t="shared" si="42"/>
        <v/>
      </c>
      <c r="BJ40" s="18">
        <f t="shared" si="42"/>
        <v>200</v>
      </c>
      <c r="BK40" s="18" t="str">
        <f t="shared" si="42"/>
        <v/>
      </c>
      <c r="BL40" s="18" t="str">
        <f t="shared" si="42"/>
        <v/>
      </c>
      <c r="BM40" s="18" t="str">
        <f t="shared" si="42"/>
        <v/>
      </c>
      <c r="BN40" s="18">
        <f t="shared" si="41"/>
        <v>1</v>
      </c>
      <c r="BO40" s="18">
        <f t="shared" ref="BO40:BP40" si="43">IF(BO37&lt;=$A40,BO37,"")</f>
        <v>1</v>
      </c>
      <c r="BP40" s="18">
        <f t="shared" si="43"/>
        <v>1</v>
      </c>
      <c r="BQ40" s="55"/>
    </row>
    <row r="41" spans="1:69" ht="16" x14ac:dyDescent="0.2">
      <c r="A41" s="1">
        <f>'Plan Summary'!C9/12</f>
        <v>5</v>
      </c>
      <c r="B41" s="1" t="str">
        <f>CONCATENATE(B37," hours ",B38)</f>
        <v>50 hours Perform Oil and Filter Change</v>
      </c>
      <c r="C41" s="1" t="str">
        <f t="shared" ref="C41:P41" si="44">+C38</f>
        <v/>
      </c>
      <c r="D41" s="1" t="str">
        <f t="shared" si="44"/>
        <v/>
      </c>
      <c r="E41" s="1" t="str">
        <f t="shared" si="44"/>
        <v/>
      </c>
      <c r="F41" s="1" t="str">
        <f t="shared" si="44"/>
        <v xml:space="preserve">Change HST Oil Filter </v>
      </c>
      <c r="G41" s="1" t="str">
        <f t="shared" si="44"/>
        <v/>
      </c>
      <c r="H41" s="1" t="str">
        <f t="shared" si="44"/>
        <v>Grease Machine at required lubrication fittings</v>
      </c>
      <c r="I41" s="1" t="str">
        <f t="shared" si="44"/>
        <v>Conduct Multi Point Inpection and make minor adjustments</v>
      </c>
      <c r="J41" s="1" t="str">
        <f t="shared" si="44"/>
        <v/>
      </c>
      <c r="K41" s="1" t="str">
        <f t="shared" si="44"/>
        <v/>
      </c>
      <c r="L41" s="1" t="str">
        <f t="shared" si="44"/>
        <v/>
      </c>
      <c r="M41" s="1" t="str">
        <f t="shared" si="44"/>
        <v/>
      </c>
      <c r="N41" s="1" t="str">
        <f t="shared" si="44"/>
        <v/>
      </c>
      <c r="O41" s="1" t="str">
        <f t="shared" si="44"/>
        <v/>
      </c>
      <c r="P41" s="1" t="str">
        <f t="shared" si="44"/>
        <v>Change Hydraulic suction return filter</v>
      </c>
      <c r="Q41" s="1" t="str">
        <f>IF(Q40&lt;&gt;"",CONCATENATE("AT INITIAL ", Q40," hours - ",Q38),"")</f>
        <v/>
      </c>
      <c r="R41" s="1" t="str">
        <f t="shared" ref="R41:T41" si="45">IF(R40&lt;&gt;"",CONCATENATE("AT INITIAL ", R40," hours - ",R38),"")</f>
        <v/>
      </c>
      <c r="S41" s="1" t="str">
        <f t="shared" si="45"/>
        <v/>
      </c>
      <c r="T41" s="1" t="str">
        <f t="shared" si="45"/>
        <v/>
      </c>
      <c r="U41" s="1" t="str">
        <f>IF(U40&lt;&gt;"",CONCATENATE("Every ", U40," hours - ",U38),"")</f>
        <v>Every 200 hours - Perform Oil and Filter Change</v>
      </c>
      <c r="V41" s="1" t="str">
        <f t="shared" ref="V41:BM41" si="46">IF(V40&lt;&gt;"",CONCATENATE("Every ", V40," hours - ",V38),"")</f>
        <v/>
      </c>
      <c r="W41" s="1" t="str">
        <f t="shared" si="46"/>
        <v/>
      </c>
      <c r="X41" s="1" t="str">
        <f t="shared" si="46"/>
        <v/>
      </c>
      <c r="Y41" s="1" t="str">
        <f t="shared" si="46"/>
        <v>Every 200 hours - Drain Water from Fuel Tank</v>
      </c>
      <c r="Z41" s="1" t="str">
        <f t="shared" si="46"/>
        <v/>
      </c>
      <c r="AA41" s="1" t="str">
        <f t="shared" si="46"/>
        <v/>
      </c>
      <c r="AB41" s="1" t="str">
        <f t="shared" si="46"/>
        <v/>
      </c>
      <c r="AC41" s="1" t="str">
        <f t="shared" si="46"/>
        <v>Every 200 hours - Replace Transmission Oil Filters</v>
      </c>
      <c r="AD41" s="1" t="str">
        <f t="shared" si="46"/>
        <v/>
      </c>
      <c r="AE41" s="1" t="str">
        <f t="shared" si="46"/>
        <v>Every 200 hours - Change Hydraulic Oil Filter</v>
      </c>
      <c r="AF41" s="1" t="str">
        <f t="shared" si="46"/>
        <v/>
      </c>
      <c r="AG41" s="1" t="str">
        <f t="shared" si="46"/>
        <v/>
      </c>
      <c r="AH41" s="1" t="str">
        <f t="shared" si="46"/>
        <v/>
      </c>
      <c r="AI41" s="1" t="str">
        <f t="shared" si="46"/>
        <v>Every 200 hours - Change Suction  Elements and Hydraulic Fluid</v>
      </c>
      <c r="AJ41" s="1" t="str">
        <f t="shared" si="46"/>
        <v/>
      </c>
      <c r="AK41" s="1" t="str">
        <f t="shared" si="46"/>
        <v/>
      </c>
      <c r="AL41" s="1" t="str">
        <f t="shared" si="46"/>
        <v/>
      </c>
      <c r="AM41" s="1" t="str">
        <f t="shared" si="46"/>
        <v/>
      </c>
      <c r="AN41" s="1" t="str">
        <f t="shared" si="46"/>
        <v/>
      </c>
      <c r="AO41" s="1" t="str">
        <f t="shared" si="46"/>
        <v/>
      </c>
      <c r="AP41" s="1" t="str">
        <f t="shared" si="46"/>
        <v/>
      </c>
      <c r="AQ41" s="1" t="str">
        <f t="shared" si="46"/>
        <v/>
      </c>
      <c r="AR41" s="1" t="str">
        <f t="shared" si="46"/>
        <v/>
      </c>
      <c r="AS41" s="1" t="str">
        <f t="shared" si="46"/>
        <v/>
      </c>
      <c r="AT41" s="1" t="str">
        <f t="shared" si="46"/>
        <v>Every 200 hours - Grease Machine at Assorted Lubrication Points</v>
      </c>
      <c r="AU41" s="1" t="str">
        <f t="shared" si="46"/>
        <v/>
      </c>
      <c r="AV41" s="1" t="str">
        <f t="shared" si="46"/>
        <v/>
      </c>
      <c r="AW41" s="1" t="str">
        <f t="shared" si="46"/>
        <v/>
      </c>
      <c r="AX41" s="1" t="str">
        <f t="shared" si="46"/>
        <v/>
      </c>
      <c r="AY41" s="1" t="str">
        <f t="shared" si="46"/>
        <v/>
      </c>
      <c r="AZ41" s="1" t="str">
        <f t="shared" si="46"/>
        <v/>
      </c>
      <c r="BA41" s="1" t="str">
        <f t="shared" si="46"/>
        <v/>
      </c>
      <c r="BB41" s="1" t="str">
        <f t="shared" si="46"/>
        <v/>
      </c>
      <c r="BC41" s="1" t="str">
        <f t="shared" si="46"/>
        <v/>
      </c>
      <c r="BD41" s="1" t="str">
        <f t="shared" si="46"/>
        <v/>
      </c>
      <c r="BE41" s="1" t="str">
        <f t="shared" si="46"/>
        <v/>
      </c>
      <c r="BF41" s="1" t="str">
        <f t="shared" si="46"/>
        <v/>
      </c>
      <c r="BG41" s="1" t="str">
        <f t="shared" si="46"/>
        <v/>
      </c>
      <c r="BH41" s="1" t="str">
        <f t="shared" si="46"/>
        <v/>
      </c>
      <c r="BI41" s="1" t="str">
        <f t="shared" si="46"/>
        <v/>
      </c>
      <c r="BJ41" s="1" t="str">
        <f t="shared" si="46"/>
        <v>Every 200 hours - Conduct Multi Point Inpection and Make Minor Adjustments</v>
      </c>
      <c r="BK41" s="1" t="str">
        <f t="shared" si="46"/>
        <v/>
      </c>
      <c r="BL41" s="1" t="str">
        <f t="shared" si="46"/>
        <v/>
      </c>
      <c r="BM41" s="1" t="str">
        <f t="shared" si="46"/>
        <v/>
      </c>
      <c r="BN41" s="1" t="str">
        <f>IF(BN40&lt;&gt;"",BN38,"")</f>
        <v>Perform Annual Oil and Filter Change</v>
      </c>
      <c r="BO41" s="1" t="str">
        <f>IF(BO40&lt;&gt;"",BO38,"")</f>
        <v>Annually Grease Machine at Assorted Lubrication Points</v>
      </c>
      <c r="BP41" s="1" t="str">
        <f>IF(BP40&lt;&gt;"",BP38,"")</f>
        <v>Conduct Annual Multi Point Inpection and Make Minor Adjustments</v>
      </c>
      <c r="BQ41" s="1" t="str">
        <f t="shared" ref="BQ41" si="47">IF(BQ40&lt;&gt;0,CONCATENATE("First Service ", BQ40," hours - ",BQ38),"")</f>
        <v/>
      </c>
    </row>
    <row r="42" spans="1:69" ht="16" x14ac:dyDescent="0.2">
      <c r="A42" s="1" t="str">
        <f>IF(A40/A41&lt;U36,"Annual","OK")</f>
        <v>Annual</v>
      </c>
      <c r="BQ42" s="55"/>
    </row>
    <row r="43" spans="1:69" ht="16" x14ac:dyDescent="0.2">
      <c r="B43" s="1" t="str">
        <f t="array" ref="B43:B57">TRANSPOSE(B41:P41)</f>
        <v>50 hours Perform Oil and Filter Change</v>
      </c>
      <c r="C43" s="13">
        <f t="array" ref="C43:C57">TRANSPOSE(B39:P39)</f>
        <v>89.63</v>
      </c>
      <c r="D43" s="17">
        <f t="array" ref="D43:D57">TRANSPOSE('Hours Per Job'!B68:P68)</f>
        <v>0.4</v>
      </c>
      <c r="F43" s="1" t="str">
        <f t="array" ref="F43:F94">TRANSPOSE(Q41:BP41)</f>
        <v/>
      </c>
      <c r="G43" s="18" t="str">
        <f t="array" ref="G43:G94">TRANSPOSE(Q40:BP40)</f>
        <v/>
      </c>
      <c r="H43" s="13" t="str">
        <f t="array" ref="H43:H94">TRANSPOSE(Q39:BP39)</f>
        <v/>
      </c>
      <c r="I43" s="1" t="str">
        <f>IF(G43="","",1)</f>
        <v/>
      </c>
      <c r="J43" s="17" t="str">
        <f t="shared" ref="J43:J94" si="48">IF(I43="","",K43)</f>
        <v/>
      </c>
      <c r="K43" s="17">
        <f t="array" ref="K43:K94">TRANSPOSE('Hours Per Job'!Q68:BP68)</f>
        <v>0</v>
      </c>
      <c r="BQ43" s="55"/>
    </row>
    <row r="44" spans="1:69" ht="16" x14ac:dyDescent="0.2">
      <c r="B44" s="1" t="str">
        <v/>
      </c>
      <c r="C44" s="13" t="str">
        <v/>
      </c>
      <c r="D44" s="1">
        <v>0</v>
      </c>
      <c r="F44" s="1" t="str">
        <v/>
      </c>
      <c r="G44" s="18" t="str">
        <v/>
      </c>
      <c r="H44" s="13" t="str">
        <v/>
      </c>
      <c r="I44" s="1" t="str">
        <f t="shared" ref="I44:I46" si="49">IF(G44="","",1)</f>
        <v/>
      </c>
      <c r="J44" s="17" t="str">
        <f t="shared" si="48"/>
        <v/>
      </c>
      <c r="K44" s="17">
        <v>0</v>
      </c>
      <c r="BQ44" s="55"/>
    </row>
    <row r="45" spans="1:69" ht="16" x14ac:dyDescent="0.2">
      <c r="B45" s="1" t="str">
        <v/>
      </c>
      <c r="C45" s="13" t="str">
        <v/>
      </c>
      <c r="D45" s="17">
        <v>0</v>
      </c>
      <c r="F45" s="1" t="str">
        <v/>
      </c>
      <c r="G45" s="18" t="str">
        <v/>
      </c>
      <c r="H45" s="13" t="str">
        <v/>
      </c>
      <c r="I45" s="1" t="str">
        <f t="shared" si="49"/>
        <v/>
      </c>
      <c r="J45" s="17" t="str">
        <f t="shared" si="48"/>
        <v/>
      </c>
      <c r="K45" s="17">
        <v>0</v>
      </c>
      <c r="BQ45" s="55"/>
    </row>
    <row r="46" spans="1:69" ht="16" x14ac:dyDescent="0.2">
      <c r="B46" s="1" t="str">
        <v/>
      </c>
      <c r="C46" s="13" t="str">
        <v/>
      </c>
      <c r="D46" s="1">
        <v>0</v>
      </c>
      <c r="F46" s="1" t="str">
        <v/>
      </c>
      <c r="G46" s="18" t="str">
        <v/>
      </c>
      <c r="H46" s="13" t="str">
        <v/>
      </c>
      <c r="I46" s="1" t="str">
        <f t="shared" si="49"/>
        <v/>
      </c>
      <c r="J46" s="17" t="str">
        <f t="shared" si="48"/>
        <v/>
      </c>
      <c r="K46" s="17">
        <v>0</v>
      </c>
      <c r="BQ46" s="55"/>
    </row>
    <row r="47" spans="1:69" ht="16" x14ac:dyDescent="0.2">
      <c r="B47" s="1" t="str">
        <v xml:space="preserve">Change HST Oil Filter </v>
      </c>
      <c r="C47" s="13">
        <v>148.69</v>
      </c>
      <c r="D47" s="17">
        <v>0.8</v>
      </c>
      <c r="F47" s="1" t="str">
        <v>Every 200 hours - Perform Oil and Filter Change</v>
      </c>
      <c r="G47" s="18">
        <v>200</v>
      </c>
      <c r="H47" s="13">
        <v>89.63</v>
      </c>
      <c r="I47" s="1">
        <f>IF(G47="","",ROUNDDOWN(A$40/G47,0))</f>
        <v>1</v>
      </c>
      <c r="J47" s="17">
        <f t="shared" si="48"/>
        <v>0.4</v>
      </c>
      <c r="K47" s="17">
        <v>0.4</v>
      </c>
      <c r="BQ47" s="55"/>
    </row>
    <row r="48" spans="1:69" ht="16" x14ac:dyDescent="0.2">
      <c r="B48" s="1" t="str">
        <v/>
      </c>
      <c r="C48" s="13" t="str">
        <v/>
      </c>
      <c r="D48" s="1">
        <v>0</v>
      </c>
      <c r="F48" s="1" t="str">
        <v/>
      </c>
      <c r="G48" s="1" t="str">
        <v/>
      </c>
      <c r="H48" s="13" t="str">
        <v/>
      </c>
      <c r="I48" s="1" t="str">
        <f t="shared" ref="I48:I91" si="50">IF(G48="","",ROUNDDOWN(A$40/G48,0))</f>
        <v/>
      </c>
      <c r="J48" s="17" t="str">
        <f t="shared" si="48"/>
        <v/>
      </c>
      <c r="K48" s="17">
        <v>0</v>
      </c>
      <c r="BQ48" s="55"/>
    </row>
    <row r="49" spans="2:69" ht="16" x14ac:dyDescent="0.2">
      <c r="B49" s="1" t="str">
        <v>Grease Machine at required lubrication fittings</v>
      </c>
      <c r="C49" s="13">
        <v>23.07</v>
      </c>
      <c r="D49" s="17">
        <v>0.1</v>
      </c>
      <c r="F49" s="1" t="str">
        <v/>
      </c>
      <c r="G49" s="18" t="str">
        <v/>
      </c>
      <c r="H49" s="13" t="str">
        <v/>
      </c>
      <c r="I49" s="1" t="str">
        <f t="shared" si="50"/>
        <v/>
      </c>
      <c r="J49" s="17" t="str">
        <f t="shared" si="48"/>
        <v/>
      </c>
      <c r="K49" s="17">
        <v>0</v>
      </c>
      <c r="BQ49" s="55"/>
    </row>
    <row r="50" spans="2:69" ht="16" x14ac:dyDescent="0.2">
      <c r="B50" s="1" t="str">
        <v>Conduct Multi Point Inpection and make minor adjustments</v>
      </c>
      <c r="C50" s="13">
        <v>30</v>
      </c>
      <c r="D50" s="17">
        <v>0.25</v>
      </c>
      <c r="F50" s="1" t="str">
        <v/>
      </c>
      <c r="G50" s="18" t="str">
        <v/>
      </c>
      <c r="H50" s="13" t="str">
        <v/>
      </c>
      <c r="I50" s="1" t="str">
        <f t="shared" si="50"/>
        <v/>
      </c>
      <c r="J50" s="17" t="str">
        <f t="shared" si="48"/>
        <v/>
      </c>
      <c r="K50" s="17">
        <v>0</v>
      </c>
      <c r="BQ50" s="55"/>
    </row>
    <row r="51" spans="2:69" ht="16" x14ac:dyDescent="0.2">
      <c r="B51" s="1" t="str">
        <v/>
      </c>
      <c r="C51" s="13" t="str">
        <v/>
      </c>
      <c r="D51" s="17">
        <v>0</v>
      </c>
      <c r="F51" s="1" t="str">
        <v>Every 200 hours - Drain Water from Fuel Tank</v>
      </c>
      <c r="G51" s="18">
        <v>200</v>
      </c>
      <c r="H51" s="13">
        <v>12</v>
      </c>
      <c r="I51" s="1">
        <f t="shared" si="50"/>
        <v>1</v>
      </c>
      <c r="J51" s="17">
        <f t="shared" si="48"/>
        <v>0.1</v>
      </c>
      <c r="K51" s="17">
        <v>0.1</v>
      </c>
      <c r="BQ51" s="55"/>
    </row>
    <row r="52" spans="2:69" ht="16" x14ac:dyDescent="0.2">
      <c r="B52" s="1" t="str">
        <v/>
      </c>
      <c r="C52" s="13" t="str">
        <v/>
      </c>
      <c r="D52" s="1">
        <v>0</v>
      </c>
      <c r="F52" s="1" t="str">
        <v/>
      </c>
      <c r="G52" s="18" t="str">
        <v/>
      </c>
      <c r="H52" s="13" t="str">
        <v/>
      </c>
      <c r="I52" s="1" t="str">
        <f t="shared" si="50"/>
        <v/>
      </c>
      <c r="J52" s="17" t="str">
        <f t="shared" si="48"/>
        <v/>
      </c>
      <c r="K52" s="17">
        <v>0.2</v>
      </c>
      <c r="BQ52" s="55"/>
    </row>
    <row r="53" spans="2:69" ht="16" x14ac:dyDescent="0.2">
      <c r="B53" s="1" t="str">
        <v/>
      </c>
      <c r="C53" s="13" t="str">
        <v/>
      </c>
      <c r="D53" s="1">
        <v>0</v>
      </c>
      <c r="F53" s="1" t="str">
        <v/>
      </c>
      <c r="G53" s="18" t="str">
        <v/>
      </c>
      <c r="H53" s="13" t="str">
        <v/>
      </c>
      <c r="I53" s="1" t="str">
        <f t="shared" si="50"/>
        <v/>
      </c>
      <c r="J53" s="17" t="str">
        <f t="shared" si="48"/>
        <v/>
      </c>
      <c r="K53" s="17">
        <v>0</v>
      </c>
      <c r="BQ53" s="55"/>
    </row>
    <row r="54" spans="2:69" ht="16" x14ac:dyDescent="0.2">
      <c r="B54" s="1" t="str">
        <v/>
      </c>
      <c r="C54" s="13" t="str">
        <v/>
      </c>
      <c r="D54" s="1">
        <v>0</v>
      </c>
      <c r="F54" s="1" t="str">
        <v/>
      </c>
      <c r="G54" s="1" t="str">
        <v/>
      </c>
      <c r="H54" s="13" t="str">
        <v/>
      </c>
      <c r="I54" s="1" t="str">
        <f t="shared" si="50"/>
        <v/>
      </c>
      <c r="J54" s="17" t="str">
        <f t="shared" si="48"/>
        <v/>
      </c>
      <c r="K54" s="17">
        <v>0.6</v>
      </c>
      <c r="BQ54" s="55"/>
    </row>
    <row r="55" spans="2:69" ht="16" x14ac:dyDescent="0.2">
      <c r="B55" s="1" t="str">
        <v/>
      </c>
      <c r="C55" s="13" t="str">
        <v/>
      </c>
      <c r="D55" s="1">
        <v>0</v>
      </c>
      <c r="F55" s="1" t="str">
        <v>Every 200 hours - Replace Transmission Oil Filters</v>
      </c>
      <c r="G55" s="18">
        <v>200</v>
      </c>
      <c r="H55" s="13">
        <v>51.07</v>
      </c>
      <c r="I55" s="1">
        <f t="shared" si="50"/>
        <v>1</v>
      </c>
      <c r="J55" s="17">
        <f t="shared" si="48"/>
        <v>0.2</v>
      </c>
      <c r="K55" s="17">
        <v>0.2</v>
      </c>
      <c r="BQ55" s="55"/>
    </row>
    <row r="56" spans="2:69" ht="16.5" customHeight="1" x14ac:dyDescent="0.2">
      <c r="B56" s="1" t="str">
        <v/>
      </c>
      <c r="C56" s="13" t="str">
        <v/>
      </c>
      <c r="D56" s="1">
        <v>0</v>
      </c>
      <c r="F56" s="1" t="str">
        <v/>
      </c>
      <c r="G56" s="18" t="str">
        <v/>
      </c>
      <c r="H56" s="13" t="str">
        <v/>
      </c>
      <c r="I56" s="1" t="str">
        <f t="shared" si="50"/>
        <v/>
      </c>
      <c r="J56" s="17" t="str">
        <f t="shared" si="48"/>
        <v/>
      </c>
      <c r="K56" s="17">
        <v>0</v>
      </c>
      <c r="BQ56" s="55"/>
    </row>
    <row r="57" spans="2:69" ht="16" x14ac:dyDescent="0.2">
      <c r="B57" s="1" t="str">
        <v>Change Hydraulic suction return filter</v>
      </c>
      <c r="C57" s="13">
        <v>59.92</v>
      </c>
      <c r="D57" s="1">
        <v>0.1</v>
      </c>
      <c r="F57" s="1" t="str">
        <v>Every 200 hours - Change Hydraulic Oil Filter</v>
      </c>
      <c r="G57" s="18">
        <v>200</v>
      </c>
      <c r="H57" s="13">
        <v>76.69</v>
      </c>
      <c r="I57" s="1">
        <f t="shared" si="50"/>
        <v>1</v>
      </c>
      <c r="J57" s="17">
        <f t="shared" si="48"/>
        <v>0.2</v>
      </c>
      <c r="K57" s="17">
        <v>0.2</v>
      </c>
      <c r="BQ57" s="55"/>
    </row>
    <row r="58" spans="2:69" ht="16" x14ac:dyDescent="0.2">
      <c r="F58" s="1" t="str">
        <v/>
      </c>
      <c r="G58" s="18" t="str">
        <v/>
      </c>
      <c r="H58" s="13" t="str">
        <v/>
      </c>
      <c r="I58" s="1" t="str">
        <f t="shared" si="50"/>
        <v/>
      </c>
      <c r="J58" s="17" t="str">
        <f t="shared" si="48"/>
        <v/>
      </c>
      <c r="K58" s="17">
        <v>0</v>
      </c>
      <c r="BQ58" s="55"/>
    </row>
    <row r="59" spans="2:69" ht="16" x14ac:dyDescent="0.2">
      <c r="F59" s="1" t="str">
        <v/>
      </c>
      <c r="G59" s="18" t="str">
        <v/>
      </c>
      <c r="H59" s="13" t="str">
        <v/>
      </c>
      <c r="I59" s="1" t="str">
        <f t="shared" si="50"/>
        <v/>
      </c>
      <c r="J59" s="17" t="str">
        <f t="shared" si="48"/>
        <v/>
      </c>
      <c r="K59" s="17">
        <v>0</v>
      </c>
      <c r="BQ59" s="55"/>
    </row>
    <row r="60" spans="2:69" ht="16" x14ac:dyDescent="0.2">
      <c r="F60" s="1" t="str">
        <v/>
      </c>
      <c r="G60" s="18" t="str">
        <v/>
      </c>
      <c r="H60" s="13" t="str">
        <v/>
      </c>
      <c r="I60" s="1" t="str">
        <f t="shared" si="50"/>
        <v/>
      </c>
      <c r="J60" s="17" t="str">
        <f t="shared" si="48"/>
        <v/>
      </c>
      <c r="K60" s="17">
        <v>0</v>
      </c>
      <c r="BQ60" s="55"/>
    </row>
    <row r="61" spans="2:69" ht="16" x14ac:dyDescent="0.2">
      <c r="F61" s="1" t="str">
        <v>Every 200 hours - Change Suction  Elements and Hydraulic Fluid</v>
      </c>
      <c r="G61" s="1">
        <v>200</v>
      </c>
      <c r="H61" s="13">
        <v>231.1</v>
      </c>
      <c r="I61" s="1">
        <f t="shared" si="50"/>
        <v>1</v>
      </c>
      <c r="J61" s="17">
        <f t="shared" si="48"/>
        <v>0.9</v>
      </c>
      <c r="K61" s="17">
        <v>0.9</v>
      </c>
      <c r="BQ61" s="55"/>
    </row>
    <row r="62" spans="2:69" ht="16" x14ac:dyDescent="0.2">
      <c r="F62" s="1" t="str">
        <v/>
      </c>
      <c r="G62" s="18" t="str">
        <v/>
      </c>
      <c r="H62" s="13" t="str">
        <v/>
      </c>
      <c r="I62" s="1" t="str">
        <f t="shared" si="50"/>
        <v/>
      </c>
      <c r="J62" s="17" t="str">
        <f t="shared" si="48"/>
        <v/>
      </c>
      <c r="K62" s="17">
        <v>0</v>
      </c>
      <c r="BQ62" s="55"/>
    </row>
    <row r="63" spans="2:69" ht="16" x14ac:dyDescent="0.2">
      <c r="F63" s="1" t="str">
        <v/>
      </c>
      <c r="G63" s="18" t="str">
        <v/>
      </c>
      <c r="H63" s="13" t="str">
        <v/>
      </c>
      <c r="I63" s="1" t="str">
        <f t="shared" si="50"/>
        <v/>
      </c>
      <c r="J63" s="17" t="str">
        <f t="shared" si="48"/>
        <v/>
      </c>
      <c r="K63" s="17">
        <v>0</v>
      </c>
      <c r="BQ63" s="55"/>
    </row>
    <row r="64" spans="2:69" ht="16" x14ac:dyDescent="0.2">
      <c r="F64" s="1" t="str">
        <v/>
      </c>
      <c r="G64" s="18" t="str">
        <v/>
      </c>
      <c r="H64" s="13" t="str">
        <v/>
      </c>
      <c r="I64" s="1" t="str">
        <f t="shared" si="50"/>
        <v/>
      </c>
      <c r="J64" s="17" t="str">
        <f t="shared" si="48"/>
        <v/>
      </c>
      <c r="K64" s="17">
        <v>0.5</v>
      </c>
      <c r="BQ64" s="55"/>
    </row>
    <row r="65" spans="6:69" ht="16" x14ac:dyDescent="0.2">
      <c r="F65" s="1" t="str">
        <v/>
      </c>
      <c r="G65" s="18" t="str">
        <v/>
      </c>
      <c r="H65" s="13" t="str">
        <v/>
      </c>
      <c r="I65" s="1" t="str">
        <f t="shared" si="50"/>
        <v/>
      </c>
      <c r="J65" s="17" t="str">
        <f t="shared" si="48"/>
        <v/>
      </c>
      <c r="K65" s="17">
        <v>0</v>
      </c>
      <c r="BQ65" s="55"/>
    </row>
    <row r="66" spans="6:69" ht="16" x14ac:dyDescent="0.2">
      <c r="F66" s="1" t="str">
        <v/>
      </c>
      <c r="G66" s="18" t="str">
        <v/>
      </c>
      <c r="H66" s="13" t="str">
        <v/>
      </c>
      <c r="I66" s="1" t="str">
        <f t="shared" si="50"/>
        <v/>
      </c>
      <c r="J66" s="17" t="str">
        <f t="shared" si="48"/>
        <v/>
      </c>
      <c r="K66" s="17">
        <v>0</v>
      </c>
      <c r="BQ66" s="55"/>
    </row>
    <row r="67" spans="6:69" ht="16" x14ac:dyDescent="0.2">
      <c r="F67" s="1" t="str">
        <v/>
      </c>
      <c r="G67" s="18" t="str">
        <v/>
      </c>
      <c r="H67" s="13" t="str">
        <v/>
      </c>
      <c r="I67" s="1" t="str">
        <f t="shared" si="50"/>
        <v/>
      </c>
      <c r="J67" s="17" t="str">
        <f t="shared" si="48"/>
        <v/>
      </c>
      <c r="K67" s="17">
        <v>0</v>
      </c>
      <c r="BQ67" s="55"/>
    </row>
    <row r="68" spans="6:69" ht="16" x14ac:dyDescent="0.2">
      <c r="F68" s="1" t="str">
        <v/>
      </c>
      <c r="G68" s="18" t="str">
        <v/>
      </c>
      <c r="H68" s="13" t="str">
        <v/>
      </c>
      <c r="I68" s="1" t="str">
        <f t="shared" si="50"/>
        <v/>
      </c>
      <c r="J68" s="17" t="str">
        <f t="shared" si="48"/>
        <v/>
      </c>
      <c r="K68" s="17">
        <v>0</v>
      </c>
      <c r="BQ68" s="55"/>
    </row>
    <row r="69" spans="6:69" ht="16" x14ac:dyDescent="0.2">
      <c r="F69" s="1" t="str">
        <v/>
      </c>
      <c r="G69" s="18" t="str">
        <v/>
      </c>
      <c r="H69" s="13" t="str">
        <v/>
      </c>
      <c r="I69" s="1" t="str">
        <f t="shared" si="50"/>
        <v/>
      </c>
      <c r="J69" s="17" t="str">
        <f t="shared" si="48"/>
        <v/>
      </c>
      <c r="K69" s="17">
        <v>0</v>
      </c>
      <c r="BQ69" s="55"/>
    </row>
    <row r="70" spans="6:69" ht="16" x14ac:dyDescent="0.2">
      <c r="F70" s="1" t="str">
        <v/>
      </c>
      <c r="G70" s="18" t="str">
        <v/>
      </c>
      <c r="H70" s="13" t="str">
        <v/>
      </c>
      <c r="I70" s="1" t="str">
        <f t="shared" si="50"/>
        <v/>
      </c>
      <c r="J70" s="17" t="str">
        <f t="shared" si="48"/>
        <v/>
      </c>
      <c r="K70" s="17">
        <v>0</v>
      </c>
      <c r="BQ70" s="55"/>
    </row>
    <row r="71" spans="6:69" ht="16" x14ac:dyDescent="0.2">
      <c r="F71" s="1" t="str">
        <v/>
      </c>
      <c r="G71" s="18" t="str">
        <v/>
      </c>
      <c r="H71" s="13" t="str">
        <v/>
      </c>
      <c r="I71" s="1" t="str">
        <f t="shared" si="50"/>
        <v/>
      </c>
      <c r="J71" s="17" t="str">
        <f t="shared" si="48"/>
        <v/>
      </c>
      <c r="K71" s="17">
        <v>0</v>
      </c>
      <c r="BQ71" s="55"/>
    </row>
    <row r="72" spans="6:69" ht="16" x14ac:dyDescent="0.2">
      <c r="F72" s="1" t="str">
        <v>Every 200 hours - Grease Machine at Assorted Lubrication Points</v>
      </c>
      <c r="G72" s="18">
        <v>200</v>
      </c>
      <c r="H72" s="13">
        <v>23.07</v>
      </c>
      <c r="I72" s="1">
        <f t="shared" si="50"/>
        <v>1</v>
      </c>
      <c r="J72" s="17">
        <f t="shared" si="48"/>
        <v>0.1</v>
      </c>
      <c r="K72" s="17">
        <v>0.1</v>
      </c>
      <c r="BQ72" s="55"/>
    </row>
    <row r="73" spans="6:69" ht="16" x14ac:dyDescent="0.2">
      <c r="F73" s="1" t="str">
        <v/>
      </c>
      <c r="G73" s="18" t="str">
        <v/>
      </c>
      <c r="H73" s="13" t="str">
        <v/>
      </c>
      <c r="I73" s="1" t="str">
        <f t="shared" si="50"/>
        <v/>
      </c>
      <c r="J73" s="17" t="str">
        <f t="shared" si="48"/>
        <v/>
      </c>
      <c r="K73" s="17">
        <v>0</v>
      </c>
      <c r="BQ73" s="55"/>
    </row>
    <row r="74" spans="6:69" ht="16" x14ac:dyDescent="0.2">
      <c r="F74" s="1" t="str">
        <v/>
      </c>
      <c r="G74" s="18" t="str">
        <v/>
      </c>
      <c r="H74" s="13" t="str">
        <v/>
      </c>
      <c r="I74" s="1" t="str">
        <f t="shared" si="50"/>
        <v/>
      </c>
      <c r="J74" s="17" t="str">
        <f t="shared" si="48"/>
        <v/>
      </c>
      <c r="K74" s="17">
        <v>0</v>
      </c>
      <c r="BQ74" s="55"/>
    </row>
    <row r="75" spans="6:69" ht="16" x14ac:dyDescent="0.2">
      <c r="F75" s="1" t="str">
        <v/>
      </c>
      <c r="G75" s="1" t="str">
        <v/>
      </c>
      <c r="H75" s="13" t="str">
        <v/>
      </c>
      <c r="I75" s="1" t="str">
        <f t="shared" si="50"/>
        <v/>
      </c>
      <c r="J75" s="17" t="str">
        <f t="shared" si="48"/>
        <v/>
      </c>
      <c r="K75" s="17">
        <v>1.5</v>
      </c>
      <c r="BQ75" s="55"/>
    </row>
    <row r="76" spans="6:69" ht="16" x14ac:dyDescent="0.2">
      <c r="F76" s="1" t="str">
        <v/>
      </c>
      <c r="G76" s="18" t="str">
        <v/>
      </c>
      <c r="H76" s="13" t="str">
        <v/>
      </c>
      <c r="I76" s="1" t="str">
        <f t="shared" si="50"/>
        <v/>
      </c>
      <c r="J76" s="17" t="str">
        <f t="shared" si="48"/>
        <v/>
      </c>
      <c r="K76" s="17">
        <v>0</v>
      </c>
      <c r="BQ76" s="55"/>
    </row>
    <row r="77" spans="6:69" ht="16" x14ac:dyDescent="0.2">
      <c r="F77" s="1" t="str">
        <v/>
      </c>
      <c r="G77" s="18" t="str">
        <v/>
      </c>
      <c r="H77" s="13" t="str">
        <v/>
      </c>
      <c r="I77" s="1" t="str">
        <f t="shared" si="50"/>
        <v/>
      </c>
      <c r="J77" s="17" t="str">
        <f t="shared" si="48"/>
        <v/>
      </c>
      <c r="K77" s="17">
        <v>0</v>
      </c>
      <c r="BQ77" s="55"/>
    </row>
    <row r="78" spans="6:69" ht="16" x14ac:dyDescent="0.2">
      <c r="F78" s="1" t="str">
        <v/>
      </c>
      <c r="G78" s="18" t="str">
        <v/>
      </c>
      <c r="H78" s="13" t="str">
        <v/>
      </c>
      <c r="I78" s="1" t="str">
        <f t="shared" si="50"/>
        <v/>
      </c>
      <c r="J78" s="17" t="str">
        <f t="shared" si="48"/>
        <v/>
      </c>
      <c r="K78" s="17">
        <v>0</v>
      </c>
      <c r="BQ78" s="55"/>
    </row>
    <row r="79" spans="6:69" ht="16" x14ac:dyDescent="0.2">
      <c r="F79" s="1" t="str">
        <v/>
      </c>
      <c r="G79" s="18" t="str">
        <v/>
      </c>
      <c r="H79" s="13" t="str">
        <v/>
      </c>
      <c r="I79" s="1" t="str">
        <f t="shared" si="50"/>
        <v/>
      </c>
      <c r="J79" s="17" t="str">
        <f t="shared" si="48"/>
        <v/>
      </c>
      <c r="K79" s="17">
        <v>0</v>
      </c>
      <c r="BQ79" s="55"/>
    </row>
    <row r="80" spans="6:69" ht="16" x14ac:dyDescent="0.2">
      <c r="F80" s="1" t="str">
        <v/>
      </c>
      <c r="G80" s="18" t="str">
        <v/>
      </c>
      <c r="H80" s="13" t="str">
        <v/>
      </c>
      <c r="I80" s="1" t="str">
        <f t="shared" si="50"/>
        <v/>
      </c>
      <c r="J80" s="17" t="str">
        <f t="shared" si="48"/>
        <v/>
      </c>
      <c r="K80" s="17">
        <v>0.1</v>
      </c>
      <c r="BQ80" s="55"/>
    </row>
    <row r="81" spans="6:69" ht="16" x14ac:dyDescent="0.2">
      <c r="F81" s="1" t="str">
        <v/>
      </c>
      <c r="G81" s="18" t="str">
        <v/>
      </c>
      <c r="H81" s="13" t="str">
        <v/>
      </c>
      <c r="I81" s="1" t="str">
        <f t="shared" si="50"/>
        <v/>
      </c>
      <c r="J81" s="17" t="str">
        <f t="shared" si="48"/>
        <v/>
      </c>
      <c r="K81" s="17">
        <v>0.1</v>
      </c>
      <c r="BQ81" s="55"/>
    </row>
    <row r="82" spans="6:69" ht="16" x14ac:dyDescent="0.2">
      <c r="F82" s="1" t="str">
        <v/>
      </c>
      <c r="G82" s="18" t="str">
        <v/>
      </c>
      <c r="H82" s="13" t="str">
        <v/>
      </c>
      <c r="I82" s="1" t="str">
        <f t="shared" si="50"/>
        <v/>
      </c>
      <c r="J82" s="17" t="str">
        <f t="shared" si="48"/>
        <v/>
      </c>
      <c r="K82" s="17">
        <v>0.4</v>
      </c>
      <c r="BQ82" s="55"/>
    </row>
    <row r="83" spans="6:69" ht="16" x14ac:dyDescent="0.2">
      <c r="F83" s="1" t="str">
        <v/>
      </c>
      <c r="G83" s="18" t="str">
        <v/>
      </c>
      <c r="H83" s="13" t="str">
        <v/>
      </c>
      <c r="I83" s="1" t="str">
        <f t="shared" si="50"/>
        <v/>
      </c>
      <c r="J83" s="17" t="str">
        <f t="shared" si="48"/>
        <v/>
      </c>
      <c r="K83" s="17">
        <v>0</v>
      </c>
      <c r="BQ83" s="55"/>
    </row>
    <row r="84" spans="6:69" ht="16" x14ac:dyDescent="0.2">
      <c r="F84" s="1" t="str">
        <v/>
      </c>
      <c r="G84" s="1" t="str">
        <v/>
      </c>
      <c r="H84" s="13" t="str">
        <v/>
      </c>
      <c r="I84" s="1" t="str">
        <f t="shared" si="50"/>
        <v/>
      </c>
      <c r="J84" s="17" t="str">
        <f t="shared" si="48"/>
        <v/>
      </c>
      <c r="K84" s="17">
        <v>0</v>
      </c>
      <c r="BQ84" s="55"/>
    </row>
    <row r="85" spans="6:69" ht="16" x14ac:dyDescent="0.2">
      <c r="F85" s="1" t="str">
        <v/>
      </c>
      <c r="G85" s="1" t="str">
        <v/>
      </c>
      <c r="H85" s="13" t="str">
        <v/>
      </c>
      <c r="I85" s="1" t="str">
        <f t="shared" si="50"/>
        <v/>
      </c>
      <c r="J85" s="17" t="str">
        <f t="shared" si="48"/>
        <v/>
      </c>
      <c r="K85" s="17">
        <v>0</v>
      </c>
      <c r="BQ85" s="55"/>
    </row>
    <row r="86" spans="6:69" ht="16" x14ac:dyDescent="0.2">
      <c r="F86" s="1" t="str">
        <v/>
      </c>
      <c r="G86" s="1" t="str">
        <v/>
      </c>
      <c r="H86" s="13" t="str">
        <v/>
      </c>
      <c r="I86" s="1" t="str">
        <f t="shared" si="50"/>
        <v/>
      </c>
      <c r="J86" s="17" t="str">
        <f t="shared" si="48"/>
        <v/>
      </c>
      <c r="K86" s="17">
        <v>0.5</v>
      </c>
      <c r="BQ86" s="55"/>
    </row>
    <row r="87" spans="6:69" ht="16" x14ac:dyDescent="0.2">
      <c r="F87" s="1" t="str">
        <v/>
      </c>
      <c r="G87" s="18" t="str">
        <v/>
      </c>
      <c r="H87" s="13" t="str">
        <v/>
      </c>
      <c r="I87" s="1" t="str">
        <f t="shared" si="50"/>
        <v/>
      </c>
      <c r="J87" s="17" t="str">
        <f t="shared" si="48"/>
        <v/>
      </c>
      <c r="K87" s="17">
        <v>0</v>
      </c>
      <c r="BQ87" s="55"/>
    </row>
    <row r="88" spans="6:69" ht="16" x14ac:dyDescent="0.2">
      <c r="F88" s="1" t="str">
        <v>Every 200 hours - Conduct Multi Point Inpection and Make Minor Adjustments</v>
      </c>
      <c r="G88" s="18">
        <v>200</v>
      </c>
      <c r="H88" s="13">
        <v>30</v>
      </c>
      <c r="I88" s="1">
        <f t="shared" si="50"/>
        <v>1</v>
      </c>
      <c r="J88" s="17">
        <f t="shared" si="48"/>
        <v>0.25</v>
      </c>
      <c r="K88" s="17">
        <v>0.25</v>
      </c>
      <c r="BQ88" s="55"/>
    </row>
    <row r="89" spans="6:69" ht="16" x14ac:dyDescent="0.2">
      <c r="F89" s="1" t="str">
        <v/>
      </c>
      <c r="G89" s="18" t="str">
        <v/>
      </c>
      <c r="H89" s="13" t="str">
        <v/>
      </c>
      <c r="I89" s="1" t="str">
        <f t="shared" si="50"/>
        <v/>
      </c>
      <c r="J89" s="17" t="str">
        <f t="shared" si="48"/>
        <v/>
      </c>
      <c r="K89" s="17">
        <v>0</v>
      </c>
      <c r="BQ89" s="55"/>
    </row>
    <row r="90" spans="6:69" ht="16" x14ac:dyDescent="0.2">
      <c r="F90" s="1" t="str">
        <v/>
      </c>
      <c r="G90" s="18" t="str">
        <v/>
      </c>
      <c r="H90" s="13" t="str">
        <v/>
      </c>
      <c r="I90" s="1" t="str">
        <f t="shared" si="50"/>
        <v/>
      </c>
      <c r="J90" s="17" t="str">
        <f t="shared" si="48"/>
        <v/>
      </c>
      <c r="K90" s="17">
        <v>0</v>
      </c>
      <c r="BQ90" s="55"/>
    </row>
    <row r="91" spans="6:69" ht="16" x14ac:dyDescent="0.2">
      <c r="F91" s="1" t="str">
        <v/>
      </c>
      <c r="G91" s="18" t="str">
        <v/>
      </c>
      <c r="H91" s="13" t="str">
        <v/>
      </c>
      <c r="I91" s="1" t="str">
        <f t="shared" si="50"/>
        <v/>
      </c>
      <c r="J91" s="17" t="str">
        <f t="shared" si="48"/>
        <v/>
      </c>
      <c r="K91" s="17">
        <v>0</v>
      </c>
      <c r="BQ91" s="55"/>
    </row>
    <row r="92" spans="6:69" ht="16" x14ac:dyDescent="0.2">
      <c r="F92" s="1" t="str">
        <v>Perform Annual Oil and Filter Change</v>
      </c>
      <c r="G92" s="18">
        <v>1</v>
      </c>
      <c r="H92" s="13">
        <v>89.63</v>
      </c>
      <c r="I92" s="1">
        <f t="shared" ref="I92:I94" si="51">IF(G92=1,A$41,"")</f>
        <v>5</v>
      </c>
      <c r="J92" s="17">
        <f t="shared" si="48"/>
        <v>0.4</v>
      </c>
      <c r="K92" s="17">
        <v>0.4</v>
      </c>
      <c r="BQ92" s="55"/>
    </row>
    <row r="93" spans="6:69" ht="16" x14ac:dyDescent="0.2">
      <c r="F93" s="1" t="str">
        <v>Annually Grease Machine at Assorted Lubrication Points</v>
      </c>
      <c r="G93" s="18">
        <v>1</v>
      </c>
      <c r="H93" s="13">
        <v>23.07</v>
      </c>
      <c r="I93" s="1">
        <f t="shared" si="51"/>
        <v>5</v>
      </c>
      <c r="J93" s="17">
        <f t="shared" si="48"/>
        <v>0.1</v>
      </c>
      <c r="K93" s="17">
        <v>0.1</v>
      </c>
      <c r="BQ93" s="55"/>
    </row>
    <row r="94" spans="6:69" ht="16" x14ac:dyDescent="0.2">
      <c r="F94" s="1" t="str">
        <v>Conduct Annual Multi Point Inpection and Make Minor Adjustments</v>
      </c>
      <c r="G94" s="18">
        <v>1</v>
      </c>
      <c r="H94" s="13">
        <v>126</v>
      </c>
      <c r="I94" s="1">
        <f t="shared" si="51"/>
        <v>5</v>
      </c>
      <c r="J94" s="17">
        <f t="shared" si="48"/>
        <v>1.05</v>
      </c>
      <c r="K94" s="17">
        <v>1.05</v>
      </c>
      <c r="BQ94" s="55"/>
    </row>
    <row r="95" spans="6:69" ht="16" x14ac:dyDescent="0.2">
      <c r="BQ95" s="55"/>
    </row>
    <row r="96" spans="6:69" ht="16" x14ac:dyDescent="0.2">
      <c r="BQ96" s="55"/>
    </row>
    <row r="97" spans="69:69" ht="16" x14ac:dyDescent="0.2">
      <c r="BQ97" s="55"/>
    </row>
    <row r="98" spans="69:69" ht="16" x14ac:dyDescent="0.2">
      <c r="BQ98" s="55"/>
    </row>
    <row r="99" spans="69:69" ht="16" x14ac:dyDescent="0.2">
      <c r="BQ99" s="55"/>
    </row>
    <row r="100" spans="69:69" ht="16" x14ac:dyDescent="0.2">
      <c r="BQ100" s="55"/>
    </row>
    <row r="101" spans="69:69" ht="16" x14ac:dyDescent="0.2">
      <c r="BQ101" s="55"/>
    </row>
    <row r="102" spans="69:69" ht="16" x14ac:dyDescent="0.2">
      <c r="BQ102" s="55"/>
    </row>
    <row r="103" spans="69:69" ht="16" x14ac:dyDescent="0.2">
      <c r="BQ103" s="55"/>
    </row>
    <row r="104" spans="69:69" ht="16" x14ac:dyDescent="0.2">
      <c r="BQ104" s="55"/>
    </row>
    <row r="105" spans="69:69" ht="16" x14ac:dyDescent="0.2">
      <c r="BQ105" s="55"/>
    </row>
    <row r="106" spans="69:69" ht="16" x14ac:dyDescent="0.2">
      <c r="BQ106" s="55"/>
    </row>
    <row r="107" spans="69:69" ht="16" x14ac:dyDescent="0.2">
      <c r="BQ107" s="55"/>
    </row>
    <row r="108" spans="69:69" ht="16" x14ac:dyDescent="0.2">
      <c r="BQ108" s="55"/>
    </row>
    <row r="109" spans="69:69" ht="16" x14ac:dyDescent="0.2">
      <c r="BQ109" s="55"/>
    </row>
    <row r="110" spans="69:69" ht="16" x14ac:dyDescent="0.2">
      <c r="BQ110" s="55"/>
    </row>
    <row r="111" spans="69:69" ht="16" x14ac:dyDescent="0.2">
      <c r="BQ111" s="55"/>
    </row>
    <row r="112" spans="69:69" ht="16" x14ac:dyDescent="0.2">
      <c r="BQ112" s="55"/>
    </row>
    <row r="113" spans="69:69" ht="16" x14ac:dyDescent="0.2">
      <c r="BQ113" s="55"/>
    </row>
    <row r="114" spans="69:69" ht="16" x14ac:dyDescent="0.2">
      <c r="BQ114" s="55"/>
    </row>
    <row r="115" spans="69:69" ht="16" x14ac:dyDescent="0.2">
      <c r="BQ115" s="55"/>
    </row>
    <row r="116" spans="69:69" ht="16" x14ac:dyDescent="0.2">
      <c r="BQ116" s="55"/>
    </row>
    <row r="117" spans="69:69" ht="16" x14ac:dyDescent="0.2">
      <c r="BQ117" s="55"/>
    </row>
    <row r="118" spans="69:69" ht="16" x14ac:dyDescent="0.2">
      <c r="BQ118" s="55"/>
    </row>
    <row r="119" spans="69:69" ht="16" x14ac:dyDescent="0.2">
      <c r="BQ119" s="55"/>
    </row>
    <row r="120" spans="69:69" ht="16" x14ac:dyDescent="0.2">
      <c r="BQ120" s="55"/>
    </row>
    <row r="121" spans="69:69" ht="16" x14ac:dyDescent="0.2">
      <c r="BQ121" s="55"/>
    </row>
    <row r="122" spans="69:69" ht="16" x14ac:dyDescent="0.2">
      <c r="BQ122" s="55"/>
    </row>
    <row r="123" spans="69:69" ht="16" x14ac:dyDescent="0.2">
      <c r="BQ123" s="55"/>
    </row>
    <row r="124" spans="69:69" ht="16" x14ac:dyDescent="0.2">
      <c r="BQ124" s="55"/>
    </row>
    <row r="125" spans="69:69" ht="16" x14ac:dyDescent="0.2">
      <c r="BQ125" s="55"/>
    </row>
    <row r="126" spans="69:69" ht="16" x14ac:dyDescent="0.2">
      <c r="BQ126" s="55"/>
    </row>
    <row r="127" spans="69:69" ht="16" x14ac:dyDescent="0.2">
      <c r="BQ127" s="55"/>
    </row>
    <row r="128" spans="69:69" ht="16" x14ac:dyDescent="0.2">
      <c r="BQ128" s="55"/>
    </row>
    <row r="129" spans="69:69" ht="16" x14ac:dyDescent="0.2">
      <c r="BQ129" s="55"/>
    </row>
    <row r="130" spans="69:69" ht="16" x14ac:dyDescent="0.2">
      <c r="BQ130" s="55"/>
    </row>
    <row r="131" spans="69:69" ht="16" x14ac:dyDescent="0.2">
      <c r="BQ131" s="55"/>
    </row>
    <row r="132" spans="69:69" ht="16" x14ac:dyDescent="0.2">
      <c r="BQ132" s="55"/>
    </row>
    <row r="133" spans="69:69" ht="16" x14ac:dyDescent="0.2">
      <c r="BQ133" s="55"/>
    </row>
    <row r="134" spans="69:69" ht="16" x14ac:dyDescent="0.2">
      <c r="BQ134" s="55"/>
    </row>
    <row r="135" spans="69:69" ht="16" x14ac:dyDescent="0.2">
      <c r="BQ135" s="55"/>
    </row>
    <row r="136" spans="69:69" ht="16" x14ac:dyDescent="0.2">
      <c r="BQ136" s="55"/>
    </row>
    <row r="137" spans="69:69" ht="16" x14ac:dyDescent="0.2">
      <c r="BQ137" s="55"/>
    </row>
    <row r="138" spans="69:69" ht="16" x14ac:dyDescent="0.2">
      <c r="BQ138" s="55"/>
    </row>
    <row r="139" spans="69:69" ht="16" x14ac:dyDescent="0.2">
      <c r="BQ139" s="55"/>
    </row>
    <row r="140" spans="69:69" ht="16" x14ac:dyDescent="0.2">
      <c r="BQ140" s="55"/>
    </row>
    <row r="141" spans="69:69" ht="16" x14ac:dyDescent="0.2">
      <c r="BQ141" s="55"/>
    </row>
    <row r="142" spans="69:69" ht="16" x14ac:dyDescent="0.2">
      <c r="BQ142" s="55"/>
    </row>
    <row r="143" spans="69:69" ht="16" x14ac:dyDescent="0.2">
      <c r="BQ143" s="55"/>
    </row>
    <row r="144" spans="69:69" ht="16" x14ac:dyDescent="0.2">
      <c r="BQ144" s="55"/>
    </row>
    <row r="145" spans="69:69" ht="16" x14ac:dyDescent="0.2">
      <c r="BQ145" s="55"/>
    </row>
    <row r="146" spans="69:69" ht="16" x14ac:dyDescent="0.2">
      <c r="BQ146" s="55"/>
    </row>
    <row r="147" spans="69:69" ht="16" x14ac:dyDescent="0.2">
      <c r="BQ147" s="55"/>
    </row>
    <row r="148" spans="69:69" ht="16" x14ac:dyDescent="0.2">
      <c r="BQ148" s="55"/>
    </row>
    <row r="149" spans="69:69" ht="16" x14ac:dyDescent="0.2">
      <c r="BQ149" s="55"/>
    </row>
    <row r="150" spans="69:69" ht="16" x14ac:dyDescent="0.2">
      <c r="BQ150" s="55"/>
    </row>
    <row r="151" spans="69:69" ht="16" x14ac:dyDescent="0.2">
      <c r="BQ151" s="55"/>
    </row>
    <row r="152" spans="69:69" ht="16" x14ac:dyDescent="0.2">
      <c r="BQ152" s="55"/>
    </row>
    <row r="153" spans="69:69" ht="16" x14ac:dyDescent="0.2">
      <c r="BQ153" s="55"/>
    </row>
    <row r="154" spans="69:69" ht="16" x14ac:dyDescent="0.2">
      <c r="BQ154" s="55"/>
    </row>
    <row r="155" spans="69:69" ht="16" x14ac:dyDescent="0.2">
      <c r="BQ155" s="55"/>
    </row>
    <row r="156" spans="69:69" ht="16" x14ac:dyDescent="0.2">
      <c r="BQ156" s="55"/>
    </row>
    <row r="157" spans="69:69" ht="16" x14ac:dyDescent="0.2">
      <c r="BQ157" s="55"/>
    </row>
    <row r="158" spans="69:69" ht="16" x14ac:dyDescent="0.2">
      <c r="BQ158" s="55"/>
    </row>
    <row r="159" spans="69:69" ht="16" x14ac:dyDescent="0.2">
      <c r="BQ159" s="55"/>
    </row>
    <row r="160" spans="69:69" ht="16" x14ac:dyDescent="0.2">
      <c r="BQ160" s="55"/>
    </row>
    <row r="161" spans="69:69" ht="16" x14ac:dyDescent="0.2">
      <c r="BQ161" s="55"/>
    </row>
    <row r="162" spans="69:69" ht="16" x14ac:dyDescent="0.2">
      <c r="BQ162" s="55"/>
    </row>
    <row r="163" spans="69:69" ht="16" x14ac:dyDescent="0.2">
      <c r="BQ163" s="55"/>
    </row>
    <row r="164" spans="69:69" ht="16" x14ac:dyDescent="0.2">
      <c r="BQ164" s="55"/>
    </row>
    <row r="165" spans="69:69" ht="16" x14ac:dyDescent="0.2">
      <c r="BQ165" s="55"/>
    </row>
    <row r="166" spans="69:69" ht="16" x14ac:dyDescent="0.2">
      <c r="BQ166" s="55"/>
    </row>
    <row r="167" spans="69:69" ht="16" x14ac:dyDescent="0.2">
      <c r="BQ167" s="55"/>
    </row>
    <row r="168" spans="69:69" ht="16" x14ac:dyDescent="0.2">
      <c r="BQ168" s="55"/>
    </row>
    <row r="169" spans="69:69" ht="16" x14ac:dyDescent="0.2">
      <c r="BQ169" s="55"/>
    </row>
    <row r="170" spans="69:69" ht="16" x14ac:dyDescent="0.2">
      <c r="BQ170" s="55"/>
    </row>
    <row r="171" spans="69:69" ht="16" x14ac:dyDescent="0.2">
      <c r="BQ171" s="55"/>
    </row>
    <row r="172" spans="69:69" ht="16" x14ac:dyDescent="0.2">
      <c r="BQ172" s="55"/>
    </row>
    <row r="173" spans="69:69" ht="16" x14ac:dyDescent="0.2">
      <c r="BQ173" s="55"/>
    </row>
    <row r="174" spans="69:69" ht="16" x14ac:dyDescent="0.2">
      <c r="BQ174" s="55"/>
    </row>
    <row r="175" spans="69:69" ht="16" x14ac:dyDescent="0.2">
      <c r="BQ175" s="55"/>
    </row>
    <row r="176" spans="69:69" ht="16" x14ac:dyDescent="0.2">
      <c r="BQ176" s="55"/>
    </row>
    <row r="177" spans="69:69" ht="16" x14ac:dyDescent="0.2">
      <c r="BQ177" s="55"/>
    </row>
    <row r="178" spans="69:69" ht="16" x14ac:dyDescent="0.2">
      <c r="BQ178" s="55"/>
    </row>
    <row r="179" spans="69:69" ht="16" x14ac:dyDescent="0.2">
      <c r="BQ179" s="55"/>
    </row>
    <row r="180" spans="69:69" ht="16" x14ac:dyDescent="0.2">
      <c r="BQ180" s="55"/>
    </row>
    <row r="181" spans="69:69" ht="16" x14ac:dyDescent="0.2">
      <c r="BQ181" s="55"/>
    </row>
    <row r="182" spans="69:69" ht="16" x14ac:dyDescent="0.2">
      <c r="BQ182" s="55"/>
    </row>
    <row r="183" spans="69:69" ht="16" x14ac:dyDescent="0.2">
      <c r="BQ183" s="55"/>
    </row>
    <row r="184" spans="69:69" ht="16" x14ac:dyDescent="0.2">
      <c r="BQ184" s="55"/>
    </row>
    <row r="185" spans="69:69" ht="16" x14ac:dyDescent="0.2">
      <c r="BQ185" s="55"/>
    </row>
    <row r="186" spans="69:69" ht="16" x14ac:dyDescent="0.2">
      <c r="BQ186" s="55"/>
    </row>
    <row r="187" spans="69:69" ht="16" x14ac:dyDescent="0.2">
      <c r="BQ187" s="55"/>
    </row>
    <row r="188" spans="69:69" ht="16" x14ac:dyDescent="0.2">
      <c r="BQ188" s="55"/>
    </row>
    <row r="189" spans="69:69" ht="16" x14ac:dyDescent="0.2">
      <c r="BQ189" s="55"/>
    </row>
    <row r="190" spans="69:69" ht="16" x14ac:dyDescent="0.2">
      <c r="BQ190" s="55"/>
    </row>
    <row r="191" spans="69:69" ht="16" x14ac:dyDescent="0.2">
      <c r="BQ191" s="55"/>
    </row>
    <row r="192" spans="69:69" ht="16" x14ac:dyDescent="0.2">
      <c r="BQ192" s="55"/>
    </row>
    <row r="193" spans="69:69" ht="16" x14ac:dyDescent="0.2">
      <c r="BQ193" s="55"/>
    </row>
    <row r="194" spans="69:69" ht="16" x14ac:dyDescent="0.2">
      <c r="BQ194" s="55"/>
    </row>
    <row r="195" spans="69:69" ht="16" x14ac:dyDescent="0.2">
      <c r="BQ195" s="55"/>
    </row>
    <row r="196" spans="69:69" ht="16" x14ac:dyDescent="0.2">
      <c r="BQ196" s="55"/>
    </row>
    <row r="197" spans="69:69" ht="16" x14ac:dyDescent="0.2">
      <c r="BQ197" s="55"/>
    </row>
    <row r="198" spans="69:69" ht="16" x14ac:dyDescent="0.2">
      <c r="BQ198" s="55"/>
    </row>
    <row r="199" spans="69:69" ht="16" x14ac:dyDescent="0.2">
      <c r="BQ199" s="55"/>
    </row>
    <row r="200" spans="69:69" ht="16" x14ac:dyDescent="0.2">
      <c r="BQ200" s="55"/>
    </row>
    <row r="201" spans="69:69" ht="16" x14ac:dyDescent="0.2">
      <c r="BQ201" s="55"/>
    </row>
    <row r="202" spans="69:69" ht="16" x14ac:dyDescent="0.2">
      <c r="BQ202" s="55"/>
    </row>
    <row r="203" spans="69:69" ht="16" x14ac:dyDescent="0.2">
      <c r="BQ203" s="55"/>
    </row>
    <row r="204" spans="69:69" ht="16" x14ac:dyDescent="0.2">
      <c r="BQ204" s="55"/>
    </row>
    <row r="205" spans="69:69" ht="16" x14ac:dyDescent="0.2">
      <c r="BQ205" s="55"/>
    </row>
    <row r="206" spans="69:69" ht="16" x14ac:dyDescent="0.2">
      <c r="BQ206" s="55"/>
    </row>
    <row r="207" spans="69:69" ht="16" x14ac:dyDescent="0.2">
      <c r="BQ207" s="55"/>
    </row>
    <row r="208" spans="69:69" ht="16" x14ac:dyDescent="0.2">
      <c r="BQ208" s="55"/>
    </row>
    <row r="209" spans="69:69" ht="16" x14ac:dyDescent="0.2">
      <c r="BQ209" s="55"/>
    </row>
    <row r="210" spans="69:69" ht="16" x14ac:dyDescent="0.2">
      <c r="BQ210" s="55"/>
    </row>
    <row r="211" spans="69:69" ht="16" x14ac:dyDescent="0.2">
      <c r="BQ211" s="55"/>
    </row>
    <row r="212" spans="69:69" ht="16" x14ac:dyDescent="0.2">
      <c r="BQ212" s="55"/>
    </row>
    <row r="213" spans="69:69" ht="16" x14ac:dyDescent="0.2">
      <c r="BQ213" s="55"/>
    </row>
    <row r="214" spans="69:69" ht="16" x14ac:dyDescent="0.2">
      <c r="BQ214" s="55"/>
    </row>
    <row r="215" spans="69:69" ht="16" x14ac:dyDescent="0.2">
      <c r="BQ215" s="55"/>
    </row>
    <row r="216" spans="69:69" ht="16" x14ac:dyDescent="0.2">
      <c r="BQ216" s="55"/>
    </row>
    <row r="217" spans="69:69" ht="16" x14ac:dyDescent="0.2">
      <c r="BQ217" s="55"/>
    </row>
    <row r="218" spans="69:69" ht="16" x14ac:dyDescent="0.2">
      <c r="BQ218" s="55"/>
    </row>
    <row r="219" spans="69:69" ht="16" x14ac:dyDescent="0.2">
      <c r="BQ219" s="55"/>
    </row>
    <row r="220" spans="69:69" ht="16" x14ac:dyDescent="0.2">
      <c r="BQ220" s="55"/>
    </row>
    <row r="221" spans="69:69" ht="16" x14ac:dyDescent="0.2">
      <c r="BQ221" s="55"/>
    </row>
    <row r="222" spans="69:69" ht="16" x14ac:dyDescent="0.2">
      <c r="BQ222" s="55"/>
    </row>
    <row r="223" spans="69:69" ht="16" x14ac:dyDescent="0.2">
      <c r="BQ223" s="55"/>
    </row>
    <row r="224" spans="69:69" ht="16" x14ac:dyDescent="0.2">
      <c r="BQ224" s="55"/>
    </row>
    <row r="225" spans="69:69" ht="16" x14ac:dyDescent="0.2">
      <c r="BQ225" s="55"/>
    </row>
    <row r="226" spans="69:69" ht="16" x14ac:dyDescent="0.2">
      <c r="BQ226" s="55"/>
    </row>
    <row r="227" spans="69:69" ht="16" x14ac:dyDescent="0.2">
      <c r="BQ227" s="55"/>
    </row>
    <row r="228" spans="69:69" ht="16" x14ac:dyDescent="0.2">
      <c r="BQ228" s="55"/>
    </row>
    <row r="229" spans="69:69" ht="16" x14ac:dyDescent="0.2">
      <c r="BQ229" s="55"/>
    </row>
    <row r="230" spans="69:69" ht="16" x14ac:dyDescent="0.2">
      <c r="BQ230" s="55"/>
    </row>
    <row r="231" spans="69:69" ht="16" x14ac:dyDescent="0.2">
      <c r="BQ231" s="55"/>
    </row>
    <row r="232" spans="69:69" ht="16" x14ac:dyDescent="0.2">
      <c r="BQ232" s="55"/>
    </row>
    <row r="233" spans="69:69" ht="16" x14ac:dyDescent="0.2">
      <c r="BQ233" s="55"/>
    </row>
    <row r="234" spans="69:69" ht="16" x14ac:dyDescent="0.2">
      <c r="BQ234" s="55"/>
    </row>
    <row r="235" spans="69:69" ht="16" x14ac:dyDescent="0.2">
      <c r="BQ235" s="55"/>
    </row>
    <row r="236" spans="69:69" ht="16" x14ac:dyDescent="0.2">
      <c r="BQ236" s="55"/>
    </row>
    <row r="237" spans="69:69" ht="16" x14ac:dyDescent="0.2">
      <c r="BQ237" s="55"/>
    </row>
    <row r="238" spans="69:69" ht="16" x14ac:dyDescent="0.2">
      <c r="BQ238" s="55"/>
    </row>
    <row r="239" spans="69:69" ht="16" x14ac:dyDescent="0.2">
      <c r="BQ239" s="55"/>
    </row>
    <row r="240" spans="69:69" ht="16" x14ac:dyDescent="0.2">
      <c r="BQ240" s="55"/>
    </row>
    <row r="241" spans="69:69" ht="16" x14ac:dyDescent="0.2">
      <c r="BQ241" s="55"/>
    </row>
    <row r="242" spans="69:69" ht="16" x14ac:dyDescent="0.2">
      <c r="BQ242" s="55"/>
    </row>
    <row r="243" spans="69:69" ht="16" x14ac:dyDescent="0.2">
      <c r="BQ243" s="55"/>
    </row>
    <row r="244" spans="69:69" ht="16" x14ac:dyDescent="0.2">
      <c r="BQ244" s="55"/>
    </row>
    <row r="245" spans="69:69" ht="16" x14ac:dyDescent="0.2">
      <c r="BQ245" s="55"/>
    </row>
    <row r="246" spans="69:69" ht="16" x14ac:dyDescent="0.2">
      <c r="BQ246" s="55"/>
    </row>
    <row r="247" spans="69:69" ht="16" x14ac:dyDescent="0.2">
      <c r="BQ247" s="55"/>
    </row>
    <row r="248" spans="69:69" ht="16" x14ac:dyDescent="0.2">
      <c r="BQ248" s="55"/>
    </row>
    <row r="249" spans="69:69" ht="16" x14ac:dyDescent="0.2">
      <c r="BQ249" s="55"/>
    </row>
    <row r="250" spans="69:69" ht="16" x14ac:dyDescent="0.2">
      <c r="BQ250" s="55"/>
    </row>
    <row r="251" spans="69:69" ht="16" x14ac:dyDescent="0.2">
      <c r="BQ251" s="55"/>
    </row>
    <row r="252" spans="69:69" ht="16" x14ac:dyDescent="0.2">
      <c r="BQ252" s="55"/>
    </row>
    <row r="253" spans="69:69" ht="16" x14ac:dyDescent="0.2">
      <c r="BQ253" s="55"/>
    </row>
    <row r="254" spans="69:69" ht="16" x14ac:dyDescent="0.2">
      <c r="BQ254" s="55"/>
    </row>
    <row r="255" spans="69:69" ht="16" x14ac:dyDescent="0.2">
      <c r="BQ255" s="55"/>
    </row>
    <row r="256" spans="69:69" ht="16" x14ac:dyDescent="0.2">
      <c r="BQ256" s="55"/>
    </row>
    <row r="257" spans="69:69" ht="16" x14ac:dyDescent="0.2">
      <c r="BQ257" s="55"/>
    </row>
    <row r="258" spans="69:69" ht="16" x14ac:dyDescent="0.2">
      <c r="BQ258" s="55"/>
    </row>
    <row r="259" spans="69:69" ht="16" x14ac:dyDescent="0.2">
      <c r="BQ259" s="55"/>
    </row>
    <row r="260" spans="69:69" ht="16" x14ac:dyDescent="0.2">
      <c r="BQ260" s="55"/>
    </row>
    <row r="261" spans="69:69" ht="16" x14ac:dyDescent="0.2">
      <c r="BQ261" s="55"/>
    </row>
    <row r="262" spans="69:69" ht="16" x14ac:dyDescent="0.2">
      <c r="BQ262" s="55"/>
    </row>
    <row r="263" spans="69:69" ht="16" x14ac:dyDescent="0.2">
      <c r="BQ263" s="55"/>
    </row>
    <row r="264" spans="69:69" ht="16" x14ac:dyDescent="0.2">
      <c r="BQ264" s="55"/>
    </row>
    <row r="265" spans="69:69" ht="16" x14ac:dyDescent="0.2">
      <c r="BQ265" s="55"/>
    </row>
    <row r="266" spans="69:69" ht="16" x14ac:dyDescent="0.2">
      <c r="BQ266" s="55"/>
    </row>
    <row r="267" spans="69:69" ht="16" x14ac:dyDescent="0.2">
      <c r="BQ267" s="55"/>
    </row>
    <row r="268" spans="69:69" ht="16" x14ac:dyDescent="0.2">
      <c r="BQ268" s="55"/>
    </row>
    <row r="269" spans="69:69" ht="16" x14ac:dyDescent="0.2">
      <c r="BQ269" s="55"/>
    </row>
    <row r="270" spans="69:69" ht="16" x14ac:dyDescent="0.2">
      <c r="BQ270" s="55"/>
    </row>
    <row r="271" spans="69:69" ht="16" x14ac:dyDescent="0.2">
      <c r="BQ271" s="55"/>
    </row>
    <row r="272" spans="69:69" ht="16" x14ac:dyDescent="0.2">
      <c r="BQ272" s="55"/>
    </row>
    <row r="273" spans="69:69" ht="16" x14ac:dyDescent="0.2">
      <c r="BQ273" s="55"/>
    </row>
    <row r="274" spans="69:69" ht="16" x14ac:dyDescent="0.2">
      <c r="BQ274" s="55"/>
    </row>
    <row r="275" spans="69:69" ht="16" x14ac:dyDescent="0.2">
      <c r="BQ275" s="55"/>
    </row>
    <row r="276" spans="69:69" ht="16" x14ac:dyDescent="0.2">
      <c r="BQ276" s="55"/>
    </row>
    <row r="277" spans="69:69" ht="16" x14ac:dyDescent="0.2">
      <c r="BQ277" s="55"/>
    </row>
    <row r="278" spans="69:69" ht="16" x14ac:dyDescent="0.2">
      <c r="BQ278" s="55"/>
    </row>
    <row r="279" spans="69:69" ht="16" x14ac:dyDescent="0.2">
      <c r="BQ279" s="55"/>
    </row>
    <row r="280" spans="69:69" ht="16" x14ac:dyDescent="0.2">
      <c r="BQ280" s="55"/>
    </row>
    <row r="281" spans="69:69" ht="16" x14ac:dyDescent="0.2">
      <c r="BQ281" s="55"/>
    </row>
    <row r="282" spans="69:69" ht="16" x14ac:dyDescent="0.2">
      <c r="BQ282" s="55"/>
    </row>
    <row r="283" spans="69:69" ht="16" x14ac:dyDescent="0.2">
      <c r="BQ283" s="55"/>
    </row>
    <row r="284" spans="69:69" ht="16" x14ac:dyDescent="0.2">
      <c r="BQ284" s="55"/>
    </row>
    <row r="285" spans="69:69" ht="16" x14ac:dyDescent="0.2">
      <c r="BQ285" s="55"/>
    </row>
    <row r="286" spans="69:69" ht="16" x14ac:dyDescent="0.2">
      <c r="BQ286" s="55"/>
    </row>
    <row r="287" spans="69:69" ht="16" x14ac:dyDescent="0.2">
      <c r="BQ287" s="55"/>
    </row>
    <row r="288" spans="69:69" ht="16" x14ac:dyDescent="0.2">
      <c r="BQ288" s="55"/>
    </row>
    <row r="289" spans="69:69" ht="16" x14ac:dyDescent="0.2">
      <c r="BQ289" s="55"/>
    </row>
    <row r="290" spans="69:69" ht="16" x14ac:dyDescent="0.2">
      <c r="BQ290" s="55"/>
    </row>
    <row r="291" spans="69:69" ht="16" x14ac:dyDescent="0.2">
      <c r="BQ291" s="55"/>
    </row>
    <row r="292" spans="69:69" ht="16" x14ac:dyDescent="0.2">
      <c r="BQ292" s="55"/>
    </row>
    <row r="293" spans="69:69" ht="16" x14ac:dyDescent="0.2">
      <c r="BQ293" s="55"/>
    </row>
    <row r="294" spans="69:69" ht="16" x14ac:dyDescent="0.2">
      <c r="BQ294" s="55"/>
    </row>
    <row r="295" spans="69:69" ht="16" x14ac:dyDescent="0.2">
      <c r="BQ295" s="55"/>
    </row>
    <row r="296" spans="69:69" ht="16" x14ac:dyDescent="0.2">
      <c r="BQ296" s="55"/>
    </row>
    <row r="297" spans="69:69" ht="16" x14ac:dyDescent="0.2">
      <c r="BQ297" s="55"/>
    </row>
    <row r="298" spans="69:69" ht="16" x14ac:dyDescent="0.2">
      <c r="BQ298" s="55"/>
    </row>
    <row r="299" spans="69:69" ht="16" x14ac:dyDescent="0.2">
      <c r="BQ299" s="55"/>
    </row>
    <row r="300" spans="69:69" ht="16" x14ac:dyDescent="0.2">
      <c r="BQ300" s="55"/>
    </row>
    <row r="301" spans="69:69" ht="16" x14ac:dyDescent="0.2">
      <c r="BQ301" s="55"/>
    </row>
    <row r="302" spans="69:69" ht="16" x14ac:dyDescent="0.2">
      <c r="BQ302" s="55"/>
    </row>
    <row r="303" spans="69:69" ht="16" x14ac:dyDescent="0.2">
      <c r="BQ303" s="55"/>
    </row>
    <row r="304" spans="69:69" ht="16" x14ac:dyDescent="0.2">
      <c r="BQ304" s="55"/>
    </row>
    <row r="305" spans="69:69" ht="16" x14ac:dyDescent="0.2">
      <c r="BQ305" s="55"/>
    </row>
    <row r="306" spans="69:69" ht="16" x14ac:dyDescent="0.2">
      <c r="BQ306" s="55"/>
    </row>
    <row r="307" spans="69:69" ht="16" x14ac:dyDescent="0.2">
      <c r="BQ307" s="55"/>
    </row>
    <row r="308" spans="69:69" ht="16" x14ac:dyDescent="0.2">
      <c r="BQ308" s="55"/>
    </row>
    <row r="309" spans="69:69" ht="16" x14ac:dyDescent="0.2">
      <c r="BQ309" s="55"/>
    </row>
    <row r="310" spans="69:69" ht="16" x14ac:dyDescent="0.2">
      <c r="BQ310" s="55"/>
    </row>
    <row r="311" spans="69:69" ht="16" x14ac:dyDescent="0.2">
      <c r="BQ311" s="55"/>
    </row>
    <row r="312" spans="69:69" ht="16" x14ac:dyDescent="0.2">
      <c r="BQ312" s="55"/>
    </row>
    <row r="313" spans="69:69" ht="16" x14ac:dyDescent="0.2">
      <c r="BQ313" s="55"/>
    </row>
    <row r="314" spans="69:69" ht="16" x14ac:dyDescent="0.2">
      <c r="BQ314" s="55"/>
    </row>
    <row r="315" spans="69:69" ht="16" x14ac:dyDescent="0.2">
      <c r="BQ315" s="55"/>
    </row>
    <row r="316" spans="69:69" ht="16" x14ac:dyDescent="0.2">
      <c r="BQ316" s="55"/>
    </row>
    <row r="317" spans="69:69" ht="16" x14ac:dyDescent="0.2">
      <c r="BQ317" s="55"/>
    </row>
    <row r="318" spans="69:69" ht="16" x14ac:dyDescent="0.2">
      <c r="BQ318" s="55"/>
    </row>
    <row r="319" spans="69:69" ht="16" x14ac:dyDescent="0.2">
      <c r="BQ319" s="55"/>
    </row>
    <row r="320" spans="69:69" ht="16" x14ac:dyDescent="0.2">
      <c r="BQ320" s="55"/>
    </row>
    <row r="321" spans="69:69" ht="16" x14ac:dyDescent="0.2">
      <c r="BQ321" s="55"/>
    </row>
    <row r="322" spans="69:69" ht="16" x14ac:dyDescent="0.2">
      <c r="BQ322" s="55"/>
    </row>
    <row r="323" spans="69:69" ht="16" x14ac:dyDescent="0.2">
      <c r="BQ323" s="55"/>
    </row>
    <row r="324" spans="69:69" ht="16" x14ac:dyDescent="0.2">
      <c r="BQ324" s="55"/>
    </row>
    <row r="325" spans="69:69" ht="16" x14ac:dyDescent="0.2">
      <c r="BQ325" s="55"/>
    </row>
    <row r="326" spans="69:69" ht="16" x14ac:dyDescent="0.2">
      <c r="BQ326" s="55"/>
    </row>
    <row r="327" spans="69:69" ht="16" x14ac:dyDescent="0.2">
      <c r="BQ327" s="55"/>
    </row>
    <row r="328" spans="69:69" ht="16" x14ac:dyDescent="0.2">
      <c r="BQ328" s="55"/>
    </row>
    <row r="329" spans="69:69" ht="16" x14ac:dyDescent="0.2">
      <c r="BQ329" s="55"/>
    </row>
    <row r="330" spans="69:69" ht="16" x14ac:dyDescent="0.2">
      <c r="BQ330" s="55"/>
    </row>
    <row r="331" spans="69:69" ht="16" x14ac:dyDescent="0.2">
      <c r="BQ331" s="55"/>
    </row>
    <row r="332" spans="69:69" ht="16" x14ac:dyDescent="0.2">
      <c r="BQ332" s="55"/>
    </row>
    <row r="333" spans="69:69" ht="16" x14ac:dyDescent="0.2">
      <c r="BQ333" s="55"/>
    </row>
    <row r="334" spans="69:69" ht="16" x14ac:dyDescent="0.2">
      <c r="BQ334" s="55"/>
    </row>
    <row r="335" spans="69:69" ht="16" x14ac:dyDescent="0.2">
      <c r="BQ335" s="55"/>
    </row>
    <row r="336" spans="69:69" ht="16" x14ac:dyDescent="0.2">
      <c r="BQ336" s="55"/>
    </row>
    <row r="337" spans="69:69" ht="16" x14ac:dyDescent="0.2">
      <c r="BQ337" s="55"/>
    </row>
    <row r="338" spans="69:69" ht="16" x14ac:dyDescent="0.2">
      <c r="BQ338" s="55"/>
    </row>
    <row r="339" spans="69:69" ht="16" x14ac:dyDescent="0.2">
      <c r="BQ339" s="55"/>
    </row>
    <row r="340" spans="69:69" ht="16" x14ac:dyDescent="0.2">
      <c r="BQ340" s="55"/>
    </row>
    <row r="341" spans="69:69" ht="16" x14ac:dyDescent="0.2">
      <c r="BQ341" s="55"/>
    </row>
    <row r="342" spans="69:69" ht="16" x14ac:dyDescent="0.2">
      <c r="BQ342" s="55"/>
    </row>
    <row r="343" spans="69:69" ht="16" x14ac:dyDescent="0.2">
      <c r="BQ343" s="55"/>
    </row>
    <row r="344" spans="69:69" ht="16" x14ac:dyDescent="0.2">
      <c r="BQ344" s="55"/>
    </row>
    <row r="345" spans="69:69" ht="16" x14ac:dyDescent="0.2">
      <c r="BQ345" s="55"/>
    </row>
    <row r="346" spans="69:69" ht="16" x14ac:dyDescent="0.2">
      <c r="BQ346" s="55"/>
    </row>
    <row r="347" spans="69:69" ht="16" x14ac:dyDescent="0.2">
      <c r="BQ347" s="55"/>
    </row>
    <row r="348" spans="69:69" ht="16" x14ac:dyDescent="0.2">
      <c r="BQ348" s="55"/>
    </row>
    <row r="349" spans="69:69" ht="16" x14ac:dyDescent="0.2">
      <c r="BQ349" s="55"/>
    </row>
    <row r="350" spans="69:69" ht="16" x14ac:dyDescent="0.2">
      <c r="BQ350" s="55"/>
    </row>
    <row r="351" spans="69:69" ht="16" x14ac:dyDescent="0.2">
      <c r="BQ351" s="55"/>
    </row>
    <row r="352" spans="69:69" ht="16" x14ac:dyDescent="0.2">
      <c r="BQ352" s="55"/>
    </row>
    <row r="353" spans="69:69" ht="16" x14ac:dyDescent="0.2">
      <c r="BQ353" s="55"/>
    </row>
    <row r="354" spans="69:69" ht="16" x14ac:dyDescent="0.2">
      <c r="BQ354" s="55"/>
    </row>
    <row r="355" spans="69:69" ht="16" x14ac:dyDescent="0.2">
      <c r="BQ355" s="55"/>
    </row>
    <row r="356" spans="69:69" ht="16" x14ac:dyDescent="0.2">
      <c r="BQ356" s="55"/>
    </row>
    <row r="357" spans="69:69" ht="16" x14ac:dyDescent="0.2">
      <c r="BQ357" s="55"/>
    </row>
    <row r="358" spans="69:69" ht="16" x14ac:dyDescent="0.2">
      <c r="BQ358" s="55"/>
    </row>
    <row r="359" spans="69:69" ht="16" x14ac:dyDescent="0.2">
      <c r="BQ359" s="55"/>
    </row>
    <row r="360" spans="69:69" ht="16" x14ac:dyDescent="0.2">
      <c r="BQ360" s="55"/>
    </row>
    <row r="361" spans="69:69" ht="16" x14ac:dyDescent="0.2">
      <c r="BQ361" s="55"/>
    </row>
    <row r="362" spans="69:69" ht="16" x14ac:dyDescent="0.2">
      <c r="BQ362" s="55"/>
    </row>
    <row r="363" spans="69:69" ht="16" x14ac:dyDescent="0.2">
      <c r="BQ363" s="55"/>
    </row>
    <row r="364" spans="69:69" ht="16" x14ac:dyDescent="0.2">
      <c r="BQ364" s="55"/>
    </row>
    <row r="365" spans="69:69" ht="16" x14ac:dyDescent="0.2">
      <c r="BQ365" s="55"/>
    </row>
    <row r="366" spans="69:69" ht="16" x14ac:dyDescent="0.2">
      <c r="BQ366" s="55"/>
    </row>
    <row r="367" spans="69:69" ht="16" x14ac:dyDescent="0.2">
      <c r="BQ367" s="55"/>
    </row>
    <row r="368" spans="69:69" ht="16" x14ac:dyDescent="0.2">
      <c r="BQ368" s="55"/>
    </row>
    <row r="369" spans="69:69" ht="16" x14ac:dyDescent="0.2">
      <c r="BQ369" s="55"/>
    </row>
    <row r="370" spans="69:69" ht="16" x14ac:dyDescent="0.2">
      <c r="BQ370" s="55"/>
    </row>
    <row r="371" spans="69:69" ht="16" x14ac:dyDescent="0.2">
      <c r="BQ371" s="55"/>
    </row>
    <row r="372" spans="69:69" ht="16" x14ac:dyDescent="0.2">
      <c r="BQ372" s="55"/>
    </row>
    <row r="373" spans="69:69" ht="16" x14ac:dyDescent="0.2">
      <c r="BQ373" s="55"/>
    </row>
    <row r="374" spans="69:69" ht="16" x14ac:dyDescent="0.2">
      <c r="BQ374" s="55"/>
    </row>
    <row r="375" spans="69:69" ht="16" x14ac:dyDescent="0.2">
      <c r="BQ375" s="55"/>
    </row>
    <row r="376" spans="69:69" ht="16" x14ac:dyDescent="0.2">
      <c r="BQ376" s="55"/>
    </row>
    <row r="377" spans="69:69" ht="16" x14ac:dyDescent="0.2">
      <c r="BQ377" s="55"/>
    </row>
    <row r="378" spans="69:69" ht="16" x14ac:dyDescent="0.2">
      <c r="BQ378" s="55"/>
    </row>
    <row r="379" spans="69:69" ht="16" x14ac:dyDescent="0.2">
      <c r="BQ379" s="55"/>
    </row>
    <row r="380" spans="69:69" ht="16" x14ac:dyDescent="0.2">
      <c r="BQ380" s="55"/>
    </row>
    <row r="381" spans="69:69" ht="16" x14ac:dyDescent="0.2">
      <c r="BQ381" s="55"/>
    </row>
    <row r="382" spans="69:69" ht="16" x14ac:dyDescent="0.2">
      <c r="BQ382" s="55"/>
    </row>
    <row r="383" spans="69:69" ht="16" x14ac:dyDescent="0.2">
      <c r="BQ383" s="55"/>
    </row>
    <row r="384" spans="69:69" ht="16" x14ac:dyDescent="0.2">
      <c r="BQ384" s="55"/>
    </row>
    <row r="385" spans="69:69" ht="16" x14ac:dyDescent="0.2">
      <c r="BQ385" s="55"/>
    </row>
    <row r="386" spans="69:69" ht="16" x14ac:dyDescent="0.2">
      <c r="BQ386" s="55"/>
    </row>
    <row r="387" spans="69:69" ht="16" x14ac:dyDescent="0.2">
      <c r="BQ387" s="55"/>
    </row>
    <row r="388" spans="69:69" ht="16" x14ac:dyDescent="0.2">
      <c r="BQ388" s="55"/>
    </row>
    <row r="389" spans="69:69" ht="16" x14ac:dyDescent="0.2">
      <c r="BQ389" s="55"/>
    </row>
    <row r="390" spans="69:69" ht="16" x14ac:dyDescent="0.2">
      <c r="BQ390" s="55"/>
    </row>
    <row r="391" spans="69:69" ht="16" x14ac:dyDescent="0.2">
      <c r="BQ391" s="55"/>
    </row>
    <row r="392" spans="69:69" ht="16" x14ac:dyDescent="0.2">
      <c r="BQ392" s="55"/>
    </row>
    <row r="393" spans="69:69" ht="16" x14ac:dyDescent="0.2">
      <c r="BQ393" s="55"/>
    </row>
    <row r="394" spans="69:69" ht="16" x14ac:dyDescent="0.2">
      <c r="BQ394" s="55"/>
    </row>
    <row r="395" spans="69:69" ht="16" x14ac:dyDescent="0.2">
      <c r="BQ395" s="55"/>
    </row>
    <row r="396" spans="69:69" ht="16" x14ac:dyDescent="0.2">
      <c r="BQ396" s="55"/>
    </row>
    <row r="397" spans="69:69" ht="16" x14ac:dyDescent="0.2">
      <c r="BQ397" s="55"/>
    </row>
    <row r="398" spans="69:69" ht="16" x14ac:dyDescent="0.2">
      <c r="BQ398" s="55"/>
    </row>
    <row r="399" spans="69:69" ht="16" x14ac:dyDescent="0.2">
      <c r="BQ399" s="55"/>
    </row>
    <row r="400" spans="69:69" ht="16" x14ac:dyDescent="0.2">
      <c r="BQ400" s="55"/>
    </row>
    <row r="401" spans="69:69" ht="16" x14ac:dyDescent="0.2">
      <c r="BQ401" s="55"/>
    </row>
    <row r="402" spans="69:69" ht="16" x14ac:dyDescent="0.2">
      <c r="BQ402" s="55"/>
    </row>
    <row r="403" spans="69:69" ht="16" x14ac:dyDescent="0.2">
      <c r="BQ403" s="55"/>
    </row>
    <row r="404" spans="69:69" ht="16" x14ac:dyDescent="0.2">
      <c r="BQ404" s="55"/>
    </row>
    <row r="405" spans="69:69" ht="16" x14ac:dyDescent="0.2">
      <c r="BQ405" s="55"/>
    </row>
    <row r="406" spans="69:69" ht="16" x14ac:dyDescent="0.2">
      <c r="BQ406" s="55"/>
    </row>
    <row r="407" spans="69:69" ht="16" x14ac:dyDescent="0.2">
      <c r="BQ407" s="55"/>
    </row>
    <row r="408" spans="69:69" ht="16" x14ac:dyDescent="0.2">
      <c r="BQ408" s="55"/>
    </row>
    <row r="409" spans="69:69" ht="16" x14ac:dyDescent="0.2">
      <c r="BQ409" s="55"/>
    </row>
    <row r="410" spans="69:69" ht="16" x14ac:dyDescent="0.2">
      <c r="BQ410" s="55"/>
    </row>
    <row r="411" spans="69:69" ht="16" x14ac:dyDescent="0.2">
      <c r="BQ411" s="55"/>
    </row>
    <row r="412" spans="69:69" ht="16" x14ac:dyDescent="0.2">
      <c r="BQ412" s="55"/>
    </row>
    <row r="413" spans="69:69" ht="16" x14ac:dyDescent="0.2">
      <c r="BQ413" s="55"/>
    </row>
    <row r="414" spans="69:69" ht="16" x14ac:dyDescent="0.2">
      <c r="BQ414" s="55"/>
    </row>
    <row r="415" spans="69:69" ht="16" x14ac:dyDescent="0.2">
      <c r="BQ415" s="55"/>
    </row>
    <row r="416" spans="69:69" ht="16" x14ac:dyDescent="0.2">
      <c r="BQ416" s="55"/>
    </row>
    <row r="417" spans="69:69" ht="16" x14ac:dyDescent="0.2">
      <c r="BQ417" s="55"/>
    </row>
    <row r="418" spans="69:69" ht="16" x14ac:dyDescent="0.2">
      <c r="BQ418" s="55"/>
    </row>
    <row r="419" spans="69:69" ht="16" x14ac:dyDescent="0.2">
      <c r="BQ419" s="55"/>
    </row>
    <row r="420" spans="69:69" ht="16" x14ac:dyDescent="0.2">
      <c r="BQ420" s="55"/>
    </row>
    <row r="421" spans="69:69" ht="16" x14ac:dyDescent="0.2">
      <c r="BQ421" s="55"/>
    </row>
    <row r="422" spans="69:69" ht="16" x14ac:dyDescent="0.2">
      <c r="BQ422" s="55"/>
    </row>
    <row r="423" spans="69:69" ht="16" x14ac:dyDescent="0.2">
      <c r="BQ423" s="55"/>
    </row>
    <row r="424" spans="69:69" ht="16" x14ac:dyDescent="0.2">
      <c r="BQ424" s="55"/>
    </row>
    <row r="425" spans="69:69" ht="16" x14ac:dyDescent="0.2">
      <c r="BQ425" s="55"/>
    </row>
    <row r="426" spans="69:69" ht="16" x14ac:dyDescent="0.2">
      <c r="BQ426" s="55"/>
    </row>
    <row r="427" spans="69:69" ht="16" x14ac:dyDescent="0.2">
      <c r="BQ427" s="55"/>
    </row>
    <row r="428" spans="69:69" ht="16" x14ac:dyDescent="0.2">
      <c r="BQ428" s="55"/>
    </row>
    <row r="429" spans="69:69" ht="16" x14ac:dyDescent="0.2">
      <c r="BQ429" s="55"/>
    </row>
    <row r="430" spans="69:69" ht="16" x14ac:dyDescent="0.2">
      <c r="BQ430" s="55"/>
    </row>
    <row r="431" spans="69:69" ht="16" x14ac:dyDescent="0.2">
      <c r="BQ431" s="55"/>
    </row>
    <row r="432" spans="69:69" ht="16" x14ac:dyDescent="0.2">
      <c r="BQ432" s="55"/>
    </row>
    <row r="433" spans="69:69" ht="16" x14ac:dyDescent="0.2">
      <c r="BQ433" s="55"/>
    </row>
    <row r="434" spans="69:69" ht="16" x14ac:dyDescent="0.2">
      <c r="BQ434" s="55"/>
    </row>
    <row r="435" spans="69:69" ht="16" x14ac:dyDescent="0.2">
      <c r="BQ435" s="55"/>
    </row>
    <row r="436" spans="69:69" ht="16" x14ac:dyDescent="0.2">
      <c r="BQ436" s="55"/>
    </row>
    <row r="437" spans="69:69" ht="16" x14ac:dyDescent="0.2">
      <c r="BQ437" s="55"/>
    </row>
    <row r="438" spans="69:69" ht="16" x14ac:dyDescent="0.2">
      <c r="BQ438" s="55"/>
    </row>
    <row r="439" spans="69:69" ht="16" x14ac:dyDescent="0.2">
      <c r="BQ439" s="55"/>
    </row>
    <row r="440" spans="69:69" ht="16" x14ac:dyDescent="0.2">
      <c r="BQ440" s="55"/>
    </row>
    <row r="441" spans="69:69" ht="16" x14ac:dyDescent="0.2">
      <c r="BQ441" s="55"/>
    </row>
    <row r="442" spans="69:69" ht="16" x14ac:dyDescent="0.2">
      <c r="BQ442" s="55"/>
    </row>
    <row r="443" spans="69:69" ht="16" x14ac:dyDescent="0.2">
      <c r="BQ443" s="55"/>
    </row>
    <row r="444" spans="69:69" ht="16" x14ac:dyDescent="0.2">
      <c r="BQ444" s="55"/>
    </row>
    <row r="445" spans="69:69" ht="16" x14ac:dyDescent="0.2">
      <c r="BQ445" s="55"/>
    </row>
    <row r="446" spans="69:69" ht="16" x14ac:dyDescent="0.2">
      <c r="BQ446" s="55"/>
    </row>
    <row r="447" spans="69:69" ht="16" x14ac:dyDescent="0.2">
      <c r="BQ447" s="55"/>
    </row>
    <row r="448" spans="69:69" ht="16" x14ac:dyDescent="0.2">
      <c r="BQ448" s="55"/>
    </row>
    <row r="449" spans="69:69" ht="16" x14ac:dyDescent="0.2">
      <c r="BQ449" s="55"/>
    </row>
    <row r="450" spans="69:69" ht="16" x14ac:dyDescent="0.2">
      <c r="BQ450" s="55"/>
    </row>
    <row r="451" spans="69:69" ht="16" x14ac:dyDescent="0.2">
      <c r="BQ451" s="55"/>
    </row>
    <row r="452" spans="69:69" ht="16" x14ac:dyDescent="0.2">
      <c r="BQ452" s="55"/>
    </row>
    <row r="453" spans="69:69" ht="16" x14ac:dyDescent="0.2">
      <c r="BQ453" s="55"/>
    </row>
    <row r="454" spans="69:69" ht="16" x14ac:dyDescent="0.2">
      <c r="BQ454" s="55"/>
    </row>
    <row r="455" spans="69:69" ht="16" x14ac:dyDescent="0.2">
      <c r="BQ455" s="55"/>
    </row>
    <row r="456" spans="69:69" ht="16" x14ac:dyDescent="0.2">
      <c r="BQ456" s="55"/>
    </row>
    <row r="457" spans="69:69" ht="16" x14ac:dyDescent="0.2">
      <c r="BQ457" s="55"/>
    </row>
    <row r="458" spans="69:69" ht="16" x14ac:dyDescent="0.2">
      <c r="BQ458" s="55"/>
    </row>
    <row r="459" spans="69:69" ht="16" x14ac:dyDescent="0.2">
      <c r="BQ459" s="55"/>
    </row>
    <row r="460" spans="69:69" ht="16" x14ac:dyDescent="0.2">
      <c r="BQ460" s="55"/>
    </row>
    <row r="461" spans="69:69" ht="16" x14ac:dyDescent="0.2">
      <c r="BQ461" s="55"/>
    </row>
    <row r="462" spans="69:69" ht="16" x14ac:dyDescent="0.2">
      <c r="BQ462" s="55"/>
    </row>
    <row r="463" spans="69:69" ht="16" x14ac:dyDescent="0.2">
      <c r="BQ463" s="55"/>
    </row>
    <row r="464" spans="69:69" ht="16" x14ac:dyDescent="0.2">
      <c r="BQ464" s="55"/>
    </row>
    <row r="465" spans="69:69" ht="16" x14ac:dyDescent="0.2">
      <c r="BQ465" s="55"/>
    </row>
    <row r="466" spans="69:69" ht="16" x14ac:dyDescent="0.2">
      <c r="BQ466" s="55"/>
    </row>
    <row r="467" spans="69:69" ht="16" x14ac:dyDescent="0.2">
      <c r="BQ467" s="55"/>
    </row>
    <row r="468" spans="69:69" ht="16" x14ac:dyDescent="0.2">
      <c r="BQ468" s="55"/>
    </row>
    <row r="469" spans="69:69" ht="16" x14ac:dyDescent="0.2">
      <c r="BQ469" s="55"/>
    </row>
    <row r="470" spans="69:69" ht="16" x14ac:dyDescent="0.2">
      <c r="BQ470" s="55"/>
    </row>
    <row r="471" spans="69:69" ht="16" x14ac:dyDescent="0.2">
      <c r="BQ471" s="55"/>
    </row>
    <row r="472" spans="69:69" ht="16" x14ac:dyDescent="0.2">
      <c r="BQ472" s="55"/>
    </row>
    <row r="473" spans="69:69" ht="16" x14ac:dyDescent="0.2">
      <c r="BQ473" s="55"/>
    </row>
    <row r="474" spans="69:69" ht="16" x14ac:dyDescent="0.2">
      <c r="BQ474" s="55"/>
    </row>
    <row r="475" spans="69:69" ht="16" x14ac:dyDescent="0.2">
      <c r="BQ475" s="55"/>
    </row>
    <row r="476" spans="69:69" ht="16" x14ac:dyDescent="0.2">
      <c r="BQ476" s="55"/>
    </row>
    <row r="477" spans="69:69" ht="16" x14ac:dyDescent="0.2">
      <c r="BQ477" s="55"/>
    </row>
    <row r="478" spans="69:69" ht="16" x14ac:dyDescent="0.2">
      <c r="BQ478" s="55"/>
    </row>
    <row r="479" spans="69:69" ht="16" x14ac:dyDescent="0.2">
      <c r="BQ479" s="55"/>
    </row>
    <row r="480" spans="69:69" ht="16" x14ac:dyDescent="0.2">
      <c r="BQ480" s="55"/>
    </row>
    <row r="481" spans="69:69" ht="16" x14ac:dyDescent="0.2">
      <c r="BQ481" s="55"/>
    </row>
    <row r="482" spans="69:69" ht="16" x14ac:dyDescent="0.2">
      <c r="BQ482" s="55"/>
    </row>
    <row r="483" spans="69:69" ht="16" x14ac:dyDescent="0.2">
      <c r="BQ483" s="55"/>
    </row>
    <row r="484" spans="69:69" ht="16" x14ac:dyDescent="0.2">
      <c r="BQ484" s="55"/>
    </row>
    <row r="485" spans="69:69" ht="16" x14ac:dyDescent="0.2">
      <c r="BQ485" s="55"/>
    </row>
    <row r="486" spans="69:69" ht="16" x14ac:dyDescent="0.2">
      <c r="BQ486" s="55"/>
    </row>
    <row r="487" spans="69:69" ht="16" x14ac:dyDescent="0.2">
      <c r="BQ487" s="55"/>
    </row>
    <row r="488" spans="69:69" ht="16" x14ac:dyDescent="0.2">
      <c r="BQ488" s="55"/>
    </row>
    <row r="489" spans="69:69" ht="16" x14ac:dyDescent="0.2">
      <c r="BQ489" s="55"/>
    </row>
    <row r="490" spans="69:69" ht="16" x14ac:dyDescent="0.2">
      <c r="BQ490" s="55"/>
    </row>
    <row r="491" spans="69:69" ht="16" x14ac:dyDescent="0.2">
      <c r="BQ491" s="55"/>
    </row>
    <row r="492" spans="69:69" ht="16" x14ac:dyDescent="0.2">
      <c r="BQ492" s="55"/>
    </row>
    <row r="493" spans="69:69" ht="16" x14ac:dyDescent="0.2">
      <c r="BQ493" s="55"/>
    </row>
    <row r="494" spans="69:69" ht="16" x14ac:dyDescent="0.2">
      <c r="BQ494" s="55"/>
    </row>
    <row r="495" spans="69:69" ht="16" x14ac:dyDescent="0.2">
      <c r="BQ495" s="55"/>
    </row>
    <row r="496" spans="69:69" ht="16" x14ac:dyDescent="0.2">
      <c r="BQ496" s="55"/>
    </row>
    <row r="497" spans="69:69" ht="16" x14ac:dyDescent="0.2">
      <c r="BQ497" s="55"/>
    </row>
    <row r="498" spans="69:69" ht="16" x14ac:dyDescent="0.2">
      <c r="BQ498" s="55"/>
    </row>
    <row r="499" spans="69:69" ht="16" x14ac:dyDescent="0.2">
      <c r="BQ499" s="55"/>
    </row>
    <row r="500" spans="69:69" ht="16" x14ac:dyDescent="0.2">
      <c r="BQ500" s="55"/>
    </row>
    <row r="501" spans="69:69" ht="16" x14ac:dyDescent="0.2">
      <c r="BQ501" s="55"/>
    </row>
    <row r="502" spans="69:69" ht="16" x14ac:dyDescent="0.2">
      <c r="BQ502" s="55"/>
    </row>
    <row r="503" spans="69:69" ht="16" x14ac:dyDescent="0.2">
      <c r="BQ503" s="55"/>
    </row>
    <row r="504" spans="69:69" ht="16" x14ac:dyDescent="0.2">
      <c r="BQ504" s="55"/>
    </row>
    <row r="505" spans="69:69" ht="16" x14ac:dyDescent="0.2">
      <c r="BQ505" s="55"/>
    </row>
    <row r="506" spans="69:69" ht="16" x14ac:dyDescent="0.2">
      <c r="BQ506" s="55"/>
    </row>
    <row r="507" spans="69:69" ht="16" x14ac:dyDescent="0.2">
      <c r="BQ507" s="55"/>
    </row>
    <row r="508" spans="69:69" ht="16" x14ac:dyDescent="0.2">
      <c r="BQ508" s="55"/>
    </row>
    <row r="509" spans="69:69" ht="16" x14ac:dyDescent="0.2">
      <c r="BQ509" s="55"/>
    </row>
    <row r="510" spans="69:69" ht="16" x14ac:dyDescent="0.2">
      <c r="BQ510" s="55"/>
    </row>
    <row r="511" spans="69:69" ht="16" x14ac:dyDescent="0.2">
      <c r="BQ511" s="55"/>
    </row>
    <row r="512" spans="69:69" ht="16" x14ac:dyDescent="0.2">
      <c r="BQ512" s="55"/>
    </row>
    <row r="513" spans="69:69" ht="16" x14ac:dyDescent="0.2">
      <c r="BQ513" s="55"/>
    </row>
    <row r="514" spans="69:69" ht="16" x14ac:dyDescent="0.2">
      <c r="BQ514" s="55"/>
    </row>
    <row r="515" spans="69:69" ht="16" x14ac:dyDescent="0.2">
      <c r="BQ515" s="55"/>
    </row>
    <row r="516" spans="69:69" ht="16" x14ac:dyDescent="0.2">
      <c r="BQ516" s="55"/>
    </row>
    <row r="517" spans="69:69" ht="16" x14ac:dyDescent="0.2">
      <c r="BQ517" s="55"/>
    </row>
    <row r="518" spans="69:69" ht="16" x14ac:dyDescent="0.2">
      <c r="BQ518" s="55"/>
    </row>
    <row r="519" spans="69:69" ht="16" x14ac:dyDescent="0.2">
      <c r="BQ519" s="55"/>
    </row>
    <row r="520" spans="69:69" ht="16" x14ac:dyDescent="0.2">
      <c r="BQ520" s="55"/>
    </row>
    <row r="521" spans="69:69" ht="16" x14ac:dyDescent="0.2">
      <c r="BQ521" s="55"/>
    </row>
    <row r="522" spans="69:69" ht="16" x14ac:dyDescent="0.2">
      <c r="BQ522" s="55"/>
    </row>
    <row r="523" spans="69:69" ht="16" x14ac:dyDescent="0.2">
      <c r="BQ523" s="55"/>
    </row>
    <row r="524" spans="69:69" ht="16" x14ac:dyDescent="0.2">
      <c r="BQ524" s="55"/>
    </row>
    <row r="525" spans="69:69" ht="16" x14ac:dyDescent="0.2">
      <c r="BQ525" s="55"/>
    </row>
    <row r="526" spans="69:69" ht="16" x14ac:dyDescent="0.2">
      <c r="BQ526" s="55"/>
    </row>
    <row r="527" spans="69:69" ht="16" x14ac:dyDescent="0.2">
      <c r="BQ527" s="55"/>
    </row>
    <row r="528" spans="69:69" ht="16" x14ac:dyDescent="0.2">
      <c r="BQ528" s="55"/>
    </row>
    <row r="529" spans="69:69" ht="16" x14ac:dyDescent="0.2">
      <c r="BQ529" s="55"/>
    </row>
    <row r="530" spans="69:69" ht="16" x14ac:dyDescent="0.2">
      <c r="BQ530" s="55"/>
    </row>
    <row r="531" spans="69:69" ht="16" x14ac:dyDescent="0.2">
      <c r="BQ531" s="55"/>
    </row>
    <row r="532" spans="69:69" ht="16" x14ac:dyDescent="0.2">
      <c r="BQ532" s="55"/>
    </row>
    <row r="533" spans="69:69" ht="16" x14ac:dyDescent="0.2">
      <c r="BQ533" s="55"/>
    </row>
    <row r="534" spans="69:69" ht="16" x14ac:dyDescent="0.2">
      <c r="BQ534" s="55"/>
    </row>
    <row r="535" spans="69:69" ht="16" x14ac:dyDescent="0.2">
      <c r="BQ535" s="55"/>
    </row>
    <row r="536" spans="69:69" ht="16" x14ac:dyDescent="0.2">
      <c r="BQ536" s="55"/>
    </row>
    <row r="537" spans="69:69" ht="16" x14ac:dyDescent="0.2">
      <c r="BQ537" s="55"/>
    </row>
    <row r="538" spans="69:69" ht="16" x14ac:dyDescent="0.2">
      <c r="BQ538" s="55"/>
    </row>
    <row r="539" spans="69:69" ht="16" x14ac:dyDescent="0.2">
      <c r="BQ539" s="55"/>
    </row>
    <row r="540" spans="69:69" ht="16" x14ac:dyDescent="0.2">
      <c r="BQ540" s="55"/>
    </row>
    <row r="541" spans="69:69" ht="16" x14ac:dyDescent="0.2">
      <c r="BQ541" s="55"/>
    </row>
    <row r="542" spans="69:69" ht="16" x14ac:dyDescent="0.2">
      <c r="BQ542" s="55"/>
    </row>
    <row r="543" spans="69:69" ht="16" x14ac:dyDescent="0.2">
      <c r="BQ543" s="55"/>
    </row>
    <row r="544" spans="69:69" ht="16" x14ac:dyDescent="0.2">
      <c r="BQ544" s="55"/>
    </row>
    <row r="545" spans="69:69" ht="16" x14ac:dyDescent="0.2">
      <c r="BQ545" s="55"/>
    </row>
    <row r="546" spans="69:69" ht="16" x14ac:dyDescent="0.2">
      <c r="BQ546" s="55"/>
    </row>
    <row r="547" spans="69:69" ht="16" x14ac:dyDescent="0.2">
      <c r="BQ547" s="55"/>
    </row>
    <row r="548" spans="69:69" ht="16" x14ac:dyDescent="0.2">
      <c r="BQ548" s="55"/>
    </row>
    <row r="549" spans="69:69" ht="16" x14ac:dyDescent="0.2">
      <c r="BQ549" s="55"/>
    </row>
    <row r="550" spans="69:69" ht="16" x14ac:dyDescent="0.2">
      <c r="BQ550" s="55"/>
    </row>
    <row r="551" spans="69:69" ht="16" x14ac:dyDescent="0.2">
      <c r="BQ551" s="55"/>
    </row>
    <row r="552" spans="69:69" ht="16" x14ac:dyDescent="0.2">
      <c r="BQ552" s="55"/>
    </row>
    <row r="553" spans="69:69" ht="16" x14ac:dyDescent="0.2">
      <c r="BQ553" s="55"/>
    </row>
    <row r="554" spans="69:69" ht="16" x14ac:dyDescent="0.2">
      <c r="BQ554" s="55"/>
    </row>
    <row r="555" spans="69:69" ht="16" x14ac:dyDescent="0.2">
      <c r="BQ555" s="55"/>
    </row>
    <row r="556" spans="69:69" ht="16" x14ac:dyDescent="0.2">
      <c r="BQ556" s="55"/>
    </row>
    <row r="557" spans="69:69" ht="16" x14ac:dyDescent="0.2">
      <c r="BQ557" s="55"/>
    </row>
    <row r="558" spans="69:69" ht="16" x14ac:dyDescent="0.2">
      <c r="BQ558" s="55"/>
    </row>
    <row r="559" spans="69:69" ht="16" x14ac:dyDescent="0.2">
      <c r="BQ559" s="55"/>
    </row>
    <row r="560" spans="69:69" ht="16" x14ac:dyDescent="0.2">
      <c r="BQ560" s="55"/>
    </row>
    <row r="561" spans="69:69" ht="16" x14ac:dyDescent="0.2">
      <c r="BQ561" s="55"/>
    </row>
    <row r="562" spans="69:69" ht="16" x14ac:dyDescent="0.2">
      <c r="BQ562" s="55"/>
    </row>
    <row r="563" spans="69:69" ht="16" x14ac:dyDescent="0.2">
      <c r="BQ563" s="55"/>
    </row>
    <row r="564" spans="69:69" ht="16" x14ac:dyDescent="0.2">
      <c r="BQ564" s="55"/>
    </row>
    <row r="565" spans="69:69" ht="16" x14ac:dyDescent="0.2">
      <c r="BQ565" s="55"/>
    </row>
    <row r="566" spans="69:69" ht="16" x14ac:dyDescent="0.2">
      <c r="BQ566" s="55"/>
    </row>
    <row r="567" spans="69:69" ht="16" x14ac:dyDescent="0.2">
      <c r="BQ567" s="55"/>
    </row>
    <row r="568" spans="69:69" ht="16" x14ac:dyDescent="0.2">
      <c r="BQ568" s="55"/>
    </row>
    <row r="569" spans="69:69" ht="16" x14ac:dyDescent="0.2">
      <c r="BQ569" s="55"/>
    </row>
    <row r="570" spans="69:69" ht="16" x14ac:dyDescent="0.2">
      <c r="BQ570" s="55"/>
    </row>
    <row r="571" spans="69:69" ht="16" x14ac:dyDescent="0.2">
      <c r="BQ571" s="55"/>
    </row>
    <row r="572" spans="69:69" ht="16" x14ac:dyDescent="0.2">
      <c r="BQ572" s="55"/>
    </row>
    <row r="573" spans="69:69" ht="16" x14ac:dyDescent="0.2">
      <c r="BQ573" s="55"/>
    </row>
    <row r="574" spans="69:69" ht="16" x14ac:dyDescent="0.2">
      <c r="BQ574" s="55"/>
    </row>
    <row r="575" spans="69:69" ht="16" x14ac:dyDescent="0.2">
      <c r="BQ575" s="55"/>
    </row>
    <row r="576" spans="69:69" ht="16" x14ac:dyDescent="0.2">
      <c r="BQ576" s="55"/>
    </row>
    <row r="577" spans="69:69" ht="16" x14ac:dyDescent="0.2">
      <c r="BQ577" s="55"/>
    </row>
    <row r="578" spans="69:69" ht="16" x14ac:dyDescent="0.2">
      <c r="BQ578" s="55"/>
    </row>
    <row r="579" spans="69:69" ht="16" x14ac:dyDescent="0.2">
      <c r="BQ579" s="55"/>
    </row>
    <row r="580" spans="69:69" ht="16" x14ac:dyDescent="0.2">
      <c r="BQ580" s="55"/>
    </row>
    <row r="581" spans="69:69" ht="16" x14ac:dyDescent="0.2">
      <c r="BQ581" s="55"/>
    </row>
    <row r="582" spans="69:69" ht="16" x14ac:dyDescent="0.2">
      <c r="BQ582" s="55"/>
    </row>
    <row r="583" spans="69:69" ht="16" x14ac:dyDescent="0.2">
      <c r="BQ583" s="55"/>
    </row>
    <row r="584" spans="69:69" ht="16" x14ac:dyDescent="0.2">
      <c r="BQ584" s="55"/>
    </row>
    <row r="585" spans="69:69" ht="16" x14ac:dyDescent="0.2">
      <c r="BQ585" s="55"/>
    </row>
    <row r="586" spans="69:69" ht="16" x14ac:dyDescent="0.2">
      <c r="BQ586" s="55"/>
    </row>
    <row r="587" spans="69:69" ht="16" x14ac:dyDescent="0.2">
      <c r="BQ587" s="55"/>
    </row>
    <row r="588" spans="69:69" ht="16" x14ac:dyDescent="0.2">
      <c r="BQ588" s="55"/>
    </row>
    <row r="589" spans="69:69" ht="16" x14ac:dyDescent="0.2">
      <c r="BQ589" s="55"/>
    </row>
    <row r="590" spans="69:69" ht="16" x14ac:dyDescent="0.2">
      <c r="BQ590" s="55"/>
    </row>
    <row r="591" spans="69:69" ht="16" x14ac:dyDescent="0.2">
      <c r="BQ591" s="55"/>
    </row>
    <row r="592" spans="69:69" ht="16" x14ac:dyDescent="0.2">
      <c r="BQ592" s="55"/>
    </row>
    <row r="593" spans="69:69" ht="16" x14ac:dyDescent="0.2">
      <c r="BQ593" s="55"/>
    </row>
    <row r="594" spans="69:69" ht="16" x14ac:dyDescent="0.2">
      <c r="BQ594" s="55"/>
    </row>
    <row r="595" spans="69:69" ht="16" x14ac:dyDescent="0.2">
      <c r="BQ595" s="55"/>
    </row>
    <row r="596" spans="69:69" ht="16" x14ac:dyDescent="0.2">
      <c r="BQ596" s="55"/>
    </row>
    <row r="597" spans="69:69" ht="16" x14ac:dyDescent="0.2">
      <c r="BQ597" s="55"/>
    </row>
    <row r="598" spans="69:69" ht="16" x14ac:dyDescent="0.2">
      <c r="BQ598" s="55"/>
    </row>
    <row r="599" spans="69:69" ht="16" x14ac:dyDescent="0.2">
      <c r="BQ599" s="55"/>
    </row>
    <row r="600" spans="69:69" ht="16" x14ac:dyDescent="0.2">
      <c r="BQ600" s="55"/>
    </row>
    <row r="601" spans="69:69" ht="16" x14ac:dyDescent="0.2">
      <c r="BQ601" s="55"/>
    </row>
    <row r="602" spans="69:69" ht="16" x14ac:dyDescent="0.2">
      <c r="BQ602" s="55"/>
    </row>
    <row r="603" spans="69:69" ht="16" x14ac:dyDescent="0.2">
      <c r="BQ603" s="55"/>
    </row>
    <row r="604" spans="69:69" ht="16" x14ac:dyDescent="0.2">
      <c r="BQ604" s="55"/>
    </row>
    <row r="605" spans="69:69" ht="16" x14ac:dyDescent="0.2">
      <c r="BQ605" s="55"/>
    </row>
    <row r="606" spans="69:69" ht="16" x14ac:dyDescent="0.2">
      <c r="BQ606" s="55"/>
    </row>
    <row r="607" spans="69:69" ht="16" x14ac:dyDescent="0.2">
      <c r="BQ607" s="55"/>
    </row>
    <row r="608" spans="69:69" ht="16" x14ac:dyDescent="0.2">
      <c r="BQ608" s="55"/>
    </row>
    <row r="609" spans="69:69" ht="16" x14ac:dyDescent="0.2">
      <c r="BQ609" s="55"/>
    </row>
    <row r="610" spans="69:69" ht="16" x14ac:dyDescent="0.2">
      <c r="BQ610" s="55"/>
    </row>
    <row r="611" spans="69:69" ht="16" x14ac:dyDescent="0.2">
      <c r="BQ611" s="55"/>
    </row>
    <row r="612" spans="69:69" ht="16" x14ac:dyDescent="0.2">
      <c r="BQ612" s="55"/>
    </row>
    <row r="613" spans="69:69" ht="16" x14ac:dyDescent="0.2">
      <c r="BQ613" s="55"/>
    </row>
    <row r="614" spans="69:69" ht="16" x14ac:dyDescent="0.2">
      <c r="BQ614" s="55"/>
    </row>
    <row r="615" spans="69:69" ht="16" x14ac:dyDescent="0.2">
      <c r="BQ615" s="55"/>
    </row>
    <row r="616" spans="69:69" ht="16" x14ac:dyDescent="0.2">
      <c r="BQ616" s="55"/>
    </row>
    <row r="617" spans="69:69" ht="16" x14ac:dyDescent="0.2">
      <c r="BQ617" s="55"/>
    </row>
    <row r="618" spans="69:69" ht="16" x14ac:dyDescent="0.2">
      <c r="BQ618" s="55"/>
    </row>
    <row r="619" spans="69:69" ht="16" x14ac:dyDescent="0.2">
      <c r="BQ619" s="55"/>
    </row>
    <row r="620" spans="69:69" ht="16" x14ac:dyDescent="0.2">
      <c r="BQ620" s="55"/>
    </row>
    <row r="621" spans="69:69" ht="16" x14ac:dyDescent="0.2">
      <c r="BQ621" s="55"/>
    </row>
    <row r="622" spans="69:69" ht="16" x14ac:dyDescent="0.2">
      <c r="BQ622" s="55"/>
    </row>
    <row r="623" spans="69:69" ht="16" x14ac:dyDescent="0.2">
      <c r="BQ623" s="55"/>
    </row>
    <row r="624" spans="69:69" ht="16" x14ac:dyDescent="0.2">
      <c r="BQ624" s="55"/>
    </row>
    <row r="625" spans="69:69" ht="16" x14ac:dyDescent="0.2">
      <c r="BQ625" s="55"/>
    </row>
    <row r="626" spans="69:69" ht="16" x14ac:dyDescent="0.2">
      <c r="BQ626" s="55"/>
    </row>
    <row r="627" spans="69:69" ht="16" x14ac:dyDescent="0.2">
      <c r="BQ627" s="55"/>
    </row>
    <row r="628" spans="69:69" ht="16" x14ac:dyDescent="0.2">
      <c r="BQ628" s="55"/>
    </row>
    <row r="629" spans="69:69" ht="16" x14ac:dyDescent="0.2">
      <c r="BQ629" s="55"/>
    </row>
    <row r="630" spans="69:69" ht="16" x14ac:dyDescent="0.2">
      <c r="BQ630" s="55"/>
    </row>
    <row r="631" spans="69:69" ht="16" x14ac:dyDescent="0.2">
      <c r="BQ631" s="55"/>
    </row>
    <row r="632" spans="69:69" ht="16" x14ac:dyDescent="0.2">
      <c r="BQ632" s="55"/>
    </row>
    <row r="633" spans="69:69" ht="16" x14ac:dyDescent="0.2">
      <c r="BQ633" s="55"/>
    </row>
    <row r="634" spans="69:69" ht="16" x14ac:dyDescent="0.2">
      <c r="BQ634" s="55"/>
    </row>
    <row r="635" spans="69:69" ht="16" x14ac:dyDescent="0.2">
      <c r="BQ635" s="55"/>
    </row>
    <row r="636" spans="69:69" ht="16" x14ac:dyDescent="0.2">
      <c r="BQ636" s="55"/>
    </row>
    <row r="637" spans="69:69" ht="16" x14ac:dyDescent="0.2">
      <c r="BQ637" s="55"/>
    </row>
    <row r="638" spans="69:69" ht="16" x14ac:dyDescent="0.2">
      <c r="BQ638" s="55"/>
    </row>
    <row r="639" spans="69:69" ht="16" x14ac:dyDescent="0.2">
      <c r="BQ639" s="55"/>
    </row>
    <row r="640" spans="69:69" ht="16" x14ac:dyDescent="0.2">
      <c r="BQ640" s="55"/>
    </row>
    <row r="641" spans="69:69" ht="16" x14ac:dyDescent="0.2">
      <c r="BQ641" s="55"/>
    </row>
    <row r="642" spans="69:69" ht="16" x14ac:dyDescent="0.2">
      <c r="BQ642" s="55"/>
    </row>
    <row r="643" spans="69:69" ht="16" x14ac:dyDescent="0.2">
      <c r="BQ643" s="55"/>
    </row>
    <row r="644" spans="69:69" ht="16" x14ac:dyDescent="0.2">
      <c r="BQ644" s="55"/>
    </row>
    <row r="645" spans="69:69" ht="16" x14ac:dyDescent="0.2">
      <c r="BQ645" s="55"/>
    </row>
    <row r="646" spans="69:69" ht="16" x14ac:dyDescent="0.2">
      <c r="BQ646" s="55"/>
    </row>
    <row r="647" spans="69:69" ht="16" x14ac:dyDescent="0.2">
      <c r="BQ647" s="55"/>
    </row>
    <row r="648" spans="69:69" ht="16" x14ac:dyDescent="0.2">
      <c r="BQ648" s="55"/>
    </row>
    <row r="649" spans="69:69" ht="16" x14ac:dyDescent="0.2">
      <c r="BQ649" s="55"/>
    </row>
    <row r="650" spans="69:69" ht="16" x14ac:dyDescent="0.2">
      <c r="BQ650" s="55"/>
    </row>
    <row r="651" spans="69:69" ht="16" x14ac:dyDescent="0.2">
      <c r="BQ651" s="55"/>
    </row>
    <row r="652" spans="69:69" ht="16" x14ac:dyDescent="0.2">
      <c r="BQ652" s="55"/>
    </row>
    <row r="653" spans="69:69" ht="16" x14ac:dyDescent="0.2">
      <c r="BQ653" s="55"/>
    </row>
    <row r="654" spans="69:69" ht="16" x14ac:dyDescent="0.2">
      <c r="BQ654" s="55"/>
    </row>
    <row r="655" spans="69:69" ht="16" x14ac:dyDescent="0.2">
      <c r="BQ655" s="55"/>
    </row>
    <row r="656" spans="69:69" ht="16" x14ac:dyDescent="0.2">
      <c r="BQ656" s="55"/>
    </row>
    <row r="657" spans="69:69" ht="16" x14ac:dyDescent="0.2">
      <c r="BQ657" s="55"/>
    </row>
    <row r="658" spans="69:69" ht="16" x14ac:dyDescent="0.2">
      <c r="BQ658" s="55"/>
    </row>
    <row r="659" spans="69:69" ht="16" x14ac:dyDescent="0.2">
      <c r="BQ659" s="55"/>
    </row>
    <row r="660" spans="69:69" ht="16" x14ac:dyDescent="0.2">
      <c r="BQ660" s="55"/>
    </row>
    <row r="661" spans="69:69" ht="16" x14ac:dyDescent="0.2">
      <c r="BQ661" s="55"/>
    </row>
    <row r="662" spans="69:69" ht="16" x14ac:dyDescent="0.2">
      <c r="BQ662" s="55"/>
    </row>
    <row r="663" spans="69:69" ht="16" x14ac:dyDescent="0.2">
      <c r="BQ663" s="55"/>
    </row>
    <row r="664" spans="69:69" ht="16" x14ac:dyDescent="0.2">
      <c r="BQ664" s="55"/>
    </row>
    <row r="665" spans="69:69" ht="16" x14ac:dyDescent="0.2">
      <c r="BQ665" s="55"/>
    </row>
    <row r="666" spans="69:69" ht="16" x14ac:dyDescent="0.2">
      <c r="BQ666" s="55"/>
    </row>
    <row r="667" spans="69:69" ht="16" x14ac:dyDescent="0.2">
      <c r="BQ667" s="55"/>
    </row>
    <row r="668" spans="69:69" ht="16" x14ac:dyDescent="0.2">
      <c r="BQ668" s="55"/>
    </row>
    <row r="669" spans="69:69" ht="16" x14ac:dyDescent="0.2">
      <c r="BQ669" s="55"/>
    </row>
    <row r="670" spans="69:69" ht="16" x14ac:dyDescent="0.2">
      <c r="BQ670" s="55"/>
    </row>
    <row r="671" spans="69:69" ht="16" x14ac:dyDescent="0.2">
      <c r="BQ671" s="55"/>
    </row>
    <row r="672" spans="69:69" ht="16" x14ac:dyDescent="0.2">
      <c r="BQ672" s="55"/>
    </row>
    <row r="673" spans="69:69" ht="16" x14ac:dyDescent="0.2">
      <c r="BQ673" s="55"/>
    </row>
    <row r="674" spans="69:69" ht="16" x14ac:dyDescent="0.2">
      <c r="BQ674" s="55"/>
    </row>
    <row r="675" spans="69:69" ht="16" x14ac:dyDescent="0.2">
      <c r="BQ675" s="55"/>
    </row>
    <row r="676" spans="69:69" ht="16" x14ac:dyDescent="0.2">
      <c r="BQ676" s="55"/>
    </row>
    <row r="677" spans="69:69" ht="16" x14ac:dyDescent="0.2">
      <c r="BQ677" s="55"/>
    </row>
    <row r="678" spans="69:69" ht="16" x14ac:dyDescent="0.2">
      <c r="BQ678" s="55"/>
    </row>
    <row r="679" spans="69:69" ht="16" x14ac:dyDescent="0.2">
      <c r="BQ679" s="55"/>
    </row>
    <row r="680" spans="69:69" ht="16" x14ac:dyDescent="0.2">
      <c r="BQ680" s="55"/>
    </row>
    <row r="681" spans="69:69" ht="16" x14ac:dyDescent="0.2">
      <c r="BQ681" s="55"/>
    </row>
    <row r="682" spans="69:69" ht="16" x14ac:dyDescent="0.2">
      <c r="BQ682" s="55"/>
    </row>
    <row r="683" spans="69:69" ht="16" x14ac:dyDescent="0.2">
      <c r="BQ683" s="55"/>
    </row>
    <row r="684" spans="69:69" ht="16" x14ac:dyDescent="0.2">
      <c r="BQ684" s="55"/>
    </row>
    <row r="685" spans="69:69" ht="16" x14ac:dyDescent="0.2">
      <c r="BQ685" s="55"/>
    </row>
    <row r="686" spans="69:69" ht="16" x14ac:dyDescent="0.2">
      <c r="BQ686" s="55"/>
    </row>
    <row r="687" spans="69:69" ht="16" x14ac:dyDescent="0.2">
      <c r="BQ687" s="55"/>
    </row>
    <row r="688" spans="69:69" ht="16" x14ac:dyDescent="0.2">
      <c r="BQ688" s="55"/>
    </row>
    <row r="689" spans="69:69" ht="16" x14ac:dyDescent="0.2">
      <c r="BQ689" s="55"/>
    </row>
    <row r="690" spans="69:69" ht="16" x14ac:dyDescent="0.2">
      <c r="BQ690" s="55"/>
    </row>
    <row r="691" spans="69:69" ht="16" x14ac:dyDescent="0.2">
      <c r="BQ691" s="55"/>
    </row>
    <row r="692" spans="69:69" ht="16" x14ac:dyDescent="0.2">
      <c r="BQ692" s="55"/>
    </row>
    <row r="693" spans="69:69" ht="16" x14ac:dyDescent="0.2">
      <c r="BQ693" s="55"/>
    </row>
    <row r="694" spans="69:69" ht="16" x14ac:dyDescent="0.2">
      <c r="BQ694" s="55"/>
    </row>
    <row r="695" spans="69:69" ht="16" x14ac:dyDescent="0.2">
      <c r="BQ695" s="55"/>
    </row>
    <row r="696" spans="69:69" ht="16" x14ac:dyDescent="0.2">
      <c r="BQ696" s="55"/>
    </row>
    <row r="697" spans="69:69" ht="16" x14ac:dyDescent="0.2">
      <c r="BQ697" s="55"/>
    </row>
    <row r="698" spans="69:69" ht="16" x14ac:dyDescent="0.2">
      <c r="BQ698" s="55"/>
    </row>
    <row r="699" spans="69:69" ht="16" x14ac:dyDescent="0.2">
      <c r="BQ699" s="55"/>
    </row>
    <row r="700" spans="69:69" ht="16" x14ac:dyDescent="0.2">
      <c r="BQ700" s="55"/>
    </row>
    <row r="701" spans="69:69" ht="16" x14ac:dyDescent="0.2">
      <c r="BQ701" s="55"/>
    </row>
    <row r="702" spans="69:69" ht="16" x14ac:dyDescent="0.2">
      <c r="BQ702" s="55"/>
    </row>
    <row r="703" spans="69:69" ht="16" x14ac:dyDescent="0.2">
      <c r="BQ703" s="55"/>
    </row>
    <row r="704" spans="69:69" ht="16" x14ac:dyDescent="0.2">
      <c r="BQ704" s="55"/>
    </row>
    <row r="705" spans="69:69" ht="16" x14ac:dyDescent="0.2">
      <c r="BQ705" s="55"/>
    </row>
    <row r="706" spans="69:69" ht="16" x14ac:dyDescent="0.2">
      <c r="BQ706" s="55"/>
    </row>
    <row r="707" spans="69:69" ht="16" x14ac:dyDescent="0.2">
      <c r="BQ707" s="55"/>
    </row>
    <row r="708" spans="69:69" ht="16" x14ac:dyDescent="0.2">
      <c r="BQ708" s="55"/>
    </row>
    <row r="709" spans="69:69" ht="16" x14ac:dyDescent="0.2">
      <c r="BQ709" s="55"/>
    </row>
    <row r="710" spans="69:69" ht="16" x14ac:dyDescent="0.2">
      <c r="BQ710" s="55"/>
    </row>
    <row r="711" spans="69:69" ht="16" x14ac:dyDescent="0.2">
      <c r="BQ711" s="55"/>
    </row>
    <row r="712" spans="69:69" ht="16" x14ac:dyDescent="0.2">
      <c r="BQ712" s="55"/>
    </row>
    <row r="713" spans="69:69" ht="16" x14ac:dyDescent="0.2">
      <c r="BQ713" s="55"/>
    </row>
    <row r="714" spans="69:69" ht="16" x14ac:dyDescent="0.2">
      <c r="BQ714" s="55"/>
    </row>
    <row r="715" spans="69:69" ht="16" x14ac:dyDescent="0.2">
      <c r="BQ715" s="55"/>
    </row>
    <row r="716" spans="69:69" ht="16" x14ac:dyDescent="0.2">
      <c r="BQ716" s="55"/>
    </row>
    <row r="717" spans="69:69" ht="16" x14ac:dyDescent="0.2">
      <c r="BQ717" s="55"/>
    </row>
    <row r="718" spans="69:69" ht="16" x14ac:dyDescent="0.2">
      <c r="BQ718" s="55"/>
    </row>
    <row r="719" spans="69:69" ht="16" x14ac:dyDescent="0.2">
      <c r="BQ719" s="55"/>
    </row>
    <row r="720" spans="69:69" ht="16" x14ac:dyDescent="0.2">
      <c r="BQ720" s="55"/>
    </row>
    <row r="721" spans="69:69" ht="16" x14ac:dyDescent="0.2">
      <c r="BQ721" s="55"/>
    </row>
    <row r="722" spans="69:69" ht="16" x14ac:dyDescent="0.2">
      <c r="BQ722" s="55"/>
    </row>
    <row r="723" spans="69:69" ht="16" x14ac:dyDescent="0.2">
      <c r="BQ723" s="55"/>
    </row>
    <row r="724" spans="69:69" ht="16" x14ac:dyDescent="0.2">
      <c r="BQ724" s="55"/>
    </row>
    <row r="725" spans="69:69" ht="16" x14ac:dyDescent="0.2">
      <c r="BQ725" s="55"/>
    </row>
    <row r="726" spans="69:69" ht="16" x14ac:dyDescent="0.2">
      <c r="BQ726" s="55"/>
    </row>
    <row r="727" spans="69:69" ht="16" x14ac:dyDescent="0.2">
      <c r="BQ727" s="55"/>
    </row>
    <row r="728" spans="69:69" ht="16" x14ac:dyDescent="0.2">
      <c r="BQ728" s="55"/>
    </row>
    <row r="729" spans="69:69" ht="16" x14ac:dyDescent="0.2">
      <c r="BQ729" s="55"/>
    </row>
    <row r="730" spans="69:69" ht="16" x14ac:dyDescent="0.2">
      <c r="BQ730" s="55"/>
    </row>
    <row r="731" spans="69:69" ht="16" x14ac:dyDescent="0.2">
      <c r="BQ731" s="55"/>
    </row>
    <row r="732" spans="69:69" ht="16" x14ac:dyDescent="0.2">
      <c r="BQ732" s="55"/>
    </row>
    <row r="733" spans="69:69" ht="16" x14ac:dyDescent="0.2">
      <c r="BQ733" s="55"/>
    </row>
    <row r="734" spans="69:69" ht="16" x14ac:dyDescent="0.2">
      <c r="BQ734" s="55"/>
    </row>
    <row r="735" spans="69:69" ht="16" x14ac:dyDescent="0.2">
      <c r="BQ735" s="55"/>
    </row>
    <row r="736" spans="69:69" ht="16" x14ac:dyDescent="0.2">
      <c r="BQ736" s="55"/>
    </row>
    <row r="737" spans="69:69" ht="16" x14ac:dyDescent="0.2">
      <c r="BQ737" s="55"/>
    </row>
    <row r="738" spans="69:69" ht="16" x14ac:dyDescent="0.2">
      <c r="BQ738" s="55"/>
    </row>
    <row r="739" spans="69:69" ht="16" x14ac:dyDescent="0.2">
      <c r="BQ739" s="55"/>
    </row>
    <row r="740" spans="69:69" ht="16" x14ac:dyDescent="0.2">
      <c r="BQ740" s="55"/>
    </row>
    <row r="741" spans="69:69" ht="16" x14ac:dyDescent="0.2">
      <c r="BQ741" s="55"/>
    </row>
    <row r="742" spans="69:69" ht="16" x14ac:dyDescent="0.2">
      <c r="BQ742" s="55"/>
    </row>
    <row r="743" spans="69:69" ht="16" x14ac:dyDescent="0.2">
      <c r="BQ743" s="55"/>
    </row>
    <row r="744" spans="69:69" ht="16" x14ac:dyDescent="0.2">
      <c r="BQ744" s="55"/>
    </row>
    <row r="745" spans="69:69" ht="16" x14ac:dyDescent="0.2">
      <c r="BQ745" s="55"/>
    </row>
    <row r="746" spans="69:69" ht="16" x14ac:dyDescent="0.2">
      <c r="BQ746" s="55"/>
    </row>
    <row r="747" spans="69:69" ht="16" x14ac:dyDescent="0.2">
      <c r="BQ747" s="55"/>
    </row>
    <row r="748" spans="69:69" ht="16" x14ac:dyDescent="0.2">
      <c r="BQ748" s="55"/>
    </row>
    <row r="749" spans="69:69" ht="16" x14ac:dyDescent="0.2">
      <c r="BQ749" s="55"/>
    </row>
    <row r="750" spans="69:69" ht="16" x14ac:dyDescent="0.2">
      <c r="BQ750" s="55"/>
    </row>
    <row r="751" spans="69:69" ht="16" x14ac:dyDescent="0.2">
      <c r="BQ751" s="55"/>
    </row>
    <row r="752" spans="69:69" ht="16" x14ac:dyDescent="0.2">
      <c r="BQ752" s="55"/>
    </row>
    <row r="753" spans="69:69" ht="16" x14ac:dyDescent="0.2">
      <c r="BQ753" s="55"/>
    </row>
    <row r="754" spans="69:69" ht="16" x14ac:dyDescent="0.2">
      <c r="BQ754" s="55"/>
    </row>
    <row r="755" spans="69:69" ht="16" x14ac:dyDescent="0.2">
      <c r="BQ755" s="55"/>
    </row>
    <row r="756" spans="69:69" ht="16" x14ac:dyDescent="0.2">
      <c r="BQ756" s="55"/>
    </row>
    <row r="757" spans="69:69" ht="16" x14ac:dyDescent="0.2">
      <c r="BQ757" s="55"/>
    </row>
    <row r="758" spans="69:69" ht="16" x14ac:dyDescent="0.2">
      <c r="BQ758" s="55"/>
    </row>
    <row r="759" spans="69:69" ht="16" x14ac:dyDescent="0.2">
      <c r="BQ759" s="55"/>
    </row>
    <row r="760" spans="69:69" ht="16" x14ac:dyDescent="0.2">
      <c r="BQ760" s="55"/>
    </row>
    <row r="761" spans="69:69" ht="16" x14ac:dyDescent="0.2">
      <c r="BQ761" s="55"/>
    </row>
    <row r="762" spans="69:69" ht="16" x14ac:dyDescent="0.2">
      <c r="BQ762" s="55"/>
    </row>
    <row r="763" spans="69:69" ht="16" x14ac:dyDescent="0.2">
      <c r="BQ763" s="55"/>
    </row>
    <row r="764" spans="69:69" ht="16" x14ac:dyDescent="0.2">
      <c r="BQ764" s="55"/>
    </row>
    <row r="765" spans="69:69" ht="16" x14ac:dyDescent="0.2">
      <c r="BQ765" s="55"/>
    </row>
    <row r="766" spans="69:69" ht="16" x14ac:dyDescent="0.2">
      <c r="BQ766" s="55"/>
    </row>
    <row r="767" spans="69:69" ht="16" x14ac:dyDescent="0.2">
      <c r="BQ767" s="55"/>
    </row>
    <row r="768" spans="69:69" ht="16" x14ac:dyDescent="0.2">
      <c r="BQ768" s="55"/>
    </row>
    <row r="769" spans="69:69" ht="16" x14ac:dyDescent="0.2">
      <c r="BQ769" s="55"/>
    </row>
    <row r="770" spans="69:69" ht="16" x14ac:dyDescent="0.2">
      <c r="BQ770" s="55"/>
    </row>
    <row r="771" spans="69:69" ht="16" x14ac:dyDescent="0.2">
      <c r="BQ771" s="55"/>
    </row>
    <row r="772" spans="69:69" ht="16" x14ac:dyDescent="0.2">
      <c r="BQ772" s="55"/>
    </row>
    <row r="773" spans="69:69" ht="16" x14ac:dyDescent="0.2">
      <c r="BQ773" s="55"/>
    </row>
    <row r="774" spans="69:69" ht="16" x14ac:dyDescent="0.2">
      <c r="BQ774" s="55"/>
    </row>
    <row r="775" spans="69:69" ht="16" x14ac:dyDescent="0.2">
      <c r="BQ775" s="55"/>
    </row>
    <row r="776" spans="69:69" ht="16" x14ac:dyDescent="0.2">
      <c r="BQ776" s="55"/>
    </row>
    <row r="777" spans="69:69" ht="16" x14ac:dyDescent="0.2">
      <c r="BQ777" s="55"/>
    </row>
    <row r="778" spans="69:69" ht="16" x14ac:dyDescent="0.2">
      <c r="BQ778" s="55"/>
    </row>
    <row r="779" spans="69:69" ht="16" x14ac:dyDescent="0.2">
      <c r="BQ779" s="55"/>
    </row>
    <row r="780" spans="69:69" ht="16" x14ac:dyDescent="0.2">
      <c r="BQ780" s="55"/>
    </row>
    <row r="781" spans="69:69" ht="16" x14ac:dyDescent="0.2">
      <c r="BQ781" s="55"/>
    </row>
    <row r="782" spans="69:69" ht="16" x14ac:dyDescent="0.2">
      <c r="BQ782" s="55"/>
    </row>
    <row r="783" spans="69:69" ht="16" x14ac:dyDescent="0.2">
      <c r="BQ783" s="55"/>
    </row>
    <row r="784" spans="69:69" ht="16" x14ac:dyDescent="0.2">
      <c r="BQ784" s="55"/>
    </row>
    <row r="785" spans="69:69" ht="16" x14ac:dyDescent="0.2">
      <c r="BQ785" s="55"/>
    </row>
    <row r="786" spans="69:69" ht="16" x14ac:dyDescent="0.2">
      <c r="BQ786" s="55"/>
    </row>
    <row r="787" spans="69:69" ht="16" x14ac:dyDescent="0.2">
      <c r="BQ787" s="55"/>
    </row>
    <row r="788" spans="69:69" ht="16" x14ac:dyDescent="0.2">
      <c r="BQ788" s="55"/>
    </row>
    <row r="789" spans="69:69" ht="16" x14ac:dyDescent="0.2">
      <c r="BQ789" s="55"/>
    </row>
    <row r="790" spans="69:69" ht="16" x14ac:dyDescent="0.2">
      <c r="BQ790" s="55"/>
    </row>
    <row r="791" spans="69:69" ht="16" x14ac:dyDescent="0.2">
      <c r="BQ791" s="55"/>
    </row>
    <row r="792" spans="69:69" ht="16" x14ac:dyDescent="0.2">
      <c r="BQ792" s="55"/>
    </row>
    <row r="793" spans="69:69" ht="16" x14ac:dyDescent="0.2">
      <c r="BQ793" s="55"/>
    </row>
    <row r="794" spans="69:69" ht="16" x14ac:dyDescent="0.2">
      <c r="BQ794" s="55"/>
    </row>
    <row r="795" spans="69:69" ht="16" x14ac:dyDescent="0.2">
      <c r="BQ795" s="55"/>
    </row>
    <row r="796" spans="69:69" ht="16" x14ac:dyDescent="0.2">
      <c r="BQ796" s="55"/>
    </row>
    <row r="797" spans="69:69" ht="16" x14ac:dyDescent="0.2">
      <c r="BQ797" s="55"/>
    </row>
    <row r="798" spans="69:69" ht="16" x14ac:dyDescent="0.2">
      <c r="BQ798" s="55"/>
    </row>
    <row r="799" spans="69:69" ht="16" x14ac:dyDescent="0.2">
      <c r="BQ799" s="55"/>
    </row>
    <row r="800" spans="69:69" ht="16" x14ac:dyDescent="0.2">
      <c r="BQ800" s="55"/>
    </row>
    <row r="801" spans="69:69" ht="16" x14ac:dyDescent="0.2">
      <c r="BQ801" s="55"/>
    </row>
    <row r="802" spans="69:69" ht="16" x14ac:dyDescent="0.2">
      <c r="BQ802" s="55"/>
    </row>
    <row r="803" spans="69:69" ht="16" x14ac:dyDescent="0.2">
      <c r="BQ803" s="55"/>
    </row>
    <row r="804" spans="69:69" ht="16" x14ac:dyDescent="0.2">
      <c r="BQ804" s="55"/>
    </row>
    <row r="805" spans="69:69" ht="16" x14ac:dyDescent="0.2">
      <c r="BQ805" s="55"/>
    </row>
    <row r="806" spans="69:69" ht="16" x14ac:dyDescent="0.2">
      <c r="BQ806" s="55"/>
    </row>
    <row r="807" spans="69:69" ht="16" x14ac:dyDescent="0.2">
      <c r="BQ807" s="55"/>
    </row>
    <row r="808" spans="69:69" ht="16" x14ac:dyDescent="0.2">
      <c r="BQ808" s="55"/>
    </row>
    <row r="809" spans="69:69" ht="16" x14ac:dyDescent="0.2">
      <c r="BQ809" s="55"/>
    </row>
    <row r="810" spans="69:69" ht="16" x14ac:dyDescent="0.2">
      <c r="BQ810" s="55"/>
    </row>
    <row r="811" spans="69:69" ht="16" x14ac:dyDescent="0.2">
      <c r="BQ811" s="55"/>
    </row>
    <row r="812" spans="69:69" ht="16" x14ac:dyDescent="0.2">
      <c r="BQ812" s="55"/>
    </row>
    <row r="813" spans="69:69" ht="16" x14ac:dyDescent="0.2">
      <c r="BQ813" s="55"/>
    </row>
    <row r="814" spans="69:69" ht="16" x14ac:dyDescent="0.2">
      <c r="BQ814" s="55"/>
    </row>
    <row r="815" spans="69:69" ht="16" x14ac:dyDescent="0.2">
      <c r="BQ815" s="55"/>
    </row>
    <row r="816" spans="69:69" ht="16" x14ac:dyDescent="0.2">
      <c r="BQ816" s="55"/>
    </row>
    <row r="817" spans="69:69" ht="16" x14ac:dyDescent="0.2">
      <c r="BQ817" s="55"/>
    </row>
    <row r="818" spans="69:69" ht="16" x14ac:dyDescent="0.2">
      <c r="BQ818" s="55"/>
    </row>
    <row r="819" spans="69:69" ht="16" x14ac:dyDescent="0.2">
      <c r="BQ819" s="55"/>
    </row>
    <row r="820" spans="69:69" ht="16" x14ac:dyDescent="0.2">
      <c r="BQ820" s="55"/>
    </row>
    <row r="821" spans="69:69" ht="16" x14ac:dyDescent="0.2">
      <c r="BQ821" s="55"/>
    </row>
    <row r="822" spans="69:69" ht="16" x14ac:dyDescent="0.2">
      <c r="BQ822" s="55"/>
    </row>
    <row r="823" spans="69:69" ht="16" x14ac:dyDescent="0.2">
      <c r="BQ823" s="55"/>
    </row>
    <row r="824" spans="69:69" ht="16" x14ac:dyDescent="0.2">
      <c r="BQ824" s="55"/>
    </row>
    <row r="825" spans="69:69" ht="16" x14ac:dyDescent="0.2">
      <c r="BQ825" s="55"/>
    </row>
    <row r="826" spans="69:69" ht="16" x14ac:dyDescent="0.2">
      <c r="BQ826" s="55"/>
    </row>
    <row r="827" spans="69:69" ht="16" x14ac:dyDescent="0.2">
      <c r="BQ827" s="55"/>
    </row>
    <row r="828" spans="69:69" ht="16" x14ac:dyDescent="0.2">
      <c r="BQ828" s="55"/>
    </row>
    <row r="829" spans="69:69" ht="16" x14ac:dyDescent="0.2">
      <c r="BQ829" s="55"/>
    </row>
    <row r="830" spans="69:69" ht="16" x14ac:dyDescent="0.2">
      <c r="BQ830" s="55"/>
    </row>
    <row r="831" spans="69:69" ht="16" x14ac:dyDescent="0.2">
      <c r="BQ831" s="55"/>
    </row>
    <row r="832" spans="69:69" ht="16" x14ac:dyDescent="0.2">
      <c r="BQ832" s="55"/>
    </row>
    <row r="833" spans="69:69" ht="16" x14ac:dyDescent="0.2">
      <c r="BQ833" s="55"/>
    </row>
    <row r="834" spans="69:69" ht="16" x14ac:dyDescent="0.2">
      <c r="BQ834" s="55"/>
    </row>
    <row r="835" spans="69:69" ht="16" x14ac:dyDescent="0.2">
      <c r="BQ835" s="55"/>
    </row>
    <row r="836" spans="69:69" ht="16" x14ac:dyDescent="0.2">
      <c r="BQ836" s="55"/>
    </row>
    <row r="837" spans="69:69" ht="16" x14ac:dyDescent="0.2">
      <c r="BQ837" s="55"/>
    </row>
    <row r="838" spans="69:69" ht="16" x14ac:dyDescent="0.2">
      <c r="BQ838" s="55"/>
    </row>
    <row r="839" spans="69:69" ht="16" x14ac:dyDescent="0.2">
      <c r="BQ839" s="55"/>
    </row>
    <row r="840" spans="69:69" ht="16" x14ac:dyDescent="0.2">
      <c r="BQ840" s="55"/>
    </row>
    <row r="841" spans="69:69" ht="16" x14ac:dyDescent="0.2">
      <c r="BQ841" s="55"/>
    </row>
    <row r="842" spans="69:69" ht="16" x14ac:dyDescent="0.2">
      <c r="BQ842" s="55"/>
    </row>
    <row r="843" spans="69:69" ht="16" x14ac:dyDescent="0.2">
      <c r="BQ843" s="55"/>
    </row>
    <row r="844" spans="69:69" ht="16" x14ac:dyDescent="0.2">
      <c r="BQ844" s="55"/>
    </row>
    <row r="845" spans="69:69" ht="16" x14ac:dyDescent="0.2">
      <c r="BQ845" s="55"/>
    </row>
    <row r="846" spans="69:69" ht="16" x14ac:dyDescent="0.2">
      <c r="BQ846" s="55"/>
    </row>
    <row r="847" spans="69:69" ht="16" x14ac:dyDescent="0.2">
      <c r="BQ847" s="55"/>
    </row>
    <row r="848" spans="69:69" ht="16" x14ac:dyDescent="0.2">
      <c r="BQ848" s="55"/>
    </row>
    <row r="849" spans="69:69" ht="16" x14ac:dyDescent="0.2">
      <c r="BQ849" s="55"/>
    </row>
    <row r="850" spans="69:69" ht="16" x14ac:dyDescent="0.2">
      <c r="BQ850" s="55"/>
    </row>
    <row r="851" spans="69:69" ht="16" x14ac:dyDescent="0.2">
      <c r="BQ851" s="55"/>
    </row>
    <row r="852" spans="69:69" ht="16" x14ac:dyDescent="0.2">
      <c r="BQ852" s="55"/>
    </row>
    <row r="853" spans="69:69" ht="16" x14ac:dyDescent="0.2">
      <c r="BQ853" s="55"/>
    </row>
    <row r="854" spans="69:69" ht="16" x14ac:dyDescent="0.2">
      <c r="BQ854" s="55"/>
    </row>
    <row r="855" spans="69:69" ht="16" x14ac:dyDescent="0.2">
      <c r="BQ855" s="55"/>
    </row>
    <row r="856" spans="69:69" ht="16" x14ac:dyDescent="0.2">
      <c r="BQ856" s="55"/>
    </row>
    <row r="857" spans="69:69" ht="16" x14ac:dyDescent="0.2">
      <c r="BQ857" s="55"/>
    </row>
    <row r="858" spans="69:69" ht="16" x14ac:dyDescent="0.2">
      <c r="BQ858" s="55"/>
    </row>
    <row r="859" spans="69:69" ht="16" x14ac:dyDescent="0.2">
      <c r="BQ859" s="55"/>
    </row>
    <row r="860" spans="69:69" ht="16" x14ac:dyDescent="0.2">
      <c r="BQ860" s="55"/>
    </row>
    <row r="861" spans="69:69" ht="16" x14ac:dyDescent="0.2">
      <c r="BQ861" s="55"/>
    </row>
    <row r="862" spans="69:69" ht="16" x14ac:dyDescent="0.2">
      <c r="BQ862" s="55"/>
    </row>
    <row r="863" spans="69:69" ht="16" x14ac:dyDescent="0.2">
      <c r="BQ863" s="55"/>
    </row>
    <row r="864" spans="69:69" ht="16" x14ac:dyDescent="0.2">
      <c r="BQ864" s="55"/>
    </row>
    <row r="865" spans="69:69" ht="16" x14ac:dyDescent="0.2">
      <c r="BQ865" s="55"/>
    </row>
    <row r="866" spans="69:69" ht="16" x14ac:dyDescent="0.2">
      <c r="BQ866" s="55"/>
    </row>
    <row r="867" spans="69:69" ht="16" x14ac:dyDescent="0.2">
      <c r="BQ867" s="55"/>
    </row>
    <row r="868" spans="69:69" ht="16" x14ac:dyDescent="0.2">
      <c r="BQ868" s="55"/>
    </row>
    <row r="869" spans="69:69" ht="16" x14ac:dyDescent="0.2">
      <c r="BQ869" s="55"/>
    </row>
    <row r="870" spans="69:69" ht="16" x14ac:dyDescent="0.2">
      <c r="BQ870" s="55"/>
    </row>
    <row r="871" spans="69:69" ht="16" x14ac:dyDescent="0.2">
      <c r="BQ871" s="55"/>
    </row>
    <row r="872" spans="69:69" ht="16" x14ac:dyDescent="0.2">
      <c r="BQ872" s="55"/>
    </row>
    <row r="873" spans="69:69" ht="16" x14ac:dyDescent="0.2">
      <c r="BQ873" s="55"/>
    </row>
    <row r="874" spans="69:69" ht="16" x14ac:dyDescent="0.2">
      <c r="BQ874" s="55"/>
    </row>
    <row r="875" spans="69:69" ht="16" x14ac:dyDescent="0.2">
      <c r="BQ875" s="55"/>
    </row>
    <row r="876" spans="69:69" ht="16" x14ac:dyDescent="0.2">
      <c r="BQ876" s="55"/>
    </row>
    <row r="877" spans="69:69" ht="16" x14ac:dyDescent="0.2">
      <c r="BQ877" s="55"/>
    </row>
    <row r="878" spans="69:69" ht="16" x14ac:dyDescent="0.2">
      <c r="BQ878" s="55"/>
    </row>
    <row r="879" spans="69:69" ht="16" x14ac:dyDescent="0.2">
      <c r="BQ879" s="55"/>
    </row>
    <row r="880" spans="69:69" ht="16" x14ac:dyDescent="0.2">
      <c r="BQ880" s="55"/>
    </row>
    <row r="881" spans="69:69" ht="16" x14ac:dyDescent="0.2">
      <c r="BQ881" s="55"/>
    </row>
    <row r="882" spans="69:69" ht="16" x14ac:dyDescent="0.2">
      <c r="BQ882" s="55"/>
    </row>
    <row r="883" spans="69:69" ht="16" x14ac:dyDescent="0.2">
      <c r="BQ883" s="55"/>
    </row>
    <row r="884" spans="69:69" ht="16" x14ac:dyDescent="0.2">
      <c r="BQ884" s="55"/>
    </row>
    <row r="885" spans="69:69" ht="16" x14ac:dyDescent="0.2">
      <c r="BQ885" s="55"/>
    </row>
    <row r="886" spans="69:69" ht="16" x14ac:dyDescent="0.2">
      <c r="BQ886" s="55"/>
    </row>
    <row r="887" spans="69:69" ht="16" x14ac:dyDescent="0.2">
      <c r="BQ887" s="55"/>
    </row>
    <row r="888" spans="69:69" ht="16" x14ac:dyDescent="0.2">
      <c r="BQ888" s="55"/>
    </row>
    <row r="889" spans="69:69" ht="16" x14ac:dyDescent="0.2">
      <c r="BQ889" s="55"/>
    </row>
    <row r="890" spans="69:69" ht="16" x14ac:dyDescent="0.2">
      <c r="BQ890" s="55"/>
    </row>
    <row r="891" spans="69:69" ht="16" x14ac:dyDescent="0.2">
      <c r="BQ891" s="55"/>
    </row>
    <row r="892" spans="69:69" ht="16" x14ac:dyDescent="0.2">
      <c r="BQ892" s="55"/>
    </row>
    <row r="893" spans="69:69" ht="16" x14ac:dyDescent="0.2">
      <c r="BQ893" s="55"/>
    </row>
    <row r="894" spans="69:69" ht="16" x14ac:dyDescent="0.2">
      <c r="BQ894" s="55"/>
    </row>
    <row r="895" spans="69:69" ht="16" x14ac:dyDescent="0.2">
      <c r="BQ895" s="55"/>
    </row>
    <row r="896" spans="69:69" ht="16" x14ac:dyDescent="0.2">
      <c r="BQ896" s="55"/>
    </row>
    <row r="897" spans="69:69" ht="16" x14ac:dyDescent="0.2">
      <c r="BQ897" s="55"/>
    </row>
    <row r="898" spans="69:69" ht="16" x14ac:dyDescent="0.2">
      <c r="BQ898" s="55"/>
    </row>
    <row r="899" spans="69:69" ht="16" x14ac:dyDescent="0.2">
      <c r="BQ899" s="55"/>
    </row>
    <row r="900" spans="69:69" ht="16" x14ac:dyDescent="0.2">
      <c r="BQ900" s="55"/>
    </row>
    <row r="901" spans="69:69" ht="16" x14ac:dyDescent="0.2">
      <c r="BQ901" s="55"/>
    </row>
    <row r="902" spans="69:69" ht="16" x14ac:dyDescent="0.2">
      <c r="BQ902" s="55"/>
    </row>
    <row r="903" spans="69:69" ht="16" x14ac:dyDescent="0.2">
      <c r="BQ903" s="55"/>
    </row>
    <row r="904" spans="69:69" ht="16" x14ac:dyDescent="0.2">
      <c r="BQ904" s="55"/>
    </row>
    <row r="905" spans="69:69" ht="16" x14ac:dyDescent="0.2">
      <c r="BQ905" s="55"/>
    </row>
    <row r="906" spans="69:69" ht="16" x14ac:dyDescent="0.2">
      <c r="BQ906" s="55"/>
    </row>
    <row r="907" spans="69:69" ht="16" x14ac:dyDescent="0.2">
      <c r="BQ907" s="55"/>
    </row>
    <row r="908" spans="69:69" ht="16" x14ac:dyDescent="0.2">
      <c r="BQ908" s="55"/>
    </row>
    <row r="909" spans="69:69" ht="16" x14ac:dyDescent="0.2">
      <c r="BQ909" s="55"/>
    </row>
    <row r="910" spans="69:69" ht="16" x14ac:dyDescent="0.2">
      <c r="BQ910" s="55"/>
    </row>
    <row r="911" spans="69:69" ht="16" x14ac:dyDescent="0.2">
      <c r="BQ911" s="55"/>
    </row>
    <row r="912" spans="69:69" ht="16" x14ac:dyDescent="0.2">
      <c r="BQ912" s="55"/>
    </row>
    <row r="913" spans="69:69" ht="16" x14ac:dyDescent="0.2">
      <c r="BQ913" s="55"/>
    </row>
    <row r="914" spans="69:69" ht="16" x14ac:dyDescent="0.2">
      <c r="BQ914" s="55"/>
    </row>
    <row r="915" spans="69:69" ht="16" x14ac:dyDescent="0.2">
      <c r="BQ915" s="55"/>
    </row>
    <row r="916" spans="69:69" ht="16" x14ac:dyDescent="0.2">
      <c r="BQ916" s="55"/>
    </row>
    <row r="917" spans="69:69" ht="16" x14ac:dyDescent="0.2">
      <c r="BQ917" s="55"/>
    </row>
    <row r="918" spans="69:69" ht="16" x14ac:dyDescent="0.2">
      <c r="BQ918" s="55"/>
    </row>
    <row r="919" spans="69:69" ht="16" x14ac:dyDescent="0.2">
      <c r="BQ919" s="55"/>
    </row>
    <row r="920" spans="69:69" ht="16" x14ac:dyDescent="0.2">
      <c r="BQ920" s="55"/>
    </row>
    <row r="921" spans="69:69" ht="16" x14ac:dyDescent="0.2">
      <c r="BQ921" s="55"/>
    </row>
    <row r="922" spans="69:69" ht="16" x14ac:dyDescent="0.2">
      <c r="BQ922" s="55"/>
    </row>
    <row r="923" spans="69:69" ht="16" x14ac:dyDescent="0.2">
      <c r="BQ923" s="55"/>
    </row>
    <row r="924" spans="69:69" ht="16" x14ac:dyDescent="0.2">
      <c r="BQ924" s="55"/>
    </row>
    <row r="925" spans="69:69" ht="16" x14ac:dyDescent="0.2">
      <c r="BQ925" s="55"/>
    </row>
    <row r="926" spans="69:69" ht="16" x14ac:dyDescent="0.2">
      <c r="BQ926" s="55"/>
    </row>
    <row r="927" spans="69:69" ht="16" x14ac:dyDescent="0.2">
      <c r="BQ927" s="55"/>
    </row>
    <row r="928" spans="69:69" ht="16" x14ac:dyDescent="0.2">
      <c r="BQ928" s="55"/>
    </row>
    <row r="929" spans="69:69" ht="16" x14ac:dyDescent="0.2">
      <c r="BQ929" s="55"/>
    </row>
    <row r="930" spans="69:69" ht="16" x14ac:dyDescent="0.2">
      <c r="BQ930" s="55"/>
    </row>
    <row r="931" spans="69:69" ht="16" x14ac:dyDescent="0.2">
      <c r="BQ931" s="55"/>
    </row>
    <row r="932" spans="69:69" ht="16" x14ac:dyDescent="0.2">
      <c r="BQ932" s="55"/>
    </row>
    <row r="933" spans="69:69" ht="16" x14ac:dyDescent="0.2">
      <c r="BQ933" s="55"/>
    </row>
    <row r="934" spans="69:69" ht="16" x14ac:dyDescent="0.2">
      <c r="BQ934" s="55"/>
    </row>
    <row r="935" spans="69:69" ht="16" x14ac:dyDescent="0.2">
      <c r="BQ935" s="55"/>
    </row>
    <row r="936" spans="69:69" ht="16" x14ac:dyDescent="0.2">
      <c r="BQ936" s="55"/>
    </row>
    <row r="937" spans="69:69" ht="16" x14ac:dyDescent="0.2">
      <c r="BQ937" s="55"/>
    </row>
    <row r="938" spans="69:69" ht="16" x14ac:dyDescent="0.2">
      <c r="BQ938" s="55"/>
    </row>
    <row r="939" spans="69:69" ht="16" x14ac:dyDescent="0.2">
      <c r="BQ939" s="55"/>
    </row>
    <row r="940" spans="69:69" ht="16" x14ac:dyDescent="0.2">
      <c r="BQ940" s="55"/>
    </row>
    <row r="941" spans="69:69" ht="16" x14ac:dyDescent="0.2">
      <c r="BQ941" s="55"/>
    </row>
    <row r="942" spans="69:69" ht="16" x14ac:dyDescent="0.2">
      <c r="BQ942" s="55"/>
    </row>
    <row r="943" spans="69:69" ht="16" x14ac:dyDescent="0.2">
      <c r="BQ943" s="55"/>
    </row>
    <row r="944" spans="69:69" ht="16" x14ac:dyDescent="0.2">
      <c r="BQ944" s="55"/>
    </row>
    <row r="945" spans="69:69" ht="16" x14ac:dyDescent="0.2">
      <c r="BQ945" s="55"/>
    </row>
    <row r="946" spans="69:69" ht="16" x14ac:dyDescent="0.2">
      <c r="BQ946" s="55"/>
    </row>
    <row r="947" spans="69:69" ht="16" x14ac:dyDescent="0.2">
      <c r="BQ947" s="55"/>
    </row>
    <row r="948" spans="69:69" ht="16" x14ac:dyDescent="0.2">
      <c r="BQ948" s="55"/>
    </row>
    <row r="949" spans="69:69" ht="16" x14ac:dyDescent="0.2">
      <c r="BQ949" s="55"/>
    </row>
    <row r="950" spans="69:69" ht="16" x14ac:dyDescent="0.2">
      <c r="BQ950" s="55"/>
    </row>
    <row r="951" spans="69:69" ht="16" x14ac:dyDescent="0.2">
      <c r="BQ951" s="55"/>
    </row>
    <row r="952" spans="69:69" ht="16" x14ac:dyDescent="0.2">
      <c r="BQ952" s="55"/>
    </row>
    <row r="953" spans="69:69" ht="16" x14ac:dyDescent="0.2">
      <c r="BQ953" s="55"/>
    </row>
    <row r="954" spans="69:69" ht="16" x14ac:dyDescent="0.2">
      <c r="BQ954" s="55"/>
    </row>
    <row r="955" spans="69:69" ht="16" x14ac:dyDescent="0.2">
      <c r="BQ955" s="55"/>
    </row>
    <row r="956" spans="69:69" ht="16" x14ac:dyDescent="0.2">
      <c r="BQ956" s="55"/>
    </row>
    <row r="957" spans="69:69" ht="16" x14ac:dyDescent="0.2">
      <c r="BQ957" s="55"/>
    </row>
    <row r="958" spans="69:69" ht="16" x14ac:dyDescent="0.2">
      <c r="BQ958" s="55"/>
    </row>
    <row r="959" spans="69:69" ht="16" x14ac:dyDescent="0.2">
      <c r="BQ959" s="55"/>
    </row>
    <row r="960" spans="69:69" ht="16" x14ac:dyDescent="0.2">
      <c r="BQ960" s="55"/>
    </row>
    <row r="961" spans="69:69" ht="16" x14ac:dyDescent="0.2">
      <c r="BQ961" s="55"/>
    </row>
    <row r="962" spans="69:69" ht="16" x14ac:dyDescent="0.2">
      <c r="BQ962" s="55"/>
    </row>
    <row r="963" spans="69:69" ht="16" x14ac:dyDescent="0.2">
      <c r="BQ963" s="55"/>
    </row>
    <row r="964" spans="69:69" ht="16" x14ac:dyDescent="0.2">
      <c r="BQ964" s="55"/>
    </row>
    <row r="965" spans="69:69" ht="16" x14ac:dyDescent="0.2">
      <c r="BQ965" s="55"/>
    </row>
    <row r="966" spans="69:69" ht="16" x14ac:dyDescent="0.2">
      <c r="BQ966" s="55"/>
    </row>
    <row r="967" spans="69:69" ht="16" x14ac:dyDescent="0.2">
      <c r="BQ967" s="55"/>
    </row>
    <row r="968" spans="69:69" ht="16" x14ac:dyDescent="0.2">
      <c r="BQ968" s="55"/>
    </row>
    <row r="969" spans="69:69" ht="16" x14ac:dyDescent="0.2">
      <c r="BQ969" s="55"/>
    </row>
    <row r="970" spans="69:69" ht="16" x14ac:dyDescent="0.2">
      <c r="BQ970" s="55"/>
    </row>
    <row r="971" spans="69:69" ht="16" x14ac:dyDescent="0.2">
      <c r="BQ971" s="55"/>
    </row>
    <row r="972" spans="69:69" ht="16" x14ac:dyDescent="0.2">
      <c r="BQ972" s="55"/>
    </row>
    <row r="973" spans="69:69" ht="16" x14ac:dyDescent="0.2">
      <c r="BQ973" s="55"/>
    </row>
    <row r="974" spans="69:69" ht="16" x14ac:dyDescent="0.2">
      <c r="BQ974" s="55"/>
    </row>
    <row r="975" spans="69:69" ht="16" x14ac:dyDescent="0.2">
      <c r="BQ975" s="55"/>
    </row>
    <row r="976" spans="69:69" ht="16" x14ac:dyDescent="0.2">
      <c r="BQ976" s="55"/>
    </row>
    <row r="977" spans="69:69" ht="16" x14ac:dyDescent="0.2">
      <c r="BQ977" s="55"/>
    </row>
    <row r="978" spans="69:69" ht="16" x14ac:dyDescent="0.2">
      <c r="BQ978" s="55"/>
    </row>
    <row r="979" spans="69:69" ht="16" x14ac:dyDescent="0.2">
      <c r="BQ979" s="55"/>
    </row>
    <row r="980" spans="69:69" ht="16" x14ac:dyDescent="0.2">
      <c r="BQ980" s="55"/>
    </row>
    <row r="981" spans="69:69" ht="16" x14ac:dyDescent="0.2">
      <c r="BQ981" s="55"/>
    </row>
    <row r="982" spans="69:69" ht="16" x14ac:dyDescent="0.2">
      <c r="BQ982" s="55"/>
    </row>
    <row r="983" spans="69:69" ht="16" x14ac:dyDescent="0.2">
      <c r="BQ983" s="55"/>
    </row>
    <row r="984" spans="69:69" ht="16" x14ac:dyDescent="0.2">
      <c r="BQ984" s="55"/>
    </row>
    <row r="985" spans="69:69" ht="16" x14ac:dyDescent="0.2">
      <c r="BQ985" s="55"/>
    </row>
    <row r="986" spans="69:69" ht="16" x14ac:dyDescent="0.2">
      <c r="BQ986" s="55"/>
    </row>
    <row r="987" spans="69:69" ht="16" x14ac:dyDescent="0.2">
      <c r="BQ987" s="55"/>
    </row>
    <row r="988" spans="69:69" ht="16" x14ac:dyDescent="0.2">
      <c r="BQ988" s="55"/>
    </row>
    <row r="989" spans="69:69" ht="16" x14ac:dyDescent="0.2">
      <c r="BQ989" s="55"/>
    </row>
    <row r="990" spans="69:69" ht="16" x14ac:dyDescent="0.2">
      <c r="BQ990" s="55"/>
    </row>
    <row r="991" spans="69:69" ht="16" x14ac:dyDescent="0.2">
      <c r="BQ991" s="55"/>
    </row>
    <row r="992" spans="69:69" ht="16" x14ac:dyDescent="0.2">
      <c r="BQ992" s="55"/>
    </row>
    <row r="993" spans="69:69" ht="16" x14ac:dyDescent="0.2">
      <c r="BQ993" s="55"/>
    </row>
    <row r="994" spans="69:69" ht="16" x14ac:dyDescent="0.2">
      <c r="BQ994" s="55"/>
    </row>
    <row r="995" spans="69:69" ht="16" x14ac:dyDescent="0.2">
      <c r="BQ995" s="55"/>
    </row>
    <row r="996" spans="69:69" ht="16" x14ac:dyDescent="0.2">
      <c r="BQ996" s="55"/>
    </row>
    <row r="997" spans="69:69" ht="16" x14ac:dyDescent="0.2">
      <c r="BQ997" s="55"/>
    </row>
    <row r="998" spans="69:69" ht="16" x14ac:dyDescent="0.2">
      <c r="BQ998" s="55"/>
    </row>
    <row r="999" spans="69:69" ht="16" x14ac:dyDescent="0.2">
      <c r="BQ999" s="55"/>
    </row>
    <row r="1000" spans="69:69" ht="16" x14ac:dyDescent="0.2">
      <c r="BQ1000" s="55"/>
    </row>
    <row r="1001" spans="69:69" ht="16" x14ac:dyDescent="0.2">
      <c r="BQ1001" s="55"/>
    </row>
    <row r="1002" spans="69:69" ht="16" x14ac:dyDescent="0.2">
      <c r="BQ1002" s="55"/>
    </row>
    <row r="1003" spans="69:69" ht="16" x14ac:dyDescent="0.2">
      <c r="BQ1003" s="55"/>
    </row>
    <row r="1004" spans="69:69" ht="16" x14ac:dyDescent="0.2">
      <c r="BQ1004" s="55"/>
    </row>
    <row r="1005" spans="69:69" ht="16" x14ac:dyDescent="0.2">
      <c r="BQ1005" s="55"/>
    </row>
    <row r="1006" spans="69:69" ht="16" x14ac:dyDescent="0.2">
      <c r="BQ1006" s="55"/>
    </row>
  </sheetData>
  <mergeCells count="3">
    <mergeCell ref="B1:M1"/>
    <mergeCell ref="Q1:R1"/>
    <mergeCell ref="U1:BP1"/>
  </mergeCells>
  <dataValidations count="3">
    <dataValidation type="list" allowBlank="1" showInputMessage="1" showErrorMessage="1" prompt="Click and enter a value from the list of items" sqref="B4:T35" xr:uid="{00000000-0002-0000-0200-000000000000}">
      <formula1>"8,50,100,150,200,250,300,350,400,450,500,550,600,650,700,750,800,850,900,1000,1050,1100,1150,1200,1250,1300,1350,1400,1450,1500,1550,1600,1650,1700,1750,1800,1850,1900,1950,2000,950,2050,2100,2150,2200,2250,2300,2350,2400,2450,2500,2550,2600,2650,2700,275"&amp;"0,2800,2850,2900,2950,3000,Annual"</formula1>
    </dataValidation>
    <dataValidation type="list" allowBlank="1" showInputMessage="1" showErrorMessage="1" prompt="Click and enter a value from the list of items" sqref="U4:BQ34" xr:uid="{00000000-0002-0000-0200-000001000000}">
      <formula1>"8,50,100,150,200,250,300,350,400,450,500,550,600,650,700,750,800,850,900,950,1000,1050,1100,1150,1200,1250,1300,1350,1400,1450,1500,1550,1600,1650,1700,1750,1800,1850,1900,1950,2000,2050,2100,2150,2200,2250,2300,2350,2400,2450,2500,2550,2600,2650,2700,275"&amp;"0,2800,2850,2900,2950,3000,Annual"</formula1>
    </dataValidation>
    <dataValidation type="list" allowBlank="1" showInputMessage="1" showErrorMessage="1" prompt="Is the Job Labor, - Parts or Both" sqref="B3:BQ3" xr:uid="{00000000-0002-0000-0200-000002000000}">
      <formula1>"Labor Only,Parts Only,Parts and Labor"</formula1>
    </dataValidation>
  </dataValidations>
  <pageMargins left="0.25" right="0.25" top="0.75" bottom="0.75" header="0" footer="0"/>
  <pageSetup fitToWidth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68"/>
  <sheetViews>
    <sheetView workbookViewId="0">
      <pane xSplit="1" ySplit="3" topLeftCell="AY4" activePane="bottomRight" state="frozen"/>
      <selection activeCell="A13" sqref="A13:E16"/>
      <selection pane="topRight" activeCell="A13" sqref="A13:E16"/>
      <selection pane="bottomLeft" activeCell="A13" sqref="A13:E16"/>
      <selection pane="bottomRight" activeCell="A32" sqref="A32"/>
    </sheetView>
  </sheetViews>
  <sheetFormatPr baseColWidth="10" defaultColWidth="11.1640625" defaultRowHeight="15" customHeight="1" x14ac:dyDescent="0.2"/>
  <cols>
    <col min="1" max="1" width="20.5" customWidth="1"/>
    <col min="2" max="27" width="10.83203125" customWidth="1"/>
    <col min="28" max="28" width="13.5" customWidth="1"/>
    <col min="29" max="61" width="10.83203125" customWidth="1"/>
    <col min="62" max="62" width="12.33203125" customWidth="1"/>
    <col min="63" max="68" width="10.83203125" customWidth="1"/>
  </cols>
  <sheetData>
    <row r="1" spans="1:68" x14ac:dyDescent="0.2">
      <c r="B1" s="270" t="s">
        <v>95</v>
      </c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2"/>
      <c r="Q1" s="273" t="s">
        <v>96</v>
      </c>
      <c r="R1" s="265"/>
      <c r="S1" s="265"/>
      <c r="T1" s="269"/>
      <c r="U1" s="268" t="s">
        <v>23</v>
      </c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65"/>
      <c r="AK1" s="265"/>
      <c r="AL1" s="265"/>
      <c r="AM1" s="265"/>
      <c r="AN1" s="265"/>
      <c r="AO1" s="265"/>
      <c r="AP1" s="265"/>
      <c r="AQ1" s="265"/>
      <c r="AR1" s="265"/>
      <c r="AS1" s="265"/>
      <c r="AT1" s="265"/>
      <c r="AU1" s="265"/>
      <c r="AV1" s="265"/>
      <c r="AW1" s="265"/>
      <c r="AX1" s="265"/>
      <c r="AY1" s="265"/>
      <c r="AZ1" s="265"/>
      <c r="BA1" s="265"/>
      <c r="BB1" s="265"/>
      <c r="BC1" s="265"/>
      <c r="BD1" s="265"/>
      <c r="BE1" s="265"/>
      <c r="BF1" s="265"/>
      <c r="BG1" s="265"/>
      <c r="BH1" s="265"/>
      <c r="BI1" s="265"/>
      <c r="BJ1" s="265"/>
      <c r="BK1" s="265"/>
      <c r="BL1" s="265"/>
      <c r="BM1" s="265"/>
      <c r="BN1" s="265"/>
      <c r="BO1" s="265"/>
      <c r="BP1" s="269"/>
    </row>
    <row r="2" spans="1:68" x14ac:dyDescent="0.2">
      <c r="A2" s="29" t="s">
        <v>97</v>
      </c>
      <c r="B2" s="114" t="str">
        <f>+'Scheduled Intervals'!B2</f>
        <v>Perform Oil and Filter Change</v>
      </c>
      <c r="C2" s="115" t="str">
        <f>+'Scheduled Intervals'!C2</f>
        <v xml:space="preserve">Clean Water seperator </v>
      </c>
      <c r="D2" s="115" t="str">
        <f>+'Scheduled Intervals'!D2</f>
        <v xml:space="preserve">Drain Water from Fuel Tank </v>
      </c>
      <c r="E2" s="115" t="str">
        <f>+'Scheduled Intervals'!E2</f>
        <v>Perform Transmission Filter and Fluid Service</v>
      </c>
      <c r="F2" s="115" t="str">
        <f>+'Scheduled Intervals'!F2</f>
        <v xml:space="preserve">Change HST Oil Filter </v>
      </c>
      <c r="G2" s="115" t="str">
        <f>+'Scheduled Intervals'!G2</f>
        <v>Change Hydraulic Fluid</v>
      </c>
      <c r="H2" s="115" t="str">
        <f>+'Scheduled Intervals'!H2</f>
        <v>Grease Machine at required lubrication fittings</v>
      </c>
      <c r="I2" s="115" t="str">
        <f>+'Scheduled Intervals'!I2</f>
        <v>Conduct Multi Point Inpection and make minor adjustments</v>
      </c>
      <c r="J2" s="115" t="str">
        <f>+'Scheduled Intervals'!J2</f>
        <v>Perform Track Tension Adjustment</v>
      </c>
      <c r="K2" s="115" t="str">
        <f>+'Scheduled Intervals'!K2</f>
        <v xml:space="preserve">Change fuel filter element </v>
      </c>
      <c r="L2" s="115" t="str">
        <f>+'Scheduled Intervals'!L2</f>
        <v>Change final drive fluid</v>
      </c>
      <c r="M2" s="115" t="str">
        <f>+'Scheduled Intervals'!M2</f>
        <v>Change hydraulic return filter</v>
      </c>
      <c r="N2" s="116" t="str">
        <f>+'Scheduled Intervals'!N2</f>
        <v>Change final drive fluid</v>
      </c>
      <c r="O2" s="116" t="str">
        <f>+'Scheduled Intervals'!O2</f>
        <v>Change final drive fluid</v>
      </c>
      <c r="P2" s="117" t="str">
        <f>+'Scheduled Intervals'!P2</f>
        <v>Change Hydraulic suction return filter</v>
      </c>
      <c r="Q2" s="118" t="str">
        <f>+'Scheduled Intervals'!Q2</f>
        <v xml:space="preserve"> Change Hydraulic Oil Filter and Oil</v>
      </c>
      <c r="R2" s="119" t="str">
        <f>+'Scheduled Intervals'!R2</f>
        <v xml:space="preserve">Final Drive or Hydrostatic Oil Change </v>
      </c>
      <c r="S2" s="119" t="str">
        <f>+'Scheduled Intervals'!S2</f>
        <v>Change Transmission Fluid and filters</v>
      </c>
      <c r="T2" s="120" t="str">
        <f>+'Scheduled Intervals'!T2</f>
        <v>Change Hydraulic fluid</v>
      </c>
      <c r="U2" s="121" t="str">
        <f>+'Scheduled Intervals'!U2</f>
        <v>Perform Oil and Filter Change</v>
      </c>
      <c r="V2" s="122" t="str">
        <f>+'Scheduled Intervals'!V2</f>
        <v>Change Oil Seperator Element</v>
      </c>
      <c r="W2" s="122" t="str">
        <f>+'Scheduled Intervals'!W2</f>
        <v>Clean Water seperator</v>
      </c>
      <c r="X2" s="122" t="str">
        <f>+'Scheduled Intervals'!X2</f>
        <v>Replace Water Seperator Element</v>
      </c>
      <c r="Y2" s="122" t="str">
        <f>+'Scheduled Intervals'!Y2</f>
        <v>Drain Water from Fuel Tank</v>
      </c>
      <c r="Z2" s="122" t="str">
        <f>+'Scheduled Intervals'!Z2</f>
        <v>Change fuel Filter Element</v>
      </c>
      <c r="AA2" s="122" t="str">
        <f>+'Scheduled Intervals'!AA2</f>
        <v>Change Fuel Pump Filter and/or PCV Element</v>
      </c>
      <c r="AB2" s="122" t="str">
        <f>+'Scheduled Intervals'!AB2</f>
        <v xml:space="preserve">Perform Transmission Fluid and Tank Service </v>
      </c>
      <c r="AC2" s="122" t="str">
        <f>+'Scheduled Intervals'!AC2</f>
        <v>Replace Transmission Oil Filters</v>
      </c>
      <c r="AD2" s="122">
        <f>+'Scheduled Intervals'!AD2</f>
        <v>0</v>
      </c>
      <c r="AE2" s="122" t="str">
        <f>+'Scheduled Intervals'!AE2</f>
        <v>Change Hydraulic Oil Filter</v>
      </c>
      <c r="AF2" s="122" t="str">
        <f>+'Scheduled Intervals'!AF2</f>
        <v xml:space="preserve">Change or Clean Hydraulic Breather Element </v>
      </c>
      <c r="AG2" s="122" t="str">
        <f>+'Scheduled Intervals'!AG2</f>
        <v xml:space="preserve">Change or Clean Hydraulic return  Filter </v>
      </c>
      <c r="AH2" s="122" t="str">
        <f>+'Scheduled Intervals'!AH2</f>
        <v>Change Hydraulic Pilot Filters and O-Ring</v>
      </c>
      <c r="AI2" s="122" t="str">
        <f>+'Scheduled Intervals'!AI2</f>
        <v>Change Suction  Elements and Hydraulic Fluid</v>
      </c>
      <c r="AJ2" s="122" t="str">
        <f>+'Scheduled Intervals'!AJ2</f>
        <v xml:space="preserve">Change Drive Oil  - Front and Rear or Hydrostatic </v>
      </c>
      <c r="AK2" s="122" t="str">
        <f>+'Scheduled Intervals'!AK2</f>
        <v>Change Drive Oil Rear</v>
      </c>
      <c r="AL2" s="122" t="str">
        <f>+'Scheduled Intervals'!AL2</f>
        <v xml:space="preserve">Change Drive Oil Front </v>
      </c>
      <c r="AM2" s="122" t="str">
        <f>+'Scheduled Intervals'!AM2</f>
        <v>Change Gear Box Oil and Filter</v>
      </c>
      <c r="AN2" s="122" t="str">
        <f>+'Scheduled Intervals'!AN2</f>
        <v>Change Gear Box Seals</v>
      </c>
      <c r="AO2" s="122" t="str">
        <f>+'Scheduled Intervals'!AO2</f>
        <v>Grease Crank Shaft</v>
      </c>
      <c r="AP2" s="122" t="str">
        <f>+'Scheduled Intervals'!AP2</f>
        <v>Clean AC Condensor</v>
      </c>
      <c r="AQ2" s="122" t="str">
        <f>+'Scheduled Intervals'!AQ2</f>
        <v>Clean Cabin Air Filter</v>
      </c>
      <c r="AR2" s="122" t="str">
        <f>+'Scheduled Intervals'!AR2</f>
        <v>Change Breather Foam</v>
      </c>
      <c r="AS2" s="122" t="str">
        <f>+'Scheduled Intervals'!AS2</f>
        <v>Change or Clean Cabin Air Filter</v>
      </c>
      <c r="AT2" s="122" t="str">
        <f>+'Scheduled Intervals'!AT2</f>
        <v>Grease Machine at Assorted Lubrication Points</v>
      </c>
      <c r="AU2" s="122" t="str">
        <f>+'Scheduled Intervals'!AU2</f>
        <v>Lubricate and Oil Throttle Cable</v>
      </c>
      <c r="AV2" s="122" t="str">
        <f>+'Scheduled Intervals'!AV2</f>
        <v>Adjust Track Tension</v>
      </c>
      <c r="AW2" s="122" t="str">
        <f>+'Scheduled Intervals'!AW2</f>
        <v>Check and Adjust Valve Clearance</v>
      </c>
      <c r="AX2" s="122">
        <f>+'Scheduled Intervals'!AX2</f>
        <v>0</v>
      </c>
      <c r="AY2" s="122" t="str">
        <f>+'Scheduled Intervals'!AY2</f>
        <v>Adjust Electonic Clutch</v>
      </c>
      <c r="AZ2" s="122" t="str">
        <f>+'Scheduled Intervals'!AZ2</f>
        <v>Replace Fan/ Drive Belt</v>
      </c>
      <c r="BA2" s="122" t="str">
        <f>+'Scheduled Intervals'!BA2</f>
        <v>Replace or Replenish Power Steering Fluid</v>
      </c>
      <c r="BB2" s="122" t="str">
        <f>+'Scheduled Intervals'!BB2</f>
        <v>Replace Air Cleaner element</v>
      </c>
      <c r="BC2" s="122" t="str">
        <f>+'Scheduled Intervals'!BC2</f>
        <v>Replace Inner Air Filter</v>
      </c>
      <c r="BD2" s="122" t="str">
        <f>+'Scheduled Intervals'!BD2</f>
        <v>Replace Spark Plugs</v>
      </c>
      <c r="BE2" s="122" t="str">
        <f>+'Scheduled Intervals'!BE2</f>
        <v>Check End Play of  Center Shaft and Make minor Adjustment</v>
      </c>
      <c r="BF2" s="122" t="str">
        <f>+'Scheduled Intervals'!BF2</f>
        <v xml:space="preserve">Check PCV and EGR Valves and Check Fuel Injectors </v>
      </c>
      <c r="BG2" s="122" t="str">
        <f>+'Scheduled Intervals'!BG2</f>
        <v xml:space="preserve">Check DEF Injector Tips and Line </v>
      </c>
      <c r="BH2" s="122" t="str">
        <f>+'Scheduled Intervals'!BH2</f>
        <v>Perform Coolant System Flush</v>
      </c>
      <c r="BI2" s="122" t="str">
        <f>+'Scheduled Intervals'!BI2</f>
        <v>Inspect and Sharpen Blades</v>
      </c>
      <c r="BJ2" s="122" t="str">
        <f>+'Scheduled Intervals'!BJ2</f>
        <v>Conduct Multi Point Inpection and Make Minor Adjustments</v>
      </c>
      <c r="BK2" s="122" t="str">
        <f>+'Scheduled Intervals'!BK2</f>
        <v>Change DEF Suction and Pump Filters</v>
      </c>
      <c r="BL2" s="122" t="str">
        <f>+'Scheduled Intervals'!BL2</f>
        <v>Perform Brake Fluid Service</v>
      </c>
      <c r="BM2" s="122" t="str">
        <f>+'Scheduled Intervals'!BM2</f>
        <v>Change Swing Drive Oil</v>
      </c>
      <c r="BN2" s="122" t="str">
        <f>+'Scheduled Intervals'!BN2</f>
        <v>Perform Annual Oil and Filter Change</v>
      </c>
      <c r="BO2" s="122" t="str">
        <f>+'Scheduled Intervals'!BO2</f>
        <v>Annually Grease Machine at Assorted Lubrication Points</v>
      </c>
      <c r="BP2" s="123" t="str">
        <f>+'Scheduled Intervals'!BP2</f>
        <v>Conduct Annual Multi Point Inpection and Make Minor Adjustments</v>
      </c>
    </row>
    <row r="3" spans="1:68" x14ac:dyDescent="0.2">
      <c r="A3" s="124" t="s">
        <v>98</v>
      </c>
      <c r="B3" s="125" t="str">
        <f>+'Scheduled Intervals'!B3</f>
        <v>Parts and Labor</v>
      </c>
      <c r="C3" s="126" t="str">
        <f>+'Scheduled Intervals'!C3</f>
        <v>Labor Only</v>
      </c>
      <c r="D3" s="126" t="str">
        <f>+'Scheduled Intervals'!D3</f>
        <v>Labor Only</v>
      </c>
      <c r="E3" s="126" t="str">
        <f>+'Scheduled Intervals'!E3</f>
        <v>Parts and Labor</v>
      </c>
      <c r="F3" s="126" t="str">
        <f>+'Scheduled Intervals'!F3</f>
        <v>Parts and Labor</v>
      </c>
      <c r="G3" s="126" t="str">
        <f>+'Scheduled Intervals'!G3</f>
        <v>Parts and Labor</v>
      </c>
      <c r="H3" s="126" t="str">
        <f>+'Scheduled Intervals'!H3</f>
        <v>Parts and Labor</v>
      </c>
      <c r="I3" s="126" t="str">
        <f>+'Scheduled Intervals'!I3</f>
        <v>Labor Only</v>
      </c>
      <c r="J3" s="126" t="str">
        <f>+'Scheduled Intervals'!J3</f>
        <v>Labor Only</v>
      </c>
      <c r="K3" s="126" t="str">
        <f>+'Scheduled Intervals'!K3</f>
        <v>Parts and Labor</v>
      </c>
      <c r="L3" s="126" t="str">
        <f>+'Scheduled Intervals'!L3</f>
        <v>Parts and Labor</v>
      </c>
      <c r="M3" s="127" t="str">
        <f>+'Scheduled Intervals'!M3</f>
        <v>Parts and Labor</v>
      </c>
      <c r="N3" s="127" t="str">
        <f>+'Scheduled Intervals'!N3</f>
        <v>Parts and Labor</v>
      </c>
      <c r="O3" s="127" t="str">
        <f>+'Scheduled Intervals'!O3</f>
        <v>Parts and Labor</v>
      </c>
      <c r="P3" s="128" t="str">
        <f>+'Scheduled Intervals'!P3</f>
        <v>Parts and Labor</v>
      </c>
      <c r="Q3" s="129" t="str">
        <f>+'Scheduled Intervals'!Q3</f>
        <v>Parts and Labor</v>
      </c>
      <c r="R3" s="130" t="s">
        <v>72</v>
      </c>
      <c r="S3" s="131" t="str">
        <f>+'Scheduled Intervals'!S3</f>
        <v>Parts and Labor</v>
      </c>
      <c r="T3" s="132" t="str">
        <f>+'Scheduled Intervals'!T3</f>
        <v>Parts and Labor</v>
      </c>
      <c r="U3" s="121" t="str">
        <f>+'Scheduled Intervals'!U3</f>
        <v>Parts and Labor</v>
      </c>
      <c r="V3" s="122" t="str">
        <f>+'Scheduled Intervals'!V3</f>
        <v>Parts and Labor</v>
      </c>
      <c r="W3" s="122" t="str">
        <f>+'Scheduled Intervals'!W3</f>
        <v>Labor Only</v>
      </c>
      <c r="X3" s="122" t="str">
        <f>+'Scheduled Intervals'!X3</f>
        <v>Parts and Labor</v>
      </c>
      <c r="Y3" s="122" t="str">
        <f>+'Scheduled Intervals'!Y3</f>
        <v>Labor Only</v>
      </c>
      <c r="Z3" s="122" t="str">
        <f>+'Scheduled Intervals'!Z3</f>
        <v>Parts and Labor</v>
      </c>
      <c r="AA3" s="122" t="str">
        <f>+'Scheduled Intervals'!AA3</f>
        <v>Parts and Labor</v>
      </c>
      <c r="AB3" s="122" t="str">
        <f>+'Scheduled Intervals'!AB3</f>
        <v>Parts and Labor</v>
      </c>
      <c r="AC3" s="122" t="str">
        <f>+'Scheduled Intervals'!AC3</f>
        <v>Parts and Labor</v>
      </c>
      <c r="AD3" s="122" t="str">
        <f>+'Scheduled Intervals'!AD3</f>
        <v>Parts and Labor</v>
      </c>
      <c r="AE3" s="122" t="str">
        <f>+'Scheduled Intervals'!AE3</f>
        <v>Parts and Labor</v>
      </c>
      <c r="AF3" s="122" t="str">
        <f>+'Scheduled Intervals'!AF3</f>
        <v>Parts and Labor</v>
      </c>
      <c r="AG3" s="122" t="str">
        <f>+'Scheduled Intervals'!AG3</f>
        <v>Parts and Labor</v>
      </c>
      <c r="AH3" s="122" t="str">
        <f>+'Scheduled Intervals'!AH3</f>
        <v>Parts and Labor</v>
      </c>
      <c r="AI3" s="122" t="str">
        <f>+'Scheduled Intervals'!AI3</f>
        <v>Parts and Labor</v>
      </c>
      <c r="AJ3" s="122" t="str">
        <f>+'Scheduled Intervals'!AJ3</f>
        <v>Parts and Labor</v>
      </c>
      <c r="AK3" s="122" t="str">
        <f>+'Scheduled Intervals'!AK3</f>
        <v>Parts and Labor</v>
      </c>
      <c r="AL3" s="122" t="str">
        <f>+'Scheduled Intervals'!AL3</f>
        <v>Parts and Labor</v>
      </c>
      <c r="AM3" s="122" t="str">
        <f>+'Scheduled Intervals'!AM3</f>
        <v>Parts and Labor</v>
      </c>
      <c r="AN3" s="122" t="str">
        <f>+'Scheduled Intervals'!AN3</f>
        <v>Parts and Labor</v>
      </c>
      <c r="AO3" s="122" t="str">
        <f>+'Scheduled Intervals'!AO3</f>
        <v>Parts and Labor</v>
      </c>
      <c r="AP3" s="122" t="str">
        <f>+'Scheduled Intervals'!AP3</f>
        <v>Labor Only</v>
      </c>
      <c r="AQ3" s="122" t="str">
        <f>+'Scheduled Intervals'!AQ3</f>
        <v>Labor Only</v>
      </c>
      <c r="AR3" s="122" t="str">
        <f>+'Scheduled Intervals'!AR3</f>
        <v>Parts and Labor</v>
      </c>
      <c r="AS3" s="122" t="str">
        <f>+'Scheduled Intervals'!AS3</f>
        <v>Parts and Labor</v>
      </c>
      <c r="AT3" s="122" t="str">
        <f>+'Scheduled Intervals'!AT3</f>
        <v>Parts and Labor</v>
      </c>
      <c r="AU3" s="122" t="str">
        <f>+'Scheduled Intervals'!AU3</f>
        <v>Parts and Labor</v>
      </c>
      <c r="AV3" s="122" t="str">
        <f>+'Scheduled Intervals'!AV3</f>
        <v>Labor Only</v>
      </c>
      <c r="AW3" s="122" t="str">
        <f>+'Scheduled Intervals'!AW3</f>
        <v>Parts and Labor</v>
      </c>
      <c r="AX3" s="122" t="str">
        <f>+'Scheduled Intervals'!AX3</f>
        <v>Parts and Labor</v>
      </c>
      <c r="AY3" s="122" t="str">
        <f>+'Scheduled Intervals'!AY3</f>
        <v>Labor Only</v>
      </c>
      <c r="AZ3" s="122" t="str">
        <f>+'Scheduled Intervals'!AZ3</f>
        <v>Parts and Labor</v>
      </c>
      <c r="BA3" s="122" t="str">
        <f>+'Scheduled Intervals'!BA3</f>
        <v>Parts and Labor</v>
      </c>
      <c r="BB3" s="122" t="str">
        <f>+'Scheduled Intervals'!BB3</f>
        <v>Parts and Labor</v>
      </c>
      <c r="BC3" s="122" t="str">
        <f>+'Scheduled Intervals'!BC3</f>
        <v>Parts and Labor</v>
      </c>
      <c r="BD3" s="122" t="str">
        <f>+'Scheduled Intervals'!BD3</f>
        <v>Parts and Labor</v>
      </c>
      <c r="BE3" s="122" t="str">
        <f>+'Scheduled Intervals'!BE3</f>
        <v>Labor Only</v>
      </c>
      <c r="BF3" s="122" t="str">
        <f>+'Scheduled Intervals'!BF3</f>
        <v>Labor Only</v>
      </c>
      <c r="BG3" s="122" t="str">
        <f>+'Scheduled Intervals'!BG3</f>
        <v>Labor Only</v>
      </c>
      <c r="BH3" s="122" t="str">
        <f>+'Scheduled Intervals'!BH3</f>
        <v>Parts and Labor</v>
      </c>
      <c r="BI3" s="122" t="str">
        <f>+'Scheduled Intervals'!BI3</f>
        <v>Labor Only</v>
      </c>
      <c r="BJ3" s="122" t="str">
        <f>+'Scheduled Intervals'!BJ3</f>
        <v>Labor Only</v>
      </c>
      <c r="BK3" s="122" t="str">
        <f>+'Scheduled Intervals'!BK3</f>
        <v>Parts and Labor</v>
      </c>
      <c r="BL3" s="122" t="str">
        <f>+'Scheduled Intervals'!BL3</f>
        <v>Parts and Labor</v>
      </c>
      <c r="BM3" s="122" t="str">
        <f>+'Scheduled Intervals'!BM3</f>
        <v>Parts and Labor</v>
      </c>
      <c r="BN3" s="122" t="str">
        <f>+'Scheduled Intervals'!BN3</f>
        <v>Parts and Labor</v>
      </c>
      <c r="BO3" s="122" t="str">
        <f>+'Scheduled Intervals'!BO3</f>
        <v>Parts and Labor</v>
      </c>
      <c r="BP3" s="123" t="str">
        <f>+'Scheduled Intervals'!BP3</f>
        <v>Labor Only</v>
      </c>
    </row>
    <row r="4" spans="1:68" x14ac:dyDescent="0.2">
      <c r="A4" s="133" t="str">
        <f>+'Scheduled Intervals'!A4</f>
        <v>RTV</v>
      </c>
      <c r="B4" s="134">
        <v>0.4</v>
      </c>
      <c r="C4" s="134"/>
      <c r="D4" s="135"/>
      <c r="E4" s="135"/>
      <c r="F4" s="136">
        <v>0.8</v>
      </c>
      <c r="G4" s="135"/>
      <c r="H4" s="135">
        <v>0.1</v>
      </c>
      <c r="I4" s="135">
        <v>0.25</v>
      </c>
      <c r="J4" s="135"/>
      <c r="K4" s="135"/>
      <c r="L4" s="135"/>
      <c r="M4" s="135"/>
      <c r="N4" s="135"/>
      <c r="O4" s="135"/>
      <c r="P4" s="137">
        <v>0.1</v>
      </c>
      <c r="Q4" s="138"/>
      <c r="R4" s="139"/>
      <c r="S4" s="140"/>
      <c r="T4" s="141"/>
      <c r="U4" s="142">
        <v>0.4</v>
      </c>
      <c r="V4" s="143"/>
      <c r="W4" s="143"/>
      <c r="X4" s="143"/>
      <c r="Y4" s="143">
        <v>0.1</v>
      </c>
      <c r="Z4" s="144">
        <v>0.2</v>
      </c>
      <c r="AA4" s="143"/>
      <c r="AB4" s="143">
        <v>0.6</v>
      </c>
      <c r="AC4" s="144">
        <v>0.2</v>
      </c>
      <c r="AD4" s="143"/>
      <c r="AE4" s="143">
        <v>0.2</v>
      </c>
      <c r="AF4" s="143"/>
      <c r="AG4" s="143"/>
      <c r="AH4" s="143"/>
      <c r="AI4" s="144">
        <v>0.9</v>
      </c>
      <c r="AJ4" s="143"/>
      <c r="AK4" s="143"/>
      <c r="AL4" s="143">
        <v>0.5</v>
      </c>
      <c r="AM4" s="143"/>
      <c r="AN4" s="143"/>
      <c r="AO4" s="143"/>
      <c r="AP4" s="143"/>
      <c r="AQ4" s="143"/>
      <c r="AR4" s="143"/>
      <c r="AS4" s="143"/>
      <c r="AT4" s="143">
        <v>0.1</v>
      </c>
      <c r="AU4" s="143"/>
      <c r="AV4" s="143"/>
      <c r="AW4" s="143">
        <v>1.5</v>
      </c>
      <c r="AX4" s="143"/>
      <c r="AY4" s="143"/>
      <c r="AZ4" s="143"/>
      <c r="BA4" s="143"/>
      <c r="BB4" s="143">
        <v>0.1</v>
      </c>
      <c r="BC4" s="144">
        <v>0.1</v>
      </c>
      <c r="BD4" s="143">
        <v>0.4</v>
      </c>
      <c r="BE4" s="143"/>
      <c r="BF4" s="143"/>
      <c r="BG4" s="143"/>
      <c r="BH4" s="144">
        <v>0.5</v>
      </c>
      <c r="BI4" s="143"/>
      <c r="BJ4" s="144">
        <v>0.25</v>
      </c>
      <c r="BK4" s="143"/>
      <c r="BL4" s="143"/>
      <c r="BM4" s="143"/>
      <c r="BN4" s="142">
        <v>0.4</v>
      </c>
      <c r="BO4" s="143">
        <v>0.1</v>
      </c>
      <c r="BP4" s="144">
        <v>1.05</v>
      </c>
    </row>
    <row r="5" spans="1:68" x14ac:dyDescent="0.2">
      <c r="A5" s="133" t="str">
        <f>+'Scheduled Intervals'!A5</f>
        <v>Zero Turn Gas</v>
      </c>
      <c r="B5" s="134">
        <v>0.3</v>
      </c>
      <c r="C5" s="145"/>
      <c r="D5" s="145"/>
      <c r="E5" s="145"/>
      <c r="F5" s="146"/>
      <c r="G5" s="146"/>
      <c r="H5" s="145">
        <v>0.2</v>
      </c>
      <c r="I5" s="145">
        <v>0.25</v>
      </c>
      <c r="J5" s="145"/>
      <c r="K5" s="146"/>
      <c r="L5" s="145"/>
      <c r="M5" s="145"/>
      <c r="N5" s="145"/>
      <c r="O5" s="145"/>
      <c r="P5" s="147"/>
      <c r="Q5" s="148"/>
      <c r="R5" s="149"/>
      <c r="S5" s="150">
        <v>0.9</v>
      </c>
      <c r="T5" s="151"/>
      <c r="U5" s="152">
        <v>0.3</v>
      </c>
      <c r="V5" s="153"/>
      <c r="W5" s="153"/>
      <c r="X5" s="153"/>
      <c r="Y5" s="153"/>
      <c r="Z5" s="153">
        <v>0.2</v>
      </c>
      <c r="AA5" s="153"/>
      <c r="AB5" s="154">
        <v>0.7</v>
      </c>
      <c r="AC5" s="154">
        <v>0.2</v>
      </c>
      <c r="AD5" s="153"/>
      <c r="AE5" s="154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4"/>
      <c r="AR5" s="153"/>
      <c r="AS5" s="153"/>
      <c r="AT5" s="154">
        <v>0.2</v>
      </c>
      <c r="AU5" s="153"/>
      <c r="AV5" s="153"/>
      <c r="AW5" s="153"/>
      <c r="AX5" s="153"/>
      <c r="AY5" s="153"/>
      <c r="AZ5" s="153"/>
      <c r="BA5" s="153"/>
      <c r="BB5" s="153">
        <v>0.1</v>
      </c>
      <c r="BC5" s="153"/>
      <c r="BD5" s="153">
        <v>0.2</v>
      </c>
      <c r="BE5" s="153"/>
      <c r="BF5" s="153"/>
      <c r="BG5" s="153"/>
      <c r="BH5" s="154">
        <v>0.3</v>
      </c>
      <c r="BI5" s="154">
        <v>0.1</v>
      </c>
      <c r="BJ5" s="144">
        <v>0.25</v>
      </c>
      <c r="BK5" s="153"/>
      <c r="BL5" s="153"/>
      <c r="BM5" s="153"/>
      <c r="BN5" s="152">
        <v>0.3</v>
      </c>
      <c r="BO5" s="154">
        <v>0.2</v>
      </c>
      <c r="BP5" s="144">
        <v>1.05</v>
      </c>
    </row>
    <row r="6" spans="1:68" x14ac:dyDescent="0.2">
      <c r="A6" s="133" t="str">
        <f>+'Scheduled Intervals'!A6</f>
        <v>Zero Turn Diesel</v>
      </c>
      <c r="B6" s="134">
        <v>0.3</v>
      </c>
      <c r="C6" s="145"/>
      <c r="D6" s="145"/>
      <c r="E6" s="145"/>
      <c r="F6" s="146">
        <v>0.4</v>
      </c>
      <c r="G6" s="145"/>
      <c r="H6" s="145">
        <v>0.2</v>
      </c>
      <c r="I6" s="145">
        <v>0.25</v>
      </c>
      <c r="J6" s="145"/>
      <c r="K6" s="146"/>
      <c r="L6" s="145"/>
      <c r="M6" s="145"/>
      <c r="N6" s="145"/>
      <c r="O6" s="145"/>
      <c r="P6" s="147"/>
      <c r="Q6" s="148"/>
      <c r="R6" s="149"/>
      <c r="S6" s="149"/>
      <c r="T6" s="151"/>
      <c r="U6" s="152">
        <v>0.3</v>
      </c>
      <c r="V6" s="153"/>
      <c r="W6" s="153"/>
      <c r="X6" s="154">
        <v>0.2</v>
      </c>
      <c r="Y6" s="153"/>
      <c r="Z6" s="153">
        <v>0.5</v>
      </c>
      <c r="AA6" s="153"/>
      <c r="AB6" s="153">
        <v>0.7</v>
      </c>
      <c r="AC6" s="154">
        <v>0.2</v>
      </c>
      <c r="AD6" s="153"/>
      <c r="AE6" s="153">
        <v>0.1</v>
      </c>
      <c r="AF6" s="153"/>
      <c r="AG6" s="153"/>
      <c r="AH6" s="153"/>
      <c r="AI6" s="153"/>
      <c r="AJ6" s="153"/>
      <c r="AK6" s="153"/>
      <c r="AL6" s="153"/>
      <c r="AM6" s="153"/>
      <c r="AN6" s="153"/>
      <c r="AO6" s="153"/>
      <c r="AP6" s="153"/>
      <c r="AQ6" s="153"/>
      <c r="AR6" s="153"/>
      <c r="AS6" s="153"/>
      <c r="AT6" s="153">
        <v>0.2</v>
      </c>
      <c r="AU6" s="154"/>
      <c r="AV6" s="153"/>
      <c r="AW6" s="153">
        <v>0.3</v>
      </c>
      <c r="AX6" s="153"/>
      <c r="AY6" s="153"/>
      <c r="AZ6" s="153"/>
      <c r="BA6" s="153"/>
      <c r="BB6" s="153">
        <v>0.1</v>
      </c>
      <c r="BC6" s="153">
        <v>0.1</v>
      </c>
      <c r="BD6" s="153"/>
      <c r="BE6" s="153"/>
      <c r="BF6" s="153"/>
      <c r="BG6" s="153"/>
      <c r="BH6" s="153">
        <v>0.3</v>
      </c>
      <c r="BI6" s="154">
        <v>0.1</v>
      </c>
      <c r="BJ6" s="144">
        <v>0.25</v>
      </c>
      <c r="BK6" s="153"/>
      <c r="BL6" s="153"/>
      <c r="BM6" s="153"/>
      <c r="BN6" s="152">
        <v>0.3</v>
      </c>
      <c r="BO6" s="153">
        <v>0.2</v>
      </c>
      <c r="BP6" s="144">
        <v>1.05</v>
      </c>
    </row>
    <row r="7" spans="1:68" x14ac:dyDescent="0.2">
      <c r="A7" s="133" t="str">
        <f>+'Scheduled Intervals'!A7</f>
        <v>Compact L series</v>
      </c>
      <c r="B7" s="134">
        <v>0.4</v>
      </c>
      <c r="C7" s="146"/>
      <c r="D7" s="145"/>
      <c r="E7" s="145"/>
      <c r="F7" s="146">
        <v>0.5</v>
      </c>
      <c r="G7" s="145"/>
      <c r="H7" s="145">
        <v>0.2</v>
      </c>
      <c r="I7" s="145">
        <v>0.25</v>
      </c>
      <c r="J7" s="145"/>
      <c r="K7" s="146"/>
      <c r="L7" s="146"/>
      <c r="M7" s="146">
        <v>0.6</v>
      </c>
      <c r="N7" s="145"/>
      <c r="O7" s="145"/>
      <c r="P7" s="147"/>
      <c r="Q7" s="155"/>
      <c r="R7" s="149"/>
      <c r="S7" s="150"/>
      <c r="T7" s="151"/>
      <c r="U7" s="156">
        <v>0.4</v>
      </c>
      <c r="V7" s="153"/>
      <c r="W7" s="154"/>
      <c r="X7" s="153"/>
      <c r="Y7" s="153"/>
      <c r="Z7" s="153">
        <v>0.1</v>
      </c>
      <c r="AA7" s="153"/>
      <c r="AB7" s="154">
        <v>0.7</v>
      </c>
      <c r="AC7" s="154">
        <v>0.2</v>
      </c>
      <c r="AD7" s="153"/>
      <c r="AE7" s="154">
        <v>0.2</v>
      </c>
      <c r="AF7" s="153"/>
      <c r="AG7" s="153"/>
      <c r="AH7" s="153"/>
      <c r="AI7" s="153"/>
      <c r="AJ7" s="153"/>
      <c r="AK7" s="153"/>
      <c r="AL7" s="154">
        <v>1</v>
      </c>
      <c r="AM7" s="153"/>
      <c r="AN7" s="153"/>
      <c r="AO7" s="153"/>
      <c r="AP7" s="153">
        <v>0.3</v>
      </c>
      <c r="AQ7" s="154">
        <v>0.2</v>
      </c>
      <c r="AR7" s="153"/>
      <c r="AS7" s="153"/>
      <c r="AT7" s="154">
        <v>0.2</v>
      </c>
      <c r="AU7" s="153"/>
      <c r="AV7" s="153"/>
      <c r="AW7" s="154">
        <v>6</v>
      </c>
      <c r="AX7" s="153"/>
      <c r="AY7" s="153"/>
      <c r="AZ7" s="154"/>
      <c r="BA7" s="153"/>
      <c r="BB7" s="153">
        <v>0.1</v>
      </c>
      <c r="BC7" s="154"/>
      <c r="BD7" s="153"/>
      <c r="BE7" s="153"/>
      <c r="BF7" s="153"/>
      <c r="BG7" s="153"/>
      <c r="BH7" s="153">
        <v>0.4</v>
      </c>
      <c r="BI7" s="153"/>
      <c r="BJ7" s="144">
        <v>0.25</v>
      </c>
      <c r="BK7" s="154"/>
      <c r="BL7" s="153"/>
      <c r="BM7" s="153"/>
      <c r="BN7" s="156">
        <v>0.4</v>
      </c>
      <c r="BO7" s="154">
        <v>0.2</v>
      </c>
      <c r="BP7" s="144">
        <v>1.05</v>
      </c>
    </row>
    <row r="8" spans="1:68" x14ac:dyDescent="0.2">
      <c r="A8" s="133" t="str">
        <f>+'Scheduled Intervals'!A8</f>
        <v>Utility under 75 MX&amp;M</v>
      </c>
      <c r="B8" s="134">
        <v>0.4</v>
      </c>
      <c r="C8" s="146"/>
      <c r="D8" s="145"/>
      <c r="E8" s="145"/>
      <c r="F8" s="146">
        <v>0.7</v>
      </c>
      <c r="G8" s="146"/>
      <c r="H8" s="146">
        <v>0.2</v>
      </c>
      <c r="I8" s="145">
        <v>0.25</v>
      </c>
      <c r="J8" s="145"/>
      <c r="K8" s="146"/>
      <c r="L8" s="146"/>
      <c r="M8" s="146"/>
      <c r="N8" s="145"/>
      <c r="O8" s="145"/>
      <c r="P8" s="147"/>
      <c r="Q8" s="155"/>
      <c r="R8" s="149"/>
      <c r="S8" s="150"/>
      <c r="T8" s="151"/>
      <c r="U8" s="152">
        <v>0.4</v>
      </c>
      <c r="V8" s="154">
        <v>0.2</v>
      </c>
      <c r="W8" s="153">
        <v>0.1</v>
      </c>
      <c r="X8" s="153"/>
      <c r="Y8" s="153">
        <v>0.1</v>
      </c>
      <c r="Z8" s="153">
        <v>0.1</v>
      </c>
      <c r="AA8" s="154"/>
      <c r="AB8" s="153">
        <v>1</v>
      </c>
      <c r="AC8" s="153"/>
      <c r="AD8" s="153"/>
      <c r="AE8" s="153">
        <v>0.9</v>
      </c>
      <c r="AF8" s="153"/>
      <c r="AG8" s="153"/>
      <c r="AH8" s="153"/>
      <c r="AI8" s="153"/>
      <c r="AJ8" s="153"/>
      <c r="AK8" s="153"/>
      <c r="AL8" s="154">
        <v>1.6</v>
      </c>
      <c r="AM8" s="153"/>
      <c r="AN8" s="153"/>
      <c r="AO8" s="153"/>
      <c r="AP8" s="153">
        <v>0.3</v>
      </c>
      <c r="AQ8" s="154">
        <v>0.2</v>
      </c>
      <c r="AR8" s="153"/>
      <c r="AS8" s="153">
        <v>0.3</v>
      </c>
      <c r="AT8" s="154">
        <v>0.2</v>
      </c>
      <c r="AU8" s="153"/>
      <c r="AV8" s="153"/>
      <c r="AW8" s="153"/>
      <c r="AX8" s="153"/>
      <c r="AY8" s="153"/>
      <c r="AZ8" s="153"/>
      <c r="BA8" s="153"/>
      <c r="BB8" s="153">
        <v>0.2</v>
      </c>
      <c r="BC8" s="154">
        <v>0.2</v>
      </c>
      <c r="BD8" s="153"/>
      <c r="BE8" s="153"/>
      <c r="BF8" s="153">
        <v>0.75</v>
      </c>
      <c r="BG8" s="154">
        <v>2</v>
      </c>
      <c r="BH8" s="153">
        <v>0.4</v>
      </c>
      <c r="BI8" s="153"/>
      <c r="BJ8" s="144">
        <v>0.25</v>
      </c>
      <c r="BK8" s="154"/>
      <c r="BL8" s="153"/>
      <c r="BM8" s="153"/>
      <c r="BN8" s="152">
        <v>0.4</v>
      </c>
      <c r="BO8" s="154">
        <v>0.2</v>
      </c>
      <c r="BP8" s="144">
        <v>1.05</v>
      </c>
    </row>
    <row r="9" spans="1:68" x14ac:dyDescent="0.2">
      <c r="A9" s="133" t="str">
        <f>+'Scheduled Intervals'!A9</f>
        <v>Utility over 75 M4 class</v>
      </c>
      <c r="B9" s="134">
        <v>0.4</v>
      </c>
      <c r="C9" s="146"/>
      <c r="D9" s="145"/>
      <c r="E9" s="145"/>
      <c r="F9" s="146"/>
      <c r="G9" s="146"/>
      <c r="H9" s="145">
        <v>0.2</v>
      </c>
      <c r="I9" s="145">
        <v>0.25</v>
      </c>
      <c r="J9" s="145"/>
      <c r="K9" s="145"/>
      <c r="L9" s="145"/>
      <c r="M9" s="145"/>
      <c r="N9" s="145"/>
      <c r="O9" s="145"/>
      <c r="P9" s="147"/>
      <c r="Q9" s="148"/>
      <c r="R9" s="149"/>
      <c r="S9" s="149"/>
      <c r="T9" s="151"/>
      <c r="U9" s="156">
        <v>0.4</v>
      </c>
      <c r="V9" s="154">
        <v>0.2</v>
      </c>
      <c r="W9" s="153">
        <v>0.4</v>
      </c>
      <c r="X9" s="153"/>
      <c r="Y9" s="153">
        <v>0.2</v>
      </c>
      <c r="Z9" s="153">
        <v>0.2</v>
      </c>
      <c r="AA9" s="153"/>
      <c r="AB9" s="153">
        <v>1.1000000000000001</v>
      </c>
      <c r="AC9" s="153"/>
      <c r="AD9" s="153"/>
      <c r="AE9" s="153">
        <v>1</v>
      </c>
      <c r="AF9" s="153"/>
      <c r="AG9" s="153"/>
      <c r="AH9" s="153"/>
      <c r="AI9" s="153"/>
      <c r="AJ9" s="153">
        <v>1.7</v>
      </c>
      <c r="AK9" s="153"/>
      <c r="AL9" s="153"/>
      <c r="AM9" s="153"/>
      <c r="AN9" s="153"/>
      <c r="AO9" s="153"/>
      <c r="AP9" s="153"/>
      <c r="AQ9" s="153"/>
      <c r="AR9" s="153"/>
      <c r="AS9" s="153">
        <v>0.3</v>
      </c>
      <c r="AT9" s="154">
        <v>0.2</v>
      </c>
      <c r="AU9" s="153"/>
      <c r="AV9" s="153"/>
      <c r="AW9" s="153">
        <v>6.9</v>
      </c>
      <c r="AX9" s="153"/>
      <c r="AY9" s="153"/>
      <c r="AZ9" s="153"/>
      <c r="BA9" s="153"/>
      <c r="BB9" s="153">
        <v>0.1</v>
      </c>
      <c r="BC9" s="153"/>
      <c r="BD9" s="153"/>
      <c r="BE9" s="153"/>
      <c r="BF9" s="153">
        <v>0.75</v>
      </c>
      <c r="BG9" s="153">
        <v>2</v>
      </c>
      <c r="BH9" s="153">
        <v>0.5</v>
      </c>
      <c r="BI9" s="153"/>
      <c r="BJ9" s="144">
        <v>0.25</v>
      </c>
      <c r="BK9" s="153"/>
      <c r="BL9" s="153"/>
      <c r="BM9" s="153"/>
      <c r="BN9" s="156">
        <v>0.4</v>
      </c>
      <c r="BO9" s="154">
        <v>0.2</v>
      </c>
      <c r="BP9" s="144">
        <v>1.05</v>
      </c>
    </row>
    <row r="10" spans="1:68" x14ac:dyDescent="0.2">
      <c r="A10" s="133" t="str">
        <f>+'Scheduled Intervals'!A10</f>
        <v>Large Ag M6</v>
      </c>
      <c r="B10" s="134">
        <v>0.6</v>
      </c>
      <c r="C10" s="134">
        <v>0.4</v>
      </c>
      <c r="D10" s="134"/>
      <c r="E10" s="145"/>
      <c r="F10" s="146">
        <v>0.5</v>
      </c>
      <c r="G10" s="145"/>
      <c r="H10" s="145">
        <v>0.5</v>
      </c>
      <c r="I10" s="145">
        <v>0.25</v>
      </c>
      <c r="J10" s="145"/>
      <c r="K10" s="145"/>
      <c r="L10" s="145"/>
      <c r="M10" s="145"/>
      <c r="N10" s="145"/>
      <c r="O10" s="145"/>
      <c r="P10" s="147"/>
      <c r="Q10" s="148"/>
      <c r="R10" s="149"/>
      <c r="S10" s="149"/>
      <c r="T10" s="151"/>
      <c r="U10" s="152">
        <v>0.6</v>
      </c>
      <c r="V10" s="154">
        <v>0.2</v>
      </c>
      <c r="W10" s="153"/>
      <c r="X10" s="154">
        <v>0.4</v>
      </c>
      <c r="Y10" s="153">
        <v>0.3</v>
      </c>
      <c r="Z10" s="153">
        <v>0.3</v>
      </c>
      <c r="AA10" s="153"/>
      <c r="AB10" s="153">
        <v>4</v>
      </c>
      <c r="AC10" s="153">
        <v>2.1</v>
      </c>
      <c r="AD10" s="153"/>
      <c r="AE10" s="153"/>
      <c r="AF10" s="153"/>
      <c r="AG10" s="154">
        <v>0.5</v>
      </c>
      <c r="AH10" s="153"/>
      <c r="AI10" s="153">
        <v>2.1</v>
      </c>
      <c r="AJ10" s="153"/>
      <c r="AK10" s="153">
        <v>2.5</v>
      </c>
      <c r="AL10" s="153">
        <v>2.5</v>
      </c>
      <c r="AM10" s="153"/>
      <c r="AN10" s="153"/>
      <c r="AO10" s="153"/>
      <c r="AP10" s="153"/>
      <c r="AQ10" s="153"/>
      <c r="AR10" s="153"/>
      <c r="AS10" s="153"/>
      <c r="AT10" s="154">
        <v>0.5</v>
      </c>
      <c r="AU10" s="153"/>
      <c r="AV10" s="153"/>
      <c r="AW10" s="153">
        <v>5</v>
      </c>
      <c r="AX10" s="153"/>
      <c r="AY10" s="153"/>
      <c r="AZ10" s="153"/>
      <c r="BA10" s="153">
        <v>0.1</v>
      </c>
      <c r="BB10" s="153">
        <v>0.2</v>
      </c>
      <c r="BC10" s="153"/>
      <c r="BD10" s="153"/>
      <c r="BE10" s="153"/>
      <c r="BF10" s="153">
        <v>0.75</v>
      </c>
      <c r="BG10" s="153">
        <v>2</v>
      </c>
      <c r="BH10" s="153">
        <v>1.6</v>
      </c>
      <c r="BI10" s="153"/>
      <c r="BJ10" s="144">
        <v>0.25</v>
      </c>
      <c r="BK10" s="154">
        <v>2</v>
      </c>
      <c r="BL10" s="153"/>
      <c r="BM10" s="153"/>
      <c r="BN10" s="152">
        <v>0.6</v>
      </c>
      <c r="BO10" s="154">
        <v>0.5</v>
      </c>
      <c r="BP10" s="144">
        <v>1.05</v>
      </c>
    </row>
    <row r="11" spans="1:68" x14ac:dyDescent="0.2">
      <c r="A11" s="133" t="str">
        <f>+'Scheduled Intervals'!A11</f>
        <v>Skid Steer</v>
      </c>
      <c r="B11" s="157">
        <v>0.8</v>
      </c>
      <c r="C11" s="145"/>
      <c r="D11" s="145">
        <v>0.3</v>
      </c>
      <c r="E11" s="145"/>
      <c r="F11" s="145">
        <v>0.5</v>
      </c>
      <c r="G11" s="146"/>
      <c r="H11" s="145">
        <v>0.5</v>
      </c>
      <c r="I11" s="145">
        <v>0.25</v>
      </c>
      <c r="J11" s="145">
        <v>0.5</v>
      </c>
      <c r="K11" s="145"/>
      <c r="L11" s="145"/>
      <c r="M11" s="145"/>
      <c r="N11" s="145"/>
      <c r="O11" s="145"/>
      <c r="P11" s="147"/>
      <c r="Q11" s="155">
        <v>1</v>
      </c>
      <c r="R11" s="149"/>
      <c r="S11" s="149"/>
      <c r="T11" s="151"/>
      <c r="U11" s="152">
        <v>0.8</v>
      </c>
      <c r="V11" s="154">
        <v>0.2</v>
      </c>
      <c r="W11" s="153"/>
      <c r="X11" s="153"/>
      <c r="Y11" s="153">
        <v>0.3</v>
      </c>
      <c r="Z11" s="153">
        <v>0.4</v>
      </c>
      <c r="AA11" s="153"/>
      <c r="AB11" s="154">
        <v>1</v>
      </c>
      <c r="AC11" s="153"/>
      <c r="AD11" s="153"/>
      <c r="AE11" s="153">
        <v>0.5</v>
      </c>
      <c r="AF11" s="153">
        <v>0.1</v>
      </c>
      <c r="AG11" s="154">
        <v>0.5</v>
      </c>
      <c r="AH11" s="153"/>
      <c r="AI11" s="153">
        <v>1.8</v>
      </c>
      <c r="AJ11" s="153"/>
      <c r="AK11" s="153"/>
      <c r="AL11" s="153"/>
      <c r="AM11" s="153"/>
      <c r="AN11" s="153"/>
      <c r="AO11" s="153"/>
      <c r="AP11" s="153"/>
      <c r="AQ11" s="153"/>
      <c r="AR11" s="153"/>
      <c r="AS11" s="153">
        <v>0.2</v>
      </c>
      <c r="AT11" s="154">
        <v>0.5</v>
      </c>
      <c r="AU11" s="153"/>
      <c r="AV11" s="153"/>
      <c r="AW11" s="153">
        <v>6.9</v>
      </c>
      <c r="AX11" s="153"/>
      <c r="AY11" s="153"/>
      <c r="AZ11" s="153"/>
      <c r="BA11" s="153"/>
      <c r="BB11" s="153">
        <v>0.2</v>
      </c>
      <c r="BC11" s="153"/>
      <c r="BD11" s="153"/>
      <c r="BE11" s="153"/>
      <c r="BF11" s="153">
        <v>0.75</v>
      </c>
      <c r="BG11" s="153">
        <v>2</v>
      </c>
      <c r="BH11" s="153">
        <v>0.6</v>
      </c>
      <c r="BI11" s="153"/>
      <c r="BJ11" s="144">
        <v>0.25</v>
      </c>
      <c r="BK11" s="153"/>
      <c r="BL11" s="153"/>
      <c r="BM11" s="153"/>
      <c r="BN11" s="152">
        <v>0.8</v>
      </c>
      <c r="BO11" s="154">
        <v>0.5</v>
      </c>
      <c r="BP11" s="144">
        <v>1.05</v>
      </c>
    </row>
    <row r="12" spans="1:68" x14ac:dyDescent="0.2">
      <c r="A12" s="133" t="str">
        <f>+'Scheduled Intervals'!A12</f>
        <v>Excavator - under 3.5 ton</v>
      </c>
      <c r="B12" s="157">
        <v>0.7</v>
      </c>
      <c r="C12" s="145">
        <v>0.3</v>
      </c>
      <c r="D12" s="145">
        <v>0.1</v>
      </c>
      <c r="E12" s="145"/>
      <c r="F12" s="145"/>
      <c r="G12" s="145"/>
      <c r="H12" s="145">
        <v>0.5</v>
      </c>
      <c r="I12" s="145">
        <v>0.25</v>
      </c>
      <c r="J12" s="145"/>
      <c r="K12" s="145"/>
      <c r="L12" s="145"/>
      <c r="M12" s="145"/>
      <c r="N12" s="145"/>
      <c r="O12" s="145"/>
      <c r="P12" s="147"/>
      <c r="Q12" s="155">
        <v>1</v>
      </c>
      <c r="R12" s="149"/>
      <c r="S12" s="149"/>
      <c r="T12" s="158"/>
      <c r="U12" s="156">
        <v>0.7</v>
      </c>
      <c r="V12" s="154">
        <v>0.2</v>
      </c>
      <c r="W12" s="153"/>
      <c r="X12" s="153">
        <v>0.2</v>
      </c>
      <c r="Y12" s="153"/>
      <c r="Z12" s="153">
        <v>0.2</v>
      </c>
      <c r="AA12" s="153"/>
      <c r="AB12" s="153"/>
      <c r="AC12" s="153"/>
      <c r="AD12" s="153"/>
      <c r="AE12" s="154"/>
      <c r="AF12" s="154">
        <v>0.1</v>
      </c>
      <c r="AG12" s="153">
        <v>0.5</v>
      </c>
      <c r="AH12" s="154">
        <v>0.6</v>
      </c>
      <c r="AI12" s="153">
        <v>1</v>
      </c>
      <c r="AJ12" s="153"/>
      <c r="AK12" s="153"/>
      <c r="AL12" s="154">
        <v>1.5</v>
      </c>
      <c r="AM12" s="153"/>
      <c r="AN12" s="153"/>
      <c r="AO12" s="153"/>
      <c r="AP12" s="153">
        <v>0.25</v>
      </c>
      <c r="AQ12" s="154">
        <v>0.2</v>
      </c>
      <c r="AR12" s="153"/>
      <c r="AS12" s="153">
        <v>1</v>
      </c>
      <c r="AT12" s="154">
        <v>0.5</v>
      </c>
      <c r="AU12" s="153"/>
      <c r="AV12" s="153"/>
      <c r="AW12" s="153">
        <v>1.7</v>
      </c>
      <c r="AX12" s="153"/>
      <c r="AY12" s="153"/>
      <c r="AZ12" s="154">
        <v>1</v>
      </c>
      <c r="BA12" s="153"/>
      <c r="BB12" s="153">
        <v>0.1</v>
      </c>
      <c r="BC12" s="153"/>
      <c r="BD12" s="153"/>
      <c r="BE12" s="153"/>
      <c r="BF12" s="153"/>
      <c r="BG12" s="153"/>
      <c r="BH12" s="153">
        <v>0.4</v>
      </c>
      <c r="BI12" s="153"/>
      <c r="BJ12" s="144">
        <v>0.25</v>
      </c>
      <c r="BK12" s="153"/>
      <c r="BL12" s="153"/>
      <c r="BM12" s="153"/>
      <c r="BN12" s="156">
        <v>0.7</v>
      </c>
      <c r="BO12" s="154">
        <v>0.5</v>
      </c>
      <c r="BP12" s="144">
        <v>1.05</v>
      </c>
    </row>
    <row r="13" spans="1:68" x14ac:dyDescent="0.2">
      <c r="A13" s="133" t="str">
        <f>+'Scheduled Intervals'!A13</f>
        <v>Excavator - over 3.5 ton</v>
      </c>
      <c r="B13" s="157">
        <v>1</v>
      </c>
      <c r="C13" s="145">
        <v>0.3</v>
      </c>
      <c r="D13" s="145">
        <v>0.1</v>
      </c>
      <c r="E13" s="145"/>
      <c r="F13" s="145"/>
      <c r="G13" s="145"/>
      <c r="H13" s="145">
        <v>0.5</v>
      </c>
      <c r="I13" s="145">
        <v>0.25</v>
      </c>
      <c r="J13" s="145"/>
      <c r="K13" s="145"/>
      <c r="L13" s="145"/>
      <c r="M13" s="145"/>
      <c r="N13" s="145"/>
      <c r="O13" s="145"/>
      <c r="P13" s="147"/>
      <c r="Q13" s="155">
        <v>1</v>
      </c>
      <c r="R13" s="149"/>
      <c r="S13" s="149"/>
      <c r="T13" s="151"/>
      <c r="U13" s="152">
        <v>1</v>
      </c>
      <c r="V13" s="154">
        <v>0.2</v>
      </c>
      <c r="W13" s="153"/>
      <c r="X13" s="153">
        <v>0.2</v>
      </c>
      <c r="Y13" s="153"/>
      <c r="Z13" s="153">
        <v>0.3</v>
      </c>
      <c r="AA13" s="153"/>
      <c r="AB13" s="153"/>
      <c r="AC13" s="153"/>
      <c r="AD13" s="153"/>
      <c r="AE13" s="153"/>
      <c r="AF13" s="154">
        <v>0.1</v>
      </c>
      <c r="AG13" s="153">
        <v>0.6</v>
      </c>
      <c r="AH13" s="153">
        <v>0.6</v>
      </c>
      <c r="AI13" s="153">
        <v>2</v>
      </c>
      <c r="AJ13" s="153"/>
      <c r="AK13" s="153"/>
      <c r="AL13" s="154">
        <v>1.5</v>
      </c>
      <c r="AM13" s="153"/>
      <c r="AN13" s="153"/>
      <c r="AO13" s="153"/>
      <c r="AP13" s="153">
        <v>0.7</v>
      </c>
      <c r="AQ13" s="154">
        <v>0.2</v>
      </c>
      <c r="AR13" s="153"/>
      <c r="AS13" s="153">
        <v>0.1</v>
      </c>
      <c r="AT13" s="154">
        <v>0.5</v>
      </c>
      <c r="AU13" s="153"/>
      <c r="AV13" s="153"/>
      <c r="AW13" s="153">
        <v>2.2000000000000002</v>
      </c>
      <c r="AX13" s="153"/>
      <c r="AY13" s="153"/>
      <c r="AZ13" s="154">
        <v>1</v>
      </c>
      <c r="BA13" s="153"/>
      <c r="BB13" s="154">
        <v>0.1</v>
      </c>
      <c r="BC13" s="153"/>
      <c r="BD13" s="153"/>
      <c r="BE13" s="153"/>
      <c r="BF13" s="153"/>
      <c r="BG13" s="153"/>
      <c r="BH13" s="153">
        <v>0.7</v>
      </c>
      <c r="BI13" s="153"/>
      <c r="BJ13" s="144">
        <v>0.25</v>
      </c>
      <c r="BK13" s="153"/>
      <c r="BL13" s="153"/>
      <c r="BM13" s="153"/>
      <c r="BN13" s="152">
        <v>1</v>
      </c>
      <c r="BO13" s="154">
        <v>0.5</v>
      </c>
      <c r="BP13" s="144">
        <v>1.05</v>
      </c>
    </row>
    <row r="14" spans="1:68" x14ac:dyDescent="0.2">
      <c r="A14" s="133" t="str">
        <f>+'Scheduled Intervals'!A14</f>
        <v>Wheel Loader</v>
      </c>
      <c r="B14" s="157">
        <v>1</v>
      </c>
      <c r="C14" s="145">
        <v>0.3</v>
      </c>
      <c r="D14" s="145">
        <v>0.1</v>
      </c>
      <c r="E14" s="145"/>
      <c r="F14" s="145"/>
      <c r="G14" s="145"/>
      <c r="H14" s="145">
        <v>0.4</v>
      </c>
      <c r="I14" s="145">
        <v>0.25</v>
      </c>
      <c r="J14" s="145"/>
      <c r="K14" s="145"/>
      <c r="L14" s="145"/>
      <c r="M14" s="145"/>
      <c r="N14" s="146"/>
      <c r="O14" s="145"/>
      <c r="P14" s="147"/>
      <c r="Q14" s="148"/>
      <c r="R14" s="150">
        <v>2</v>
      </c>
      <c r="S14" s="149"/>
      <c r="T14" s="151"/>
      <c r="U14" s="156">
        <v>1</v>
      </c>
      <c r="V14" s="154">
        <v>0.2</v>
      </c>
      <c r="W14" s="153"/>
      <c r="X14" s="153">
        <v>0.3</v>
      </c>
      <c r="Y14" s="153"/>
      <c r="Z14" s="153">
        <v>0.1</v>
      </c>
      <c r="AA14" s="153"/>
      <c r="AB14" s="153"/>
      <c r="AC14" s="153"/>
      <c r="AD14" s="153"/>
      <c r="AE14" s="153"/>
      <c r="AF14" s="153"/>
      <c r="AG14" s="154">
        <v>0.5</v>
      </c>
      <c r="AH14" s="153"/>
      <c r="AI14" s="153">
        <v>2</v>
      </c>
      <c r="AJ14" s="153">
        <v>1</v>
      </c>
      <c r="AK14" s="153"/>
      <c r="AL14" s="153"/>
      <c r="AM14" s="153"/>
      <c r="AN14" s="153"/>
      <c r="AO14" s="153"/>
      <c r="AP14" s="153">
        <v>0.3</v>
      </c>
      <c r="AQ14" s="153"/>
      <c r="AR14" s="153"/>
      <c r="AS14" s="153">
        <v>0.3</v>
      </c>
      <c r="AT14" s="154">
        <v>0.4</v>
      </c>
      <c r="AU14" s="153"/>
      <c r="AV14" s="153"/>
      <c r="AW14" s="153">
        <v>4.3</v>
      </c>
      <c r="AX14" s="153"/>
      <c r="AY14" s="153"/>
      <c r="AZ14" s="153"/>
      <c r="BA14" s="153"/>
      <c r="BB14" s="153">
        <v>0.1</v>
      </c>
      <c r="BC14" s="153"/>
      <c r="BD14" s="153"/>
      <c r="BE14" s="153">
        <v>0.2</v>
      </c>
      <c r="BF14" s="153"/>
      <c r="BG14" s="153"/>
      <c r="BH14" s="153">
        <v>0.8</v>
      </c>
      <c r="BI14" s="153"/>
      <c r="BJ14" s="144">
        <v>0.25</v>
      </c>
      <c r="BK14" s="153"/>
      <c r="BL14" s="153"/>
      <c r="BM14" s="153"/>
      <c r="BN14" s="156">
        <v>1</v>
      </c>
      <c r="BO14" s="154">
        <v>0.4</v>
      </c>
      <c r="BP14" s="144">
        <v>1.05</v>
      </c>
    </row>
    <row r="15" spans="1:68" x14ac:dyDescent="0.2">
      <c r="A15" s="133" t="str">
        <f>+'Scheduled Intervals'!A15</f>
        <v>Telehandler</v>
      </c>
      <c r="B15" s="157">
        <v>1</v>
      </c>
      <c r="C15" s="145">
        <v>0.3</v>
      </c>
      <c r="D15" s="145">
        <v>0.1</v>
      </c>
      <c r="E15" s="145"/>
      <c r="F15" s="145"/>
      <c r="G15" s="145"/>
      <c r="H15" s="145">
        <v>0.4</v>
      </c>
      <c r="I15" s="145">
        <v>0.25</v>
      </c>
      <c r="J15" s="145"/>
      <c r="K15" s="145"/>
      <c r="L15" s="145"/>
      <c r="M15" s="145"/>
      <c r="N15" s="145"/>
      <c r="O15" s="145"/>
      <c r="P15" s="147"/>
      <c r="Q15" s="148"/>
      <c r="R15" s="150">
        <v>1</v>
      </c>
      <c r="S15" s="149"/>
      <c r="T15" s="151"/>
      <c r="U15" s="156">
        <v>1</v>
      </c>
      <c r="V15" s="153"/>
      <c r="W15" s="153">
        <v>0.3</v>
      </c>
      <c r="X15" s="153">
        <v>0.3</v>
      </c>
      <c r="Y15" s="153">
        <v>0.1</v>
      </c>
      <c r="Z15" s="153">
        <v>0.1</v>
      </c>
      <c r="AA15" s="153"/>
      <c r="AB15" s="153"/>
      <c r="AC15" s="153"/>
      <c r="AD15" s="153"/>
      <c r="AE15" s="153"/>
      <c r="AF15" s="153"/>
      <c r="AG15" s="154">
        <v>0.5</v>
      </c>
      <c r="AH15" s="153"/>
      <c r="AI15" s="153">
        <v>2</v>
      </c>
      <c r="AJ15" s="153"/>
      <c r="AK15" s="153"/>
      <c r="AL15" s="153"/>
      <c r="AM15" s="153"/>
      <c r="AN15" s="153"/>
      <c r="AO15" s="153"/>
      <c r="AP15" s="153">
        <v>0.3</v>
      </c>
      <c r="AQ15" s="153"/>
      <c r="AR15" s="153"/>
      <c r="AS15" s="153">
        <v>0.3</v>
      </c>
      <c r="AT15" s="154">
        <v>0.4</v>
      </c>
      <c r="AU15" s="153"/>
      <c r="AV15" s="153"/>
      <c r="AW15" s="153">
        <v>4.3</v>
      </c>
      <c r="AX15" s="153"/>
      <c r="AY15" s="153"/>
      <c r="AZ15" s="153"/>
      <c r="BA15" s="153"/>
      <c r="BB15" s="153">
        <v>0.1</v>
      </c>
      <c r="BC15" s="153"/>
      <c r="BD15" s="153"/>
      <c r="BE15" s="153">
        <v>0.2</v>
      </c>
      <c r="BF15" s="153"/>
      <c r="BG15" s="153"/>
      <c r="BH15" s="153">
        <v>0.8</v>
      </c>
      <c r="BI15" s="153"/>
      <c r="BJ15" s="144">
        <v>0.25</v>
      </c>
      <c r="BK15" s="153"/>
      <c r="BL15" s="153"/>
      <c r="BM15" s="153"/>
      <c r="BN15" s="156">
        <v>1</v>
      </c>
      <c r="BO15" s="154">
        <v>0.4</v>
      </c>
      <c r="BP15" s="144">
        <v>1.05</v>
      </c>
    </row>
    <row r="16" spans="1:68" x14ac:dyDescent="0.2">
      <c r="A16" s="133" t="str">
        <f>+'Scheduled Intervals'!A16</f>
        <v>Mahindra Emax</v>
      </c>
      <c r="B16" s="157">
        <v>0.3</v>
      </c>
      <c r="C16" s="145"/>
      <c r="D16" s="145"/>
      <c r="E16" s="145">
        <v>1</v>
      </c>
      <c r="F16" s="146">
        <v>0.5</v>
      </c>
      <c r="G16" s="146"/>
      <c r="H16" s="145">
        <v>0.2</v>
      </c>
      <c r="I16" s="145">
        <v>0.25</v>
      </c>
      <c r="J16" s="145"/>
      <c r="K16" s="146"/>
      <c r="L16" s="146">
        <v>1</v>
      </c>
      <c r="M16" s="146"/>
      <c r="N16" s="145"/>
      <c r="O16" s="145"/>
      <c r="P16" s="147"/>
      <c r="Q16" s="148"/>
      <c r="R16" s="149"/>
      <c r="S16" s="149"/>
      <c r="T16" s="151"/>
      <c r="U16" s="152">
        <v>0.3</v>
      </c>
      <c r="V16" s="153"/>
      <c r="W16" s="153"/>
      <c r="X16" s="153"/>
      <c r="Y16" s="153"/>
      <c r="Z16" s="153">
        <v>0.1</v>
      </c>
      <c r="AA16" s="153"/>
      <c r="AB16" s="153">
        <v>1</v>
      </c>
      <c r="AC16" s="154"/>
      <c r="AD16" s="153"/>
      <c r="AE16" s="154">
        <v>0.5</v>
      </c>
      <c r="AF16" s="153"/>
      <c r="AG16" s="153"/>
      <c r="AH16" s="153"/>
      <c r="AI16" s="153"/>
      <c r="AJ16" s="153"/>
      <c r="AK16" s="153"/>
      <c r="AL16" s="154">
        <v>1</v>
      </c>
      <c r="AM16" s="153"/>
      <c r="AN16" s="153"/>
      <c r="AO16" s="153"/>
      <c r="AP16" s="153"/>
      <c r="AQ16" s="153"/>
      <c r="AR16" s="153"/>
      <c r="AS16" s="153"/>
      <c r="AT16" s="154">
        <v>0.2</v>
      </c>
      <c r="AU16" s="153"/>
      <c r="AV16" s="153"/>
      <c r="AW16" s="153"/>
      <c r="AX16" s="153"/>
      <c r="AY16" s="153"/>
      <c r="AZ16" s="153"/>
      <c r="BA16" s="153"/>
      <c r="BB16" s="153">
        <v>0.1</v>
      </c>
      <c r="BC16" s="153"/>
      <c r="BD16" s="153"/>
      <c r="BE16" s="153"/>
      <c r="BF16" s="153"/>
      <c r="BG16" s="153"/>
      <c r="BH16" s="154">
        <v>1</v>
      </c>
      <c r="BI16" s="153"/>
      <c r="BJ16" s="144">
        <v>0.25</v>
      </c>
      <c r="BK16" s="153"/>
      <c r="BL16" s="153"/>
      <c r="BM16" s="153"/>
      <c r="BN16" s="152">
        <v>0.3</v>
      </c>
      <c r="BO16" s="154">
        <v>0.2</v>
      </c>
      <c r="BP16" s="144">
        <v>1.05</v>
      </c>
    </row>
    <row r="17" spans="1:68" x14ac:dyDescent="0.2">
      <c r="A17" s="133" t="str">
        <f>+'Scheduled Intervals'!A17</f>
        <v>Mahindra 1600 Series</v>
      </c>
      <c r="B17" s="157">
        <v>0.4</v>
      </c>
      <c r="C17" s="145">
        <v>0.1</v>
      </c>
      <c r="D17" s="145"/>
      <c r="E17" s="145">
        <v>1</v>
      </c>
      <c r="F17" s="146">
        <v>0.5</v>
      </c>
      <c r="G17" s="146"/>
      <c r="H17" s="145">
        <v>0.2</v>
      </c>
      <c r="I17" s="145">
        <v>0.25</v>
      </c>
      <c r="J17" s="145"/>
      <c r="K17" s="146">
        <v>0.2</v>
      </c>
      <c r="L17" s="145">
        <v>1</v>
      </c>
      <c r="M17" s="146"/>
      <c r="N17" s="145"/>
      <c r="O17" s="145"/>
      <c r="P17" s="147"/>
      <c r="Q17" s="148"/>
      <c r="R17" s="149"/>
      <c r="S17" s="149"/>
      <c r="T17" s="151"/>
      <c r="U17" s="152">
        <v>0.4</v>
      </c>
      <c r="V17" s="153"/>
      <c r="W17" s="153">
        <v>0.1</v>
      </c>
      <c r="X17" s="153"/>
      <c r="Y17" s="153"/>
      <c r="Z17" s="154">
        <v>0.2</v>
      </c>
      <c r="AA17" s="153"/>
      <c r="AB17" s="153">
        <v>1</v>
      </c>
      <c r="AC17" s="153"/>
      <c r="AD17" s="153"/>
      <c r="AE17" s="153">
        <v>0.5</v>
      </c>
      <c r="AF17" s="153"/>
      <c r="AG17" s="153"/>
      <c r="AH17" s="153"/>
      <c r="AI17" s="153"/>
      <c r="AJ17" s="153"/>
      <c r="AK17" s="153"/>
      <c r="AL17" s="153">
        <v>1</v>
      </c>
      <c r="AM17" s="153"/>
      <c r="AN17" s="153"/>
      <c r="AO17" s="153"/>
      <c r="AP17" s="153"/>
      <c r="AQ17" s="153"/>
      <c r="AR17" s="153"/>
      <c r="AS17" s="153"/>
      <c r="AT17" s="154">
        <v>0.2</v>
      </c>
      <c r="AU17" s="153"/>
      <c r="AV17" s="153"/>
      <c r="AW17" s="153">
        <v>2</v>
      </c>
      <c r="AX17" s="153"/>
      <c r="AY17" s="153"/>
      <c r="AZ17" s="153"/>
      <c r="BA17" s="153"/>
      <c r="BB17" s="154">
        <v>0.1</v>
      </c>
      <c r="BC17" s="153"/>
      <c r="BD17" s="153"/>
      <c r="BE17" s="153"/>
      <c r="BF17" s="153"/>
      <c r="BG17" s="153"/>
      <c r="BH17" s="154">
        <v>1</v>
      </c>
      <c r="BI17" s="153"/>
      <c r="BJ17" s="144">
        <v>0.25</v>
      </c>
      <c r="BK17" s="153"/>
      <c r="BL17" s="153"/>
      <c r="BM17" s="153"/>
      <c r="BN17" s="152">
        <v>0.4</v>
      </c>
      <c r="BO17" s="154">
        <v>0.2</v>
      </c>
      <c r="BP17" s="144">
        <v>1.05</v>
      </c>
    </row>
    <row r="18" spans="1:68" x14ac:dyDescent="0.2">
      <c r="A18" s="133" t="str">
        <f>+'Scheduled Intervals'!A18</f>
        <v>Mahindra 4500</v>
      </c>
      <c r="B18" s="157">
        <v>0.4</v>
      </c>
      <c r="C18" s="145"/>
      <c r="D18" s="145"/>
      <c r="E18" s="146"/>
      <c r="F18" s="146">
        <v>0.5</v>
      </c>
      <c r="G18" s="146"/>
      <c r="H18" s="145">
        <v>0.2</v>
      </c>
      <c r="I18" s="145">
        <v>0.25</v>
      </c>
      <c r="J18" s="145"/>
      <c r="K18" s="146"/>
      <c r="L18" s="145"/>
      <c r="M18" s="145"/>
      <c r="N18" s="145"/>
      <c r="O18" s="145"/>
      <c r="P18" s="147"/>
      <c r="Q18" s="148"/>
      <c r="R18" s="149"/>
      <c r="S18" s="149"/>
      <c r="T18" s="151"/>
      <c r="U18" s="152">
        <v>0.4</v>
      </c>
      <c r="V18" s="153"/>
      <c r="W18" s="153"/>
      <c r="X18" s="153"/>
      <c r="Y18" s="153"/>
      <c r="Z18" s="153">
        <v>0.3</v>
      </c>
      <c r="AA18" s="153"/>
      <c r="AB18" s="153">
        <v>1</v>
      </c>
      <c r="AC18" s="154">
        <v>0.3</v>
      </c>
      <c r="AD18" s="153"/>
      <c r="AE18" s="154">
        <v>0.5</v>
      </c>
      <c r="AF18" s="153"/>
      <c r="AG18" s="153"/>
      <c r="AH18" s="153"/>
      <c r="AI18" s="153"/>
      <c r="AJ18" s="153"/>
      <c r="AK18" s="153"/>
      <c r="AL18" s="153">
        <v>1</v>
      </c>
      <c r="AM18" s="153"/>
      <c r="AN18" s="153"/>
      <c r="AO18" s="153"/>
      <c r="AP18" s="153"/>
      <c r="AQ18" s="153"/>
      <c r="AR18" s="153"/>
      <c r="AS18" s="153"/>
      <c r="AT18" s="154">
        <v>0.2</v>
      </c>
      <c r="AU18" s="153"/>
      <c r="AV18" s="153"/>
      <c r="AW18" s="153">
        <v>3</v>
      </c>
      <c r="AX18" s="153"/>
      <c r="AY18" s="153"/>
      <c r="AZ18" s="153"/>
      <c r="BA18" s="153"/>
      <c r="BB18" s="153">
        <v>0.1</v>
      </c>
      <c r="BC18" s="154">
        <v>0.2</v>
      </c>
      <c r="BD18" s="153"/>
      <c r="BE18" s="153"/>
      <c r="BF18" s="153">
        <v>0.75</v>
      </c>
      <c r="BG18" s="153"/>
      <c r="BH18" s="153">
        <v>1</v>
      </c>
      <c r="BI18" s="153"/>
      <c r="BJ18" s="144">
        <v>0.25</v>
      </c>
      <c r="BK18" s="153"/>
      <c r="BL18" s="153"/>
      <c r="BM18" s="153"/>
      <c r="BN18" s="152">
        <v>0.4</v>
      </c>
      <c r="BO18" s="154">
        <v>0.2</v>
      </c>
      <c r="BP18" s="144">
        <v>1.05</v>
      </c>
    </row>
    <row r="19" spans="1:68" x14ac:dyDescent="0.2">
      <c r="A19" s="133" t="str">
        <f>+'Scheduled Intervals'!A19</f>
        <v>Mahindra 5500</v>
      </c>
      <c r="B19" s="157">
        <v>0.4</v>
      </c>
      <c r="C19" s="145"/>
      <c r="D19" s="145"/>
      <c r="E19" s="145"/>
      <c r="F19" s="146">
        <v>0.5</v>
      </c>
      <c r="G19" s="146"/>
      <c r="H19" s="145">
        <v>0.2</v>
      </c>
      <c r="I19" s="145">
        <v>0.25</v>
      </c>
      <c r="J19" s="145"/>
      <c r="K19" s="146"/>
      <c r="L19" s="145"/>
      <c r="M19" s="145"/>
      <c r="N19" s="145"/>
      <c r="O19" s="145"/>
      <c r="P19" s="147"/>
      <c r="Q19" s="148"/>
      <c r="R19" s="149"/>
      <c r="S19" s="149"/>
      <c r="T19" s="151"/>
      <c r="U19" s="152">
        <v>0.4</v>
      </c>
      <c r="V19" s="153"/>
      <c r="W19" s="153"/>
      <c r="X19" s="153"/>
      <c r="Y19" s="153"/>
      <c r="Z19" s="153">
        <v>0.3</v>
      </c>
      <c r="AA19" s="153"/>
      <c r="AB19" s="153">
        <v>1</v>
      </c>
      <c r="AC19" s="154">
        <v>0.3</v>
      </c>
      <c r="AD19" s="153"/>
      <c r="AE19" s="154"/>
      <c r="AF19" s="153"/>
      <c r="AG19" s="153"/>
      <c r="AH19" s="153"/>
      <c r="AI19" s="153">
        <v>1</v>
      </c>
      <c r="AJ19" s="153"/>
      <c r="AK19" s="153"/>
      <c r="AL19" s="153">
        <v>1</v>
      </c>
      <c r="AM19" s="153"/>
      <c r="AN19" s="153"/>
      <c r="AO19" s="153"/>
      <c r="AP19" s="153"/>
      <c r="AQ19" s="153"/>
      <c r="AR19" s="153"/>
      <c r="AS19" s="153"/>
      <c r="AT19" s="154">
        <v>0.2</v>
      </c>
      <c r="AU19" s="153"/>
      <c r="AV19" s="153"/>
      <c r="AW19" s="153"/>
      <c r="AX19" s="153"/>
      <c r="AY19" s="153"/>
      <c r="AZ19" s="153"/>
      <c r="BA19" s="153"/>
      <c r="BB19" s="153">
        <v>0.1</v>
      </c>
      <c r="BC19" s="154">
        <v>0.2</v>
      </c>
      <c r="BD19" s="153"/>
      <c r="BE19" s="153"/>
      <c r="BF19" s="153">
        <v>0.75</v>
      </c>
      <c r="BG19" s="153"/>
      <c r="BH19" s="153">
        <v>1</v>
      </c>
      <c r="BI19" s="153"/>
      <c r="BJ19" s="144">
        <v>0.25</v>
      </c>
      <c r="BK19" s="153"/>
      <c r="BL19" s="153"/>
      <c r="BM19" s="153"/>
      <c r="BN19" s="152">
        <v>0.4</v>
      </c>
      <c r="BO19" s="154">
        <v>0.2</v>
      </c>
      <c r="BP19" s="144">
        <v>1.05</v>
      </c>
    </row>
    <row r="20" spans="1:68" x14ac:dyDescent="0.2">
      <c r="A20" s="133" t="str">
        <f>+'Scheduled Intervals'!A20</f>
        <v>Mahindra 6000</v>
      </c>
      <c r="B20" s="157">
        <v>0.4</v>
      </c>
      <c r="C20" s="145"/>
      <c r="D20" s="145"/>
      <c r="E20" s="145"/>
      <c r="F20" s="146">
        <v>0.5</v>
      </c>
      <c r="G20" s="146"/>
      <c r="H20" s="145">
        <v>0.2</v>
      </c>
      <c r="I20" s="145">
        <v>0.25</v>
      </c>
      <c r="J20" s="145"/>
      <c r="K20" s="146"/>
      <c r="L20" s="146"/>
      <c r="M20" s="145"/>
      <c r="N20" s="145"/>
      <c r="O20" s="145"/>
      <c r="P20" s="147"/>
      <c r="Q20" s="148"/>
      <c r="R20" s="149"/>
      <c r="S20" s="149"/>
      <c r="T20" s="151"/>
      <c r="U20" s="152">
        <v>0.4</v>
      </c>
      <c r="V20" s="153"/>
      <c r="W20" s="153"/>
      <c r="X20" s="153"/>
      <c r="Y20" s="153"/>
      <c r="Z20" s="153">
        <v>0.3</v>
      </c>
      <c r="AA20" s="153"/>
      <c r="AB20" s="153">
        <v>1</v>
      </c>
      <c r="AC20" s="154">
        <v>0.3</v>
      </c>
      <c r="AD20" s="153"/>
      <c r="AE20" s="154"/>
      <c r="AF20" s="153"/>
      <c r="AG20" s="153"/>
      <c r="AH20" s="153"/>
      <c r="AI20" s="153">
        <v>1</v>
      </c>
      <c r="AJ20" s="153"/>
      <c r="AK20" s="153"/>
      <c r="AL20" s="153">
        <v>1</v>
      </c>
      <c r="AM20" s="153"/>
      <c r="AN20" s="153"/>
      <c r="AO20" s="153"/>
      <c r="AP20" s="153"/>
      <c r="AQ20" s="153"/>
      <c r="AR20" s="153"/>
      <c r="AS20" s="153"/>
      <c r="AT20" s="154">
        <v>0.2</v>
      </c>
      <c r="AU20" s="153"/>
      <c r="AV20" s="153"/>
      <c r="AW20" s="153">
        <v>5</v>
      </c>
      <c r="AX20" s="153"/>
      <c r="AY20" s="153"/>
      <c r="AZ20" s="153"/>
      <c r="BA20" s="153"/>
      <c r="BB20" s="153">
        <v>0.1</v>
      </c>
      <c r="BC20" s="154">
        <v>0.2</v>
      </c>
      <c r="BD20" s="153"/>
      <c r="BE20" s="153"/>
      <c r="BF20" s="153">
        <v>0.75</v>
      </c>
      <c r="BG20" s="153"/>
      <c r="BH20" s="153">
        <v>1</v>
      </c>
      <c r="BI20" s="153"/>
      <c r="BJ20" s="144">
        <v>0.25</v>
      </c>
      <c r="BK20" s="153"/>
      <c r="BL20" s="153"/>
      <c r="BM20" s="153"/>
      <c r="BN20" s="152">
        <v>0.4</v>
      </c>
      <c r="BO20" s="154">
        <v>0.2</v>
      </c>
      <c r="BP20" s="144">
        <v>1.05</v>
      </c>
    </row>
    <row r="21" spans="1:68" x14ac:dyDescent="0.2">
      <c r="A21" s="133" t="str">
        <f>+'Scheduled Intervals'!A21</f>
        <v>Takeuchi TL 8/10/12</v>
      </c>
      <c r="B21" s="157">
        <v>0.7</v>
      </c>
      <c r="C21" s="146">
        <v>0.1</v>
      </c>
      <c r="D21" s="146">
        <v>0.1</v>
      </c>
      <c r="E21" s="145"/>
      <c r="F21" s="146">
        <v>0.7</v>
      </c>
      <c r="G21" s="146"/>
      <c r="H21" s="145">
        <v>0.5</v>
      </c>
      <c r="I21" s="145">
        <v>0.25</v>
      </c>
      <c r="J21" s="145"/>
      <c r="K21" s="145"/>
      <c r="L21" s="145"/>
      <c r="M21" s="146">
        <v>0.6</v>
      </c>
      <c r="N21" s="145"/>
      <c r="O21" s="145"/>
      <c r="P21" s="159">
        <v>0.5</v>
      </c>
      <c r="Q21" s="148"/>
      <c r="R21" s="149"/>
      <c r="S21" s="149"/>
      <c r="T21" s="151"/>
      <c r="U21" s="152">
        <v>0.7</v>
      </c>
      <c r="V21" s="154">
        <v>0.2</v>
      </c>
      <c r="W21" s="154">
        <v>0.1</v>
      </c>
      <c r="X21" s="153">
        <v>0.2</v>
      </c>
      <c r="Y21" s="153"/>
      <c r="Z21" s="153">
        <v>0.3</v>
      </c>
      <c r="AA21" s="153"/>
      <c r="AB21" s="153"/>
      <c r="AC21" s="153"/>
      <c r="AD21" s="153"/>
      <c r="AE21" s="154"/>
      <c r="AF21" s="153"/>
      <c r="AG21" s="154">
        <v>0.5</v>
      </c>
      <c r="AH21" s="154">
        <v>0.5</v>
      </c>
      <c r="AI21" s="154">
        <v>1</v>
      </c>
      <c r="AJ21" s="153"/>
      <c r="AK21" s="153"/>
      <c r="AL21" s="154">
        <v>1</v>
      </c>
      <c r="AM21" s="153"/>
      <c r="AN21" s="153"/>
      <c r="AO21" s="153"/>
      <c r="AP21" s="153">
        <v>0.7</v>
      </c>
      <c r="AQ21" s="154">
        <v>0.2</v>
      </c>
      <c r="AR21" s="153"/>
      <c r="AS21" s="153"/>
      <c r="AT21" s="154">
        <v>0.5</v>
      </c>
      <c r="AU21" s="153"/>
      <c r="AV21" s="153"/>
      <c r="AW21" s="153">
        <v>5</v>
      </c>
      <c r="AX21" s="153"/>
      <c r="AY21" s="153"/>
      <c r="AZ21" s="153"/>
      <c r="BA21" s="153"/>
      <c r="BB21" s="153">
        <v>0.1</v>
      </c>
      <c r="BC21" s="153"/>
      <c r="BD21" s="153"/>
      <c r="BE21" s="153"/>
      <c r="BF21" s="153">
        <v>0.75</v>
      </c>
      <c r="BG21" s="153">
        <v>0.75</v>
      </c>
      <c r="BH21" s="153">
        <v>1</v>
      </c>
      <c r="BI21" s="153"/>
      <c r="BJ21" s="144">
        <v>0.25</v>
      </c>
      <c r="BK21" s="153"/>
      <c r="BL21" s="153"/>
      <c r="BM21" s="153"/>
      <c r="BN21" s="152">
        <v>0.7</v>
      </c>
      <c r="BO21" s="154">
        <v>0.5</v>
      </c>
      <c r="BP21" s="144">
        <v>1.05</v>
      </c>
    </row>
    <row r="22" spans="1:68" x14ac:dyDescent="0.2">
      <c r="A22" s="133" t="str">
        <f>+'Scheduled Intervals'!A22</f>
        <v>Takeuchi 228-235-250</v>
      </c>
      <c r="B22" s="157">
        <v>0.7</v>
      </c>
      <c r="C22" s="146">
        <v>0.1</v>
      </c>
      <c r="D22" s="145"/>
      <c r="E22" s="145"/>
      <c r="F22" s="145"/>
      <c r="G22" s="145"/>
      <c r="H22" s="145">
        <v>0.5</v>
      </c>
      <c r="I22" s="145">
        <v>0.25</v>
      </c>
      <c r="J22" s="145"/>
      <c r="K22" s="145"/>
      <c r="L22" s="145"/>
      <c r="M22" s="145"/>
      <c r="N22" s="145"/>
      <c r="O22" s="145"/>
      <c r="P22" s="147"/>
      <c r="Q22" s="155">
        <v>0.7</v>
      </c>
      <c r="R22" s="150">
        <v>1</v>
      </c>
      <c r="S22" s="149"/>
      <c r="T22" s="151"/>
      <c r="U22" s="152">
        <v>0.7</v>
      </c>
      <c r="V22" s="153"/>
      <c r="W22" s="153"/>
      <c r="X22" s="153">
        <v>0.2</v>
      </c>
      <c r="Y22" s="153"/>
      <c r="Z22" s="153">
        <v>0.3</v>
      </c>
      <c r="AA22" s="153"/>
      <c r="AB22" s="153">
        <v>1</v>
      </c>
      <c r="AC22" s="153"/>
      <c r="AD22" s="153"/>
      <c r="AE22" s="153"/>
      <c r="AF22" s="154">
        <v>0.1</v>
      </c>
      <c r="AG22" s="154">
        <v>0.5</v>
      </c>
      <c r="AH22" s="154">
        <v>0.5</v>
      </c>
      <c r="AI22" s="153"/>
      <c r="AJ22" s="154">
        <v>1</v>
      </c>
      <c r="AK22" s="153"/>
      <c r="AL22" s="153"/>
      <c r="AM22" s="153"/>
      <c r="AN22" s="153"/>
      <c r="AO22" s="153"/>
      <c r="AP22" s="153">
        <v>0.7</v>
      </c>
      <c r="AQ22" s="153"/>
      <c r="AR22" s="153"/>
      <c r="AS22" s="153"/>
      <c r="AT22" s="154">
        <v>0.5</v>
      </c>
      <c r="AU22" s="153"/>
      <c r="AV22" s="153"/>
      <c r="AW22" s="153">
        <v>5</v>
      </c>
      <c r="AX22" s="153"/>
      <c r="AY22" s="153"/>
      <c r="AZ22" s="153"/>
      <c r="BA22" s="153"/>
      <c r="BB22" s="153">
        <v>0.1</v>
      </c>
      <c r="BC22" s="154">
        <v>0.2</v>
      </c>
      <c r="BD22" s="153"/>
      <c r="BE22" s="153"/>
      <c r="BF22" s="153">
        <v>0.75</v>
      </c>
      <c r="BG22" s="153">
        <v>0.75</v>
      </c>
      <c r="BH22" s="153">
        <v>1</v>
      </c>
      <c r="BI22" s="153"/>
      <c r="BJ22" s="144">
        <v>0.25</v>
      </c>
      <c r="BK22" s="153"/>
      <c r="BL22" s="153"/>
      <c r="BM22" s="153"/>
      <c r="BN22" s="152">
        <v>0.7</v>
      </c>
      <c r="BO22" s="154">
        <v>0.5</v>
      </c>
      <c r="BP22" s="144">
        <v>1.05</v>
      </c>
    </row>
    <row r="23" spans="1:68" x14ac:dyDescent="0.2">
      <c r="A23" s="133" t="str">
        <f>+'Scheduled Intervals'!A23</f>
        <v>Takeuchi 260</v>
      </c>
      <c r="B23" s="157">
        <v>0.7</v>
      </c>
      <c r="C23" s="145"/>
      <c r="D23" s="146">
        <v>0.1</v>
      </c>
      <c r="E23" s="145"/>
      <c r="F23" s="145"/>
      <c r="G23" s="145"/>
      <c r="H23" s="145">
        <v>0.5</v>
      </c>
      <c r="I23" s="145">
        <v>0.25</v>
      </c>
      <c r="J23" s="145"/>
      <c r="K23" s="145"/>
      <c r="L23" s="146"/>
      <c r="M23" s="146"/>
      <c r="N23" s="145"/>
      <c r="O23" s="145"/>
      <c r="P23" s="159"/>
      <c r="Q23" s="155">
        <v>0.6</v>
      </c>
      <c r="R23" s="150">
        <v>1</v>
      </c>
      <c r="S23" s="149"/>
      <c r="T23" s="151"/>
      <c r="U23" s="152">
        <v>0.7</v>
      </c>
      <c r="V23" s="153"/>
      <c r="W23" s="153"/>
      <c r="X23" s="153">
        <v>0.2</v>
      </c>
      <c r="Y23" s="153"/>
      <c r="Z23" s="153">
        <v>0.3</v>
      </c>
      <c r="AA23" s="153"/>
      <c r="AB23" s="153">
        <v>1</v>
      </c>
      <c r="AC23" s="153"/>
      <c r="AD23" s="153"/>
      <c r="AE23" s="153"/>
      <c r="AF23" s="154">
        <v>0.1</v>
      </c>
      <c r="AG23" s="154">
        <v>0.5</v>
      </c>
      <c r="AH23" s="154">
        <v>0.5</v>
      </c>
      <c r="AI23" s="153"/>
      <c r="AJ23" s="153"/>
      <c r="AK23" s="153"/>
      <c r="AL23" s="154">
        <v>1</v>
      </c>
      <c r="AM23" s="153"/>
      <c r="AN23" s="153"/>
      <c r="AO23" s="153"/>
      <c r="AP23" s="153">
        <v>0.7</v>
      </c>
      <c r="AQ23" s="153"/>
      <c r="AR23" s="153"/>
      <c r="AS23" s="153"/>
      <c r="AT23" s="154">
        <v>0.5</v>
      </c>
      <c r="AU23" s="153"/>
      <c r="AV23" s="153"/>
      <c r="AW23" s="153">
        <v>5</v>
      </c>
      <c r="AX23" s="153"/>
      <c r="AY23" s="153"/>
      <c r="AZ23" s="153"/>
      <c r="BA23" s="153"/>
      <c r="BB23" s="153">
        <v>0.1</v>
      </c>
      <c r="BC23" s="154">
        <v>0.2</v>
      </c>
      <c r="BD23" s="153"/>
      <c r="BE23" s="153"/>
      <c r="BF23" s="153">
        <v>0.75</v>
      </c>
      <c r="BG23" s="153"/>
      <c r="BH23" s="153">
        <v>1</v>
      </c>
      <c r="BI23" s="153"/>
      <c r="BJ23" s="144">
        <v>0.25</v>
      </c>
      <c r="BK23" s="153"/>
      <c r="BL23" s="153"/>
      <c r="BM23" s="153"/>
      <c r="BN23" s="152">
        <v>0.7</v>
      </c>
      <c r="BO23" s="154">
        <v>0.5</v>
      </c>
      <c r="BP23" s="144">
        <v>1.05</v>
      </c>
    </row>
    <row r="24" spans="1:68" x14ac:dyDescent="0.2">
      <c r="A24" s="133" t="str">
        <f>+'Scheduled Intervals'!A24</f>
        <v>Takeuchi 335</v>
      </c>
      <c r="B24" s="157">
        <v>0.7</v>
      </c>
      <c r="C24" s="145"/>
      <c r="D24" s="145"/>
      <c r="E24" s="145"/>
      <c r="F24" s="145"/>
      <c r="G24" s="145"/>
      <c r="H24" s="145">
        <v>0.5</v>
      </c>
      <c r="I24" s="145">
        <v>0.25</v>
      </c>
      <c r="J24" s="145"/>
      <c r="K24" s="145"/>
      <c r="L24" s="145"/>
      <c r="M24" s="145"/>
      <c r="N24" s="145"/>
      <c r="O24" s="145"/>
      <c r="P24" s="147"/>
      <c r="Q24" s="155">
        <v>0.7</v>
      </c>
      <c r="R24" s="149"/>
      <c r="S24" s="149"/>
      <c r="T24" s="151"/>
      <c r="U24" s="152">
        <v>0.7</v>
      </c>
      <c r="V24" s="153"/>
      <c r="W24" s="153"/>
      <c r="X24" s="153">
        <v>0.2</v>
      </c>
      <c r="Y24" s="153"/>
      <c r="Z24" s="153">
        <v>0.3</v>
      </c>
      <c r="AA24" s="153"/>
      <c r="AB24" s="153">
        <v>1</v>
      </c>
      <c r="AC24" s="153"/>
      <c r="AD24" s="153"/>
      <c r="AE24" s="153"/>
      <c r="AF24" s="153">
        <v>0.1</v>
      </c>
      <c r="AG24" s="154">
        <v>0.5</v>
      </c>
      <c r="AH24" s="154">
        <v>0.5</v>
      </c>
      <c r="AI24" s="153"/>
      <c r="AJ24" s="153"/>
      <c r="AK24" s="153"/>
      <c r="AL24" s="153"/>
      <c r="AM24" s="153"/>
      <c r="AN24" s="153"/>
      <c r="AO24" s="153"/>
      <c r="AP24" s="153">
        <v>0.7</v>
      </c>
      <c r="AQ24" s="153"/>
      <c r="AR24" s="153"/>
      <c r="AS24" s="153"/>
      <c r="AT24" s="154">
        <v>0.5</v>
      </c>
      <c r="AU24" s="153"/>
      <c r="AV24" s="153"/>
      <c r="AW24" s="153">
        <v>5</v>
      </c>
      <c r="AX24" s="153"/>
      <c r="AY24" s="153"/>
      <c r="AZ24" s="154">
        <v>1</v>
      </c>
      <c r="BA24" s="153"/>
      <c r="BB24" s="153">
        <v>0.1</v>
      </c>
      <c r="BC24" s="154">
        <v>0.2</v>
      </c>
      <c r="BD24" s="153"/>
      <c r="BE24" s="153"/>
      <c r="BF24" s="153">
        <v>0.75</v>
      </c>
      <c r="BG24" s="153"/>
      <c r="BH24" s="153">
        <v>1</v>
      </c>
      <c r="BI24" s="153"/>
      <c r="BJ24" s="144">
        <v>0.25</v>
      </c>
      <c r="BK24" s="153"/>
      <c r="BL24" s="153"/>
      <c r="BM24" s="153"/>
      <c r="BN24" s="152">
        <v>0.7</v>
      </c>
      <c r="BO24" s="154">
        <v>0.5</v>
      </c>
      <c r="BP24" s="144">
        <v>1.05</v>
      </c>
    </row>
    <row r="25" spans="1:68" x14ac:dyDescent="0.2">
      <c r="A25" s="133" t="str">
        <f>+'Scheduled Intervals'!A25</f>
        <v>Sany SY up to 35</v>
      </c>
      <c r="B25" s="157">
        <v>0.7</v>
      </c>
      <c r="C25" s="145"/>
      <c r="D25" s="146">
        <v>0.1</v>
      </c>
      <c r="E25" s="145"/>
      <c r="F25" s="145"/>
      <c r="G25" s="145"/>
      <c r="H25" s="145">
        <v>0.5</v>
      </c>
      <c r="I25" s="145">
        <v>0.25</v>
      </c>
      <c r="J25" s="145"/>
      <c r="K25" s="145"/>
      <c r="L25" s="145"/>
      <c r="M25" s="145"/>
      <c r="N25" s="145"/>
      <c r="O25" s="145"/>
      <c r="P25" s="147"/>
      <c r="Q25" s="155">
        <v>0.5</v>
      </c>
      <c r="R25" s="150">
        <v>1</v>
      </c>
      <c r="S25" s="149"/>
      <c r="T25" s="151"/>
      <c r="U25" s="152">
        <v>0.7</v>
      </c>
      <c r="V25" s="153"/>
      <c r="W25" s="153"/>
      <c r="X25" s="153">
        <v>0.2</v>
      </c>
      <c r="Y25" s="153"/>
      <c r="Z25" s="153">
        <v>0.3</v>
      </c>
      <c r="AA25" s="153"/>
      <c r="AB25" s="153"/>
      <c r="AC25" s="153"/>
      <c r="AD25" s="153"/>
      <c r="AE25" s="154"/>
      <c r="AF25" s="153">
        <v>0.1</v>
      </c>
      <c r="AG25" s="154">
        <v>0.5</v>
      </c>
      <c r="AH25" s="154">
        <v>0.5</v>
      </c>
      <c r="AI25" s="153">
        <v>1</v>
      </c>
      <c r="AJ25" s="153"/>
      <c r="AK25" s="154">
        <v>1</v>
      </c>
      <c r="AL25" s="153"/>
      <c r="AM25" s="153"/>
      <c r="AN25" s="153"/>
      <c r="AO25" s="153"/>
      <c r="AP25" s="153"/>
      <c r="AQ25" s="153"/>
      <c r="AR25" s="153"/>
      <c r="AS25" s="153"/>
      <c r="AT25" s="154">
        <v>0.5</v>
      </c>
      <c r="AU25" s="153"/>
      <c r="AV25" s="153"/>
      <c r="AW25" s="153"/>
      <c r="AX25" s="153"/>
      <c r="AY25" s="153"/>
      <c r="AZ25" s="153"/>
      <c r="BA25" s="153"/>
      <c r="BB25" s="154">
        <v>0.1</v>
      </c>
      <c r="BC25" s="153"/>
      <c r="BD25" s="153"/>
      <c r="BE25" s="153"/>
      <c r="BF25" s="153"/>
      <c r="BG25" s="153"/>
      <c r="BH25" s="153">
        <v>1</v>
      </c>
      <c r="BI25" s="153"/>
      <c r="BJ25" s="144">
        <v>0.25</v>
      </c>
      <c r="BK25" s="153"/>
      <c r="BL25" s="153"/>
      <c r="BM25" s="153"/>
      <c r="BN25" s="152">
        <v>0.7</v>
      </c>
      <c r="BO25" s="154">
        <v>0.5</v>
      </c>
      <c r="BP25" s="144">
        <v>1.05</v>
      </c>
    </row>
    <row r="26" spans="1:68" x14ac:dyDescent="0.2">
      <c r="A26" s="133" t="str">
        <f>+'Scheduled Intervals'!A26</f>
        <v>Sany SY up to 60</v>
      </c>
      <c r="B26" s="160">
        <v>0.7</v>
      </c>
      <c r="C26" s="145"/>
      <c r="D26" s="146">
        <v>0.1</v>
      </c>
      <c r="E26" s="145"/>
      <c r="F26" s="145"/>
      <c r="G26" s="145"/>
      <c r="H26" s="146">
        <v>0.5</v>
      </c>
      <c r="I26" s="146">
        <v>0.25</v>
      </c>
      <c r="J26" s="145"/>
      <c r="K26" s="145"/>
      <c r="L26" s="145"/>
      <c r="M26" s="145"/>
      <c r="N26" s="145"/>
      <c r="O26" s="145"/>
      <c r="P26" s="147"/>
      <c r="Q26" s="155">
        <v>0.5</v>
      </c>
      <c r="R26" s="150">
        <v>1</v>
      </c>
      <c r="S26" s="149"/>
      <c r="T26" s="151"/>
      <c r="U26" s="156">
        <v>0.7</v>
      </c>
      <c r="V26" s="153"/>
      <c r="W26" s="153"/>
      <c r="X26" s="154">
        <v>0.2</v>
      </c>
      <c r="Y26" s="153"/>
      <c r="Z26" s="154">
        <v>0.3</v>
      </c>
      <c r="AA26" s="153"/>
      <c r="AB26" s="153"/>
      <c r="AC26" s="153"/>
      <c r="AD26" s="153"/>
      <c r="AE26" s="153"/>
      <c r="AF26" s="154">
        <v>0.1</v>
      </c>
      <c r="AG26" s="154">
        <v>0.5</v>
      </c>
      <c r="AH26" s="154">
        <v>0.5</v>
      </c>
      <c r="AI26" s="154">
        <v>1</v>
      </c>
      <c r="AJ26" s="153"/>
      <c r="AK26" s="154">
        <v>1</v>
      </c>
      <c r="AL26" s="153"/>
      <c r="AM26" s="153"/>
      <c r="AN26" s="153"/>
      <c r="AO26" s="153"/>
      <c r="AP26" s="153"/>
      <c r="AQ26" s="153"/>
      <c r="AR26" s="153"/>
      <c r="AS26" s="153"/>
      <c r="AT26" s="154">
        <v>0.5</v>
      </c>
      <c r="AU26" s="153"/>
      <c r="AV26" s="153"/>
      <c r="AW26" s="153"/>
      <c r="AX26" s="153"/>
      <c r="AY26" s="153"/>
      <c r="AZ26" s="153"/>
      <c r="BA26" s="153"/>
      <c r="BB26" s="154">
        <v>0.1</v>
      </c>
      <c r="BC26" s="153"/>
      <c r="BD26" s="153"/>
      <c r="BE26" s="153"/>
      <c r="BF26" s="153"/>
      <c r="BG26" s="153"/>
      <c r="BH26" s="154">
        <v>1</v>
      </c>
      <c r="BI26" s="153"/>
      <c r="BJ26" s="144">
        <v>0.25</v>
      </c>
      <c r="BK26" s="153"/>
      <c r="BL26" s="153"/>
      <c r="BM26" s="153"/>
      <c r="BN26" s="156">
        <v>0.7</v>
      </c>
      <c r="BO26" s="154">
        <v>0.5</v>
      </c>
      <c r="BP26" s="144">
        <v>1.05</v>
      </c>
    </row>
    <row r="27" spans="1:68" x14ac:dyDescent="0.2">
      <c r="A27" s="133" t="str">
        <f>+'Scheduled Intervals'!A27</f>
        <v>Sany SY up to 155</v>
      </c>
      <c r="B27" s="160">
        <v>0.7</v>
      </c>
      <c r="C27" s="145"/>
      <c r="D27" s="146">
        <v>0.1</v>
      </c>
      <c r="E27" s="145"/>
      <c r="F27" s="145"/>
      <c r="G27" s="145"/>
      <c r="H27" s="146">
        <v>0.5</v>
      </c>
      <c r="I27" s="146">
        <v>0.25</v>
      </c>
      <c r="J27" s="146">
        <v>0.5</v>
      </c>
      <c r="K27" s="145"/>
      <c r="L27" s="145"/>
      <c r="M27" s="145"/>
      <c r="N27" s="145"/>
      <c r="O27" s="145"/>
      <c r="P27" s="147"/>
      <c r="Q27" s="155">
        <v>0.5</v>
      </c>
      <c r="R27" s="149"/>
      <c r="S27" s="149"/>
      <c r="T27" s="151"/>
      <c r="U27" s="156">
        <v>0.7</v>
      </c>
      <c r="V27" s="153"/>
      <c r="W27" s="153"/>
      <c r="X27" s="153"/>
      <c r="Y27" s="153"/>
      <c r="Z27" s="154">
        <v>0.3</v>
      </c>
      <c r="AA27" s="153"/>
      <c r="AB27" s="153"/>
      <c r="AC27" s="153"/>
      <c r="AD27" s="153"/>
      <c r="AE27" s="153"/>
      <c r="AF27" s="154">
        <v>0.1</v>
      </c>
      <c r="AG27" s="154">
        <v>0.5</v>
      </c>
      <c r="AH27" s="154">
        <v>0.5</v>
      </c>
      <c r="AI27" s="154">
        <v>1</v>
      </c>
      <c r="AJ27" s="153"/>
      <c r="AK27" s="154">
        <v>1</v>
      </c>
      <c r="AL27" s="153"/>
      <c r="AM27" s="153"/>
      <c r="AN27" s="153"/>
      <c r="AO27" s="153"/>
      <c r="AP27" s="153"/>
      <c r="AQ27" s="153"/>
      <c r="AR27" s="153"/>
      <c r="AS27" s="153"/>
      <c r="AT27" s="154">
        <v>0.5</v>
      </c>
      <c r="AU27" s="153"/>
      <c r="AV27" s="153"/>
      <c r="AW27" s="153"/>
      <c r="AX27" s="153"/>
      <c r="AY27" s="153"/>
      <c r="AZ27" s="153"/>
      <c r="BA27" s="153"/>
      <c r="BB27" s="154">
        <v>0.1</v>
      </c>
      <c r="BC27" s="153"/>
      <c r="BD27" s="153"/>
      <c r="BE27" s="153"/>
      <c r="BF27" s="153"/>
      <c r="BG27" s="153"/>
      <c r="BH27" s="154">
        <v>1</v>
      </c>
      <c r="BI27" s="153"/>
      <c r="BJ27" s="144">
        <v>0.25</v>
      </c>
      <c r="BK27" s="154">
        <v>2</v>
      </c>
      <c r="BL27" s="153"/>
      <c r="BM27" s="153"/>
      <c r="BN27" s="156">
        <v>0.7</v>
      </c>
      <c r="BO27" s="154">
        <v>0.5</v>
      </c>
      <c r="BP27" s="144">
        <v>1.05</v>
      </c>
    </row>
    <row r="28" spans="1:68" x14ac:dyDescent="0.2">
      <c r="A28" s="133" t="str">
        <f>+'Scheduled Intervals'!A28</f>
        <v>Sany SY up to 215</v>
      </c>
      <c r="B28" s="160">
        <v>0.7</v>
      </c>
      <c r="C28" s="145"/>
      <c r="D28" s="146">
        <v>0.1</v>
      </c>
      <c r="E28" s="145"/>
      <c r="F28" s="145"/>
      <c r="G28" s="145"/>
      <c r="H28" s="146">
        <v>0.7</v>
      </c>
      <c r="I28" s="146">
        <v>0.25</v>
      </c>
      <c r="J28" s="145"/>
      <c r="K28" s="145"/>
      <c r="L28" s="145"/>
      <c r="M28" s="146"/>
      <c r="N28" s="145"/>
      <c r="O28" s="145"/>
      <c r="P28" s="159"/>
      <c r="Q28" s="155">
        <v>0.5</v>
      </c>
      <c r="R28" s="150">
        <v>1</v>
      </c>
      <c r="S28" s="149"/>
      <c r="T28" s="151"/>
      <c r="U28" s="156">
        <v>0.7</v>
      </c>
      <c r="V28" s="153"/>
      <c r="W28" s="153"/>
      <c r="X28" s="153"/>
      <c r="Y28" s="153"/>
      <c r="Z28" s="154">
        <v>0.3</v>
      </c>
      <c r="AA28" s="153"/>
      <c r="AB28" s="153"/>
      <c r="AC28" s="153"/>
      <c r="AD28" s="153"/>
      <c r="AE28" s="153"/>
      <c r="AF28" s="154">
        <v>0.1</v>
      </c>
      <c r="AG28" s="154">
        <v>0.5</v>
      </c>
      <c r="AH28" s="154">
        <v>0.5</v>
      </c>
      <c r="AI28" s="154">
        <v>1</v>
      </c>
      <c r="AJ28" s="154">
        <v>1</v>
      </c>
      <c r="AK28" s="153"/>
      <c r="AL28" s="153"/>
      <c r="AM28" s="153"/>
      <c r="AN28" s="153"/>
      <c r="AO28" s="153"/>
      <c r="AP28" s="153"/>
      <c r="AQ28" s="153"/>
      <c r="AR28" s="153"/>
      <c r="AS28" s="153"/>
      <c r="AT28" s="154">
        <v>0.7</v>
      </c>
      <c r="AU28" s="153"/>
      <c r="AV28" s="153"/>
      <c r="AW28" s="153"/>
      <c r="AX28" s="153"/>
      <c r="AY28" s="153"/>
      <c r="AZ28" s="153"/>
      <c r="BA28" s="153"/>
      <c r="BB28" s="154">
        <v>0.1</v>
      </c>
      <c r="BC28" s="153"/>
      <c r="BD28" s="153"/>
      <c r="BE28" s="153"/>
      <c r="BF28" s="153"/>
      <c r="BG28" s="153"/>
      <c r="BH28" s="154">
        <v>1</v>
      </c>
      <c r="BI28" s="153"/>
      <c r="BJ28" s="144">
        <v>0.25</v>
      </c>
      <c r="BK28" s="154">
        <v>2</v>
      </c>
      <c r="BL28" s="153"/>
      <c r="BM28" s="153"/>
      <c r="BN28" s="156">
        <v>0.7</v>
      </c>
      <c r="BO28" s="154">
        <v>0.7</v>
      </c>
      <c r="BP28" s="144">
        <v>1.05</v>
      </c>
    </row>
    <row r="29" spans="1:68" x14ac:dyDescent="0.2">
      <c r="A29" s="133" t="str">
        <f>+'Scheduled Intervals'!A29</f>
        <v>Sany SY up to 500</v>
      </c>
      <c r="B29" s="160">
        <v>1</v>
      </c>
      <c r="C29" s="145"/>
      <c r="D29" s="146">
        <v>0.1</v>
      </c>
      <c r="E29" s="145"/>
      <c r="F29" s="145"/>
      <c r="G29" s="145"/>
      <c r="H29" s="146">
        <v>0.7</v>
      </c>
      <c r="I29" s="146">
        <v>0.25</v>
      </c>
      <c r="J29" s="145"/>
      <c r="K29" s="145"/>
      <c r="L29" s="145"/>
      <c r="M29" s="146"/>
      <c r="N29" s="145"/>
      <c r="O29" s="145"/>
      <c r="P29" s="159"/>
      <c r="Q29" s="155">
        <v>0.5</v>
      </c>
      <c r="R29" s="150">
        <v>1</v>
      </c>
      <c r="S29" s="149"/>
      <c r="T29" s="151"/>
      <c r="U29" s="156">
        <v>1</v>
      </c>
      <c r="V29" s="153"/>
      <c r="W29" s="153"/>
      <c r="X29" s="153"/>
      <c r="Y29" s="153"/>
      <c r="Z29" s="154">
        <v>0.3</v>
      </c>
      <c r="AA29" s="153"/>
      <c r="AB29" s="153"/>
      <c r="AC29" s="153"/>
      <c r="AD29" s="153"/>
      <c r="AE29" s="153"/>
      <c r="AF29" s="154">
        <v>0.1</v>
      </c>
      <c r="AG29" s="154">
        <v>0.5</v>
      </c>
      <c r="AH29" s="154">
        <v>0.5</v>
      </c>
      <c r="AI29" s="154">
        <v>1.5</v>
      </c>
      <c r="AJ29" s="154">
        <v>1</v>
      </c>
      <c r="AK29" s="153"/>
      <c r="AL29" s="153"/>
      <c r="AM29" s="153"/>
      <c r="AN29" s="153"/>
      <c r="AO29" s="153"/>
      <c r="AP29" s="153"/>
      <c r="AQ29" s="153"/>
      <c r="AR29" s="153"/>
      <c r="AS29" s="153"/>
      <c r="AT29" s="154">
        <v>0.7</v>
      </c>
      <c r="AU29" s="153"/>
      <c r="AV29" s="153"/>
      <c r="AW29" s="153"/>
      <c r="AX29" s="153"/>
      <c r="AY29" s="153"/>
      <c r="AZ29" s="153"/>
      <c r="BA29" s="153"/>
      <c r="BB29" s="154">
        <v>0.1</v>
      </c>
      <c r="BC29" s="154">
        <v>0.2</v>
      </c>
      <c r="BD29" s="153"/>
      <c r="BE29" s="153"/>
      <c r="BF29" s="153"/>
      <c r="BG29" s="153"/>
      <c r="BH29" s="154">
        <v>1.5</v>
      </c>
      <c r="BI29" s="153"/>
      <c r="BJ29" s="144">
        <v>0.25</v>
      </c>
      <c r="BK29" s="154">
        <v>2</v>
      </c>
      <c r="BL29" s="153"/>
      <c r="BM29" s="154">
        <v>1</v>
      </c>
      <c r="BN29" s="156">
        <v>1</v>
      </c>
      <c r="BO29" s="154">
        <v>0.7</v>
      </c>
      <c r="BP29" s="144">
        <v>1.05</v>
      </c>
    </row>
    <row r="30" spans="1:68" x14ac:dyDescent="0.2">
      <c r="A30" s="133" t="str">
        <f>+'Scheduled Intervals'!A30</f>
        <v>Sany SW up to 305</v>
      </c>
      <c r="B30" s="160">
        <v>1</v>
      </c>
      <c r="C30" s="145"/>
      <c r="D30" s="146">
        <v>0.3</v>
      </c>
      <c r="E30" s="146">
        <v>1.5</v>
      </c>
      <c r="F30" s="145"/>
      <c r="G30" s="145"/>
      <c r="H30" s="146">
        <v>0.7</v>
      </c>
      <c r="I30" s="146">
        <v>0.25</v>
      </c>
      <c r="J30" s="145"/>
      <c r="K30" s="146">
        <v>0.3</v>
      </c>
      <c r="L30" s="145"/>
      <c r="M30" s="146">
        <v>0.5</v>
      </c>
      <c r="N30" s="146">
        <v>1</v>
      </c>
      <c r="O30" s="145"/>
      <c r="P30" s="147"/>
      <c r="Q30" s="148"/>
      <c r="R30" s="149"/>
      <c r="S30" s="149"/>
      <c r="T30" s="151"/>
      <c r="U30" s="156">
        <v>1</v>
      </c>
      <c r="V30" s="153"/>
      <c r="W30" s="153"/>
      <c r="X30" s="153"/>
      <c r="Y30" s="153"/>
      <c r="Z30" s="154">
        <v>0.3</v>
      </c>
      <c r="AA30" s="153"/>
      <c r="AB30" s="154">
        <v>1</v>
      </c>
      <c r="AC30" s="154">
        <v>0.3</v>
      </c>
      <c r="AD30" s="153"/>
      <c r="AE30" s="153"/>
      <c r="AF30" s="154">
        <v>0.1</v>
      </c>
      <c r="AG30" s="154">
        <v>0.5</v>
      </c>
      <c r="AH30" s="154">
        <v>0.5</v>
      </c>
      <c r="AI30" s="154">
        <v>1.5</v>
      </c>
      <c r="AJ30" s="154">
        <v>1</v>
      </c>
      <c r="AK30" s="153"/>
      <c r="AL30" s="153"/>
      <c r="AM30" s="153"/>
      <c r="AN30" s="153"/>
      <c r="AO30" s="153"/>
      <c r="AP30" s="153"/>
      <c r="AQ30" s="153"/>
      <c r="AR30" s="153"/>
      <c r="AS30" s="153"/>
      <c r="AT30" s="154">
        <v>0.7</v>
      </c>
      <c r="AU30" s="153"/>
      <c r="AV30" s="153"/>
      <c r="AW30" s="153"/>
      <c r="AX30" s="153"/>
      <c r="AY30" s="153"/>
      <c r="AZ30" s="153"/>
      <c r="BA30" s="153"/>
      <c r="BB30" s="154">
        <v>0.1</v>
      </c>
      <c r="BC30" s="154">
        <v>0.2</v>
      </c>
      <c r="BD30" s="153"/>
      <c r="BE30" s="153"/>
      <c r="BF30" s="153"/>
      <c r="BG30" s="153"/>
      <c r="BH30" s="154">
        <v>1.5</v>
      </c>
      <c r="BI30" s="153"/>
      <c r="BJ30" s="144">
        <v>0.25</v>
      </c>
      <c r="BK30" s="154">
        <v>2</v>
      </c>
      <c r="BL30" s="154">
        <v>0.5</v>
      </c>
      <c r="BM30" s="153"/>
      <c r="BN30" s="156">
        <v>1</v>
      </c>
      <c r="BO30" s="154">
        <v>0.7</v>
      </c>
      <c r="BP30" s="144">
        <v>1.05</v>
      </c>
    </row>
    <row r="31" spans="1:68" x14ac:dyDescent="0.2">
      <c r="A31" s="133" t="str">
        <f>+'Scheduled Intervals'!A31</f>
        <v>SCL - DIESEL</v>
      </c>
      <c r="B31" s="134">
        <v>0.3</v>
      </c>
      <c r="C31" s="145"/>
      <c r="D31" s="145"/>
      <c r="E31" s="145"/>
      <c r="F31" s="146">
        <v>0.4</v>
      </c>
      <c r="G31" s="145"/>
      <c r="H31" s="145">
        <v>0.2</v>
      </c>
      <c r="I31" s="145">
        <v>0.25</v>
      </c>
      <c r="J31" s="145"/>
      <c r="K31" s="146"/>
      <c r="L31" s="145"/>
      <c r="M31" s="145"/>
      <c r="N31" s="145"/>
      <c r="O31" s="145"/>
      <c r="P31" s="147"/>
      <c r="Q31" s="148"/>
      <c r="R31" s="149"/>
      <c r="S31" s="149"/>
      <c r="T31" s="151"/>
      <c r="U31" s="152">
        <v>0.3</v>
      </c>
      <c r="V31" s="153"/>
      <c r="W31" s="153"/>
      <c r="X31" s="154">
        <v>0.2</v>
      </c>
      <c r="Y31" s="153"/>
      <c r="Z31" s="153">
        <v>0.5</v>
      </c>
      <c r="AA31" s="153"/>
      <c r="AB31" s="153">
        <v>0.7</v>
      </c>
      <c r="AC31" s="154">
        <v>0.2</v>
      </c>
      <c r="AD31" s="153"/>
      <c r="AE31" s="153">
        <v>0.1</v>
      </c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  <c r="AT31" s="153">
        <v>0.2</v>
      </c>
      <c r="AU31" s="154"/>
      <c r="AV31" s="153"/>
      <c r="AW31" s="153">
        <v>0.3</v>
      </c>
      <c r="AX31" s="153"/>
      <c r="AY31" s="153"/>
      <c r="AZ31" s="153"/>
      <c r="BA31" s="153"/>
      <c r="BB31" s="153">
        <v>0.1</v>
      </c>
      <c r="BC31" s="153">
        <v>0.1</v>
      </c>
      <c r="BD31" s="153"/>
      <c r="BE31" s="153"/>
      <c r="BF31" s="153"/>
      <c r="BG31" s="153"/>
      <c r="BH31" s="153">
        <v>0.3</v>
      </c>
      <c r="BI31" s="154">
        <v>0.1</v>
      </c>
      <c r="BJ31" s="144">
        <v>0.25</v>
      </c>
      <c r="BK31" s="153"/>
      <c r="BL31" s="153"/>
      <c r="BM31" s="153"/>
      <c r="BN31" s="152">
        <v>0.3</v>
      </c>
      <c r="BO31" s="153">
        <v>0.2</v>
      </c>
      <c r="BP31" s="144">
        <v>1.05</v>
      </c>
    </row>
    <row r="32" spans="1:68" x14ac:dyDescent="0.2">
      <c r="A32" s="133" t="str">
        <f>+'Scheduled Intervals'!A32</f>
        <v>SCL -  Gas</v>
      </c>
      <c r="B32" s="134">
        <v>0.3</v>
      </c>
      <c r="C32" s="145"/>
      <c r="D32" s="145"/>
      <c r="E32" s="145"/>
      <c r="F32" s="146"/>
      <c r="G32" s="146"/>
      <c r="H32" s="145">
        <v>0.2</v>
      </c>
      <c r="I32" s="145">
        <v>0.25</v>
      </c>
      <c r="J32" s="145"/>
      <c r="K32" s="146"/>
      <c r="L32" s="145"/>
      <c r="M32" s="145"/>
      <c r="N32" s="145"/>
      <c r="O32" s="145"/>
      <c r="P32" s="147"/>
      <c r="Q32" s="148"/>
      <c r="R32" s="149"/>
      <c r="S32" s="150">
        <v>0.9</v>
      </c>
      <c r="T32" s="151"/>
      <c r="U32" s="152">
        <v>0.3</v>
      </c>
      <c r="V32" s="153"/>
      <c r="W32" s="153"/>
      <c r="X32" s="153"/>
      <c r="Y32" s="153"/>
      <c r="Z32" s="153">
        <v>0.2</v>
      </c>
      <c r="AA32" s="153"/>
      <c r="AB32" s="154">
        <v>0.7</v>
      </c>
      <c r="AC32" s="154">
        <v>0.2</v>
      </c>
      <c r="AD32" s="153"/>
      <c r="AE32" s="154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3"/>
      <c r="AQ32" s="154"/>
      <c r="AR32" s="153"/>
      <c r="AS32" s="153"/>
      <c r="AT32" s="154">
        <v>0.2</v>
      </c>
      <c r="AU32" s="153"/>
      <c r="AV32" s="153"/>
      <c r="AW32" s="153"/>
      <c r="AX32" s="153"/>
      <c r="AY32" s="153"/>
      <c r="AZ32" s="153"/>
      <c r="BA32" s="153"/>
      <c r="BB32" s="153">
        <v>0.1</v>
      </c>
      <c r="BC32" s="153"/>
      <c r="BD32" s="153">
        <v>0.2</v>
      </c>
      <c r="BE32" s="153"/>
      <c r="BF32" s="153"/>
      <c r="BG32" s="153"/>
      <c r="BH32" s="154">
        <v>0.3</v>
      </c>
      <c r="BI32" s="154">
        <v>0.1</v>
      </c>
      <c r="BJ32" s="144">
        <v>0.25</v>
      </c>
      <c r="BK32" s="153"/>
      <c r="BL32" s="153"/>
      <c r="BM32" s="153"/>
      <c r="BN32" s="152">
        <v>0.3</v>
      </c>
      <c r="BO32" s="154">
        <v>0.2</v>
      </c>
      <c r="BP32" s="144">
        <v>1.05</v>
      </c>
    </row>
    <row r="33" spans="1:68" x14ac:dyDescent="0.2">
      <c r="A33" s="133" t="str">
        <f>+'Scheduled Intervals'!A33</f>
        <v>Mini Excavator</v>
      </c>
      <c r="B33" s="160">
        <v>0.4</v>
      </c>
      <c r="C33" s="145"/>
      <c r="D33" s="146"/>
      <c r="E33" s="146"/>
      <c r="F33" s="146">
        <v>0.3</v>
      </c>
      <c r="G33" s="145"/>
      <c r="H33" s="146">
        <v>0.2</v>
      </c>
      <c r="I33" s="146">
        <v>0.25</v>
      </c>
      <c r="J33" s="145"/>
      <c r="K33" s="146"/>
      <c r="L33" s="145"/>
      <c r="M33" s="146"/>
      <c r="N33" s="146"/>
      <c r="O33" s="145"/>
      <c r="P33" s="147"/>
      <c r="Q33" s="148"/>
      <c r="R33" s="149"/>
      <c r="S33" s="149"/>
      <c r="T33" s="151"/>
      <c r="U33" s="156">
        <v>0.4</v>
      </c>
      <c r="V33" s="153"/>
      <c r="W33" s="153"/>
      <c r="X33" s="153"/>
      <c r="Y33" s="153"/>
      <c r="Z33" s="154">
        <v>0.2</v>
      </c>
      <c r="AA33" s="153"/>
      <c r="AB33" s="154"/>
      <c r="AC33" s="154"/>
      <c r="AD33" s="153"/>
      <c r="AE33" s="153"/>
      <c r="AF33" s="154">
        <v>0.1</v>
      </c>
      <c r="AG33" s="154">
        <v>0.5</v>
      </c>
      <c r="AH33" s="154"/>
      <c r="AI33" s="154">
        <v>1</v>
      </c>
      <c r="AJ33" s="154"/>
      <c r="AK33" s="153"/>
      <c r="AL33" s="153"/>
      <c r="AM33" s="153"/>
      <c r="AN33" s="153"/>
      <c r="AO33" s="153"/>
      <c r="AP33" s="153"/>
      <c r="AQ33" s="153"/>
      <c r="AR33" s="153"/>
      <c r="AS33" s="153"/>
      <c r="AT33" s="154">
        <v>0.2</v>
      </c>
      <c r="AU33" s="153"/>
      <c r="AV33" s="153"/>
      <c r="AW33" s="153"/>
      <c r="AX33" s="153"/>
      <c r="AY33" s="153"/>
      <c r="AZ33" s="153"/>
      <c r="BA33" s="153"/>
      <c r="BB33" s="154">
        <v>0.1</v>
      </c>
      <c r="BC33" s="154">
        <v>0.2</v>
      </c>
      <c r="BD33" s="153"/>
      <c r="BE33" s="153"/>
      <c r="BF33" s="153"/>
      <c r="BG33" s="153"/>
      <c r="BH33" s="154">
        <v>1</v>
      </c>
      <c r="BI33" s="153"/>
      <c r="BJ33" s="144">
        <v>0.25</v>
      </c>
      <c r="BK33" s="154"/>
      <c r="BL33" s="154"/>
      <c r="BM33" s="153"/>
      <c r="BN33" s="156">
        <v>0.4</v>
      </c>
      <c r="BO33" s="154">
        <v>0.2</v>
      </c>
      <c r="BP33" s="144">
        <v>1.05</v>
      </c>
    </row>
    <row r="34" spans="1:68" x14ac:dyDescent="0.2">
      <c r="A34" s="133" t="str">
        <f>+'Scheduled Intervals'!A34</f>
        <v>Sub Compact BX</v>
      </c>
      <c r="B34" s="160">
        <v>0.4</v>
      </c>
      <c r="C34" s="145"/>
      <c r="D34" s="146"/>
      <c r="E34" s="146"/>
      <c r="F34" s="145"/>
      <c r="G34" s="145"/>
      <c r="H34" s="146">
        <v>0.2</v>
      </c>
      <c r="I34" s="146">
        <v>0.25</v>
      </c>
      <c r="J34" s="145"/>
      <c r="K34" s="146"/>
      <c r="L34" s="145"/>
      <c r="M34" s="146"/>
      <c r="N34" s="146"/>
      <c r="O34" s="145"/>
      <c r="P34" s="147"/>
      <c r="Q34" s="148"/>
      <c r="R34" s="149"/>
      <c r="S34" s="149"/>
      <c r="T34" s="151"/>
      <c r="U34" s="156">
        <v>0.4</v>
      </c>
      <c r="V34" s="154">
        <v>0.2</v>
      </c>
      <c r="W34" s="154">
        <v>0.1</v>
      </c>
      <c r="X34" s="153"/>
      <c r="Y34" s="153"/>
      <c r="Z34" s="154">
        <v>0.2</v>
      </c>
      <c r="AA34" s="153"/>
      <c r="AB34" s="154">
        <v>1</v>
      </c>
      <c r="AC34" s="154">
        <v>0.3</v>
      </c>
      <c r="AD34" s="153"/>
      <c r="AE34" s="154">
        <v>0.3</v>
      </c>
      <c r="AF34" s="154"/>
      <c r="AG34" s="154">
        <v>0.5</v>
      </c>
      <c r="AH34" s="154"/>
      <c r="AI34" s="154"/>
      <c r="AJ34" s="154"/>
      <c r="AK34" s="153"/>
      <c r="AL34" s="154">
        <v>1</v>
      </c>
      <c r="AM34" s="153"/>
      <c r="AN34" s="153"/>
      <c r="AO34" s="153"/>
      <c r="AP34" s="153"/>
      <c r="AQ34" s="153"/>
      <c r="AR34" s="153"/>
      <c r="AS34" s="153"/>
      <c r="AT34" s="154">
        <v>0.2</v>
      </c>
      <c r="AU34" s="153"/>
      <c r="AV34" s="153"/>
      <c r="AW34" s="153"/>
      <c r="AX34" s="153"/>
      <c r="AY34" s="153"/>
      <c r="AZ34" s="153"/>
      <c r="BA34" s="153"/>
      <c r="BB34" s="154">
        <v>0.1</v>
      </c>
      <c r="BC34" s="154">
        <v>0.2</v>
      </c>
      <c r="BD34" s="153"/>
      <c r="BE34" s="153"/>
      <c r="BF34" s="153"/>
      <c r="BG34" s="153"/>
      <c r="BH34" s="154">
        <v>1</v>
      </c>
      <c r="BI34" s="153"/>
      <c r="BJ34" s="144">
        <v>0.25</v>
      </c>
      <c r="BK34" s="154"/>
      <c r="BL34" s="154"/>
      <c r="BM34" s="153"/>
      <c r="BN34" s="156">
        <v>0.4</v>
      </c>
      <c r="BO34" s="154">
        <v>0.2</v>
      </c>
      <c r="BP34" s="144">
        <v>1.05</v>
      </c>
    </row>
    <row r="35" spans="1:68" x14ac:dyDescent="0.2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3"/>
      <c r="BK35" s="133"/>
      <c r="BL35" s="133"/>
      <c r="BM35" s="133"/>
      <c r="BN35" s="133"/>
      <c r="BO35" s="133"/>
      <c r="BP35" s="133"/>
    </row>
    <row r="37" spans="1:68" x14ac:dyDescent="0.2">
      <c r="A37" s="18" t="str">
        <f>'Scheduled Intervals'!A4</f>
        <v>RTV</v>
      </c>
      <c r="B37" s="161">
        <f>'Scheduled Intervals'!B4</f>
        <v>50</v>
      </c>
      <c r="C37" s="161">
        <f>'Scheduled Intervals'!C4</f>
        <v>0</v>
      </c>
      <c r="D37" s="161">
        <f>'Scheduled Intervals'!D4</f>
        <v>0</v>
      </c>
      <c r="E37" s="161">
        <f>'Scheduled Intervals'!E4</f>
        <v>0</v>
      </c>
      <c r="F37" s="161">
        <f>'Scheduled Intervals'!F4</f>
        <v>50</v>
      </c>
      <c r="G37" s="161">
        <f>'Scheduled Intervals'!G4</f>
        <v>0</v>
      </c>
      <c r="H37" s="161">
        <f>'Scheduled Intervals'!H4</f>
        <v>50</v>
      </c>
      <c r="I37" s="161">
        <f>'Scheduled Intervals'!I4</f>
        <v>50</v>
      </c>
      <c r="J37" s="161">
        <f>'Scheduled Intervals'!J4</f>
        <v>0</v>
      </c>
      <c r="K37" s="161">
        <f>'Scheduled Intervals'!K4</f>
        <v>0</v>
      </c>
      <c r="L37" s="161">
        <f>'Scheduled Intervals'!L4</f>
        <v>0</v>
      </c>
      <c r="M37" s="161">
        <f>'Scheduled Intervals'!M4</f>
        <v>0</v>
      </c>
      <c r="N37" s="161">
        <f>'Scheduled Intervals'!N4</f>
        <v>0</v>
      </c>
      <c r="O37" s="161">
        <f>'Scheduled Intervals'!O4</f>
        <v>0</v>
      </c>
      <c r="P37" s="161">
        <f>'Scheduled Intervals'!P4</f>
        <v>50</v>
      </c>
      <c r="Q37" s="161">
        <f>'Scheduled Intervals'!Q4</f>
        <v>0</v>
      </c>
      <c r="R37" s="161">
        <f>'Scheduled Intervals'!R4</f>
        <v>0</v>
      </c>
      <c r="S37" s="161">
        <f>'Scheduled Intervals'!S4</f>
        <v>0</v>
      </c>
      <c r="T37" s="161">
        <f>'Scheduled Intervals'!T4</f>
        <v>0</v>
      </c>
      <c r="U37" s="161">
        <f>'Scheduled Intervals'!U4</f>
        <v>200</v>
      </c>
      <c r="V37" s="161">
        <f>'Scheduled Intervals'!V4</f>
        <v>0</v>
      </c>
      <c r="W37" s="161">
        <f>'Scheduled Intervals'!W4</f>
        <v>0</v>
      </c>
      <c r="X37" s="161">
        <f>'Scheduled Intervals'!X4</f>
        <v>0</v>
      </c>
      <c r="Y37" s="161">
        <f>'Scheduled Intervals'!Y4</f>
        <v>200</v>
      </c>
      <c r="Z37" s="161">
        <f>'Scheduled Intervals'!Z4</f>
        <v>400</v>
      </c>
      <c r="AA37" s="161">
        <f>'Scheduled Intervals'!AA4</f>
        <v>0</v>
      </c>
      <c r="AB37" s="161">
        <f>'Scheduled Intervals'!AB4</f>
        <v>400</v>
      </c>
      <c r="AC37" s="161">
        <f>'Scheduled Intervals'!AC4</f>
        <v>200</v>
      </c>
      <c r="AD37" s="161">
        <f>'Scheduled Intervals'!AD4</f>
        <v>0</v>
      </c>
      <c r="AE37" s="161">
        <f>'Scheduled Intervals'!AE4</f>
        <v>200</v>
      </c>
      <c r="AF37" s="161">
        <f>'Scheduled Intervals'!AF4</f>
        <v>0</v>
      </c>
      <c r="AG37" s="161">
        <f>'Scheduled Intervals'!AG4</f>
        <v>0</v>
      </c>
      <c r="AH37" s="161">
        <f>'Scheduled Intervals'!AH4</f>
        <v>0</v>
      </c>
      <c r="AI37" s="161">
        <f>'Scheduled Intervals'!AI4</f>
        <v>200</v>
      </c>
      <c r="AJ37" s="161">
        <f>'Scheduled Intervals'!AJ4</f>
        <v>0</v>
      </c>
      <c r="AK37" s="161">
        <f>'Scheduled Intervals'!AK4</f>
        <v>0</v>
      </c>
      <c r="AL37" s="161">
        <f>'Scheduled Intervals'!AL4</f>
        <v>400</v>
      </c>
      <c r="AM37" s="161">
        <f>'Scheduled Intervals'!AM4</f>
        <v>0</v>
      </c>
      <c r="AN37" s="161">
        <f>'Scheduled Intervals'!AN4</f>
        <v>0</v>
      </c>
      <c r="AO37" s="161">
        <f>'Scheduled Intervals'!AO4</f>
        <v>0</v>
      </c>
      <c r="AP37" s="161">
        <f>'Scheduled Intervals'!AP4</f>
        <v>0</v>
      </c>
      <c r="AQ37" s="161">
        <f>'Scheduled Intervals'!AQ4</f>
        <v>0</v>
      </c>
      <c r="AR37" s="161">
        <f>'Scheduled Intervals'!AR4</f>
        <v>0</v>
      </c>
      <c r="AS37" s="161">
        <f>'Scheduled Intervals'!AS4</f>
        <v>0</v>
      </c>
      <c r="AT37" s="161">
        <f>'Scheduled Intervals'!AT4</f>
        <v>200</v>
      </c>
      <c r="AU37" s="161">
        <f>'Scheduled Intervals'!AU4</f>
        <v>0</v>
      </c>
      <c r="AV37" s="161">
        <f>'Scheduled Intervals'!AV4</f>
        <v>0</v>
      </c>
      <c r="AW37" s="161">
        <f>'Scheduled Intervals'!AW4</f>
        <v>800</v>
      </c>
      <c r="AX37" s="161">
        <f>'Scheduled Intervals'!AX4</f>
        <v>0</v>
      </c>
      <c r="AY37" s="161">
        <f>'Scheduled Intervals'!AY4</f>
        <v>0</v>
      </c>
      <c r="AZ37" s="161">
        <f>'Scheduled Intervals'!AZ4</f>
        <v>0</v>
      </c>
      <c r="BA37" s="161">
        <f>'Scheduled Intervals'!BA4</f>
        <v>0</v>
      </c>
      <c r="BB37" s="161">
        <f>'Scheduled Intervals'!BB4</f>
        <v>1000</v>
      </c>
      <c r="BC37" s="161">
        <f>'Scheduled Intervals'!BC4</f>
        <v>1000</v>
      </c>
      <c r="BD37" s="161">
        <f>'Scheduled Intervals'!BD4</f>
        <v>500</v>
      </c>
      <c r="BE37" s="161">
        <f>'Scheduled Intervals'!BE4</f>
        <v>0</v>
      </c>
      <c r="BF37" s="161">
        <f>'Scheduled Intervals'!BF4</f>
        <v>0</v>
      </c>
      <c r="BG37" s="161">
        <f>'Scheduled Intervals'!BG4</f>
        <v>0</v>
      </c>
      <c r="BH37" s="161">
        <f>'Scheduled Intervals'!BH4</f>
        <v>2000</v>
      </c>
      <c r="BI37" s="161">
        <f>'Scheduled Intervals'!BI4</f>
        <v>0</v>
      </c>
      <c r="BJ37" s="161">
        <f>'Scheduled Intervals'!BJ4</f>
        <v>200</v>
      </c>
      <c r="BK37" s="161">
        <f>'Scheduled Intervals'!BK4</f>
        <v>0</v>
      </c>
      <c r="BL37" s="161">
        <f>'Scheduled Intervals'!BL4</f>
        <v>0</v>
      </c>
      <c r="BM37" s="161">
        <f>'Scheduled Intervals'!BM4</f>
        <v>0</v>
      </c>
      <c r="BN37" s="161" t="str">
        <f>'Scheduled Intervals'!BN4</f>
        <v>Annual</v>
      </c>
      <c r="BO37" s="161" t="str">
        <f>'Scheduled Intervals'!BO4</f>
        <v>Annual</v>
      </c>
      <c r="BP37" s="161" t="str">
        <f>'Scheduled Intervals'!BP4</f>
        <v>Annual</v>
      </c>
    </row>
    <row r="38" spans="1:68" x14ac:dyDescent="0.2">
      <c r="B38" s="161">
        <f>'Scheduled Intervals'!B5</f>
        <v>8</v>
      </c>
      <c r="C38" s="161">
        <f>'Scheduled Intervals'!C5</f>
        <v>0</v>
      </c>
      <c r="D38" s="161">
        <f>'Scheduled Intervals'!D5</f>
        <v>0</v>
      </c>
      <c r="E38" s="161">
        <f>'Scheduled Intervals'!E5</f>
        <v>0</v>
      </c>
      <c r="F38" s="161">
        <f>'Scheduled Intervals'!F5</f>
        <v>0</v>
      </c>
      <c r="G38" s="161">
        <f>'Scheduled Intervals'!G5</f>
        <v>0</v>
      </c>
      <c r="H38" s="161">
        <f>'Scheduled Intervals'!H5</f>
        <v>50</v>
      </c>
      <c r="I38" s="161">
        <f>'Scheduled Intervals'!I5</f>
        <v>50</v>
      </c>
      <c r="J38" s="161">
        <f>'Scheduled Intervals'!J5</f>
        <v>0</v>
      </c>
      <c r="K38" s="161">
        <f>'Scheduled Intervals'!K5</f>
        <v>0</v>
      </c>
      <c r="L38" s="161">
        <f>'Scheduled Intervals'!L5</f>
        <v>0</v>
      </c>
      <c r="M38" s="161">
        <f>'Scheduled Intervals'!M5</f>
        <v>0</v>
      </c>
      <c r="N38" s="161">
        <f>'Scheduled Intervals'!N5</f>
        <v>0</v>
      </c>
      <c r="O38" s="161">
        <f>'Scheduled Intervals'!O5</f>
        <v>0</v>
      </c>
      <c r="P38" s="161">
        <f>'Scheduled Intervals'!P5</f>
        <v>0</v>
      </c>
      <c r="Q38" s="161">
        <f>'Scheduled Intervals'!Q5</f>
        <v>0</v>
      </c>
      <c r="R38" s="161">
        <f>'Scheduled Intervals'!R5</f>
        <v>0</v>
      </c>
      <c r="S38" s="161">
        <f>'Scheduled Intervals'!S5</f>
        <v>100</v>
      </c>
      <c r="T38" s="161">
        <f>'Scheduled Intervals'!T5</f>
        <v>0</v>
      </c>
      <c r="U38" s="161">
        <f>'Scheduled Intervals'!U5</f>
        <v>100</v>
      </c>
      <c r="V38" s="161">
        <f>'Scheduled Intervals'!V5</f>
        <v>0</v>
      </c>
      <c r="W38" s="161">
        <f>'Scheduled Intervals'!W5</f>
        <v>0</v>
      </c>
      <c r="X38" s="161">
        <f>'Scheduled Intervals'!X5</f>
        <v>0</v>
      </c>
      <c r="Y38" s="161">
        <f>'Scheduled Intervals'!Y5</f>
        <v>0</v>
      </c>
      <c r="Z38" s="161">
        <f>'Scheduled Intervals'!Z5</f>
        <v>100</v>
      </c>
      <c r="AA38" s="161">
        <f>'Scheduled Intervals'!AA5</f>
        <v>0</v>
      </c>
      <c r="AB38" s="161">
        <f>'Scheduled Intervals'!AB5</f>
        <v>400</v>
      </c>
      <c r="AC38" s="161">
        <f>'Scheduled Intervals'!AC5</f>
        <v>400</v>
      </c>
      <c r="AD38" s="161">
        <f>'Scheduled Intervals'!AD5</f>
        <v>0</v>
      </c>
      <c r="AE38" s="161">
        <f>'Scheduled Intervals'!AE5</f>
        <v>0</v>
      </c>
      <c r="AF38" s="161">
        <f>'Scheduled Intervals'!AF5</f>
        <v>0</v>
      </c>
      <c r="AG38" s="161">
        <f>'Scheduled Intervals'!AG5</f>
        <v>0</v>
      </c>
      <c r="AH38" s="161">
        <f>'Scheduled Intervals'!AH5</f>
        <v>0</v>
      </c>
      <c r="AI38" s="161">
        <f>'Scheduled Intervals'!AI5</f>
        <v>0</v>
      </c>
      <c r="AJ38" s="161">
        <f>'Scheduled Intervals'!AJ5</f>
        <v>0</v>
      </c>
      <c r="AK38" s="161">
        <f>'Scheduled Intervals'!AK5</f>
        <v>0</v>
      </c>
      <c r="AL38" s="161">
        <f>'Scheduled Intervals'!AL5</f>
        <v>0</v>
      </c>
      <c r="AM38" s="161">
        <f>'Scheduled Intervals'!AM5</f>
        <v>0</v>
      </c>
      <c r="AN38" s="161">
        <f>'Scheduled Intervals'!AN5</f>
        <v>0</v>
      </c>
      <c r="AO38" s="161">
        <f>'Scheduled Intervals'!AO5</f>
        <v>0</v>
      </c>
      <c r="AP38" s="161">
        <f>'Scheduled Intervals'!AP5</f>
        <v>0</v>
      </c>
      <c r="AQ38" s="161">
        <f>'Scheduled Intervals'!AQ5</f>
        <v>0</v>
      </c>
      <c r="AR38" s="161">
        <f>'Scheduled Intervals'!AR5</f>
        <v>0</v>
      </c>
      <c r="AS38" s="161">
        <f>'Scheduled Intervals'!AS5</f>
        <v>0</v>
      </c>
      <c r="AT38" s="161">
        <f>'Scheduled Intervals'!AT5</f>
        <v>100</v>
      </c>
      <c r="AU38" s="161">
        <f>'Scheduled Intervals'!AU5</f>
        <v>0</v>
      </c>
      <c r="AV38" s="161">
        <f>'Scheduled Intervals'!AV5</f>
        <v>0</v>
      </c>
      <c r="AW38" s="161">
        <f>'Scheduled Intervals'!AW5</f>
        <v>0</v>
      </c>
      <c r="AX38" s="161">
        <f>'Scheduled Intervals'!AX5</f>
        <v>0</v>
      </c>
      <c r="AY38" s="161">
        <f>'Scheduled Intervals'!AY5</f>
        <v>0</v>
      </c>
      <c r="AZ38" s="161">
        <f>'Scheduled Intervals'!AZ5</f>
        <v>0</v>
      </c>
      <c r="BA38" s="161">
        <f>'Scheduled Intervals'!BA5</f>
        <v>0</v>
      </c>
      <c r="BB38" s="161">
        <f>'Scheduled Intervals'!BB5</f>
        <v>100</v>
      </c>
      <c r="BC38" s="161">
        <f>'Scheduled Intervals'!BC5</f>
        <v>0</v>
      </c>
      <c r="BD38" s="161">
        <f>'Scheduled Intervals'!BD5</f>
        <v>500</v>
      </c>
      <c r="BE38" s="161">
        <f>'Scheduled Intervals'!BE5</f>
        <v>0</v>
      </c>
      <c r="BF38" s="161">
        <f>'Scheduled Intervals'!BF5</f>
        <v>0</v>
      </c>
      <c r="BG38" s="161">
        <f>'Scheduled Intervals'!BG5</f>
        <v>0</v>
      </c>
      <c r="BH38" s="161">
        <f>'Scheduled Intervals'!BH5</f>
        <v>100</v>
      </c>
      <c r="BI38" s="161">
        <f>'Scheduled Intervals'!BI5</f>
        <v>100</v>
      </c>
      <c r="BJ38" s="161">
        <f>'Scheduled Intervals'!BJ5</f>
        <v>100</v>
      </c>
      <c r="BK38" s="161">
        <f>'Scheduled Intervals'!BK5</f>
        <v>0</v>
      </c>
      <c r="BL38" s="161">
        <f>'Scheduled Intervals'!BL5</f>
        <v>0</v>
      </c>
      <c r="BM38" s="161">
        <f>'Scheduled Intervals'!BM5</f>
        <v>0</v>
      </c>
      <c r="BN38" s="161" t="str">
        <f>'Scheduled Intervals'!BN5</f>
        <v>Annual</v>
      </c>
      <c r="BO38" s="161" t="str">
        <f>'Scheduled Intervals'!BO5</f>
        <v>Annual</v>
      </c>
      <c r="BP38" s="161" t="str">
        <f>'Scheduled Intervals'!BP5</f>
        <v>Annual</v>
      </c>
    </row>
    <row r="39" spans="1:68" x14ac:dyDescent="0.2">
      <c r="B39" s="161">
        <f>'Scheduled Intervals'!B6</f>
        <v>50</v>
      </c>
      <c r="C39" s="161">
        <f>'Scheduled Intervals'!C6</f>
        <v>0</v>
      </c>
      <c r="D39" s="161">
        <f>'Scheduled Intervals'!D6</f>
        <v>0</v>
      </c>
      <c r="E39" s="161">
        <f>'Scheduled Intervals'!E6</f>
        <v>0</v>
      </c>
      <c r="F39" s="161">
        <f>'Scheduled Intervals'!F6</f>
        <v>50</v>
      </c>
      <c r="G39" s="161">
        <f>'Scheduled Intervals'!G6</f>
        <v>0</v>
      </c>
      <c r="H39" s="161">
        <f>'Scheduled Intervals'!H6</f>
        <v>50</v>
      </c>
      <c r="I39" s="161">
        <f>'Scheduled Intervals'!I6</f>
        <v>50</v>
      </c>
      <c r="J39" s="161">
        <f>'Scheduled Intervals'!J6</f>
        <v>0</v>
      </c>
      <c r="K39" s="161">
        <f>'Scheduled Intervals'!K6</f>
        <v>0</v>
      </c>
      <c r="L39" s="161">
        <f>'Scheduled Intervals'!L6</f>
        <v>0</v>
      </c>
      <c r="M39" s="161">
        <f>'Scheduled Intervals'!M6</f>
        <v>0</v>
      </c>
      <c r="N39" s="161">
        <f>'Scheduled Intervals'!N6</f>
        <v>0</v>
      </c>
      <c r="O39" s="161">
        <f>'Scheduled Intervals'!O6</f>
        <v>0</v>
      </c>
      <c r="P39" s="161">
        <f>'Scheduled Intervals'!P6</f>
        <v>0</v>
      </c>
      <c r="Q39" s="161">
        <f>'Scheduled Intervals'!Q6</f>
        <v>0</v>
      </c>
      <c r="R39" s="161">
        <f>'Scheduled Intervals'!R6</f>
        <v>0</v>
      </c>
      <c r="S39" s="161">
        <f>'Scheduled Intervals'!S6</f>
        <v>0</v>
      </c>
      <c r="T39" s="161">
        <f>'Scheduled Intervals'!T6</f>
        <v>0</v>
      </c>
      <c r="U39" s="161">
        <f>'Scheduled Intervals'!U6</f>
        <v>200</v>
      </c>
      <c r="V39" s="161">
        <f>'Scheduled Intervals'!V6</f>
        <v>0</v>
      </c>
      <c r="W39" s="161">
        <f>'Scheduled Intervals'!W6</f>
        <v>0</v>
      </c>
      <c r="X39" s="161">
        <f>'Scheduled Intervals'!X6</f>
        <v>400</v>
      </c>
      <c r="Y39" s="161">
        <f>'Scheduled Intervals'!Y6</f>
        <v>0</v>
      </c>
      <c r="Z39" s="161">
        <f>'Scheduled Intervals'!Z6</f>
        <v>400</v>
      </c>
      <c r="AA39" s="161">
        <f>'Scheduled Intervals'!AA6</f>
        <v>0</v>
      </c>
      <c r="AB39" s="161">
        <f>'Scheduled Intervals'!AB6</f>
        <v>400</v>
      </c>
      <c r="AC39" s="161">
        <f>'Scheduled Intervals'!AC6</f>
        <v>200</v>
      </c>
      <c r="AD39" s="161">
        <f>'Scheduled Intervals'!AD6</f>
        <v>0</v>
      </c>
      <c r="AE39" s="161">
        <f>'Scheduled Intervals'!AE6</f>
        <v>400</v>
      </c>
      <c r="AF39" s="161">
        <f>'Scheduled Intervals'!AF6</f>
        <v>0</v>
      </c>
      <c r="AG39" s="161">
        <f>'Scheduled Intervals'!AG6</f>
        <v>0</v>
      </c>
      <c r="AH39" s="161">
        <f>'Scheduled Intervals'!AH6</f>
        <v>0</v>
      </c>
      <c r="AI39" s="161">
        <f>'Scheduled Intervals'!AI6</f>
        <v>0</v>
      </c>
      <c r="AJ39" s="161">
        <f>'Scheduled Intervals'!AJ6</f>
        <v>0</v>
      </c>
      <c r="AK39" s="161">
        <f>'Scheduled Intervals'!AK6</f>
        <v>0</v>
      </c>
      <c r="AL39" s="161">
        <f>'Scheduled Intervals'!AL6</f>
        <v>0</v>
      </c>
      <c r="AM39" s="161">
        <f>'Scheduled Intervals'!AM6</f>
        <v>0</v>
      </c>
      <c r="AN39" s="161">
        <f>'Scheduled Intervals'!AN6</f>
        <v>0</v>
      </c>
      <c r="AO39" s="161">
        <f>'Scheduled Intervals'!AO6</f>
        <v>0</v>
      </c>
      <c r="AP39" s="161">
        <f>'Scheduled Intervals'!AP6</f>
        <v>0</v>
      </c>
      <c r="AQ39" s="161">
        <f>'Scheduled Intervals'!AQ6</f>
        <v>0</v>
      </c>
      <c r="AR39" s="161">
        <f>'Scheduled Intervals'!AR6</f>
        <v>0</v>
      </c>
      <c r="AS39" s="161">
        <f>'Scheduled Intervals'!AS6</f>
        <v>0</v>
      </c>
      <c r="AT39" s="161">
        <f>'Scheduled Intervals'!AT6</f>
        <v>200</v>
      </c>
      <c r="AU39" s="161">
        <f>'Scheduled Intervals'!AU6</f>
        <v>0</v>
      </c>
      <c r="AV39" s="161">
        <f>'Scheduled Intervals'!AV6</f>
        <v>0</v>
      </c>
      <c r="AW39" s="161">
        <f>'Scheduled Intervals'!AW6</f>
        <v>800</v>
      </c>
      <c r="AX39" s="161">
        <f>'Scheduled Intervals'!AX6</f>
        <v>0</v>
      </c>
      <c r="AY39" s="161">
        <f>'Scheduled Intervals'!AY6</f>
        <v>0</v>
      </c>
      <c r="AZ39" s="161">
        <f>'Scheduled Intervals'!AZ6</f>
        <v>0</v>
      </c>
      <c r="BA39" s="161">
        <f>'Scheduled Intervals'!BA6</f>
        <v>0</v>
      </c>
      <c r="BB39" s="161">
        <f>'Scheduled Intervals'!BB6</f>
        <v>1000</v>
      </c>
      <c r="BC39" s="161">
        <f>'Scheduled Intervals'!BC6</f>
        <v>1000</v>
      </c>
      <c r="BD39" s="161">
        <f>'Scheduled Intervals'!BD6</f>
        <v>0</v>
      </c>
      <c r="BE39" s="161">
        <f>'Scheduled Intervals'!BE6</f>
        <v>0</v>
      </c>
      <c r="BF39" s="161">
        <f>'Scheduled Intervals'!BF6</f>
        <v>0</v>
      </c>
      <c r="BG39" s="161">
        <f>'Scheduled Intervals'!BG6</f>
        <v>0</v>
      </c>
      <c r="BH39" s="161">
        <f>'Scheduled Intervals'!BH6</f>
        <v>2000</v>
      </c>
      <c r="BI39" s="161">
        <f>'Scheduled Intervals'!BI6</f>
        <v>200</v>
      </c>
      <c r="BJ39" s="161">
        <f>'Scheduled Intervals'!BJ6</f>
        <v>200</v>
      </c>
      <c r="BK39" s="161">
        <f>'Scheduled Intervals'!BK6</f>
        <v>0</v>
      </c>
      <c r="BL39" s="161">
        <f>'Scheduled Intervals'!BL6</f>
        <v>0</v>
      </c>
      <c r="BM39" s="161">
        <f>'Scheduled Intervals'!BM6</f>
        <v>0</v>
      </c>
      <c r="BN39" s="161" t="str">
        <f>'Scheduled Intervals'!BN6</f>
        <v>Annual</v>
      </c>
      <c r="BO39" s="161" t="str">
        <f>'Scheduled Intervals'!BO6</f>
        <v>Annual</v>
      </c>
      <c r="BP39" s="161" t="str">
        <f>'Scheduled Intervals'!BP6</f>
        <v>Annual</v>
      </c>
    </row>
    <row r="40" spans="1:68" x14ac:dyDescent="0.2">
      <c r="B40" s="161">
        <f>'Scheduled Intervals'!B7</f>
        <v>50</v>
      </c>
      <c r="C40" s="161">
        <f>'Scheduled Intervals'!C7</f>
        <v>0</v>
      </c>
      <c r="D40" s="161">
        <f>'Scheduled Intervals'!D7</f>
        <v>0</v>
      </c>
      <c r="E40" s="161">
        <f>'Scheduled Intervals'!E7</f>
        <v>0</v>
      </c>
      <c r="F40" s="161">
        <f>'Scheduled Intervals'!F7</f>
        <v>50</v>
      </c>
      <c r="G40" s="161">
        <f>'Scheduled Intervals'!G7</f>
        <v>0</v>
      </c>
      <c r="H40" s="161">
        <f>'Scheduled Intervals'!H7</f>
        <v>50</v>
      </c>
      <c r="I40" s="161">
        <f>'Scheduled Intervals'!I7</f>
        <v>50</v>
      </c>
      <c r="J40" s="161">
        <f>'Scheduled Intervals'!J7</f>
        <v>0</v>
      </c>
      <c r="K40" s="161">
        <f>'Scheduled Intervals'!K7</f>
        <v>0</v>
      </c>
      <c r="L40" s="161">
        <f>'Scheduled Intervals'!L7</f>
        <v>0</v>
      </c>
      <c r="M40" s="161">
        <f>'Scheduled Intervals'!M7</f>
        <v>50</v>
      </c>
      <c r="N40" s="161">
        <f>'Scheduled Intervals'!N7</f>
        <v>0</v>
      </c>
      <c r="O40" s="161">
        <f>'Scheduled Intervals'!O7</f>
        <v>0</v>
      </c>
      <c r="P40" s="161">
        <f>'Scheduled Intervals'!P7</f>
        <v>0</v>
      </c>
      <c r="Q40" s="161">
        <f>'Scheduled Intervals'!Q7</f>
        <v>0</v>
      </c>
      <c r="R40" s="161">
        <f>'Scheduled Intervals'!R7</f>
        <v>0</v>
      </c>
      <c r="S40" s="161">
        <f>'Scheduled Intervals'!S7</f>
        <v>0</v>
      </c>
      <c r="T40" s="161">
        <f>'Scheduled Intervals'!T7</f>
        <v>0</v>
      </c>
      <c r="U40" s="161">
        <f>'Scheduled Intervals'!U7</f>
        <v>200</v>
      </c>
      <c r="V40" s="161">
        <f>'Scheduled Intervals'!V7</f>
        <v>0</v>
      </c>
      <c r="W40" s="161">
        <f>'Scheduled Intervals'!W7</f>
        <v>0</v>
      </c>
      <c r="X40" s="161">
        <f>'Scheduled Intervals'!X7</f>
        <v>0</v>
      </c>
      <c r="Y40" s="161">
        <f>'Scheduled Intervals'!Y7</f>
        <v>0</v>
      </c>
      <c r="Z40" s="161">
        <f>'Scheduled Intervals'!Z7</f>
        <v>400</v>
      </c>
      <c r="AA40" s="161">
        <f>'Scheduled Intervals'!AA7</f>
        <v>0</v>
      </c>
      <c r="AB40" s="161">
        <f>'Scheduled Intervals'!AB7</f>
        <v>400</v>
      </c>
      <c r="AC40" s="161">
        <f>'Scheduled Intervals'!AC7</f>
        <v>200</v>
      </c>
      <c r="AD40" s="161">
        <f>'Scheduled Intervals'!AD7</f>
        <v>0</v>
      </c>
      <c r="AE40" s="161">
        <f>'Scheduled Intervals'!AE7</f>
        <v>400</v>
      </c>
      <c r="AF40" s="161">
        <f>'Scheduled Intervals'!AF7</f>
        <v>0</v>
      </c>
      <c r="AG40" s="161">
        <f>'Scheduled Intervals'!AG7</f>
        <v>0</v>
      </c>
      <c r="AH40" s="161">
        <f>'Scheduled Intervals'!AH7</f>
        <v>0</v>
      </c>
      <c r="AI40" s="161">
        <f>'Scheduled Intervals'!AI7</f>
        <v>0</v>
      </c>
      <c r="AJ40" s="161">
        <f>'Scheduled Intervals'!AJ7</f>
        <v>0</v>
      </c>
      <c r="AK40" s="161">
        <f>'Scheduled Intervals'!AK7</f>
        <v>0</v>
      </c>
      <c r="AL40" s="161">
        <f>'Scheduled Intervals'!AL7</f>
        <v>800</v>
      </c>
      <c r="AM40" s="161">
        <f>'Scheduled Intervals'!AM7</f>
        <v>0</v>
      </c>
      <c r="AN40" s="161">
        <f>'Scheduled Intervals'!AN7</f>
        <v>0</v>
      </c>
      <c r="AO40" s="161">
        <f>'Scheduled Intervals'!AO7</f>
        <v>0</v>
      </c>
      <c r="AP40" s="161">
        <f>'Scheduled Intervals'!AP7</f>
        <v>200</v>
      </c>
      <c r="AQ40" s="161">
        <f>'Scheduled Intervals'!AQ7</f>
        <v>200</v>
      </c>
      <c r="AR40" s="161">
        <f>'Scheduled Intervals'!AR7</f>
        <v>0</v>
      </c>
      <c r="AS40" s="161">
        <f>'Scheduled Intervals'!AS7</f>
        <v>0</v>
      </c>
      <c r="AT40" s="161">
        <f>'Scheduled Intervals'!AT7</f>
        <v>200</v>
      </c>
      <c r="AU40" s="161">
        <f>'Scheduled Intervals'!AU7</f>
        <v>0</v>
      </c>
      <c r="AV40" s="161">
        <f>'Scheduled Intervals'!AV7</f>
        <v>0</v>
      </c>
      <c r="AW40" s="161">
        <f>'Scheduled Intervals'!AW7</f>
        <v>800</v>
      </c>
      <c r="AX40" s="161">
        <f>'Scheduled Intervals'!AX7</f>
        <v>0</v>
      </c>
      <c r="AY40" s="161">
        <f>'Scheduled Intervals'!AY7</f>
        <v>0</v>
      </c>
      <c r="AZ40" s="161">
        <f>'Scheduled Intervals'!AZ7</f>
        <v>0</v>
      </c>
      <c r="BA40" s="161">
        <f>'Scheduled Intervals'!BA7</f>
        <v>0</v>
      </c>
      <c r="BB40" s="161">
        <f>'Scheduled Intervals'!BB7</f>
        <v>1000</v>
      </c>
      <c r="BC40" s="161">
        <f>'Scheduled Intervals'!BC7</f>
        <v>0</v>
      </c>
      <c r="BD40" s="161">
        <f>'Scheduled Intervals'!BD7</f>
        <v>0</v>
      </c>
      <c r="BE40" s="161">
        <f>'Scheduled Intervals'!BE7</f>
        <v>0</v>
      </c>
      <c r="BF40" s="161">
        <f>'Scheduled Intervals'!BF7</f>
        <v>0</v>
      </c>
      <c r="BG40" s="161">
        <f>'Scheduled Intervals'!BG7</f>
        <v>0</v>
      </c>
      <c r="BH40" s="161">
        <f>'Scheduled Intervals'!BH7</f>
        <v>2000</v>
      </c>
      <c r="BI40" s="161">
        <f>'Scheduled Intervals'!BI7</f>
        <v>0</v>
      </c>
      <c r="BJ40" s="161">
        <f>'Scheduled Intervals'!BJ7</f>
        <v>200</v>
      </c>
      <c r="BK40" s="161">
        <f>'Scheduled Intervals'!BK7</f>
        <v>0</v>
      </c>
      <c r="BL40" s="161">
        <f>'Scheduled Intervals'!BL7</f>
        <v>0</v>
      </c>
      <c r="BM40" s="161">
        <f>'Scheduled Intervals'!BM7</f>
        <v>0</v>
      </c>
      <c r="BN40" s="161" t="str">
        <f>'Scheduled Intervals'!BN7</f>
        <v>Annual</v>
      </c>
      <c r="BO40" s="161" t="str">
        <f>'Scheduled Intervals'!BO7</f>
        <v>Annual</v>
      </c>
      <c r="BP40" s="161" t="str">
        <f>'Scheduled Intervals'!BP7</f>
        <v>Annual</v>
      </c>
    </row>
    <row r="41" spans="1:68" x14ac:dyDescent="0.2">
      <c r="B41" s="161">
        <f>'Scheduled Intervals'!B8</f>
        <v>50</v>
      </c>
      <c r="C41" s="161">
        <f>'Scheduled Intervals'!C8</f>
        <v>0</v>
      </c>
      <c r="D41" s="161">
        <f>'Scheduled Intervals'!D8</f>
        <v>0</v>
      </c>
      <c r="E41" s="161">
        <f>'Scheduled Intervals'!E8</f>
        <v>0</v>
      </c>
      <c r="F41" s="161">
        <f>'Scheduled Intervals'!F8</f>
        <v>50</v>
      </c>
      <c r="G41" s="161">
        <f>'Scheduled Intervals'!G8</f>
        <v>0</v>
      </c>
      <c r="H41" s="161">
        <f>'Scheduled Intervals'!H8</f>
        <v>50</v>
      </c>
      <c r="I41" s="161">
        <f>'Scheduled Intervals'!I8</f>
        <v>50</v>
      </c>
      <c r="J41" s="161">
        <f>'Scheduled Intervals'!J8</f>
        <v>0</v>
      </c>
      <c r="K41" s="161">
        <f>'Scheduled Intervals'!K8</f>
        <v>0</v>
      </c>
      <c r="L41" s="161">
        <f>'Scheduled Intervals'!L8</f>
        <v>0</v>
      </c>
      <c r="M41" s="161">
        <f>'Scheduled Intervals'!M8</f>
        <v>0</v>
      </c>
      <c r="N41" s="161">
        <f>'Scheduled Intervals'!N8</f>
        <v>0</v>
      </c>
      <c r="O41" s="161">
        <f>'Scheduled Intervals'!O8</f>
        <v>0</v>
      </c>
      <c r="P41" s="161">
        <f>'Scheduled Intervals'!P8</f>
        <v>0</v>
      </c>
      <c r="Q41" s="161">
        <f>'Scheduled Intervals'!Q8</f>
        <v>0</v>
      </c>
      <c r="R41" s="161">
        <f>'Scheduled Intervals'!R8</f>
        <v>0</v>
      </c>
      <c r="S41" s="161">
        <f>'Scheduled Intervals'!S8</f>
        <v>0</v>
      </c>
      <c r="T41" s="161">
        <f>'Scheduled Intervals'!T8</f>
        <v>0</v>
      </c>
      <c r="U41" s="161">
        <f>'Scheduled Intervals'!U8</f>
        <v>400</v>
      </c>
      <c r="V41" s="161">
        <f>'Scheduled Intervals'!V8</f>
        <v>1200</v>
      </c>
      <c r="W41" s="161">
        <f>'Scheduled Intervals'!W8</f>
        <v>400</v>
      </c>
      <c r="X41" s="161">
        <f>'Scheduled Intervals'!X8</f>
        <v>0</v>
      </c>
      <c r="Y41" s="161">
        <f>'Scheduled Intervals'!Y8</f>
        <v>400</v>
      </c>
      <c r="Z41" s="161">
        <f>'Scheduled Intervals'!Z8</f>
        <v>400</v>
      </c>
      <c r="AA41" s="161">
        <f>'Scheduled Intervals'!AA8</f>
        <v>0</v>
      </c>
      <c r="AB41" s="161">
        <f>'Scheduled Intervals'!AB8</f>
        <v>400</v>
      </c>
      <c r="AC41" s="161">
        <f>'Scheduled Intervals'!AC8</f>
        <v>0</v>
      </c>
      <c r="AD41" s="161">
        <f>'Scheduled Intervals'!AD8</f>
        <v>0</v>
      </c>
      <c r="AE41" s="161">
        <f>'Scheduled Intervals'!AE8</f>
        <v>400</v>
      </c>
      <c r="AF41" s="161">
        <f>'Scheduled Intervals'!AF8</f>
        <v>0</v>
      </c>
      <c r="AG41" s="161">
        <f>'Scheduled Intervals'!AG8</f>
        <v>0</v>
      </c>
      <c r="AH41" s="161">
        <f>'Scheduled Intervals'!AH8</f>
        <v>0</v>
      </c>
      <c r="AI41" s="161">
        <f>'Scheduled Intervals'!AI8</f>
        <v>0</v>
      </c>
      <c r="AJ41" s="161">
        <f>'Scheduled Intervals'!AJ8</f>
        <v>0</v>
      </c>
      <c r="AK41" s="161">
        <f>'Scheduled Intervals'!AK8</f>
        <v>0</v>
      </c>
      <c r="AL41" s="161">
        <f>'Scheduled Intervals'!AL8</f>
        <v>800</v>
      </c>
      <c r="AM41" s="161">
        <f>'Scheduled Intervals'!AM8</f>
        <v>0</v>
      </c>
      <c r="AN41" s="161">
        <f>'Scheduled Intervals'!AN8</f>
        <v>0</v>
      </c>
      <c r="AO41" s="161">
        <f>'Scheduled Intervals'!AO8</f>
        <v>0</v>
      </c>
      <c r="AP41" s="161">
        <f>'Scheduled Intervals'!AP8</f>
        <v>800</v>
      </c>
      <c r="AQ41" s="161">
        <f>'Scheduled Intervals'!AQ8</f>
        <v>800</v>
      </c>
      <c r="AR41" s="161">
        <f>'Scheduled Intervals'!AR8</f>
        <v>0</v>
      </c>
      <c r="AS41" s="161">
        <f>'Scheduled Intervals'!AS8</f>
        <v>800</v>
      </c>
      <c r="AT41" s="161">
        <f>'Scheduled Intervals'!AT8</f>
        <v>400</v>
      </c>
      <c r="AU41" s="161">
        <f>'Scheduled Intervals'!AU8</f>
        <v>0</v>
      </c>
      <c r="AV41" s="161">
        <f>'Scheduled Intervals'!AV8</f>
        <v>0</v>
      </c>
      <c r="AW41" s="161">
        <f>'Scheduled Intervals'!AW8</f>
        <v>0</v>
      </c>
      <c r="AX41" s="161">
        <f>'Scheduled Intervals'!AX8</f>
        <v>0</v>
      </c>
      <c r="AY41" s="161">
        <f>'Scheduled Intervals'!AY8</f>
        <v>0</v>
      </c>
      <c r="AZ41" s="161">
        <f>'Scheduled Intervals'!AZ8</f>
        <v>0</v>
      </c>
      <c r="BA41" s="161">
        <f>'Scheduled Intervals'!BA8</f>
        <v>0</v>
      </c>
      <c r="BB41" s="161">
        <f>'Scheduled Intervals'!BB8</f>
        <v>800</v>
      </c>
      <c r="BC41" s="161">
        <f>'Scheduled Intervals'!BC8</f>
        <v>800</v>
      </c>
      <c r="BD41" s="161">
        <f>'Scheduled Intervals'!BD8</f>
        <v>0</v>
      </c>
      <c r="BE41" s="161">
        <f>'Scheduled Intervals'!BE8</f>
        <v>0</v>
      </c>
      <c r="BF41" s="161">
        <f>'Scheduled Intervals'!BF8</f>
        <v>1200</v>
      </c>
      <c r="BG41" s="161">
        <f>'Scheduled Intervals'!BG8</f>
        <v>1200</v>
      </c>
      <c r="BH41" s="161">
        <f>'Scheduled Intervals'!BH8</f>
        <v>2000</v>
      </c>
      <c r="BI41" s="161">
        <f>'Scheduled Intervals'!BI8</f>
        <v>0</v>
      </c>
      <c r="BJ41" s="161">
        <f>'Scheduled Intervals'!BJ8</f>
        <v>400</v>
      </c>
      <c r="BK41" s="161">
        <f>'Scheduled Intervals'!BK8</f>
        <v>0</v>
      </c>
      <c r="BL41" s="161">
        <f>'Scheduled Intervals'!BL8</f>
        <v>0</v>
      </c>
      <c r="BM41" s="161">
        <f>'Scheduled Intervals'!BM8</f>
        <v>0</v>
      </c>
      <c r="BN41" s="161" t="str">
        <f>'Scheduled Intervals'!BN8</f>
        <v>Annual</v>
      </c>
      <c r="BO41" s="161" t="str">
        <f>'Scheduled Intervals'!BO8</f>
        <v>Annual</v>
      </c>
      <c r="BP41" s="161" t="str">
        <f>'Scheduled Intervals'!BP8</f>
        <v>Annual</v>
      </c>
    </row>
    <row r="42" spans="1:68" x14ac:dyDescent="0.2">
      <c r="B42" s="161">
        <f>'Scheduled Intervals'!B9</f>
        <v>50</v>
      </c>
      <c r="C42" s="161">
        <f>'Scheduled Intervals'!C9</f>
        <v>0</v>
      </c>
      <c r="D42" s="161">
        <f>'Scheduled Intervals'!D9</f>
        <v>0</v>
      </c>
      <c r="E42" s="161">
        <f>'Scheduled Intervals'!E9</f>
        <v>0</v>
      </c>
      <c r="F42" s="161">
        <f>'Scheduled Intervals'!F9</f>
        <v>0</v>
      </c>
      <c r="G42" s="161">
        <f>'Scheduled Intervals'!G9</f>
        <v>0</v>
      </c>
      <c r="H42" s="161">
        <f>'Scheduled Intervals'!H9</f>
        <v>50</v>
      </c>
      <c r="I42" s="161">
        <f>'Scheduled Intervals'!I9</f>
        <v>50</v>
      </c>
      <c r="J42" s="161">
        <f>'Scheduled Intervals'!J9</f>
        <v>0</v>
      </c>
      <c r="K42" s="161">
        <f>'Scheduled Intervals'!K9</f>
        <v>0</v>
      </c>
      <c r="L42" s="161">
        <f>'Scheduled Intervals'!L9</f>
        <v>0</v>
      </c>
      <c r="M42" s="161">
        <f>'Scheduled Intervals'!M9</f>
        <v>0</v>
      </c>
      <c r="N42" s="161">
        <f>'Scheduled Intervals'!N9</f>
        <v>0</v>
      </c>
      <c r="O42" s="161">
        <f>'Scheduled Intervals'!O9</f>
        <v>0</v>
      </c>
      <c r="P42" s="161">
        <f>'Scheduled Intervals'!P9</f>
        <v>0</v>
      </c>
      <c r="Q42" s="161">
        <f>'Scheduled Intervals'!Q9</f>
        <v>0</v>
      </c>
      <c r="R42" s="161">
        <f>'Scheduled Intervals'!R9</f>
        <v>0</v>
      </c>
      <c r="S42" s="161">
        <f>'Scheduled Intervals'!S9</f>
        <v>0</v>
      </c>
      <c r="T42" s="161">
        <f>'Scheduled Intervals'!T9</f>
        <v>0</v>
      </c>
      <c r="U42" s="161">
        <f>'Scheduled Intervals'!U9</f>
        <v>500</v>
      </c>
      <c r="V42" s="161">
        <f>'Scheduled Intervals'!V9</f>
        <v>1500</v>
      </c>
      <c r="W42" s="161">
        <f>'Scheduled Intervals'!W9</f>
        <v>500</v>
      </c>
      <c r="X42" s="161">
        <f>'Scheduled Intervals'!X9</f>
        <v>0</v>
      </c>
      <c r="Y42" s="161">
        <f>'Scheduled Intervals'!Y9</f>
        <v>500</v>
      </c>
      <c r="Z42" s="161">
        <f>'Scheduled Intervals'!Z9</f>
        <v>500</v>
      </c>
      <c r="AA42" s="161">
        <f>'Scheduled Intervals'!AA9</f>
        <v>0</v>
      </c>
      <c r="AB42" s="161">
        <f>'Scheduled Intervals'!AB9</f>
        <v>1000</v>
      </c>
      <c r="AC42" s="161">
        <f>'Scheduled Intervals'!AC9</f>
        <v>0</v>
      </c>
      <c r="AD42" s="161">
        <f>'Scheduled Intervals'!AD9</f>
        <v>0</v>
      </c>
      <c r="AE42" s="161">
        <f>'Scheduled Intervals'!AE9</f>
        <v>500</v>
      </c>
      <c r="AF42" s="161">
        <f>'Scheduled Intervals'!AF9</f>
        <v>0</v>
      </c>
      <c r="AG42" s="161">
        <f>'Scheduled Intervals'!AG9</f>
        <v>0</v>
      </c>
      <c r="AH42" s="161">
        <f>'Scheduled Intervals'!AH9</f>
        <v>0</v>
      </c>
      <c r="AI42" s="161">
        <f>'Scheduled Intervals'!AI9</f>
        <v>0</v>
      </c>
      <c r="AJ42" s="161">
        <f>'Scheduled Intervals'!AJ9</f>
        <v>1000</v>
      </c>
      <c r="AK42" s="161">
        <f>'Scheduled Intervals'!AK9</f>
        <v>0</v>
      </c>
      <c r="AL42" s="161">
        <f>'Scheduled Intervals'!AL9</f>
        <v>0</v>
      </c>
      <c r="AM42" s="161">
        <f>'Scheduled Intervals'!AM9</f>
        <v>0</v>
      </c>
      <c r="AN42" s="161">
        <f>'Scheduled Intervals'!AN9</f>
        <v>0</v>
      </c>
      <c r="AO42" s="161">
        <f>'Scheduled Intervals'!AO9</f>
        <v>0</v>
      </c>
      <c r="AP42" s="161">
        <f>'Scheduled Intervals'!AP9</f>
        <v>0</v>
      </c>
      <c r="AQ42" s="161">
        <f>'Scheduled Intervals'!AQ9</f>
        <v>0</v>
      </c>
      <c r="AR42" s="161">
        <f>'Scheduled Intervals'!AR9</f>
        <v>0</v>
      </c>
      <c r="AS42" s="161">
        <f>'Scheduled Intervals'!AS9</f>
        <v>1000</v>
      </c>
      <c r="AT42" s="161">
        <f>'Scheduled Intervals'!AT9</f>
        <v>500</v>
      </c>
      <c r="AU42" s="161">
        <f>'Scheduled Intervals'!AU9</f>
        <v>0</v>
      </c>
      <c r="AV42" s="161">
        <f>'Scheduled Intervals'!AV9</f>
        <v>0</v>
      </c>
      <c r="AW42" s="161">
        <f>'Scheduled Intervals'!AW9</f>
        <v>1000</v>
      </c>
      <c r="AX42" s="161">
        <f>'Scheduled Intervals'!AX9</f>
        <v>0</v>
      </c>
      <c r="AY42" s="161">
        <f>'Scheduled Intervals'!AY9</f>
        <v>0</v>
      </c>
      <c r="AZ42" s="161">
        <f>'Scheduled Intervals'!AZ9</f>
        <v>0</v>
      </c>
      <c r="BA42" s="161">
        <f>'Scheduled Intervals'!BA9</f>
        <v>0</v>
      </c>
      <c r="BB42" s="161">
        <f>'Scheduled Intervals'!BB9</f>
        <v>1000</v>
      </c>
      <c r="BC42" s="161">
        <f>'Scheduled Intervals'!BC9</f>
        <v>0</v>
      </c>
      <c r="BD42" s="161">
        <f>'Scheduled Intervals'!BD9</f>
        <v>0</v>
      </c>
      <c r="BE42" s="161">
        <f>'Scheduled Intervals'!BE9</f>
        <v>0</v>
      </c>
      <c r="BF42" s="161">
        <f>'Scheduled Intervals'!BF9</f>
        <v>1500</v>
      </c>
      <c r="BG42" s="161">
        <f>'Scheduled Intervals'!BG9</f>
        <v>1500</v>
      </c>
      <c r="BH42" s="161">
        <f>'Scheduled Intervals'!BH9</f>
        <v>2000</v>
      </c>
      <c r="BI42" s="161">
        <f>'Scheduled Intervals'!BI9</f>
        <v>0</v>
      </c>
      <c r="BJ42" s="161">
        <f>'Scheduled Intervals'!BJ9</f>
        <v>500</v>
      </c>
      <c r="BK42" s="161">
        <f>'Scheduled Intervals'!BK9</f>
        <v>0</v>
      </c>
      <c r="BL42" s="161">
        <f>'Scheduled Intervals'!BL9</f>
        <v>0</v>
      </c>
      <c r="BM42" s="161">
        <f>'Scheduled Intervals'!BM9</f>
        <v>0</v>
      </c>
      <c r="BN42" s="161" t="str">
        <f>'Scheduled Intervals'!BN9</f>
        <v>Annual</v>
      </c>
      <c r="BO42" s="161" t="str">
        <f>'Scheduled Intervals'!BO9</f>
        <v>Annual</v>
      </c>
      <c r="BP42" s="161" t="str">
        <f>'Scheduled Intervals'!BP9</f>
        <v>Annual</v>
      </c>
    </row>
    <row r="43" spans="1:68" x14ac:dyDescent="0.2">
      <c r="B43" s="161">
        <f>'Scheduled Intervals'!B10</f>
        <v>50</v>
      </c>
      <c r="C43" s="161">
        <f>'Scheduled Intervals'!C10</f>
        <v>50</v>
      </c>
      <c r="D43" s="161">
        <f>'Scheduled Intervals'!D10</f>
        <v>0</v>
      </c>
      <c r="E43" s="161">
        <f>'Scheduled Intervals'!E10</f>
        <v>0</v>
      </c>
      <c r="F43" s="161">
        <f>'Scheduled Intervals'!F10</f>
        <v>50</v>
      </c>
      <c r="G43" s="161">
        <f>'Scheduled Intervals'!G10</f>
        <v>0</v>
      </c>
      <c r="H43" s="161">
        <f>'Scheduled Intervals'!H10</f>
        <v>50</v>
      </c>
      <c r="I43" s="161">
        <f>'Scheduled Intervals'!I10</f>
        <v>50</v>
      </c>
      <c r="J43" s="161">
        <f>'Scheduled Intervals'!J10</f>
        <v>0</v>
      </c>
      <c r="K43" s="161">
        <f>'Scheduled Intervals'!K10</f>
        <v>0</v>
      </c>
      <c r="L43" s="161">
        <f>'Scheduled Intervals'!L10</f>
        <v>0</v>
      </c>
      <c r="M43" s="161">
        <f>'Scheduled Intervals'!M10</f>
        <v>0</v>
      </c>
      <c r="N43" s="161">
        <f>'Scheduled Intervals'!N10</f>
        <v>0</v>
      </c>
      <c r="O43" s="161">
        <f>'Scheduled Intervals'!O10</f>
        <v>0</v>
      </c>
      <c r="P43" s="161">
        <f>'Scheduled Intervals'!P10</f>
        <v>0</v>
      </c>
      <c r="Q43" s="161">
        <f>'Scheduled Intervals'!Q10</f>
        <v>0</v>
      </c>
      <c r="R43" s="161">
        <f>'Scheduled Intervals'!R10</f>
        <v>0</v>
      </c>
      <c r="S43" s="161">
        <f>'Scheduled Intervals'!S10</f>
        <v>0</v>
      </c>
      <c r="T43" s="161">
        <f>'Scheduled Intervals'!T10</f>
        <v>0</v>
      </c>
      <c r="U43" s="161">
        <f>'Scheduled Intervals'!U10</f>
        <v>500</v>
      </c>
      <c r="V43" s="161">
        <f>'Scheduled Intervals'!V10</f>
        <v>1500</v>
      </c>
      <c r="W43" s="161">
        <f>'Scheduled Intervals'!W10</f>
        <v>0</v>
      </c>
      <c r="X43" s="161">
        <f>'Scheduled Intervals'!X10</f>
        <v>500</v>
      </c>
      <c r="Y43" s="161">
        <f>'Scheduled Intervals'!Y10</f>
        <v>500</v>
      </c>
      <c r="Z43" s="161">
        <f>'Scheduled Intervals'!Z10</f>
        <v>500</v>
      </c>
      <c r="AA43" s="161">
        <f>'Scheduled Intervals'!AA10</f>
        <v>0</v>
      </c>
      <c r="AB43" s="161">
        <f>'Scheduled Intervals'!AB10</f>
        <v>500</v>
      </c>
      <c r="AC43" s="161">
        <f>'Scheduled Intervals'!AC10</f>
        <v>500</v>
      </c>
      <c r="AD43" s="161">
        <f>'Scheduled Intervals'!AD10</f>
        <v>0</v>
      </c>
      <c r="AE43" s="161">
        <f>'Scheduled Intervals'!AE10</f>
        <v>0</v>
      </c>
      <c r="AF43" s="161">
        <f>'Scheduled Intervals'!AF10</f>
        <v>0</v>
      </c>
      <c r="AG43" s="161">
        <f>'Scheduled Intervals'!AG10</f>
        <v>500</v>
      </c>
      <c r="AH43" s="161">
        <f>'Scheduled Intervals'!AH10</f>
        <v>0</v>
      </c>
      <c r="AI43" s="161">
        <f>'Scheduled Intervals'!AI10</f>
        <v>500</v>
      </c>
      <c r="AJ43" s="161">
        <f>'Scheduled Intervals'!AJ10</f>
        <v>0</v>
      </c>
      <c r="AK43" s="161">
        <f>'Scheduled Intervals'!AK10</f>
        <v>500</v>
      </c>
      <c r="AL43" s="161">
        <f>'Scheduled Intervals'!AL10</f>
        <v>1000</v>
      </c>
      <c r="AM43" s="161">
        <f>'Scheduled Intervals'!AM10</f>
        <v>0</v>
      </c>
      <c r="AN43" s="161">
        <f>'Scheduled Intervals'!AN10</f>
        <v>0</v>
      </c>
      <c r="AO43" s="161">
        <f>'Scheduled Intervals'!AO10</f>
        <v>0</v>
      </c>
      <c r="AP43" s="161">
        <f>'Scheduled Intervals'!AP10</f>
        <v>0</v>
      </c>
      <c r="AQ43" s="161">
        <f>'Scheduled Intervals'!AQ10</f>
        <v>0</v>
      </c>
      <c r="AR43" s="161">
        <f>'Scheduled Intervals'!AR10</f>
        <v>0</v>
      </c>
      <c r="AS43" s="161">
        <f>'Scheduled Intervals'!AS10</f>
        <v>0</v>
      </c>
      <c r="AT43" s="161">
        <f>'Scheduled Intervals'!AT10</f>
        <v>500</v>
      </c>
      <c r="AU43" s="161">
        <f>'Scheduled Intervals'!AU10</f>
        <v>0</v>
      </c>
      <c r="AV43" s="161">
        <f>'Scheduled Intervals'!AV10</f>
        <v>0</v>
      </c>
      <c r="AW43" s="161">
        <f>'Scheduled Intervals'!AW10</f>
        <v>1000</v>
      </c>
      <c r="AX43" s="161">
        <f>'Scheduled Intervals'!AX10</f>
        <v>0</v>
      </c>
      <c r="AY43" s="161">
        <f>'Scheduled Intervals'!AY10</f>
        <v>0</v>
      </c>
      <c r="AZ43" s="161">
        <f>'Scheduled Intervals'!AZ10</f>
        <v>0</v>
      </c>
      <c r="BA43" s="161">
        <f>'Scheduled Intervals'!BA10</f>
        <v>500</v>
      </c>
      <c r="BB43" s="161">
        <f>'Scheduled Intervals'!BB10</f>
        <v>1000</v>
      </c>
      <c r="BC43" s="161">
        <f>'Scheduled Intervals'!BC10</f>
        <v>0</v>
      </c>
      <c r="BD43" s="161">
        <f>'Scheduled Intervals'!BD10</f>
        <v>0</v>
      </c>
      <c r="BE43" s="161">
        <f>'Scheduled Intervals'!BE10</f>
        <v>0</v>
      </c>
      <c r="BF43" s="161">
        <f>'Scheduled Intervals'!BF10</f>
        <v>1500</v>
      </c>
      <c r="BG43" s="161">
        <f>'Scheduled Intervals'!BG10</f>
        <v>1500</v>
      </c>
      <c r="BH43" s="161">
        <f>'Scheduled Intervals'!BH10</f>
        <v>2000</v>
      </c>
      <c r="BI43" s="161">
        <f>'Scheduled Intervals'!BI10</f>
        <v>0</v>
      </c>
      <c r="BJ43" s="161">
        <f>'Scheduled Intervals'!BJ10</f>
        <v>500</v>
      </c>
      <c r="BK43" s="161">
        <f>'Scheduled Intervals'!BK10</f>
        <v>3000</v>
      </c>
      <c r="BL43" s="161">
        <f>'Scheduled Intervals'!BL10</f>
        <v>0</v>
      </c>
      <c r="BM43" s="161">
        <f>'Scheduled Intervals'!BM10</f>
        <v>0</v>
      </c>
      <c r="BN43" s="161" t="str">
        <f>'Scheduled Intervals'!BN10</f>
        <v>Annual</v>
      </c>
      <c r="BO43" s="161" t="str">
        <f>'Scheduled Intervals'!BO10</f>
        <v>Annual</v>
      </c>
      <c r="BP43" s="161" t="str">
        <f>'Scheduled Intervals'!BP10</f>
        <v>Annual</v>
      </c>
    </row>
    <row r="44" spans="1:68" x14ac:dyDescent="0.2">
      <c r="B44" s="161">
        <f>'Scheduled Intervals'!B11</f>
        <v>50</v>
      </c>
      <c r="C44" s="161">
        <f>'Scheduled Intervals'!C11</f>
        <v>0</v>
      </c>
      <c r="D44" s="161">
        <f>'Scheduled Intervals'!D11</f>
        <v>50</v>
      </c>
      <c r="E44" s="161">
        <f>'Scheduled Intervals'!E11</f>
        <v>0</v>
      </c>
      <c r="F44" s="161">
        <f>'Scheduled Intervals'!F11</f>
        <v>50</v>
      </c>
      <c r="G44" s="161">
        <f>'Scheduled Intervals'!G11</f>
        <v>0</v>
      </c>
      <c r="H44" s="161">
        <f>'Scheduled Intervals'!H11</f>
        <v>50</v>
      </c>
      <c r="I44" s="161">
        <f>'Scheduled Intervals'!I11</f>
        <v>50</v>
      </c>
      <c r="J44" s="161">
        <f>'Scheduled Intervals'!J11</f>
        <v>50</v>
      </c>
      <c r="K44" s="161">
        <f>'Scheduled Intervals'!K11</f>
        <v>0</v>
      </c>
      <c r="L44" s="161">
        <f>'Scheduled Intervals'!L11</f>
        <v>0</v>
      </c>
      <c r="M44" s="161">
        <f>'Scheduled Intervals'!M11</f>
        <v>0</v>
      </c>
      <c r="N44" s="161">
        <f>'Scheduled Intervals'!N11</f>
        <v>0</v>
      </c>
      <c r="O44" s="161">
        <f>'Scheduled Intervals'!O11</f>
        <v>0</v>
      </c>
      <c r="P44" s="161">
        <f>'Scheduled Intervals'!P11</f>
        <v>0</v>
      </c>
      <c r="Q44" s="161">
        <f>'Scheduled Intervals'!Q11</f>
        <v>250</v>
      </c>
      <c r="R44" s="161">
        <f>'Scheduled Intervals'!R11</f>
        <v>0</v>
      </c>
      <c r="S44" s="161">
        <f>'Scheduled Intervals'!S11</f>
        <v>0</v>
      </c>
      <c r="T44" s="161">
        <f>'Scheduled Intervals'!T11</f>
        <v>0</v>
      </c>
      <c r="U44" s="161">
        <f>'Scheduled Intervals'!U11</f>
        <v>500</v>
      </c>
      <c r="V44" s="161">
        <f>'Scheduled Intervals'!V11</f>
        <v>1500</v>
      </c>
      <c r="W44" s="161">
        <f>'Scheduled Intervals'!W11</f>
        <v>0</v>
      </c>
      <c r="X44" s="161">
        <f>'Scheduled Intervals'!X11</f>
        <v>0</v>
      </c>
      <c r="Y44" s="161">
        <f>'Scheduled Intervals'!Y11</f>
        <v>500</v>
      </c>
      <c r="Z44" s="161">
        <f>'Scheduled Intervals'!Z11</f>
        <v>500</v>
      </c>
      <c r="AA44" s="161">
        <f>'Scheduled Intervals'!AA11</f>
        <v>0</v>
      </c>
      <c r="AB44" s="161">
        <f>'Scheduled Intervals'!AB11</f>
        <v>1000</v>
      </c>
      <c r="AC44" s="161">
        <f>'Scheduled Intervals'!AC11</f>
        <v>0</v>
      </c>
      <c r="AD44" s="161">
        <f>'Scheduled Intervals'!AD11</f>
        <v>0</v>
      </c>
      <c r="AE44" s="161">
        <f>'Scheduled Intervals'!AE11</f>
        <v>500</v>
      </c>
      <c r="AF44" s="161">
        <f>'Scheduled Intervals'!AF11</f>
        <v>500</v>
      </c>
      <c r="AG44" s="161">
        <f>'Scheduled Intervals'!AG11</f>
        <v>500</v>
      </c>
      <c r="AH44" s="161">
        <f>'Scheduled Intervals'!AH11</f>
        <v>0</v>
      </c>
      <c r="AI44" s="161">
        <f>'Scheduled Intervals'!AI11</f>
        <v>1000</v>
      </c>
      <c r="AJ44" s="161">
        <f>'Scheduled Intervals'!AJ11</f>
        <v>0</v>
      </c>
      <c r="AK44" s="161">
        <f>'Scheduled Intervals'!AK11</f>
        <v>0</v>
      </c>
      <c r="AL44" s="161">
        <f>'Scheduled Intervals'!AL11</f>
        <v>0</v>
      </c>
      <c r="AM44" s="161">
        <f>'Scheduled Intervals'!AM11</f>
        <v>0</v>
      </c>
      <c r="AN44" s="161">
        <f>'Scheduled Intervals'!AN11</f>
        <v>0</v>
      </c>
      <c r="AO44" s="161">
        <f>'Scheduled Intervals'!AO11</f>
        <v>0</v>
      </c>
      <c r="AP44" s="161">
        <f>'Scheduled Intervals'!AP11</f>
        <v>0</v>
      </c>
      <c r="AQ44" s="161">
        <f>'Scheduled Intervals'!AQ11</f>
        <v>0</v>
      </c>
      <c r="AR44" s="161">
        <f>'Scheduled Intervals'!AR11</f>
        <v>0</v>
      </c>
      <c r="AS44" s="161">
        <f>'Scheduled Intervals'!AS11</f>
        <v>500</v>
      </c>
      <c r="AT44" s="161">
        <f>'Scheduled Intervals'!AT11</f>
        <v>500</v>
      </c>
      <c r="AU44" s="161">
        <f>'Scheduled Intervals'!AU11</f>
        <v>0</v>
      </c>
      <c r="AV44" s="161">
        <f>'Scheduled Intervals'!AV11</f>
        <v>0</v>
      </c>
      <c r="AW44" s="161">
        <f>'Scheduled Intervals'!AW11</f>
        <v>1000</v>
      </c>
      <c r="AX44" s="161">
        <f>'Scheduled Intervals'!AX11</f>
        <v>0</v>
      </c>
      <c r="AY44" s="161">
        <f>'Scheduled Intervals'!AY11</f>
        <v>0</v>
      </c>
      <c r="AZ44" s="161">
        <f>'Scheduled Intervals'!AZ11</f>
        <v>0</v>
      </c>
      <c r="BA44" s="161">
        <f>'Scheduled Intervals'!BA11</f>
        <v>0</v>
      </c>
      <c r="BB44" s="161">
        <f>'Scheduled Intervals'!BB11</f>
        <v>500</v>
      </c>
      <c r="BC44" s="161">
        <f>'Scheduled Intervals'!BC11</f>
        <v>0</v>
      </c>
      <c r="BD44" s="161">
        <f>'Scheduled Intervals'!BD11</f>
        <v>0</v>
      </c>
      <c r="BE44" s="161">
        <f>'Scheduled Intervals'!BE11</f>
        <v>0</v>
      </c>
      <c r="BF44" s="161">
        <f>'Scheduled Intervals'!BF11</f>
        <v>1500</v>
      </c>
      <c r="BG44" s="161">
        <f>'Scheduled Intervals'!BG11</f>
        <v>1500</v>
      </c>
      <c r="BH44" s="161">
        <f>'Scheduled Intervals'!BH11</f>
        <v>2000</v>
      </c>
      <c r="BI44" s="161">
        <f>'Scheduled Intervals'!BI11</f>
        <v>0</v>
      </c>
      <c r="BJ44" s="161">
        <f>'Scheduled Intervals'!BJ11</f>
        <v>500</v>
      </c>
      <c r="BK44" s="161">
        <f>'Scheduled Intervals'!BK11</f>
        <v>0</v>
      </c>
      <c r="BL44" s="161">
        <f>'Scheduled Intervals'!BL11</f>
        <v>0</v>
      </c>
      <c r="BM44" s="161">
        <f>'Scheduled Intervals'!BM11</f>
        <v>0</v>
      </c>
      <c r="BN44" s="161" t="str">
        <f>'Scheduled Intervals'!BN11</f>
        <v>Annual</v>
      </c>
      <c r="BO44" s="161" t="str">
        <f>'Scheduled Intervals'!BO11</f>
        <v>Annual</v>
      </c>
      <c r="BP44" s="161" t="str">
        <f>'Scheduled Intervals'!BP11</f>
        <v>Annual</v>
      </c>
    </row>
    <row r="45" spans="1:68" x14ac:dyDescent="0.2">
      <c r="B45" s="161">
        <f>'Scheduled Intervals'!B12</f>
        <v>50</v>
      </c>
      <c r="C45" s="161">
        <f>'Scheduled Intervals'!C12</f>
        <v>50</v>
      </c>
      <c r="D45" s="161">
        <f>'Scheduled Intervals'!D12</f>
        <v>50</v>
      </c>
      <c r="E45" s="161">
        <f>'Scheduled Intervals'!E12</f>
        <v>0</v>
      </c>
      <c r="F45" s="161">
        <f>'Scheduled Intervals'!F12</f>
        <v>0</v>
      </c>
      <c r="G45" s="161">
        <f>'Scheduled Intervals'!G12</f>
        <v>0</v>
      </c>
      <c r="H45" s="161">
        <f>'Scheduled Intervals'!H12</f>
        <v>50</v>
      </c>
      <c r="I45" s="161">
        <f>'Scheduled Intervals'!I12</f>
        <v>50</v>
      </c>
      <c r="J45" s="161">
        <f>'Scheduled Intervals'!J12</f>
        <v>0</v>
      </c>
      <c r="K45" s="161">
        <f>'Scheduled Intervals'!K12</f>
        <v>0</v>
      </c>
      <c r="L45" s="161">
        <f>'Scheduled Intervals'!L12</f>
        <v>0</v>
      </c>
      <c r="M45" s="161">
        <f>'Scheduled Intervals'!M12</f>
        <v>0</v>
      </c>
      <c r="N45" s="161">
        <f>'Scheduled Intervals'!N12</f>
        <v>0</v>
      </c>
      <c r="O45" s="161">
        <f>'Scheduled Intervals'!O12</f>
        <v>0</v>
      </c>
      <c r="P45" s="161">
        <f>'Scheduled Intervals'!P12</f>
        <v>0</v>
      </c>
      <c r="Q45" s="161">
        <f>'Scheduled Intervals'!Q12</f>
        <v>250</v>
      </c>
      <c r="R45" s="161">
        <f>'Scheduled Intervals'!R12</f>
        <v>0</v>
      </c>
      <c r="S45" s="161">
        <f>'Scheduled Intervals'!S12</f>
        <v>0</v>
      </c>
      <c r="T45" s="161">
        <f>'Scheduled Intervals'!T12</f>
        <v>0</v>
      </c>
      <c r="U45" s="161">
        <f>'Scheduled Intervals'!U12</f>
        <v>500</v>
      </c>
      <c r="V45" s="161">
        <f>'Scheduled Intervals'!V12</f>
        <v>1500</v>
      </c>
      <c r="W45" s="161">
        <f>'Scheduled Intervals'!W12</f>
        <v>0</v>
      </c>
      <c r="X45" s="161">
        <f>'Scheduled Intervals'!X12</f>
        <v>500</v>
      </c>
      <c r="Y45" s="161">
        <f>'Scheduled Intervals'!Y12</f>
        <v>0</v>
      </c>
      <c r="Z45" s="161">
        <f>'Scheduled Intervals'!Z12</f>
        <v>500</v>
      </c>
      <c r="AA45" s="161">
        <f>'Scheduled Intervals'!AA12</f>
        <v>0</v>
      </c>
      <c r="AB45" s="161">
        <f>'Scheduled Intervals'!AB12</f>
        <v>0</v>
      </c>
      <c r="AC45" s="161">
        <f>'Scheduled Intervals'!AC12</f>
        <v>0</v>
      </c>
      <c r="AD45" s="161">
        <f>'Scheduled Intervals'!AD12</f>
        <v>0</v>
      </c>
      <c r="AE45" s="161">
        <f>'Scheduled Intervals'!AE12</f>
        <v>0</v>
      </c>
      <c r="AF45" s="161">
        <f>'Scheduled Intervals'!AF12</f>
        <v>1000</v>
      </c>
      <c r="AG45" s="161">
        <f>'Scheduled Intervals'!AG12</f>
        <v>1000</v>
      </c>
      <c r="AH45" s="161">
        <f>'Scheduled Intervals'!AH12</f>
        <v>1000</v>
      </c>
      <c r="AI45" s="161">
        <f>'Scheduled Intervals'!AI12</f>
        <v>1000</v>
      </c>
      <c r="AJ45" s="161">
        <f>'Scheduled Intervals'!AJ12</f>
        <v>0</v>
      </c>
      <c r="AK45" s="161">
        <f>'Scheduled Intervals'!AK12</f>
        <v>0</v>
      </c>
      <c r="AL45" s="161">
        <f>'Scheduled Intervals'!AL12</f>
        <v>1000</v>
      </c>
      <c r="AM45" s="161">
        <f>'Scheduled Intervals'!AM12</f>
        <v>0</v>
      </c>
      <c r="AN45" s="161">
        <f>'Scheduled Intervals'!AN12</f>
        <v>0</v>
      </c>
      <c r="AO45" s="161">
        <f>'Scheduled Intervals'!AO12</f>
        <v>0</v>
      </c>
      <c r="AP45" s="161">
        <f>'Scheduled Intervals'!AP12</f>
        <v>500</v>
      </c>
      <c r="AQ45" s="161">
        <f>'Scheduled Intervals'!AQ12</f>
        <v>500</v>
      </c>
      <c r="AR45" s="161">
        <f>'Scheduled Intervals'!AR12</f>
        <v>0</v>
      </c>
      <c r="AS45" s="161">
        <f>'Scheduled Intervals'!AS12</f>
        <v>1000</v>
      </c>
      <c r="AT45" s="161">
        <f>'Scheduled Intervals'!AT12</f>
        <v>500</v>
      </c>
      <c r="AU45" s="161">
        <f>'Scheduled Intervals'!AU12</f>
        <v>0</v>
      </c>
      <c r="AV45" s="161">
        <f>'Scheduled Intervals'!AV12</f>
        <v>0</v>
      </c>
      <c r="AW45" s="161">
        <f>'Scheduled Intervals'!AW12</f>
        <v>1000</v>
      </c>
      <c r="AX45" s="161">
        <f>'Scheduled Intervals'!AX12</f>
        <v>0</v>
      </c>
      <c r="AY45" s="161">
        <f>'Scheduled Intervals'!AY12</f>
        <v>0</v>
      </c>
      <c r="AZ45" s="161">
        <f>'Scheduled Intervals'!AZ12</f>
        <v>500</v>
      </c>
      <c r="BA45" s="161">
        <f>'Scheduled Intervals'!BA12</f>
        <v>0</v>
      </c>
      <c r="BB45" s="161">
        <f>'Scheduled Intervals'!BB12</f>
        <v>1000</v>
      </c>
      <c r="BC45" s="161">
        <f>'Scheduled Intervals'!BC12</f>
        <v>0</v>
      </c>
      <c r="BD45" s="161">
        <f>'Scheduled Intervals'!BD12</f>
        <v>0</v>
      </c>
      <c r="BE45" s="161">
        <f>'Scheduled Intervals'!BE12</f>
        <v>0</v>
      </c>
      <c r="BF45" s="161">
        <f>'Scheduled Intervals'!BF12</f>
        <v>0</v>
      </c>
      <c r="BG45" s="161">
        <f>'Scheduled Intervals'!BG12</f>
        <v>0</v>
      </c>
      <c r="BH45" s="161">
        <f>'Scheduled Intervals'!BH12</f>
        <v>2000</v>
      </c>
      <c r="BI45" s="161">
        <f>'Scheduled Intervals'!BI12</f>
        <v>0</v>
      </c>
      <c r="BJ45" s="161">
        <f>'Scheduled Intervals'!BJ12</f>
        <v>500</v>
      </c>
      <c r="BK45" s="161">
        <f>'Scheduled Intervals'!BK12</f>
        <v>0</v>
      </c>
      <c r="BL45" s="161">
        <f>'Scheduled Intervals'!BL12</f>
        <v>0</v>
      </c>
      <c r="BM45" s="161">
        <f>'Scheduled Intervals'!BM12</f>
        <v>0</v>
      </c>
      <c r="BN45" s="161" t="str">
        <f>'Scheduled Intervals'!BN12</f>
        <v>Annual</v>
      </c>
      <c r="BO45" s="161" t="str">
        <f>'Scheduled Intervals'!BO12</f>
        <v>Annual</v>
      </c>
      <c r="BP45" s="161" t="str">
        <f>'Scheduled Intervals'!BP12</f>
        <v>Annual</v>
      </c>
    </row>
    <row r="46" spans="1:68" x14ac:dyDescent="0.2">
      <c r="B46" s="161">
        <f>'Scheduled Intervals'!B13</f>
        <v>50</v>
      </c>
      <c r="C46" s="161">
        <f>'Scheduled Intervals'!C13</f>
        <v>50</v>
      </c>
      <c r="D46" s="161">
        <f>'Scheduled Intervals'!D13</f>
        <v>50</v>
      </c>
      <c r="E46" s="161">
        <f>'Scheduled Intervals'!E13</f>
        <v>0</v>
      </c>
      <c r="F46" s="161">
        <f>'Scheduled Intervals'!F13</f>
        <v>0</v>
      </c>
      <c r="G46" s="161">
        <f>'Scheduled Intervals'!G13</f>
        <v>0</v>
      </c>
      <c r="H46" s="161">
        <f>'Scheduled Intervals'!H13</f>
        <v>50</v>
      </c>
      <c r="I46" s="161">
        <f>'Scheduled Intervals'!I13</f>
        <v>50</v>
      </c>
      <c r="J46" s="161">
        <f>'Scheduled Intervals'!J13</f>
        <v>0</v>
      </c>
      <c r="K46" s="161">
        <f>'Scheduled Intervals'!K13</f>
        <v>0</v>
      </c>
      <c r="L46" s="161">
        <f>'Scheduled Intervals'!L13</f>
        <v>0</v>
      </c>
      <c r="M46" s="161">
        <f>'Scheduled Intervals'!M13</f>
        <v>0</v>
      </c>
      <c r="N46" s="161">
        <f>'Scheduled Intervals'!N13</f>
        <v>0</v>
      </c>
      <c r="O46" s="161">
        <f>'Scheduled Intervals'!O13</f>
        <v>0</v>
      </c>
      <c r="P46" s="161">
        <f>'Scheduled Intervals'!P13</f>
        <v>0</v>
      </c>
      <c r="Q46" s="161">
        <f>'Scheduled Intervals'!Q13</f>
        <v>250</v>
      </c>
      <c r="R46" s="161">
        <f>'Scheduled Intervals'!R13</f>
        <v>0</v>
      </c>
      <c r="S46" s="161">
        <f>'Scheduled Intervals'!S13</f>
        <v>0</v>
      </c>
      <c r="T46" s="161">
        <f>'Scheduled Intervals'!T13</f>
        <v>0</v>
      </c>
      <c r="U46" s="161">
        <f>'Scheduled Intervals'!U13</f>
        <v>500</v>
      </c>
      <c r="V46" s="161">
        <f>'Scheduled Intervals'!V13</f>
        <v>1500</v>
      </c>
      <c r="W46" s="161">
        <f>'Scheduled Intervals'!W13</f>
        <v>0</v>
      </c>
      <c r="X46" s="161">
        <f>'Scheduled Intervals'!X13</f>
        <v>500</v>
      </c>
      <c r="Y46" s="161">
        <f>'Scheduled Intervals'!Y13</f>
        <v>0</v>
      </c>
      <c r="Z46" s="161">
        <f>'Scheduled Intervals'!Z13</f>
        <v>500</v>
      </c>
      <c r="AA46" s="161">
        <f>'Scheduled Intervals'!AA13</f>
        <v>0</v>
      </c>
      <c r="AB46" s="161">
        <f>'Scheduled Intervals'!AB13</f>
        <v>0</v>
      </c>
      <c r="AC46" s="161">
        <f>'Scheduled Intervals'!AC13</f>
        <v>0</v>
      </c>
      <c r="AD46" s="161">
        <f>'Scheduled Intervals'!AD13</f>
        <v>0</v>
      </c>
      <c r="AE46" s="161">
        <f>'Scheduled Intervals'!AE13</f>
        <v>0</v>
      </c>
      <c r="AF46" s="161">
        <f>'Scheduled Intervals'!AF13</f>
        <v>1000</v>
      </c>
      <c r="AG46" s="161">
        <f>'Scheduled Intervals'!AG13</f>
        <v>1000</v>
      </c>
      <c r="AH46" s="161">
        <f>'Scheduled Intervals'!AH13</f>
        <v>1000</v>
      </c>
      <c r="AI46" s="161">
        <f>'Scheduled Intervals'!AI13</f>
        <v>1000</v>
      </c>
      <c r="AJ46" s="161">
        <f>'Scheduled Intervals'!AJ13</f>
        <v>0</v>
      </c>
      <c r="AK46" s="161">
        <f>'Scheduled Intervals'!AK13</f>
        <v>0</v>
      </c>
      <c r="AL46" s="161">
        <f>'Scheduled Intervals'!AL13</f>
        <v>1000</v>
      </c>
      <c r="AM46" s="161">
        <f>'Scheduled Intervals'!AM13</f>
        <v>0</v>
      </c>
      <c r="AN46" s="161">
        <f>'Scheduled Intervals'!AN13</f>
        <v>0</v>
      </c>
      <c r="AO46" s="161">
        <f>'Scheduled Intervals'!AO13</f>
        <v>0</v>
      </c>
      <c r="AP46" s="161">
        <f>'Scheduled Intervals'!AP13</f>
        <v>500</v>
      </c>
      <c r="AQ46" s="161">
        <f>'Scheduled Intervals'!AQ13</f>
        <v>500</v>
      </c>
      <c r="AR46" s="161">
        <f>'Scheduled Intervals'!AR13</f>
        <v>0</v>
      </c>
      <c r="AS46" s="161">
        <f>'Scheduled Intervals'!AS13</f>
        <v>1000</v>
      </c>
      <c r="AT46" s="161">
        <f>'Scheduled Intervals'!AT13</f>
        <v>500</v>
      </c>
      <c r="AU46" s="161">
        <f>'Scheduled Intervals'!AU13</f>
        <v>0</v>
      </c>
      <c r="AV46" s="161">
        <f>'Scheduled Intervals'!AV13</f>
        <v>0</v>
      </c>
      <c r="AW46" s="161">
        <f>'Scheduled Intervals'!AW13</f>
        <v>1000</v>
      </c>
      <c r="AX46" s="161">
        <f>'Scheduled Intervals'!AX13</f>
        <v>0</v>
      </c>
      <c r="AY46" s="161">
        <f>'Scheduled Intervals'!AY13</f>
        <v>0</v>
      </c>
      <c r="AZ46" s="161">
        <f>'Scheduled Intervals'!AZ13</f>
        <v>500</v>
      </c>
      <c r="BA46" s="161">
        <f>'Scheduled Intervals'!BA13</f>
        <v>0</v>
      </c>
      <c r="BB46" s="161">
        <f>'Scheduled Intervals'!BB13</f>
        <v>500</v>
      </c>
      <c r="BC46" s="161">
        <f>'Scheduled Intervals'!BC13</f>
        <v>0</v>
      </c>
      <c r="BD46" s="161">
        <f>'Scheduled Intervals'!BD13</f>
        <v>0</v>
      </c>
      <c r="BE46" s="161">
        <f>'Scheduled Intervals'!BE13</f>
        <v>0</v>
      </c>
      <c r="BF46" s="161">
        <f>'Scheduled Intervals'!BF13</f>
        <v>0</v>
      </c>
      <c r="BG46" s="161">
        <f>'Scheduled Intervals'!BG13</f>
        <v>0</v>
      </c>
      <c r="BH46" s="161">
        <f>'Scheduled Intervals'!BH13</f>
        <v>2000</v>
      </c>
      <c r="BI46" s="161">
        <f>'Scheduled Intervals'!BI13</f>
        <v>0</v>
      </c>
      <c r="BJ46" s="161">
        <f>'Scheduled Intervals'!BJ13</f>
        <v>500</v>
      </c>
      <c r="BK46" s="161">
        <f>'Scheduled Intervals'!BK13</f>
        <v>0</v>
      </c>
      <c r="BL46" s="161">
        <f>'Scheduled Intervals'!BL13</f>
        <v>0</v>
      </c>
      <c r="BM46" s="161">
        <f>'Scheduled Intervals'!BM13</f>
        <v>0</v>
      </c>
      <c r="BN46" s="161" t="str">
        <f>'Scheduled Intervals'!BN13</f>
        <v>Annual</v>
      </c>
      <c r="BO46" s="161" t="str">
        <f>'Scheduled Intervals'!BO13</f>
        <v>Annual</v>
      </c>
      <c r="BP46" s="161" t="str">
        <f>'Scheduled Intervals'!BP13</f>
        <v>Annual</v>
      </c>
    </row>
    <row r="47" spans="1:68" x14ac:dyDescent="0.2">
      <c r="B47" s="161">
        <f>'Scheduled Intervals'!B14</f>
        <v>50</v>
      </c>
      <c r="C47" s="161">
        <f>'Scheduled Intervals'!C14</f>
        <v>50</v>
      </c>
      <c r="D47" s="161">
        <f>'Scheduled Intervals'!D14</f>
        <v>50</v>
      </c>
      <c r="E47" s="161">
        <f>'Scheduled Intervals'!E14</f>
        <v>0</v>
      </c>
      <c r="F47" s="161">
        <f>'Scheduled Intervals'!F14</f>
        <v>0</v>
      </c>
      <c r="G47" s="161">
        <f>'Scheduled Intervals'!G14</f>
        <v>0</v>
      </c>
      <c r="H47" s="161">
        <f>'Scheduled Intervals'!H14</f>
        <v>50</v>
      </c>
      <c r="I47" s="161">
        <f>'Scheduled Intervals'!I14</f>
        <v>50</v>
      </c>
      <c r="J47" s="161">
        <f>'Scheduled Intervals'!J14</f>
        <v>0</v>
      </c>
      <c r="K47" s="161">
        <f>'Scheduled Intervals'!K14</f>
        <v>0</v>
      </c>
      <c r="L47" s="161">
        <f>'Scheduled Intervals'!L14</f>
        <v>0</v>
      </c>
      <c r="M47" s="161">
        <f>'Scheduled Intervals'!M14</f>
        <v>0</v>
      </c>
      <c r="N47" s="161">
        <f>'Scheduled Intervals'!N14</f>
        <v>0</v>
      </c>
      <c r="O47" s="161">
        <f>'Scheduled Intervals'!O14</f>
        <v>0</v>
      </c>
      <c r="P47" s="161">
        <f>'Scheduled Intervals'!P14</f>
        <v>0</v>
      </c>
      <c r="Q47" s="161">
        <f>'Scheduled Intervals'!Q14</f>
        <v>0</v>
      </c>
      <c r="R47" s="161">
        <f>'Scheduled Intervals'!R14</f>
        <v>250</v>
      </c>
      <c r="S47" s="161">
        <f>'Scheduled Intervals'!S14</f>
        <v>0</v>
      </c>
      <c r="T47" s="161">
        <f>'Scheduled Intervals'!T14</f>
        <v>0</v>
      </c>
      <c r="U47" s="161">
        <f>'Scheduled Intervals'!U14</f>
        <v>500</v>
      </c>
      <c r="V47" s="161">
        <f>'Scheduled Intervals'!V14</f>
        <v>1500</v>
      </c>
      <c r="W47" s="161">
        <f>'Scheduled Intervals'!W14</f>
        <v>0</v>
      </c>
      <c r="X47" s="161">
        <f>'Scheduled Intervals'!X14</f>
        <v>500</v>
      </c>
      <c r="Y47" s="161">
        <f>'Scheduled Intervals'!Y14</f>
        <v>0</v>
      </c>
      <c r="Z47" s="161">
        <f>'Scheduled Intervals'!Z14</f>
        <v>500</v>
      </c>
      <c r="AA47" s="161">
        <f>'Scheduled Intervals'!AA14</f>
        <v>0</v>
      </c>
      <c r="AB47" s="161">
        <f>'Scheduled Intervals'!AB14</f>
        <v>0</v>
      </c>
      <c r="AC47" s="161">
        <f>'Scheduled Intervals'!AC14</f>
        <v>0</v>
      </c>
      <c r="AD47" s="161">
        <f>'Scheduled Intervals'!AD14</f>
        <v>0</v>
      </c>
      <c r="AE47" s="161">
        <f>'Scheduled Intervals'!AE14</f>
        <v>0</v>
      </c>
      <c r="AF47" s="161">
        <f>'Scheduled Intervals'!AF14</f>
        <v>0</v>
      </c>
      <c r="AG47" s="161">
        <f>'Scheduled Intervals'!AG14</f>
        <v>500</v>
      </c>
      <c r="AH47" s="161">
        <f>'Scheduled Intervals'!AH14</f>
        <v>0</v>
      </c>
      <c r="AI47" s="161">
        <f>'Scheduled Intervals'!AI14</f>
        <v>1000</v>
      </c>
      <c r="AJ47" s="161">
        <f>'Scheduled Intervals'!AJ14</f>
        <v>1000</v>
      </c>
      <c r="AK47" s="161">
        <f>'Scheduled Intervals'!AK14</f>
        <v>0</v>
      </c>
      <c r="AL47" s="161">
        <f>'Scheduled Intervals'!AL14</f>
        <v>0</v>
      </c>
      <c r="AM47" s="161">
        <f>'Scheduled Intervals'!AM14</f>
        <v>0</v>
      </c>
      <c r="AN47" s="161">
        <f>'Scheduled Intervals'!AN14</f>
        <v>0</v>
      </c>
      <c r="AO47" s="161">
        <f>'Scheduled Intervals'!AO14</f>
        <v>0</v>
      </c>
      <c r="AP47" s="161">
        <f>'Scheduled Intervals'!AP14</f>
        <v>500</v>
      </c>
      <c r="AQ47" s="161">
        <f>'Scheduled Intervals'!AQ14</f>
        <v>0</v>
      </c>
      <c r="AR47" s="161">
        <f>'Scheduled Intervals'!AR14</f>
        <v>0</v>
      </c>
      <c r="AS47" s="161">
        <f>'Scheduled Intervals'!AS14</f>
        <v>1000</v>
      </c>
      <c r="AT47" s="161">
        <f>'Scheduled Intervals'!AT14</f>
        <v>500</v>
      </c>
      <c r="AU47" s="161">
        <f>'Scheduled Intervals'!AU14</f>
        <v>0</v>
      </c>
      <c r="AV47" s="161">
        <f>'Scheduled Intervals'!AV14</f>
        <v>0</v>
      </c>
      <c r="AW47" s="161">
        <f>'Scheduled Intervals'!AW14</f>
        <v>1000</v>
      </c>
      <c r="AX47" s="161">
        <f>'Scheduled Intervals'!AX14</f>
        <v>0</v>
      </c>
      <c r="AY47" s="161">
        <f>'Scheduled Intervals'!AY14</f>
        <v>0</v>
      </c>
      <c r="AZ47" s="161">
        <f>'Scheduled Intervals'!AZ14</f>
        <v>0</v>
      </c>
      <c r="BA47" s="161">
        <f>'Scheduled Intervals'!BA14</f>
        <v>0</v>
      </c>
      <c r="BB47" s="161">
        <f>'Scheduled Intervals'!BB14</f>
        <v>1000</v>
      </c>
      <c r="BC47" s="161">
        <f>'Scheduled Intervals'!BC14</f>
        <v>0</v>
      </c>
      <c r="BD47" s="161">
        <f>'Scheduled Intervals'!BD14</f>
        <v>0</v>
      </c>
      <c r="BE47" s="161">
        <f>'Scheduled Intervals'!BE14</f>
        <v>500</v>
      </c>
      <c r="BF47" s="161">
        <f>'Scheduled Intervals'!BF14</f>
        <v>0</v>
      </c>
      <c r="BG47" s="161">
        <f>'Scheduled Intervals'!BG14</f>
        <v>0</v>
      </c>
      <c r="BH47" s="161">
        <f>'Scheduled Intervals'!BH14</f>
        <v>2000</v>
      </c>
      <c r="BI47" s="161">
        <f>'Scheduled Intervals'!BI14</f>
        <v>0</v>
      </c>
      <c r="BJ47" s="161">
        <f>'Scheduled Intervals'!BJ14</f>
        <v>500</v>
      </c>
      <c r="BK47" s="161">
        <f>'Scheduled Intervals'!BK14</f>
        <v>0</v>
      </c>
      <c r="BL47" s="161">
        <f>'Scheduled Intervals'!BL14</f>
        <v>0</v>
      </c>
      <c r="BM47" s="161">
        <f>'Scheduled Intervals'!BM14</f>
        <v>0</v>
      </c>
      <c r="BN47" s="161" t="str">
        <f>'Scheduled Intervals'!BN14</f>
        <v>Annual</v>
      </c>
      <c r="BO47" s="161" t="str">
        <f>'Scheduled Intervals'!BO14</f>
        <v>Annual</v>
      </c>
      <c r="BP47" s="161" t="str">
        <f>'Scheduled Intervals'!BP14</f>
        <v>Annual</v>
      </c>
    </row>
    <row r="48" spans="1:68" x14ac:dyDescent="0.2">
      <c r="B48" s="161">
        <f>'Scheduled Intervals'!B15</f>
        <v>50</v>
      </c>
      <c r="C48" s="161">
        <f>'Scheduled Intervals'!C15</f>
        <v>50</v>
      </c>
      <c r="D48" s="161">
        <f>'Scheduled Intervals'!D15</f>
        <v>50</v>
      </c>
      <c r="E48" s="161">
        <f>'Scheduled Intervals'!E15</f>
        <v>0</v>
      </c>
      <c r="F48" s="161">
        <f>'Scheduled Intervals'!F15</f>
        <v>0</v>
      </c>
      <c r="G48" s="161">
        <f>'Scheduled Intervals'!G15</f>
        <v>0</v>
      </c>
      <c r="H48" s="161">
        <f>'Scheduled Intervals'!H15</f>
        <v>50</v>
      </c>
      <c r="I48" s="161">
        <f>'Scheduled Intervals'!I15</f>
        <v>50</v>
      </c>
      <c r="J48" s="161">
        <f>'Scheduled Intervals'!J15</f>
        <v>0</v>
      </c>
      <c r="K48" s="161">
        <f>'Scheduled Intervals'!K15</f>
        <v>0</v>
      </c>
      <c r="L48" s="161">
        <f>'Scheduled Intervals'!L15</f>
        <v>0</v>
      </c>
      <c r="M48" s="161">
        <f>'Scheduled Intervals'!M15</f>
        <v>0</v>
      </c>
      <c r="N48" s="161">
        <f>'Scheduled Intervals'!N15</f>
        <v>0</v>
      </c>
      <c r="O48" s="161">
        <f>'Scheduled Intervals'!O15</f>
        <v>0</v>
      </c>
      <c r="P48" s="161">
        <f>'Scheduled Intervals'!P15</f>
        <v>0</v>
      </c>
      <c r="Q48" s="161">
        <f>'Scheduled Intervals'!Q15</f>
        <v>0</v>
      </c>
      <c r="R48" s="161">
        <f>'Scheduled Intervals'!R15</f>
        <v>250</v>
      </c>
      <c r="S48" s="161">
        <f>'Scheduled Intervals'!S15</f>
        <v>0</v>
      </c>
      <c r="T48" s="161">
        <f>'Scheduled Intervals'!T15</f>
        <v>0</v>
      </c>
      <c r="U48" s="161">
        <f>'Scheduled Intervals'!U15</f>
        <v>500</v>
      </c>
      <c r="V48" s="161">
        <f>'Scheduled Intervals'!V15</f>
        <v>0</v>
      </c>
      <c r="W48" s="161">
        <f>'Scheduled Intervals'!W15</f>
        <v>500</v>
      </c>
      <c r="X48" s="161">
        <f>'Scheduled Intervals'!X15</f>
        <v>500</v>
      </c>
      <c r="Y48" s="161">
        <f>'Scheduled Intervals'!Y15</f>
        <v>500</v>
      </c>
      <c r="Z48" s="161">
        <f>'Scheduled Intervals'!Z15</f>
        <v>500</v>
      </c>
      <c r="AA48" s="161">
        <f>'Scheduled Intervals'!AA15</f>
        <v>0</v>
      </c>
      <c r="AB48" s="161">
        <f>'Scheduled Intervals'!AB15</f>
        <v>0</v>
      </c>
      <c r="AC48" s="161">
        <f>'Scheduled Intervals'!AC15</f>
        <v>0</v>
      </c>
      <c r="AD48" s="161">
        <f>'Scheduled Intervals'!AD15</f>
        <v>0</v>
      </c>
      <c r="AE48" s="161">
        <f>'Scheduled Intervals'!AE15</f>
        <v>0</v>
      </c>
      <c r="AF48" s="161">
        <f>'Scheduled Intervals'!AF15</f>
        <v>0</v>
      </c>
      <c r="AG48" s="161">
        <f>'Scheduled Intervals'!AG15</f>
        <v>500</v>
      </c>
      <c r="AH48" s="161">
        <f>'Scheduled Intervals'!AH15</f>
        <v>0</v>
      </c>
      <c r="AI48" s="161">
        <f>'Scheduled Intervals'!AI15</f>
        <v>1000</v>
      </c>
      <c r="AJ48" s="161">
        <f>'Scheduled Intervals'!AJ15</f>
        <v>0</v>
      </c>
      <c r="AK48" s="161">
        <f>'Scheduled Intervals'!AK15</f>
        <v>0</v>
      </c>
      <c r="AL48" s="161">
        <f>'Scheduled Intervals'!AL15</f>
        <v>0</v>
      </c>
      <c r="AM48" s="161">
        <f>'Scheduled Intervals'!AM15</f>
        <v>0</v>
      </c>
      <c r="AN48" s="161">
        <f>'Scheduled Intervals'!AN15</f>
        <v>0</v>
      </c>
      <c r="AO48" s="161">
        <f>'Scheduled Intervals'!AO15</f>
        <v>0</v>
      </c>
      <c r="AP48" s="161">
        <f>'Scheduled Intervals'!AP15</f>
        <v>500</v>
      </c>
      <c r="AQ48" s="161">
        <f>'Scheduled Intervals'!AQ15</f>
        <v>0</v>
      </c>
      <c r="AR48" s="161">
        <f>'Scheduled Intervals'!AR15</f>
        <v>0</v>
      </c>
      <c r="AS48" s="161">
        <f>'Scheduled Intervals'!AS15</f>
        <v>1000</v>
      </c>
      <c r="AT48" s="161">
        <f>'Scheduled Intervals'!AT15</f>
        <v>500</v>
      </c>
      <c r="AU48" s="161">
        <f>'Scheduled Intervals'!AU15</f>
        <v>0</v>
      </c>
      <c r="AV48" s="161">
        <f>'Scheduled Intervals'!AV15</f>
        <v>0</v>
      </c>
      <c r="AW48" s="161">
        <f>'Scheduled Intervals'!AW15</f>
        <v>1000</v>
      </c>
      <c r="AX48" s="161">
        <f>'Scheduled Intervals'!AX15</f>
        <v>0</v>
      </c>
      <c r="AY48" s="161">
        <f>'Scheduled Intervals'!AY15</f>
        <v>0</v>
      </c>
      <c r="AZ48" s="161">
        <f>'Scheduled Intervals'!AZ15</f>
        <v>0</v>
      </c>
      <c r="BA48" s="161">
        <f>'Scheduled Intervals'!BA15</f>
        <v>0</v>
      </c>
      <c r="BB48" s="161">
        <f>'Scheduled Intervals'!BB15</f>
        <v>1000</v>
      </c>
      <c r="BC48" s="161">
        <f>'Scheduled Intervals'!BC15</f>
        <v>0</v>
      </c>
      <c r="BD48" s="161">
        <f>'Scheduled Intervals'!BD15</f>
        <v>0</v>
      </c>
      <c r="BE48" s="161">
        <f>'Scheduled Intervals'!BE15</f>
        <v>500</v>
      </c>
      <c r="BF48" s="161">
        <f>'Scheduled Intervals'!BF15</f>
        <v>0</v>
      </c>
      <c r="BG48" s="161">
        <f>'Scheduled Intervals'!BG15</f>
        <v>0</v>
      </c>
      <c r="BH48" s="161">
        <f>'Scheduled Intervals'!BH15</f>
        <v>2000</v>
      </c>
      <c r="BI48" s="161">
        <f>'Scheduled Intervals'!BI15</f>
        <v>0</v>
      </c>
      <c r="BJ48" s="161">
        <f>'Scheduled Intervals'!BJ15</f>
        <v>500</v>
      </c>
      <c r="BK48" s="161">
        <f>'Scheduled Intervals'!BK15</f>
        <v>0</v>
      </c>
      <c r="BL48" s="161">
        <f>'Scheduled Intervals'!BL15</f>
        <v>0</v>
      </c>
      <c r="BM48" s="161">
        <f>'Scheduled Intervals'!BM15</f>
        <v>0</v>
      </c>
      <c r="BN48" s="161" t="str">
        <f>'Scheduled Intervals'!BN15</f>
        <v>Annual</v>
      </c>
      <c r="BO48" s="161" t="str">
        <f>'Scheduled Intervals'!BO15</f>
        <v>Annual</v>
      </c>
      <c r="BP48" s="161" t="str">
        <f>'Scheduled Intervals'!BP15</f>
        <v>Annual</v>
      </c>
    </row>
    <row r="49" spans="2:68" x14ac:dyDescent="0.2">
      <c r="B49" s="161">
        <f>'Scheduled Intervals'!B16</f>
        <v>50</v>
      </c>
      <c r="C49" s="161">
        <f>'Scheduled Intervals'!C16</f>
        <v>0</v>
      </c>
      <c r="D49" s="161">
        <f>'Scheduled Intervals'!D16</f>
        <v>0</v>
      </c>
      <c r="E49" s="161">
        <f>'Scheduled Intervals'!E16</f>
        <v>50</v>
      </c>
      <c r="F49" s="161">
        <f>'Scheduled Intervals'!F16</f>
        <v>50</v>
      </c>
      <c r="G49" s="161">
        <f>'Scheduled Intervals'!G16</f>
        <v>0</v>
      </c>
      <c r="H49" s="161">
        <f>'Scheduled Intervals'!H16</f>
        <v>50</v>
      </c>
      <c r="I49" s="161">
        <f>'Scheduled Intervals'!I16</f>
        <v>50</v>
      </c>
      <c r="J49" s="161">
        <f>'Scheduled Intervals'!J16</f>
        <v>0</v>
      </c>
      <c r="K49" s="161">
        <f>'Scheduled Intervals'!K16</f>
        <v>0</v>
      </c>
      <c r="L49" s="161">
        <f>'Scheduled Intervals'!L16</f>
        <v>50</v>
      </c>
      <c r="M49" s="161">
        <f>'Scheduled Intervals'!M16</f>
        <v>0</v>
      </c>
      <c r="N49" s="161">
        <f>'Scheduled Intervals'!N16</f>
        <v>0</v>
      </c>
      <c r="O49" s="161">
        <f>'Scheduled Intervals'!O16</f>
        <v>0</v>
      </c>
      <c r="P49" s="161">
        <f>'Scheduled Intervals'!P16</f>
        <v>0</v>
      </c>
      <c r="Q49" s="161">
        <f>'Scheduled Intervals'!Q16</f>
        <v>0</v>
      </c>
      <c r="R49" s="161">
        <f>'Scheduled Intervals'!R16</f>
        <v>0</v>
      </c>
      <c r="S49" s="161">
        <f>'Scheduled Intervals'!S16</f>
        <v>0</v>
      </c>
      <c r="T49" s="161">
        <f>'Scheduled Intervals'!T16</f>
        <v>0</v>
      </c>
      <c r="U49" s="161">
        <f>'Scheduled Intervals'!U16</f>
        <v>250</v>
      </c>
      <c r="V49" s="161">
        <f>'Scheduled Intervals'!V16</f>
        <v>0</v>
      </c>
      <c r="W49" s="161">
        <f>'Scheduled Intervals'!W16</f>
        <v>0</v>
      </c>
      <c r="X49" s="161">
        <f>'Scheduled Intervals'!X16</f>
        <v>0</v>
      </c>
      <c r="Y49" s="161">
        <f>'Scheduled Intervals'!Y16</f>
        <v>0</v>
      </c>
      <c r="Z49" s="161">
        <f>'Scheduled Intervals'!Z16</f>
        <v>250</v>
      </c>
      <c r="AA49" s="161">
        <f>'Scheduled Intervals'!AA16</f>
        <v>0</v>
      </c>
      <c r="AB49" s="161">
        <f>'Scheduled Intervals'!AB16</f>
        <v>500</v>
      </c>
      <c r="AC49" s="161">
        <f>'Scheduled Intervals'!AC16</f>
        <v>0</v>
      </c>
      <c r="AD49" s="161">
        <f>'Scheduled Intervals'!AD16</f>
        <v>0</v>
      </c>
      <c r="AE49" s="161">
        <f>'Scheduled Intervals'!AE16</f>
        <v>250</v>
      </c>
      <c r="AF49" s="161">
        <f>'Scheduled Intervals'!AF16</f>
        <v>0</v>
      </c>
      <c r="AG49" s="161">
        <f>'Scheduled Intervals'!AG16</f>
        <v>0</v>
      </c>
      <c r="AH49" s="161">
        <f>'Scheduled Intervals'!AH16</f>
        <v>0</v>
      </c>
      <c r="AI49" s="161">
        <f>'Scheduled Intervals'!AI16</f>
        <v>0</v>
      </c>
      <c r="AJ49" s="161">
        <f>'Scheduled Intervals'!AJ16</f>
        <v>0</v>
      </c>
      <c r="AK49" s="161">
        <f>'Scheduled Intervals'!AK16</f>
        <v>0</v>
      </c>
      <c r="AL49" s="161">
        <f>'Scheduled Intervals'!AL16</f>
        <v>500</v>
      </c>
      <c r="AM49" s="161">
        <f>'Scheduled Intervals'!AM16</f>
        <v>0</v>
      </c>
      <c r="AN49" s="161">
        <f>'Scheduled Intervals'!AN16</f>
        <v>0</v>
      </c>
      <c r="AO49" s="161">
        <f>'Scheduled Intervals'!AO16</f>
        <v>0</v>
      </c>
      <c r="AP49" s="161">
        <f>'Scheduled Intervals'!AP16</f>
        <v>0</v>
      </c>
      <c r="AQ49" s="161">
        <f>'Scheduled Intervals'!AQ16</f>
        <v>0</v>
      </c>
      <c r="AR49" s="161">
        <f>'Scheduled Intervals'!AR16</f>
        <v>0</v>
      </c>
      <c r="AS49" s="161">
        <f>'Scheduled Intervals'!AS16</f>
        <v>0</v>
      </c>
      <c r="AT49" s="161">
        <f>'Scheduled Intervals'!AT16</f>
        <v>250</v>
      </c>
      <c r="AU49" s="161">
        <f>'Scheduled Intervals'!AU16</f>
        <v>0</v>
      </c>
      <c r="AV49" s="161">
        <f>'Scheduled Intervals'!AV16</f>
        <v>0</v>
      </c>
      <c r="AW49" s="161">
        <f>'Scheduled Intervals'!AW16</f>
        <v>0</v>
      </c>
      <c r="AX49" s="161">
        <f>'Scheduled Intervals'!AX16</f>
        <v>0</v>
      </c>
      <c r="AY49" s="161">
        <f>'Scheduled Intervals'!AY16</f>
        <v>0</v>
      </c>
      <c r="AZ49" s="161">
        <f>'Scheduled Intervals'!AZ16</f>
        <v>0</v>
      </c>
      <c r="BA49" s="161">
        <f>'Scheduled Intervals'!BA16</f>
        <v>0</v>
      </c>
      <c r="BB49" s="161">
        <f>'Scheduled Intervals'!BB16</f>
        <v>500</v>
      </c>
      <c r="BC49" s="161">
        <f>'Scheduled Intervals'!BC16</f>
        <v>0</v>
      </c>
      <c r="BD49" s="161">
        <f>'Scheduled Intervals'!BD16</f>
        <v>0</v>
      </c>
      <c r="BE49" s="161">
        <f>'Scheduled Intervals'!BE16</f>
        <v>0</v>
      </c>
      <c r="BF49" s="161">
        <f>'Scheduled Intervals'!BF16</f>
        <v>0</v>
      </c>
      <c r="BG49" s="161">
        <f>'Scheduled Intervals'!BG16</f>
        <v>0</v>
      </c>
      <c r="BH49" s="161">
        <f>'Scheduled Intervals'!BH16</f>
        <v>1000</v>
      </c>
      <c r="BI49" s="161">
        <f>'Scheduled Intervals'!BI16</f>
        <v>0</v>
      </c>
      <c r="BJ49" s="161">
        <f>'Scheduled Intervals'!BJ16</f>
        <v>250</v>
      </c>
      <c r="BK49" s="161">
        <f>'Scheduled Intervals'!BK16</f>
        <v>0</v>
      </c>
      <c r="BL49" s="161">
        <f>'Scheduled Intervals'!BL16</f>
        <v>0</v>
      </c>
      <c r="BM49" s="161">
        <f>'Scheduled Intervals'!BM16</f>
        <v>0</v>
      </c>
      <c r="BN49" s="161" t="str">
        <f>'Scheduled Intervals'!BN16</f>
        <v>Annual</v>
      </c>
      <c r="BO49" s="161" t="str">
        <f>'Scheduled Intervals'!BO16</f>
        <v>Annual</v>
      </c>
      <c r="BP49" s="161" t="str">
        <f>'Scheduled Intervals'!BP16</f>
        <v>Annual</v>
      </c>
    </row>
    <row r="50" spans="2:68" x14ac:dyDescent="0.2">
      <c r="B50" s="161">
        <f>'Scheduled Intervals'!B17</f>
        <v>50</v>
      </c>
      <c r="C50" s="161">
        <f>'Scheduled Intervals'!C17</f>
        <v>50</v>
      </c>
      <c r="D50" s="161">
        <f>'Scheduled Intervals'!D17</f>
        <v>0</v>
      </c>
      <c r="E50" s="161">
        <f>'Scheduled Intervals'!E17</f>
        <v>50</v>
      </c>
      <c r="F50" s="161">
        <f>'Scheduled Intervals'!F17</f>
        <v>50</v>
      </c>
      <c r="G50" s="161">
        <f>'Scheduled Intervals'!G17</f>
        <v>0</v>
      </c>
      <c r="H50" s="161">
        <f>'Scheduled Intervals'!H17</f>
        <v>50</v>
      </c>
      <c r="I50" s="161">
        <f>'Scheduled Intervals'!I17</f>
        <v>50</v>
      </c>
      <c r="J50" s="161">
        <f>'Scheduled Intervals'!J17</f>
        <v>0</v>
      </c>
      <c r="K50" s="161">
        <f>'Scheduled Intervals'!K17</f>
        <v>50</v>
      </c>
      <c r="L50" s="161">
        <f>'Scheduled Intervals'!L17</f>
        <v>50</v>
      </c>
      <c r="M50" s="161">
        <f>'Scheduled Intervals'!M17</f>
        <v>0</v>
      </c>
      <c r="N50" s="161">
        <f>'Scheduled Intervals'!N17</f>
        <v>0</v>
      </c>
      <c r="O50" s="161">
        <f>'Scheduled Intervals'!O17</f>
        <v>0</v>
      </c>
      <c r="P50" s="161">
        <f>'Scheduled Intervals'!P17</f>
        <v>0</v>
      </c>
      <c r="Q50" s="161">
        <f>'Scheduled Intervals'!Q17</f>
        <v>0</v>
      </c>
      <c r="R50" s="161">
        <f>'Scheduled Intervals'!R17</f>
        <v>0</v>
      </c>
      <c r="S50" s="161">
        <f>'Scheduled Intervals'!S17</f>
        <v>0</v>
      </c>
      <c r="T50" s="161">
        <f>'Scheduled Intervals'!T17</f>
        <v>0</v>
      </c>
      <c r="U50" s="161">
        <f>'Scheduled Intervals'!U17</f>
        <v>100</v>
      </c>
      <c r="V50" s="161">
        <f>'Scheduled Intervals'!V17</f>
        <v>0</v>
      </c>
      <c r="W50" s="161">
        <f>'Scheduled Intervals'!W17</f>
        <v>100</v>
      </c>
      <c r="X50" s="161">
        <f>'Scheduled Intervals'!X17</f>
        <v>0</v>
      </c>
      <c r="Y50" s="161">
        <f>'Scheduled Intervals'!Y17</f>
        <v>0</v>
      </c>
      <c r="Z50" s="161">
        <f>'Scheduled Intervals'!Z17</f>
        <v>100</v>
      </c>
      <c r="AA50" s="161">
        <f>'Scheduled Intervals'!AA17</f>
        <v>0</v>
      </c>
      <c r="AB50" s="161">
        <f>'Scheduled Intervals'!AB17</f>
        <v>300</v>
      </c>
      <c r="AC50" s="161">
        <f>'Scheduled Intervals'!AC17</f>
        <v>0</v>
      </c>
      <c r="AD50" s="161">
        <f>'Scheduled Intervals'!AD17</f>
        <v>0</v>
      </c>
      <c r="AE50" s="161">
        <f>'Scheduled Intervals'!AE17</f>
        <v>300</v>
      </c>
      <c r="AF50" s="161">
        <f>'Scheduled Intervals'!AF17</f>
        <v>0</v>
      </c>
      <c r="AG50" s="161">
        <f>'Scheduled Intervals'!AG17</f>
        <v>0</v>
      </c>
      <c r="AH50" s="161">
        <f>'Scheduled Intervals'!AH17</f>
        <v>0</v>
      </c>
      <c r="AI50" s="161">
        <f>'Scheduled Intervals'!AI17</f>
        <v>0</v>
      </c>
      <c r="AJ50" s="161">
        <f>'Scheduled Intervals'!AJ17</f>
        <v>0</v>
      </c>
      <c r="AK50" s="161">
        <f>'Scheduled Intervals'!AK17</f>
        <v>0</v>
      </c>
      <c r="AL50" s="161">
        <f>'Scheduled Intervals'!AL17</f>
        <v>400</v>
      </c>
      <c r="AM50" s="161">
        <f>'Scheduled Intervals'!AM17</f>
        <v>0</v>
      </c>
      <c r="AN50" s="161">
        <f>'Scheduled Intervals'!AN17</f>
        <v>0</v>
      </c>
      <c r="AO50" s="161">
        <f>'Scheduled Intervals'!AO17</f>
        <v>0</v>
      </c>
      <c r="AP50" s="161">
        <f>'Scheduled Intervals'!AP17</f>
        <v>0</v>
      </c>
      <c r="AQ50" s="161">
        <f>'Scheduled Intervals'!AQ17</f>
        <v>0</v>
      </c>
      <c r="AR50" s="161">
        <f>'Scheduled Intervals'!AR17</f>
        <v>0</v>
      </c>
      <c r="AS50" s="161">
        <f>'Scheduled Intervals'!AS17</f>
        <v>0</v>
      </c>
      <c r="AT50" s="161">
        <f>'Scheduled Intervals'!AT17</f>
        <v>100</v>
      </c>
      <c r="AU50" s="161">
        <f>'Scheduled Intervals'!AU17</f>
        <v>0</v>
      </c>
      <c r="AV50" s="161">
        <f>'Scheduled Intervals'!AV17</f>
        <v>0</v>
      </c>
      <c r="AW50" s="161">
        <f>'Scheduled Intervals'!AW17</f>
        <v>400</v>
      </c>
      <c r="AX50" s="161">
        <f>'Scheduled Intervals'!AX17</f>
        <v>0</v>
      </c>
      <c r="AY50" s="161">
        <f>'Scheduled Intervals'!AY17</f>
        <v>0</v>
      </c>
      <c r="AZ50" s="161">
        <f>'Scheduled Intervals'!AZ17</f>
        <v>0</v>
      </c>
      <c r="BA50" s="161">
        <f>'Scheduled Intervals'!BA17</f>
        <v>0</v>
      </c>
      <c r="BB50" s="161">
        <f>'Scheduled Intervals'!BB17</f>
        <v>300</v>
      </c>
      <c r="BC50" s="161">
        <f>'Scheduled Intervals'!BC17</f>
        <v>0</v>
      </c>
      <c r="BD50" s="161">
        <f>'Scheduled Intervals'!BD17</f>
        <v>0</v>
      </c>
      <c r="BE50" s="161">
        <f>'Scheduled Intervals'!BE17</f>
        <v>0</v>
      </c>
      <c r="BF50" s="161">
        <f>'Scheduled Intervals'!BF17</f>
        <v>0</v>
      </c>
      <c r="BG50" s="161">
        <f>'Scheduled Intervals'!BG17</f>
        <v>0</v>
      </c>
      <c r="BH50" s="161">
        <f>'Scheduled Intervals'!BH17</f>
        <v>1000</v>
      </c>
      <c r="BI50" s="161">
        <f>'Scheduled Intervals'!BI17</f>
        <v>0</v>
      </c>
      <c r="BJ50" s="161">
        <f>'Scheduled Intervals'!BJ17</f>
        <v>100</v>
      </c>
      <c r="BK50" s="161">
        <f>'Scheduled Intervals'!BK17</f>
        <v>0</v>
      </c>
      <c r="BL50" s="161">
        <f>'Scheduled Intervals'!BL17</f>
        <v>0</v>
      </c>
      <c r="BM50" s="161">
        <f>'Scheduled Intervals'!BM17</f>
        <v>0</v>
      </c>
      <c r="BN50" s="161" t="str">
        <f>'Scheduled Intervals'!BN17</f>
        <v>Annual</v>
      </c>
      <c r="BO50" s="161" t="str">
        <f>'Scheduled Intervals'!BO17</f>
        <v>Annual</v>
      </c>
      <c r="BP50" s="161" t="str">
        <f>'Scheduled Intervals'!BP17</f>
        <v>Annual</v>
      </c>
    </row>
    <row r="51" spans="2:68" x14ac:dyDescent="0.2">
      <c r="B51" s="161">
        <f>'Scheduled Intervals'!B18</f>
        <v>50</v>
      </c>
      <c r="C51" s="161">
        <f>'Scheduled Intervals'!C18</f>
        <v>0</v>
      </c>
      <c r="D51" s="161">
        <f>'Scheduled Intervals'!D18</f>
        <v>0</v>
      </c>
      <c r="E51" s="161">
        <f>'Scheduled Intervals'!E18</f>
        <v>0</v>
      </c>
      <c r="F51" s="161">
        <f>'Scheduled Intervals'!F18</f>
        <v>50</v>
      </c>
      <c r="G51" s="161">
        <f>'Scheduled Intervals'!G18</f>
        <v>0</v>
      </c>
      <c r="H51" s="161">
        <f>'Scheduled Intervals'!H18</f>
        <v>50</v>
      </c>
      <c r="I51" s="161">
        <f>'Scheduled Intervals'!I18</f>
        <v>50</v>
      </c>
      <c r="J51" s="161">
        <f>'Scheduled Intervals'!J18</f>
        <v>0</v>
      </c>
      <c r="K51" s="161">
        <f>'Scheduled Intervals'!K18</f>
        <v>0</v>
      </c>
      <c r="L51" s="161">
        <f>'Scheduled Intervals'!L18</f>
        <v>0</v>
      </c>
      <c r="M51" s="161">
        <f>'Scheduled Intervals'!M18</f>
        <v>0</v>
      </c>
      <c r="N51" s="161">
        <f>'Scheduled Intervals'!N18</f>
        <v>0</v>
      </c>
      <c r="O51" s="161">
        <f>'Scheduled Intervals'!O18</f>
        <v>0</v>
      </c>
      <c r="P51" s="161">
        <f>'Scheduled Intervals'!P18</f>
        <v>0</v>
      </c>
      <c r="Q51" s="161">
        <f>'Scheduled Intervals'!Q18</f>
        <v>0</v>
      </c>
      <c r="R51" s="161">
        <f>'Scheduled Intervals'!R18</f>
        <v>0</v>
      </c>
      <c r="S51" s="161">
        <f>'Scheduled Intervals'!S18</f>
        <v>0</v>
      </c>
      <c r="T51" s="161">
        <f>'Scheduled Intervals'!T18</f>
        <v>0</v>
      </c>
      <c r="U51" s="161">
        <f>'Scheduled Intervals'!U18</f>
        <v>400</v>
      </c>
      <c r="V51" s="161">
        <f>'Scheduled Intervals'!V18</f>
        <v>0</v>
      </c>
      <c r="W51" s="161">
        <f>'Scheduled Intervals'!W18</f>
        <v>0</v>
      </c>
      <c r="X51" s="161">
        <f>'Scheduled Intervals'!X18</f>
        <v>0</v>
      </c>
      <c r="Y51" s="161">
        <f>'Scheduled Intervals'!Y18</f>
        <v>0</v>
      </c>
      <c r="Z51" s="161">
        <f>'Scheduled Intervals'!Z18</f>
        <v>200</v>
      </c>
      <c r="AA51" s="161">
        <f>'Scheduled Intervals'!AA18</f>
        <v>0</v>
      </c>
      <c r="AB51" s="161">
        <f>'Scheduled Intervals'!AB18</f>
        <v>1000</v>
      </c>
      <c r="AC51" s="161">
        <f>'Scheduled Intervals'!AC18</f>
        <v>1600</v>
      </c>
      <c r="AD51" s="161">
        <f>'Scheduled Intervals'!AD18</f>
        <v>0</v>
      </c>
      <c r="AE51" s="161">
        <f>'Scheduled Intervals'!AE18</f>
        <v>400</v>
      </c>
      <c r="AF51" s="161">
        <f>'Scheduled Intervals'!AF18</f>
        <v>0</v>
      </c>
      <c r="AG51" s="161">
        <f>'Scheduled Intervals'!AG18</f>
        <v>0</v>
      </c>
      <c r="AH51" s="161">
        <f>'Scheduled Intervals'!AH18</f>
        <v>0</v>
      </c>
      <c r="AI51" s="161">
        <f>'Scheduled Intervals'!AI18</f>
        <v>0</v>
      </c>
      <c r="AJ51" s="161">
        <f>'Scheduled Intervals'!AJ18</f>
        <v>0</v>
      </c>
      <c r="AK51" s="161">
        <f>'Scheduled Intervals'!AK18</f>
        <v>0</v>
      </c>
      <c r="AL51" s="161">
        <f>'Scheduled Intervals'!AL18</f>
        <v>200</v>
      </c>
      <c r="AM51" s="161">
        <f>'Scheduled Intervals'!AM18</f>
        <v>0</v>
      </c>
      <c r="AN51" s="161">
        <f>'Scheduled Intervals'!AN18</f>
        <v>0</v>
      </c>
      <c r="AO51" s="161">
        <f>'Scheduled Intervals'!AO18</f>
        <v>0</v>
      </c>
      <c r="AP51" s="161">
        <f>'Scheduled Intervals'!AP18</f>
        <v>0</v>
      </c>
      <c r="AQ51" s="161">
        <f>'Scheduled Intervals'!AQ18</f>
        <v>0</v>
      </c>
      <c r="AR51" s="161">
        <f>'Scheduled Intervals'!AR18</f>
        <v>0</v>
      </c>
      <c r="AS51" s="161">
        <f>'Scheduled Intervals'!AS18</f>
        <v>0</v>
      </c>
      <c r="AT51" s="161">
        <f>'Scheduled Intervals'!AT18</f>
        <v>200</v>
      </c>
      <c r="AU51" s="161">
        <f>'Scheduled Intervals'!AU18</f>
        <v>0</v>
      </c>
      <c r="AV51" s="161">
        <f>'Scheduled Intervals'!AV18</f>
        <v>0</v>
      </c>
      <c r="AW51" s="161">
        <f>'Scheduled Intervals'!AW18</f>
        <v>1000</v>
      </c>
      <c r="AX51" s="161">
        <f>'Scheduled Intervals'!AX18</f>
        <v>0</v>
      </c>
      <c r="AY51" s="161">
        <f>'Scheduled Intervals'!AY18</f>
        <v>0</v>
      </c>
      <c r="AZ51" s="161">
        <f>'Scheduled Intervals'!AZ18</f>
        <v>0</v>
      </c>
      <c r="BA51" s="161">
        <f>'Scheduled Intervals'!BA18</f>
        <v>0</v>
      </c>
      <c r="BB51" s="161">
        <f>'Scheduled Intervals'!BB18</f>
        <v>800</v>
      </c>
      <c r="BC51" s="161">
        <f>'Scheduled Intervals'!BC18</f>
        <v>800</v>
      </c>
      <c r="BD51" s="161">
        <f>'Scheduled Intervals'!BD18</f>
        <v>0</v>
      </c>
      <c r="BE51" s="161">
        <f>'Scheduled Intervals'!BE18</f>
        <v>0</v>
      </c>
      <c r="BF51" s="161">
        <f>'Scheduled Intervals'!BF18</f>
        <v>1600</v>
      </c>
      <c r="BG51" s="161">
        <f>'Scheduled Intervals'!BG18</f>
        <v>0</v>
      </c>
      <c r="BH51" s="161">
        <f>'Scheduled Intervals'!BH18</f>
        <v>1000</v>
      </c>
      <c r="BI51" s="161">
        <f>'Scheduled Intervals'!BI18</f>
        <v>0</v>
      </c>
      <c r="BJ51" s="161">
        <f>'Scheduled Intervals'!BJ18</f>
        <v>200</v>
      </c>
      <c r="BK51" s="161">
        <f>'Scheduled Intervals'!BK18</f>
        <v>0</v>
      </c>
      <c r="BL51" s="161">
        <f>'Scheduled Intervals'!BL18</f>
        <v>0</v>
      </c>
      <c r="BM51" s="161">
        <f>'Scheduled Intervals'!BM18</f>
        <v>0</v>
      </c>
      <c r="BN51" s="161" t="str">
        <f>'Scheduled Intervals'!BN18</f>
        <v>Annual</v>
      </c>
      <c r="BO51" s="161" t="str">
        <f>'Scheduled Intervals'!BO18</f>
        <v>Annual</v>
      </c>
      <c r="BP51" s="161" t="str">
        <f>'Scheduled Intervals'!BP18</f>
        <v>Annual</v>
      </c>
    </row>
    <row r="52" spans="2:68" x14ac:dyDescent="0.2">
      <c r="B52" s="161">
        <f>'Scheduled Intervals'!B19</f>
        <v>50</v>
      </c>
      <c r="C52" s="161">
        <f>'Scheduled Intervals'!C19</f>
        <v>0</v>
      </c>
      <c r="D52" s="161">
        <f>'Scheduled Intervals'!D19</f>
        <v>0</v>
      </c>
      <c r="E52" s="161">
        <f>'Scheduled Intervals'!E19</f>
        <v>0</v>
      </c>
      <c r="F52" s="161">
        <f>'Scheduled Intervals'!F19</f>
        <v>50</v>
      </c>
      <c r="G52" s="161">
        <f>'Scheduled Intervals'!G19</f>
        <v>0</v>
      </c>
      <c r="H52" s="161">
        <f>'Scheduled Intervals'!H19</f>
        <v>50</v>
      </c>
      <c r="I52" s="161">
        <f>'Scheduled Intervals'!I19</f>
        <v>50</v>
      </c>
      <c r="J52" s="161">
        <f>'Scheduled Intervals'!J19</f>
        <v>0</v>
      </c>
      <c r="K52" s="161">
        <f>'Scheduled Intervals'!K19</f>
        <v>0</v>
      </c>
      <c r="L52" s="161">
        <f>'Scheduled Intervals'!L19</f>
        <v>0</v>
      </c>
      <c r="M52" s="161">
        <f>'Scheduled Intervals'!M19</f>
        <v>0</v>
      </c>
      <c r="N52" s="161">
        <f>'Scheduled Intervals'!N19</f>
        <v>0</v>
      </c>
      <c r="O52" s="161">
        <f>'Scheduled Intervals'!O19</f>
        <v>0</v>
      </c>
      <c r="P52" s="161">
        <f>'Scheduled Intervals'!P19</f>
        <v>0</v>
      </c>
      <c r="Q52" s="161">
        <f>'Scheduled Intervals'!Q19</f>
        <v>0</v>
      </c>
      <c r="R52" s="161">
        <f>'Scheduled Intervals'!R19</f>
        <v>0</v>
      </c>
      <c r="S52" s="161">
        <f>'Scheduled Intervals'!S19</f>
        <v>0</v>
      </c>
      <c r="T52" s="161">
        <f>'Scheduled Intervals'!T19</f>
        <v>0</v>
      </c>
      <c r="U52" s="161">
        <f>'Scheduled Intervals'!U19</f>
        <v>250</v>
      </c>
      <c r="V52" s="161">
        <f>'Scheduled Intervals'!V19</f>
        <v>0</v>
      </c>
      <c r="W52" s="161">
        <f>'Scheduled Intervals'!W19</f>
        <v>0</v>
      </c>
      <c r="X52" s="161">
        <f>'Scheduled Intervals'!X19</f>
        <v>0</v>
      </c>
      <c r="Y52" s="161">
        <f>'Scheduled Intervals'!Y19</f>
        <v>0</v>
      </c>
      <c r="Z52" s="161">
        <f>'Scheduled Intervals'!Z19</f>
        <v>500</v>
      </c>
      <c r="AA52" s="161">
        <f>'Scheduled Intervals'!AA19</f>
        <v>0</v>
      </c>
      <c r="AB52" s="161">
        <f>'Scheduled Intervals'!AB19</f>
        <v>650</v>
      </c>
      <c r="AC52" s="161">
        <f>'Scheduled Intervals'!AC19</f>
        <v>650</v>
      </c>
      <c r="AD52" s="161">
        <f>'Scheduled Intervals'!AD19</f>
        <v>0</v>
      </c>
      <c r="AE52" s="161">
        <f>'Scheduled Intervals'!AE19</f>
        <v>0</v>
      </c>
      <c r="AF52" s="161">
        <f>'Scheduled Intervals'!AF19</f>
        <v>0</v>
      </c>
      <c r="AG52" s="161">
        <f>'Scheduled Intervals'!AG19</f>
        <v>0</v>
      </c>
      <c r="AH52" s="161">
        <f>'Scheduled Intervals'!AH19</f>
        <v>0</v>
      </c>
      <c r="AI52" s="161">
        <f>'Scheduled Intervals'!AI19</f>
        <v>2000</v>
      </c>
      <c r="AJ52" s="161">
        <f>'Scheduled Intervals'!AJ19</f>
        <v>0</v>
      </c>
      <c r="AK52" s="161">
        <f>'Scheduled Intervals'!AK19</f>
        <v>0</v>
      </c>
      <c r="AL52" s="161">
        <f>'Scheduled Intervals'!AL19</f>
        <v>650</v>
      </c>
      <c r="AM52" s="161">
        <f>'Scheduled Intervals'!AM19</f>
        <v>0</v>
      </c>
      <c r="AN52" s="161">
        <f>'Scheduled Intervals'!AN19</f>
        <v>0</v>
      </c>
      <c r="AO52" s="161">
        <f>'Scheduled Intervals'!AO19</f>
        <v>0</v>
      </c>
      <c r="AP52" s="161">
        <f>'Scheduled Intervals'!AP19</f>
        <v>0</v>
      </c>
      <c r="AQ52" s="161">
        <f>'Scheduled Intervals'!AQ19</f>
        <v>0</v>
      </c>
      <c r="AR52" s="161">
        <f>'Scheduled Intervals'!AR19</f>
        <v>0</v>
      </c>
      <c r="AS52" s="161">
        <f>'Scheduled Intervals'!AS19</f>
        <v>0</v>
      </c>
      <c r="AT52" s="161">
        <f>'Scheduled Intervals'!AT19</f>
        <v>250</v>
      </c>
      <c r="AU52" s="161">
        <f>'Scheduled Intervals'!AU19</f>
        <v>0</v>
      </c>
      <c r="AV52" s="161">
        <f>'Scheduled Intervals'!AV19</f>
        <v>0</v>
      </c>
      <c r="AW52" s="161">
        <f>'Scheduled Intervals'!AW19</f>
        <v>0</v>
      </c>
      <c r="AX52" s="161">
        <f>'Scheduled Intervals'!AX19</f>
        <v>0</v>
      </c>
      <c r="AY52" s="161">
        <f>'Scheduled Intervals'!AY19</f>
        <v>0</v>
      </c>
      <c r="AZ52" s="161">
        <f>'Scheduled Intervals'!AZ19</f>
        <v>0</v>
      </c>
      <c r="BA52" s="161">
        <f>'Scheduled Intervals'!BA19</f>
        <v>0</v>
      </c>
      <c r="BB52" s="161">
        <f>'Scheduled Intervals'!BB19</f>
        <v>1000</v>
      </c>
      <c r="BC52" s="161">
        <f>'Scheduled Intervals'!BC19</f>
        <v>1000</v>
      </c>
      <c r="BD52" s="161">
        <f>'Scheduled Intervals'!BD19</f>
        <v>0</v>
      </c>
      <c r="BE52" s="161">
        <f>'Scheduled Intervals'!BE19</f>
        <v>0</v>
      </c>
      <c r="BF52" s="161">
        <f>'Scheduled Intervals'!BF19</f>
        <v>1750</v>
      </c>
      <c r="BG52" s="161">
        <f>'Scheduled Intervals'!BG19</f>
        <v>0</v>
      </c>
      <c r="BH52" s="161">
        <f>'Scheduled Intervals'!BH19</f>
        <v>1000</v>
      </c>
      <c r="BI52" s="161">
        <f>'Scheduled Intervals'!BI19</f>
        <v>0</v>
      </c>
      <c r="BJ52" s="161">
        <f>'Scheduled Intervals'!BJ19</f>
        <v>250</v>
      </c>
      <c r="BK52" s="161">
        <f>'Scheduled Intervals'!BK19</f>
        <v>0</v>
      </c>
      <c r="BL52" s="161">
        <f>'Scheduled Intervals'!BL19</f>
        <v>0</v>
      </c>
      <c r="BM52" s="161">
        <f>'Scheduled Intervals'!BM19</f>
        <v>0</v>
      </c>
      <c r="BN52" s="161" t="str">
        <f>'Scheduled Intervals'!BN19</f>
        <v>Annual</v>
      </c>
      <c r="BO52" s="161" t="str">
        <f>'Scheduled Intervals'!BO19</f>
        <v>Annual</v>
      </c>
      <c r="BP52" s="161" t="str">
        <f>'Scheduled Intervals'!BP19</f>
        <v>Annual</v>
      </c>
    </row>
    <row r="53" spans="2:68" x14ac:dyDescent="0.2">
      <c r="B53" s="161">
        <f>'Scheduled Intervals'!B20</f>
        <v>50</v>
      </c>
      <c r="C53" s="161">
        <f>'Scheduled Intervals'!C20</f>
        <v>0</v>
      </c>
      <c r="D53" s="161">
        <f>'Scheduled Intervals'!D20</f>
        <v>0</v>
      </c>
      <c r="E53" s="161">
        <f>'Scheduled Intervals'!E20</f>
        <v>0</v>
      </c>
      <c r="F53" s="161">
        <f>'Scheduled Intervals'!F20</f>
        <v>50</v>
      </c>
      <c r="G53" s="161">
        <f>'Scheduled Intervals'!G20</f>
        <v>0</v>
      </c>
      <c r="H53" s="161">
        <f>'Scheduled Intervals'!H20</f>
        <v>50</v>
      </c>
      <c r="I53" s="161">
        <f>'Scheduled Intervals'!I20</f>
        <v>50</v>
      </c>
      <c r="J53" s="161">
        <f>'Scheduled Intervals'!J20</f>
        <v>0</v>
      </c>
      <c r="K53" s="161">
        <f>'Scheduled Intervals'!K20</f>
        <v>0</v>
      </c>
      <c r="L53" s="161">
        <f>'Scheduled Intervals'!L20</f>
        <v>0</v>
      </c>
      <c r="M53" s="161">
        <f>'Scheduled Intervals'!M20</f>
        <v>0</v>
      </c>
      <c r="N53" s="161">
        <f>'Scheduled Intervals'!N20</f>
        <v>0</v>
      </c>
      <c r="O53" s="161">
        <f>'Scheduled Intervals'!O20</f>
        <v>0</v>
      </c>
      <c r="P53" s="161">
        <f>'Scheduled Intervals'!P20</f>
        <v>0</v>
      </c>
      <c r="Q53" s="161">
        <f>'Scheduled Intervals'!Q20</f>
        <v>0</v>
      </c>
      <c r="R53" s="161">
        <f>'Scheduled Intervals'!R20</f>
        <v>0</v>
      </c>
      <c r="S53" s="161">
        <f>'Scheduled Intervals'!S20</f>
        <v>0</v>
      </c>
      <c r="T53" s="161">
        <f>'Scheduled Intervals'!T20</f>
        <v>0</v>
      </c>
      <c r="U53" s="161">
        <f>'Scheduled Intervals'!U20</f>
        <v>500</v>
      </c>
      <c r="V53" s="161">
        <f>'Scheduled Intervals'!V20</f>
        <v>0</v>
      </c>
      <c r="W53" s="161">
        <f>'Scheduled Intervals'!W20</f>
        <v>0</v>
      </c>
      <c r="X53" s="161">
        <f>'Scheduled Intervals'!X20</f>
        <v>0</v>
      </c>
      <c r="Y53" s="161">
        <f>'Scheduled Intervals'!Y20</f>
        <v>0</v>
      </c>
      <c r="Z53" s="161">
        <f>'Scheduled Intervals'!Z20</f>
        <v>250</v>
      </c>
      <c r="AA53" s="161">
        <f>'Scheduled Intervals'!AA20</f>
        <v>0</v>
      </c>
      <c r="AB53" s="161">
        <f>'Scheduled Intervals'!AB20</f>
        <v>1250</v>
      </c>
      <c r="AC53" s="161">
        <f>'Scheduled Intervals'!AC20</f>
        <v>500</v>
      </c>
      <c r="AD53" s="161">
        <f>'Scheduled Intervals'!AD20</f>
        <v>0</v>
      </c>
      <c r="AE53" s="161">
        <f>'Scheduled Intervals'!AE20</f>
        <v>0</v>
      </c>
      <c r="AF53" s="161">
        <f>'Scheduled Intervals'!AF20</f>
        <v>0</v>
      </c>
      <c r="AG53" s="161">
        <f>'Scheduled Intervals'!AG20</f>
        <v>0</v>
      </c>
      <c r="AH53" s="161">
        <f>'Scheduled Intervals'!AH20</f>
        <v>0</v>
      </c>
      <c r="AI53" s="161">
        <f>'Scheduled Intervals'!AI20</f>
        <v>500</v>
      </c>
      <c r="AJ53" s="161">
        <f>'Scheduled Intervals'!AJ20</f>
        <v>0</v>
      </c>
      <c r="AK53" s="161">
        <f>'Scheduled Intervals'!AK20</f>
        <v>0</v>
      </c>
      <c r="AL53" s="161">
        <f>'Scheduled Intervals'!AL20</f>
        <v>500</v>
      </c>
      <c r="AM53" s="161">
        <f>'Scheduled Intervals'!AM20</f>
        <v>0</v>
      </c>
      <c r="AN53" s="161">
        <f>'Scheduled Intervals'!AN20</f>
        <v>0</v>
      </c>
      <c r="AO53" s="161">
        <f>'Scheduled Intervals'!AO20</f>
        <v>0</v>
      </c>
      <c r="AP53" s="161">
        <f>'Scheduled Intervals'!AP20</f>
        <v>0</v>
      </c>
      <c r="AQ53" s="161">
        <f>'Scheduled Intervals'!AQ20</f>
        <v>0</v>
      </c>
      <c r="AR53" s="161">
        <f>'Scheduled Intervals'!AR20</f>
        <v>0</v>
      </c>
      <c r="AS53" s="161">
        <f>'Scheduled Intervals'!AS20</f>
        <v>0</v>
      </c>
      <c r="AT53" s="161">
        <f>'Scheduled Intervals'!AT20</f>
        <v>250</v>
      </c>
      <c r="AU53" s="161">
        <f>'Scheduled Intervals'!AU20</f>
        <v>0</v>
      </c>
      <c r="AV53" s="161">
        <f>'Scheduled Intervals'!AV20</f>
        <v>0</v>
      </c>
      <c r="AW53" s="161">
        <f>'Scheduled Intervals'!AW20</f>
        <v>1000</v>
      </c>
      <c r="AX53" s="161">
        <f>'Scheduled Intervals'!AX20</f>
        <v>0</v>
      </c>
      <c r="AY53" s="161">
        <f>'Scheduled Intervals'!AY20</f>
        <v>0</v>
      </c>
      <c r="AZ53" s="161">
        <f>'Scheduled Intervals'!AZ20</f>
        <v>0</v>
      </c>
      <c r="BA53" s="161">
        <f>'Scheduled Intervals'!BA20</f>
        <v>0</v>
      </c>
      <c r="BB53" s="161">
        <f>'Scheduled Intervals'!BB20</f>
        <v>1000</v>
      </c>
      <c r="BC53" s="161">
        <f>'Scheduled Intervals'!BC20</f>
        <v>1000</v>
      </c>
      <c r="BD53" s="161">
        <f>'Scheduled Intervals'!BD20</f>
        <v>0</v>
      </c>
      <c r="BE53" s="161">
        <f>'Scheduled Intervals'!BE20</f>
        <v>0</v>
      </c>
      <c r="BF53" s="161">
        <f>'Scheduled Intervals'!BF20</f>
        <v>1500</v>
      </c>
      <c r="BG53" s="161">
        <f>'Scheduled Intervals'!BG20</f>
        <v>0</v>
      </c>
      <c r="BH53" s="161">
        <f>'Scheduled Intervals'!BH20</f>
        <v>1000</v>
      </c>
      <c r="BI53" s="161">
        <f>'Scheduled Intervals'!BI20</f>
        <v>0</v>
      </c>
      <c r="BJ53" s="161">
        <f>'Scheduled Intervals'!BJ20</f>
        <v>250</v>
      </c>
      <c r="BK53" s="161">
        <f>'Scheduled Intervals'!BK20</f>
        <v>0</v>
      </c>
      <c r="BL53" s="161">
        <f>'Scheduled Intervals'!BL20</f>
        <v>0</v>
      </c>
      <c r="BM53" s="161">
        <f>'Scheduled Intervals'!BM20</f>
        <v>0</v>
      </c>
      <c r="BN53" s="161" t="str">
        <f>'Scheduled Intervals'!BN20</f>
        <v>Annual</v>
      </c>
      <c r="BO53" s="161" t="str">
        <f>'Scheduled Intervals'!BO20</f>
        <v>Annual</v>
      </c>
      <c r="BP53" s="161" t="str">
        <f>'Scheduled Intervals'!BP20</f>
        <v>Annual</v>
      </c>
    </row>
    <row r="54" spans="2:68" x14ac:dyDescent="0.2">
      <c r="B54" s="161">
        <f>'Scheduled Intervals'!B21</f>
        <v>50</v>
      </c>
      <c r="C54" s="161">
        <f>'Scheduled Intervals'!C21</f>
        <v>50</v>
      </c>
      <c r="D54" s="161">
        <f>'Scheduled Intervals'!D21</f>
        <v>50</v>
      </c>
      <c r="E54" s="161">
        <f>'Scheduled Intervals'!E21</f>
        <v>0</v>
      </c>
      <c r="F54" s="161">
        <f>'Scheduled Intervals'!F21</f>
        <v>50</v>
      </c>
      <c r="G54" s="161">
        <f>'Scheduled Intervals'!G21</f>
        <v>0</v>
      </c>
      <c r="H54" s="161">
        <f>'Scheduled Intervals'!H21</f>
        <v>50</v>
      </c>
      <c r="I54" s="161">
        <f>'Scheduled Intervals'!I21</f>
        <v>50</v>
      </c>
      <c r="J54" s="161">
        <f>'Scheduled Intervals'!J21</f>
        <v>0</v>
      </c>
      <c r="K54" s="161">
        <f>'Scheduled Intervals'!K21</f>
        <v>0</v>
      </c>
      <c r="L54" s="161">
        <f>'Scheduled Intervals'!L21</f>
        <v>0</v>
      </c>
      <c r="M54" s="161">
        <f>'Scheduled Intervals'!M21</f>
        <v>50</v>
      </c>
      <c r="N54" s="161">
        <f>'Scheduled Intervals'!N21</f>
        <v>0</v>
      </c>
      <c r="O54" s="161">
        <f>'Scheduled Intervals'!O21</f>
        <v>0</v>
      </c>
      <c r="P54" s="161">
        <f>'Scheduled Intervals'!P21</f>
        <v>50</v>
      </c>
      <c r="Q54" s="161">
        <f>'Scheduled Intervals'!Q21</f>
        <v>0</v>
      </c>
      <c r="R54" s="161">
        <f>'Scheduled Intervals'!R21</f>
        <v>0</v>
      </c>
      <c r="S54" s="161">
        <f>'Scheduled Intervals'!S21</f>
        <v>0</v>
      </c>
      <c r="T54" s="161">
        <f>'Scheduled Intervals'!T21</f>
        <v>0</v>
      </c>
      <c r="U54" s="161">
        <f>'Scheduled Intervals'!U21</f>
        <v>500</v>
      </c>
      <c r="V54" s="161">
        <f>'Scheduled Intervals'!V21</f>
        <v>1500</v>
      </c>
      <c r="W54" s="161">
        <f>'Scheduled Intervals'!W21</f>
        <v>250</v>
      </c>
      <c r="X54" s="161">
        <f>'Scheduled Intervals'!X21</f>
        <v>1500</v>
      </c>
      <c r="Y54" s="161">
        <f>'Scheduled Intervals'!Y21</f>
        <v>0</v>
      </c>
      <c r="Z54" s="161">
        <f>'Scheduled Intervals'!Z21</f>
        <v>500</v>
      </c>
      <c r="AA54" s="161">
        <f>'Scheduled Intervals'!AA21</f>
        <v>0</v>
      </c>
      <c r="AB54" s="161">
        <f>'Scheduled Intervals'!AB21</f>
        <v>0</v>
      </c>
      <c r="AC54" s="161">
        <f>'Scheduled Intervals'!AC21</f>
        <v>0</v>
      </c>
      <c r="AD54" s="161">
        <f>'Scheduled Intervals'!AD21</f>
        <v>0</v>
      </c>
      <c r="AE54" s="161">
        <f>'Scheduled Intervals'!AE21</f>
        <v>0</v>
      </c>
      <c r="AF54" s="161">
        <f>'Scheduled Intervals'!AF21</f>
        <v>0</v>
      </c>
      <c r="AG54" s="161">
        <f>'Scheduled Intervals'!AG21</f>
        <v>500</v>
      </c>
      <c r="AH54" s="161">
        <f>'Scheduled Intervals'!AH21</f>
        <v>500</v>
      </c>
      <c r="AI54" s="161">
        <f>'Scheduled Intervals'!AI21</f>
        <v>1000</v>
      </c>
      <c r="AJ54" s="161">
        <f>'Scheduled Intervals'!AJ21</f>
        <v>0</v>
      </c>
      <c r="AK54" s="161">
        <f>'Scheduled Intervals'!AK21</f>
        <v>0</v>
      </c>
      <c r="AL54" s="161">
        <f>'Scheduled Intervals'!AL21</f>
        <v>250</v>
      </c>
      <c r="AM54" s="161">
        <f>'Scheduled Intervals'!AM21</f>
        <v>0</v>
      </c>
      <c r="AN54" s="161">
        <f>'Scheduled Intervals'!AN21</f>
        <v>0</v>
      </c>
      <c r="AO54" s="161">
        <f>'Scheduled Intervals'!AO21</f>
        <v>0</v>
      </c>
      <c r="AP54" s="161">
        <f>'Scheduled Intervals'!AP21</f>
        <v>250</v>
      </c>
      <c r="AQ54" s="161">
        <f>'Scheduled Intervals'!AQ21</f>
        <v>250</v>
      </c>
      <c r="AR54" s="161">
        <f>'Scheduled Intervals'!AR21</f>
        <v>0</v>
      </c>
      <c r="AS54" s="161">
        <f>'Scheduled Intervals'!AS21</f>
        <v>0</v>
      </c>
      <c r="AT54" s="161">
        <f>'Scheduled Intervals'!AT21</f>
        <v>500</v>
      </c>
      <c r="AU54" s="161">
        <f>'Scheduled Intervals'!AU21</f>
        <v>0</v>
      </c>
      <c r="AV54" s="161">
        <f>'Scheduled Intervals'!AV21</f>
        <v>0</v>
      </c>
      <c r="AW54" s="161">
        <f>'Scheduled Intervals'!AW21</f>
        <v>1000</v>
      </c>
      <c r="AX54" s="161">
        <f>'Scheduled Intervals'!AX21</f>
        <v>0</v>
      </c>
      <c r="AY54" s="161">
        <f>'Scheduled Intervals'!AY21</f>
        <v>0</v>
      </c>
      <c r="AZ54" s="161">
        <f>'Scheduled Intervals'!AZ21</f>
        <v>0</v>
      </c>
      <c r="BA54" s="161">
        <f>'Scheduled Intervals'!BA21</f>
        <v>0</v>
      </c>
      <c r="BB54" s="161">
        <f>'Scheduled Intervals'!BB21</f>
        <v>250</v>
      </c>
      <c r="BC54" s="161">
        <f>'Scheduled Intervals'!BC21</f>
        <v>0</v>
      </c>
      <c r="BD54" s="161">
        <f>'Scheduled Intervals'!BD21</f>
        <v>0</v>
      </c>
      <c r="BE54" s="161">
        <f>'Scheduled Intervals'!BE21</f>
        <v>0</v>
      </c>
      <c r="BF54" s="161">
        <f>'Scheduled Intervals'!BF21</f>
        <v>1500</v>
      </c>
      <c r="BG54" s="161">
        <f>'Scheduled Intervals'!BG21</f>
        <v>1500</v>
      </c>
      <c r="BH54" s="161">
        <f>'Scheduled Intervals'!BH21</f>
        <v>1000</v>
      </c>
      <c r="BI54" s="161">
        <f>'Scheduled Intervals'!BI21</f>
        <v>0</v>
      </c>
      <c r="BJ54" s="161">
        <f>'Scheduled Intervals'!BJ21</f>
        <v>500</v>
      </c>
      <c r="BK54" s="161">
        <f>'Scheduled Intervals'!BK21</f>
        <v>0</v>
      </c>
      <c r="BL54" s="161">
        <f>'Scheduled Intervals'!BL21</f>
        <v>0</v>
      </c>
      <c r="BM54" s="161">
        <f>'Scheduled Intervals'!BM21</f>
        <v>0</v>
      </c>
      <c r="BN54" s="161" t="str">
        <f>'Scheduled Intervals'!BN21</f>
        <v>Annual</v>
      </c>
      <c r="BO54" s="161" t="str">
        <f>'Scheduled Intervals'!BO21</f>
        <v>Annual</v>
      </c>
      <c r="BP54" s="161" t="str">
        <f>'Scheduled Intervals'!BP21</f>
        <v>Annual</v>
      </c>
    </row>
    <row r="55" spans="2:68" x14ac:dyDescent="0.2">
      <c r="B55" s="161">
        <f>'Scheduled Intervals'!B22</f>
        <v>50</v>
      </c>
      <c r="C55" s="161">
        <f>'Scheduled Intervals'!C22</f>
        <v>50</v>
      </c>
      <c r="D55" s="161">
        <f>'Scheduled Intervals'!D22</f>
        <v>0</v>
      </c>
      <c r="E55" s="161">
        <f>'Scheduled Intervals'!E22</f>
        <v>0</v>
      </c>
      <c r="F55" s="161">
        <f>'Scheduled Intervals'!F22</f>
        <v>0</v>
      </c>
      <c r="G55" s="161">
        <f>'Scheduled Intervals'!G22</f>
        <v>0</v>
      </c>
      <c r="H55" s="161">
        <f>'Scheduled Intervals'!H22</f>
        <v>50</v>
      </c>
      <c r="I55" s="161">
        <f>'Scheduled Intervals'!I22</f>
        <v>50</v>
      </c>
      <c r="J55" s="161">
        <f>'Scheduled Intervals'!J22</f>
        <v>0</v>
      </c>
      <c r="K55" s="161">
        <f>'Scheduled Intervals'!K22</f>
        <v>0</v>
      </c>
      <c r="L55" s="161">
        <f>'Scheduled Intervals'!L22</f>
        <v>0</v>
      </c>
      <c r="M55" s="161">
        <f>'Scheduled Intervals'!M22</f>
        <v>0</v>
      </c>
      <c r="N55" s="161">
        <f>'Scheduled Intervals'!N22</f>
        <v>0</v>
      </c>
      <c r="O55" s="161">
        <f>'Scheduled Intervals'!O22</f>
        <v>0</v>
      </c>
      <c r="P55" s="161">
        <f>'Scheduled Intervals'!P22</f>
        <v>0</v>
      </c>
      <c r="Q55" s="161">
        <f>'Scheduled Intervals'!Q22</f>
        <v>250</v>
      </c>
      <c r="R55" s="161">
        <f>'Scheduled Intervals'!R22</f>
        <v>250</v>
      </c>
      <c r="S55" s="161">
        <f>'Scheduled Intervals'!S22</f>
        <v>0</v>
      </c>
      <c r="T55" s="161">
        <f>'Scheduled Intervals'!T22</f>
        <v>0</v>
      </c>
      <c r="U55" s="161">
        <f>'Scheduled Intervals'!U22</f>
        <v>250</v>
      </c>
      <c r="V55" s="161">
        <f>'Scheduled Intervals'!V22</f>
        <v>0</v>
      </c>
      <c r="W55" s="161">
        <f>'Scheduled Intervals'!W22</f>
        <v>0</v>
      </c>
      <c r="X55" s="161">
        <f>'Scheduled Intervals'!X22</f>
        <v>500</v>
      </c>
      <c r="Y55" s="161">
        <f>'Scheduled Intervals'!Y22</f>
        <v>0</v>
      </c>
      <c r="Z55" s="161">
        <f>'Scheduled Intervals'!Z22</f>
        <v>500</v>
      </c>
      <c r="AA55" s="161">
        <f>'Scheduled Intervals'!AA22</f>
        <v>0</v>
      </c>
      <c r="AB55" s="161">
        <f>'Scheduled Intervals'!AB22</f>
        <v>1000</v>
      </c>
      <c r="AC55" s="161">
        <f>'Scheduled Intervals'!AC22</f>
        <v>0</v>
      </c>
      <c r="AD55" s="161">
        <f>'Scheduled Intervals'!AD22</f>
        <v>0</v>
      </c>
      <c r="AE55" s="161">
        <f>'Scheduled Intervals'!AE22</f>
        <v>0</v>
      </c>
      <c r="AF55" s="161">
        <f>'Scheduled Intervals'!AF22</f>
        <v>1000</v>
      </c>
      <c r="AG55" s="161">
        <f>'Scheduled Intervals'!AG22</f>
        <v>1000</v>
      </c>
      <c r="AH55" s="161">
        <f>'Scheduled Intervals'!AH22</f>
        <v>1000</v>
      </c>
      <c r="AI55" s="161">
        <f>'Scheduled Intervals'!AI22</f>
        <v>0</v>
      </c>
      <c r="AJ55" s="161">
        <f>'Scheduled Intervals'!AJ22</f>
        <v>1000</v>
      </c>
      <c r="AK55" s="161">
        <f>'Scheduled Intervals'!AK22</f>
        <v>0</v>
      </c>
      <c r="AL55" s="161">
        <f>'Scheduled Intervals'!AL22</f>
        <v>0</v>
      </c>
      <c r="AM55" s="161">
        <f>'Scheduled Intervals'!AM22</f>
        <v>0</v>
      </c>
      <c r="AN55" s="161">
        <f>'Scheduled Intervals'!AN22</f>
        <v>0</v>
      </c>
      <c r="AO55" s="161">
        <f>'Scheduled Intervals'!AO22</f>
        <v>0</v>
      </c>
      <c r="AP55" s="161">
        <f>'Scheduled Intervals'!AP22</f>
        <v>250</v>
      </c>
      <c r="AQ55" s="161">
        <f>'Scheduled Intervals'!AQ22</f>
        <v>0</v>
      </c>
      <c r="AR55" s="161">
        <f>'Scheduled Intervals'!AR22</f>
        <v>0</v>
      </c>
      <c r="AS55" s="161">
        <f>'Scheduled Intervals'!AS22</f>
        <v>0</v>
      </c>
      <c r="AT55" s="161">
        <f>'Scheduled Intervals'!AT22</f>
        <v>250</v>
      </c>
      <c r="AU55" s="161">
        <f>'Scheduled Intervals'!AU22</f>
        <v>0</v>
      </c>
      <c r="AV55" s="161">
        <f>'Scheduled Intervals'!AV22</f>
        <v>0</v>
      </c>
      <c r="AW55" s="161">
        <f>'Scheduled Intervals'!AW22</f>
        <v>2000</v>
      </c>
      <c r="AX55" s="161">
        <f>'Scheduled Intervals'!AX22</f>
        <v>0</v>
      </c>
      <c r="AY55" s="161">
        <f>'Scheduled Intervals'!AY22</f>
        <v>0</v>
      </c>
      <c r="AZ55" s="161">
        <f>'Scheduled Intervals'!AZ22</f>
        <v>0</v>
      </c>
      <c r="BA55" s="161">
        <f>'Scheduled Intervals'!BA22</f>
        <v>0</v>
      </c>
      <c r="BB55" s="161">
        <f>'Scheduled Intervals'!BB22</f>
        <v>1000</v>
      </c>
      <c r="BC55" s="161">
        <f>'Scheduled Intervals'!BC22</f>
        <v>1000</v>
      </c>
      <c r="BD55" s="161">
        <f>'Scheduled Intervals'!BD22</f>
        <v>0</v>
      </c>
      <c r="BE55" s="161">
        <f>'Scheduled Intervals'!BE22</f>
        <v>0</v>
      </c>
      <c r="BF55" s="161">
        <f>'Scheduled Intervals'!BF22</f>
        <v>1500</v>
      </c>
      <c r="BG55" s="161">
        <f>'Scheduled Intervals'!BG22</f>
        <v>1500</v>
      </c>
      <c r="BH55" s="161">
        <f>'Scheduled Intervals'!BH22</f>
        <v>2000</v>
      </c>
      <c r="BI55" s="161">
        <f>'Scheduled Intervals'!BI22</f>
        <v>0</v>
      </c>
      <c r="BJ55" s="161">
        <f>'Scheduled Intervals'!BJ22</f>
        <v>250</v>
      </c>
      <c r="BK55" s="161">
        <f>'Scheduled Intervals'!BK22</f>
        <v>0</v>
      </c>
      <c r="BL55" s="161">
        <f>'Scheduled Intervals'!BL22</f>
        <v>0</v>
      </c>
      <c r="BM55" s="161">
        <f>'Scheduled Intervals'!BM22</f>
        <v>0</v>
      </c>
      <c r="BN55" s="161" t="str">
        <f>'Scheduled Intervals'!BN22</f>
        <v>Annual</v>
      </c>
      <c r="BO55" s="161" t="str">
        <f>'Scheduled Intervals'!BO22</f>
        <v>Annual</v>
      </c>
      <c r="BP55" s="161" t="str">
        <f>'Scheduled Intervals'!BP22</f>
        <v>Annual</v>
      </c>
    </row>
    <row r="56" spans="2:68" x14ac:dyDescent="0.2">
      <c r="B56" s="161">
        <f>'Scheduled Intervals'!B23</f>
        <v>50</v>
      </c>
      <c r="C56" s="161">
        <f>'Scheduled Intervals'!C23</f>
        <v>0</v>
      </c>
      <c r="D56" s="161">
        <f>'Scheduled Intervals'!D23</f>
        <v>50</v>
      </c>
      <c r="E56" s="161">
        <f>'Scheduled Intervals'!E23</f>
        <v>0</v>
      </c>
      <c r="F56" s="161">
        <f>'Scheduled Intervals'!F23</f>
        <v>0</v>
      </c>
      <c r="G56" s="161">
        <f>'Scheduled Intervals'!G23</f>
        <v>0</v>
      </c>
      <c r="H56" s="161">
        <f>'Scheduled Intervals'!H23</f>
        <v>50</v>
      </c>
      <c r="I56" s="161">
        <f>'Scheduled Intervals'!I23</f>
        <v>50</v>
      </c>
      <c r="J56" s="161">
        <f>'Scheduled Intervals'!J23</f>
        <v>0</v>
      </c>
      <c r="K56" s="161">
        <f>'Scheduled Intervals'!K23</f>
        <v>0</v>
      </c>
      <c r="L56" s="161">
        <f>'Scheduled Intervals'!L23</f>
        <v>0</v>
      </c>
      <c r="M56" s="161">
        <f>'Scheduled Intervals'!M23</f>
        <v>0</v>
      </c>
      <c r="N56" s="161">
        <f>'Scheduled Intervals'!N23</f>
        <v>0</v>
      </c>
      <c r="O56" s="161">
        <f>'Scheduled Intervals'!O23</f>
        <v>0</v>
      </c>
      <c r="P56" s="161">
        <f>'Scheduled Intervals'!P23</f>
        <v>0</v>
      </c>
      <c r="Q56" s="161">
        <f>'Scheduled Intervals'!Q23</f>
        <v>250</v>
      </c>
      <c r="R56" s="161">
        <f>'Scheduled Intervals'!R23</f>
        <v>250</v>
      </c>
      <c r="S56" s="161">
        <f>'Scheduled Intervals'!S23</f>
        <v>0</v>
      </c>
      <c r="T56" s="161">
        <f>'Scheduled Intervals'!T23</f>
        <v>0</v>
      </c>
      <c r="U56" s="161">
        <f>'Scheduled Intervals'!U23</f>
        <v>500</v>
      </c>
      <c r="V56" s="161">
        <f>'Scheduled Intervals'!V23</f>
        <v>0</v>
      </c>
      <c r="W56" s="161">
        <f>'Scheduled Intervals'!W23</f>
        <v>0</v>
      </c>
      <c r="X56" s="161">
        <f>'Scheduled Intervals'!X23</f>
        <v>250</v>
      </c>
      <c r="Y56" s="161">
        <f>'Scheduled Intervals'!Y23</f>
        <v>0</v>
      </c>
      <c r="Z56" s="161">
        <f>'Scheduled Intervals'!Z23</f>
        <v>250</v>
      </c>
      <c r="AA56" s="161">
        <f>'Scheduled Intervals'!AA23</f>
        <v>0</v>
      </c>
      <c r="AB56" s="161">
        <f>'Scheduled Intervals'!AB23</f>
        <v>1000</v>
      </c>
      <c r="AC56" s="161">
        <f>'Scheduled Intervals'!AC23</f>
        <v>0</v>
      </c>
      <c r="AD56" s="161">
        <f>'Scheduled Intervals'!AD23</f>
        <v>0</v>
      </c>
      <c r="AE56" s="161">
        <f>'Scheduled Intervals'!AE23</f>
        <v>0</v>
      </c>
      <c r="AF56" s="161">
        <f>'Scheduled Intervals'!AF23</f>
        <v>1000</v>
      </c>
      <c r="AG56" s="161">
        <f>'Scheduled Intervals'!AG23</f>
        <v>1000</v>
      </c>
      <c r="AH56" s="161">
        <f>'Scheduled Intervals'!AH23</f>
        <v>1000</v>
      </c>
      <c r="AI56" s="161">
        <f>'Scheduled Intervals'!AI23</f>
        <v>0</v>
      </c>
      <c r="AJ56" s="161">
        <f>'Scheduled Intervals'!AJ23</f>
        <v>0</v>
      </c>
      <c r="AK56" s="161">
        <f>'Scheduled Intervals'!AK23</f>
        <v>0</v>
      </c>
      <c r="AL56" s="161">
        <f>'Scheduled Intervals'!AL23</f>
        <v>1000</v>
      </c>
      <c r="AM56" s="161">
        <f>'Scheduled Intervals'!AM23</f>
        <v>0</v>
      </c>
      <c r="AN56" s="161">
        <f>'Scheduled Intervals'!AN23</f>
        <v>0</v>
      </c>
      <c r="AO56" s="161">
        <f>'Scheduled Intervals'!AO23</f>
        <v>0</v>
      </c>
      <c r="AP56" s="161">
        <f>'Scheduled Intervals'!AP23</f>
        <v>250</v>
      </c>
      <c r="AQ56" s="161">
        <f>'Scheduled Intervals'!AQ23</f>
        <v>0</v>
      </c>
      <c r="AR56" s="161">
        <f>'Scheduled Intervals'!AR23</f>
        <v>0</v>
      </c>
      <c r="AS56" s="161">
        <f>'Scheduled Intervals'!AS23</f>
        <v>0</v>
      </c>
      <c r="AT56" s="161">
        <f>'Scheduled Intervals'!AT23</f>
        <v>500</v>
      </c>
      <c r="AU56" s="161">
        <f>'Scheduled Intervals'!AU23</f>
        <v>0</v>
      </c>
      <c r="AV56" s="161">
        <f>'Scheduled Intervals'!AV23</f>
        <v>0</v>
      </c>
      <c r="AW56" s="161">
        <f>'Scheduled Intervals'!AW23</f>
        <v>1000</v>
      </c>
      <c r="AX56" s="161">
        <f>'Scheduled Intervals'!AX23</f>
        <v>0</v>
      </c>
      <c r="AY56" s="161">
        <f>'Scheduled Intervals'!AY23</f>
        <v>0</v>
      </c>
      <c r="AZ56" s="161">
        <f>'Scheduled Intervals'!AZ23</f>
        <v>0</v>
      </c>
      <c r="BA56" s="161">
        <f>'Scheduled Intervals'!BA23</f>
        <v>0</v>
      </c>
      <c r="BB56" s="161">
        <f>'Scheduled Intervals'!BB23</f>
        <v>1000</v>
      </c>
      <c r="BC56" s="161">
        <f>'Scheduled Intervals'!BC23</f>
        <v>1000</v>
      </c>
      <c r="BD56" s="161">
        <f>'Scheduled Intervals'!BD23</f>
        <v>0</v>
      </c>
      <c r="BE56" s="161">
        <f>'Scheduled Intervals'!BE23</f>
        <v>0</v>
      </c>
      <c r="BF56" s="161">
        <f>'Scheduled Intervals'!BF23</f>
        <v>1500</v>
      </c>
      <c r="BG56" s="161">
        <f>'Scheduled Intervals'!BG23</f>
        <v>0</v>
      </c>
      <c r="BH56" s="161">
        <f>'Scheduled Intervals'!BH23</f>
        <v>2000</v>
      </c>
      <c r="BI56" s="161">
        <f>'Scheduled Intervals'!BI23</f>
        <v>0</v>
      </c>
      <c r="BJ56" s="161">
        <f>'Scheduled Intervals'!BJ23</f>
        <v>500</v>
      </c>
      <c r="BK56" s="161">
        <f>'Scheduled Intervals'!BK23</f>
        <v>0</v>
      </c>
      <c r="BL56" s="161">
        <f>'Scheduled Intervals'!BL23</f>
        <v>0</v>
      </c>
      <c r="BM56" s="161">
        <f>'Scheduled Intervals'!BM23</f>
        <v>0</v>
      </c>
      <c r="BN56" s="161" t="str">
        <f>'Scheduled Intervals'!BN23</f>
        <v>Annual</v>
      </c>
      <c r="BO56" s="161" t="str">
        <f>'Scheduled Intervals'!BO23</f>
        <v>Annual</v>
      </c>
      <c r="BP56" s="161" t="str">
        <f>'Scheduled Intervals'!BP23</f>
        <v>Annual</v>
      </c>
    </row>
    <row r="57" spans="2:68" x14ac:dyDescent="0.2">
      <c r="B57" s="161">
        <f>'Scheduled Intervals'!B24</f>
        <v>50</v>
      </c>
      <c r="C57" s="161">
        <f>'Scheduled Intervals'!C24</f>
        <v>0</v>
      </c>
      <c r="D57" s="161">
        <f>'Scheduled Intervals'!D24</f>
        <v>0</v>
      </c>
      <c r="E57" s="161">
        <f>'Scheduled Intervals'!E24</f>
        <v>0</v>
      </c>
      <c r="F57" s="161">
        <f>'Scheduled Intervals'!F24</f>
        <v>0</v>
      </c>
      <c r="G57" s="161">
        <f>'Scheduled Intervals'!G24</f>
        <v>0</v>
      </c>
      <c r="H57" s="161">
        <f>'Scheduled Intervals'!H24</f>
        <v>50</v>
      </c>
      <c r="I57" s="161">
        <f>'Scheduled Intervals'!I24</f>
        <v>50</v>
      </c>
      <c r="J57" s="161">
        <f>'Scheduled Intervals'!J24</f>
        <v>0</v>
      </c>
      <c r="K57" s="161">
        <f>'Scheduled Intervals'!K24</f>
        <v>0</v>
      </c>
      <c r="L57" s="161">
        <f>'Scheduled Intervals'!L24</f>
        <v>0</v>
      </c>
      <c r="M57" s="161">
        <f>'Scheduled Intervals'!M24</f>
        <v>0</v>
      </c>
      <c r="N57" s="161">
        <f>'Scheduled Intervals'!N24</f>
        <v>0</v>
      </c>
      <c r="O57" s="161">
        <f>'Scheduled Intervals'!O24</f>
        <v>0</v>
      </c>
      <c r="P57" s="161">
        <f>'Scheduled Intervals'!P24</f>
        <v>0</v>
      </c>
      <c r="Q57" s="161">
        <f>'Scheduled Intervals'!Q24</f>
        <v>250</v>
      </c>
      <c r="R57" s="161">
        <f>'Scheduled Intervals'!R24</f>
        <v>0</v>
      </c>
      <c r="S57" s="161">
        <f>'Scheduled Intervals'!S24</f>
        <v>0</v>
      </c>
      <c r="T57" s="161">
        <f>'Scheduled Intervals'!T24</f>
        <v>0</v>
      </c>
      <c r="U57" s="161">
        <f>'Scheduled Intervals'!U24</f>
        <v>250</v>
      </c>
      <c r="V57" s="161">
        <f>'Scheduled Intervals'!V24</f>
        <v>0</v>
      </c>
      <c r="W57" s="161">
        <f>'Scheduled Intervals'!W24</f>
        <v>0</v>
      </c>
      <c r="X57" s="161">
        <f>'Scheduled Intervals'!X24</f>
        <v>500</v>
      </c>
      <c r="Y57" s="161">
        <f>'Scheduled Intervals'!Y24</f>
        <v>0</v>
      </c>
      <c r="Z57" s="161">
        <f>'Scheduled Intervals'!Z24</f>
        <v>500</v>
      </c>
      <c r="AA57" s="161">
        <f>'Scheduled Intervals'!AA24</f>
        <v>0</v>
      </c>
      <c r="AB57" s="161">
        <f>'Scheduled Intervals'!AB24</f>
        <v>1000</v>
      </c>
      <c r="AC57" s="161">
        <f>'Scheduled Intervals'!AC24</f>
        <v>0</v>
      </c>
      <c r="AD57" s="161">
        <f>'Scheduled Intervals'!AD24</f>
        <v>0</v>
      </c>
      <c r="AE57" s="161">
        <f>'Scheduled Intervals'!AE24</f>
        <v>0</v>
      </c>
      <c r="AF57" s="161">
        <f>'Scheduled Intervals'!AF24</f>
        <v>1000</v>
      </c>
      <c r="AG57" s="161">
        <f>'Scheduled Intervals'!AG24</f>
        <v>1000</v>
      </c>
      <c r="AH57" s="161">
        <f>'Scheduled Intervals'!AH24</f>
        <v>1000</v>
      </c>
      <c r="AI57" s="161">
        <f>'Scheduled Intervals'!AI24</f>
        <v>0</v>
      </c>
      <c r="AJ57" s="161">
        <f>'Scheduled Intervals'!AJ24</f>
        <v>0</v>
      </c>
      <c r="AK57" s="161">
        <f>'Scheduled Intervals'!AK24</f>
        <v>0</v>
      </c>
      <c r="AL57" s="161">
        <f>'Scheduled Intervals'!AL24</f>
        <v>0</v>
      </c>
      <c r="AM57" s="161">
        <f>'Scheduled Intervals'!AM24</f>
        <v>0</v>
      </c>
      <c r="AN57" s="161">
        <f>'Scheduled Intervals'!AN24</f>
        <v>0</v>
      </c>
      <c r="AO57" s="161">
        <f>'Scheduled Intervals'!AO24</f>
        <v>0</v>
      </c>
      <c r="AP57" s="161">
        <f>'Scheduled Intervals'!AP24</f>
        <v>250</v>
      </c>
      <c r="AQ57" s="161">
        <f>'Scheduled Intervals'!AQ24</f>
        <v>0</v>
      </c>
      <c r="AR57" s="161">
        <f>'Scheduled Intervals'!AR24</f>
        <v>0</v>
      </c>
      <c r="AS57" s="161">
        <f>'Scheduled Intervals'!AS24</f>
        <v>0</v>
      </c>
      <c r="AT57" s="161">
        <f>'Scheduled Intervals'!AT24</f>
        <v>250</v>
      </c>
      <c r="AU57" s="161">
        <f>'Scheduled Intervals'!AU24</f>
        <v>0</v>
      </c>
      <c r="AV57" s="161">
        <f>'Scheduled Intervals'!AV24</f>
        <v>0</v>
      </c>
      <c r="AW57" s="161">
        <f>'Scheduled Intervals'!AW24</f>
        <v>1000</v>
      </c>
      <c r="AX57" s="161">
        <f>'Scheduled Intervals'!AX24</f>
        <v>0</v>
      </c>
      <c r="AY57" s="161">
        <f>'Scheduled Intervals'!AY24</f>
        <v>0</v>
      </c>
      <c r="AZ57" s="161">
        <f>'Scheduled Intervals'!AZ24</f>
        <v>500</v>
      </c>
      <c r="BA57" s="161">
        <f>'Scheduled Intervals'!BA24</f>
        <v>0</v>
      </c>
      <c r="BB57" s="161">
        <f>'Scheduled Intervals'!BB24</f>
        <v>500</v>
      </c>
      <c r="BC57" s="161">
        <f>'Scheduled Intervals'!BC24</f>
        <v>1000</v>
      </c>
      <c r="BD57" s="161">
        <f>'Scheduled Intervals'!BD24</f>
        <v>0</v>
      </c>
      <c r="BE57" s="161">
        <f>'Scheduled Intervals'!BE24</f>
        <v>0</v>
      </c>
      <c r="BF57" s="161">
        <f>'Scheduled Intervals'!BF24</f>
        <v>1500</v>
      </c>
      <c r="BG57" s="161">
        <f>'Scheduled Intervals'!BG24</f>
        <v>0</v>
      </c>
      <c r="BH57" s="161">
        <f>'Scheduled Intervals'!BH24</f>
        <v>2000</v>
      </c>
      <c r="BI57" s="161">
        <f>'Scheduled Intervals'!BI24</f>
        <v>0</v>
      </c>
      <c r="BJ57" s="161">
        <f>'Scheduled Intervals'!BJ24</f>
        <v>250</v>
      </c>
      <c r="BK57" s="161">
        <f>'Scheduled Intervals'!BK24</f>
        <v>0</v>
      </c>
      <c r="BL57" s="161">
        <f>'Scheduled Intervals'!BL24</f>
        <v>0</v>
      </c>
      <c r="BM57" s="161">
        <f>'Scheduled Intervals'!BM24</f>
        <v>0</v>
      </c>
      <c r="BN57" s="161" t="str">
        <f>'Scheduled Intervals'!BN24</f>
        <v>Annual</v>
      </c>
      <c r="BO57" s="161" t="str">
        <f>'Scheduled Intervals'!BO24</f>
        <v>Annual</v>
      </c>
      <c r="BP57" s="161" t="str">
        <f>'Scheduled Intervals'!BP24</f>
        <v>Annual</v>
      </c>
    </row>
    <row r="58" spans="2:68" x14ac:dyDescent="0.2">
      <c r="B58" s="161">
        <f>'Scheduled Intervals'!B25</f>
        <v>50</v>
      </c>
      <c r="C58" s="161">
        <f>'Scheduled Intervals'!C25</f>
        <v>0</v>
      </c>
      <c r="D58" s="161">
        <f>'Scheduled Intervals'!D25</f>
        <v>50</v>
      </c>
      <c r="E58" s="161">
        <f>'Scheduled Intervals'!E25</f>
        <v>0</v>
      </c>
      <c r="F58" s="161">
        <f>'Scheduled Intervals'!F25</f>
        <v>0</v>
      </c>
      <c r="G58" s="161">
        <f>'Scheduled Intervals'!G25</f>
        <v>0</v>
      </c>
      <c r="H58" s="161">
        <f>'Scheduled Intervals'!H25</f>
        <v>50</v>
      </c>
      <c r="I58" s="161">
        <f>'Scheduled Intervals'!I25</f>
        <v>50</v>
      </c>
      <c r="J58" s="161">
        <f>'Scheduled Intervals'!J25</f>
        <v>0</v>
      </c>
      <c r="K58" s="161">
        <f>'Scheduled Intervals'!K25</f>
        <v>0</v>
      </c>
      <c r="L58" s="161">
        <f>'Scheduled Intervals'!L25</f>
        <v>0</v>
      </c>
      <c r="M58" s="161">
        <f>'Scheduled Intervals'!M25</f>
        <v>0</v>
      </c>
      <c r="N58" s="161">
        <f>'Scheduled Intervals'!N25</f>
        <v>0</v>
      </c>
      <c r="O58" s="161">
        <f>'Scheduled Intervals'!O25</f>
        <v>0</v>
      </c>
      <c r="P58" s="161">
        <f>'Scheduled Intervals'!P25</f>
        <v>0</v>
      </c>
      <c r="Q58" s="161">
        <f>'Scheduled Intervals'!Q25</f>
        <v>100</v>
      </c>
      <c r="R58" s="161">
        <f>'Scheduled Intervals'!R25</f>
        <v>250</v>
      </c>
      <c r="S58" s="161">
        <f>'Scheduled Intervals'!S25</f>
        <v>0</v>
      </c>
      <c r="T58" s="161">
        <f>'Scheduled Intervals'!T25</f>
        <v>0</v>
      </c>
      <c r="U58" s="161">
        <f>'Scheduled Intervals'!U25</f>
        <v>250</v>
      </c>
      <c r="V58" s="161">
        <f>'Scheduled Intervals'!V25</f>
        <v>0</v>
      </c>
      <c r="W58" s="161">
        <f>'Scheduled Intervals'!W25</f>
        <v>0</v>
      </c>
      <c r="X58" s="161">
        <f>'Scheduled Intervals'!X25</f>
        <v>500</v>
      </c>
      <c r="Y58" s="161">
        <f>'Scheduled Intervals'!Y25</f>
        <v>0</v>
      </c>
      <c r="Z58" s="161">
        <f>'Scheduled Intervals'!Z25</f>
        <v>500</v>
      </c>
      <c r="AA58" s="161">
        <f>'Scheduled Intervals'!AA25</f>
        <v>0</v>
      </c>
      <c r="AB58" s="161">
        <f>'Scheduled Intervals'!AB25</f>
        <v>0</v>
      </c>
      <c r="AC58" s="161">
        <f>'Scheduled Intervals'!AC25</f>
        <v>0</v>
      </c>
      <c r="AD58" s="161">
        <f>'Scheduled Intervals'!AD25</f>
        <v>0</v>
      </c>
      <c r="AE58" s="161">
        <f>'Scheduled Intervals'!AE25</f>
        <v>0</v>
      </c>
      <c r="AF58" s="161">
        <f>'Scheduled Intervals'!AF25</f>
        <v>1000</v>
      </c>
      <c r="AG58" s="161">
        <f>'Scheduled Intervals'!AG25</f>
        <v>1000</v>
      </c>
      <c r="AH58" s="161">
        <f>'Scheduled Intervals'!AH25</f>
        <v>1000</v>
      </c>
      <c r="AI58" s="161">
        <f>'Scheduled Intervals'!AI25</f>
        <v>2000</v>
      </c>
      <c r="AJ58" s="161">
        <f>'Scheduled Intervals'!AJ25</f>
        <v>0</v>
      </c>
      <c r="AK58" s="161">
        <f>'Scheduled Intervals'!AK25</f>
        <v>500</v>
      </c>
      <c r="AL58" s="161">
        <f>'Scheduled Intervals'!AL25</f>
        <v>0</v>
      </c>
      <c r="AM58" s="161">
        <f>'Scheduled Intervals'!AM25</f>
        <v>0</v>
      </c>
      <c r="AN58" s="161">
        <f>'Scheduled Intervals'!AN25</f>
        <v>0</v>
      </c>
      <c r="AO58" s="161">
        <f>'Scheduled Intervals'!AO25</f>
        <v>0</v>
      </c>
      <c r="AP58" s="161">
        <f>'Scheduled Intervals'!AP25</f>
        <v>0</v>
      </c>
      <c r="AQ58" s="161">
        <f>'Scheduled Intervals'!AQ25</f>
        <v>0</v>
      </c>
      <c r="AR58" s="161">
        <f>'Scheduled Intervals'!AR25</f>
        <v>0</v>
      </c>
      <c r="AS58" s="161">
        <f>'Scheduled Intervals'!AS25</f>
        <v>0</v>
      </c>
      <c r="AT58" s="161">
        <f>'Scheduled Intervals'!AT25</f>
        <v>250</v>
      </c>
      <c r="AU58" s="161">
        <f>'Scheduled Intervals'!AU25</f>
        <v>0</v>
      </c>
      <c r="AV58" s="161">
        <f>'Scheduled Intervals'!AV25</f>
        <v>0</v>
      </c>
      <c r="AW58" s="161">
        <f>'Scheduled Intervals'!AW25</f>
        <v>0</v>
      </c>
      <c r="AX58" s="161">
        <f>'Scheduled Intervals'!AX25</f>
        <v>0</v>
      </c>
      <c r="AY58" s="161">
        <f>'Scheduled Intervals'!AY25</f>
        <v>0</v>
      </c>
      <c r="AZ58" s="161">
        <f>'Scheduled Intervals'!AZ25</f>
        <v>0</v>
      </c>
      <c r="BA58" s="161">
        <f>'Scheduled Intervals'!BA25</f>
        <v>0</v>
      </c>
      <c r="BB58" s="161">
        <f>'Scheduled Intervals'!BB25</f>
        <v>500</v>
      </c>
      <c r="BC58" s="161">
        <f>'Scheduled Intervals'!BC25</f>
        <v>0</v>
      </c>
      <c r="BD58" s="161">
        <f>'Scheduled Intervals'!BD25</f>
        <v>0</v>
      </c>
      <c r="BE58" s="161">
        <f>'Scheduled Intervals'!BE25</f>
        <v>0</v>
      </c>
      <c r="BF58" s="161">
        <f>'Scheduled Intervals'!BF25</f>
        <v>0</v>
      </c>
      <c r="BG58" s="161">
        <f>'Scheduled Intervals'!BG25</f>
        <v>0</v>
      </c>
      <c r="BH58" s="161">
        <f>'Scheduled Intervals'!BH25</f>
        <v>2000</v>
      </c>
      <c r="BI58" s="161">
        <f>'Scheduled Intervals'!BI25</f>
        <v>0</v>
      </c>
      <c r="BJ58" s="161">
        <f>'Scheduled Intervals'!BJ25</f>
        <v>250</v>
      </c>
      <c r="BK58" s="161">
        <f>'Scheduled Intervals'!BK25</f>
        <v>0</v>
      </c>
      <c r="BL58" s="161">
        <f>'Scheduled Intervals'!BL25</f>
        <v>0</v>
      </c>
      <c r="BM58" s="161">
        <f>'Scheduled Intervals'!BM25</f>
        <v>0</v>
      </c>
      <c r="BN58" s="161" t="str">
        <f>'Scheduled Intervals'!BN25</f>
        <v>Annual</v>
      </c>
      <c r="BO58" s="161" t="str">
        <f>'Scheduled Intervals'!BO25</f>
        <v>Annual</v>
      </c>
      <c r="BP58" s="161" t="str">
        <f>'Scheduled Intervals'!BP25</f>
        <v>Annual</v>
      </c>
    </row>
    <row r="59" spans="2:68" x14ac:dyDescent="0.2">
      <c r="B59" s="161">
        <f>'Scheduled Intervals'!B26</f>
        <v>50</v>
      </c>
      <c r="C59" s="161">
        <f>'Scheduled Intervals'!C26</f>
        <v>0</v>
      </c>
      <c r="D59" s="161">
        <f>'Scheduled Intervals'!D26</f>
        <v>50</v>
      </c>
      <c r="E59" s="161">
        <f>'Scheduled Intervals'!E26</f>
        <v>0</v>
      </c>
      <c r="F59" s="161">
        <f>'Scheduled Intervals'!F26</f>
        <v>0</v>
      </c>
      <c r="G59" s="161">
        <f>'Scheduled Intervals'!G26</f>
        <v>0</v>
      </c>
      <c r="H59" s="161">
        <f>'Scheduled Intervals'!H26</f>
        <v>50</v>
      </c>
      <c r="I59" s="161">
        <f>'Scheduled Intervals'!I26</f>
        <v>50</v>
      </c>
      <c r="J59" s="161">
        <f>'Scheduled Intervals'!J26</f>
        <v>0</v>
      </c>
      <c r="K59" s="161">
        <f>'Scheduled Intervals'!K26</f>
        <v>0</v>
      </c>
      <c r="L59" s="161">
        <f>'Scheduled Intervals'!L26</f>
        <v>0</v>
      </c>
      <c r="M59" s="161">
        <f>'Scheduled Intervals'!M26</f>
        <v>0</v>
      </c>
      <c r="N59" s="161">
        <f>'Scheduled Intervals'!N26</f>
        <v>0</v>
      </c>
      <c r="O59" s="161">
        <f>'Scheduled Intervals'!O26</f>
        <v>0</v>
      </c>
      <c r="P59" s="161">
        <f>'Scheduled Intervals'!P26</f>
        <v>0</v>
      </c>
      <c r="Q59" s="161">
        <f>'Scheduled Intervals'!Q26</f>
        <v>100</v>
      </c>
      <c r="R59" s="161">
        <f>'Scheduled Intervals'!R26</f>
        <v>250</v>
      </c>
      <c r="S59" s="161">
        <f>'Scheduled Intervals'!S26</f>
        <v>0</v>
      </c>
      <c r="T59" s="161">
        <f>'Scheduled Intervals'!T26</f>
        <v>0</v>
      </c>
      <c r="U59" s="161">
        <f>'Scheduled Intervals'!U26</f>
        <v>250</v>
      </c>
      <c r="V59" s="161">
        <f>'Scheduled Intervals'!V26</f>
        <v>0</v>
      </c>
      <c r="W59" s="161">
        <f>'Scheduled Intervals'!W26</f>
        <v>0</v>
      </c>
      <c r="X59" s="161">
        <f>'Scheduled Intervals'!X26</f>
        <v>500</v>
      </c>
      <c r="Y59" s="161">
        <f>'Scheduled Intervals'!Y26</f>
        <v>0</v>
      </c>
      <c r="Z59" s="161">
        <f>'Scheduled Intervals'!Z26</f>
        <v>500</v>
      </c>
      <c r="AA59" s="161">
        <f>'Scheduled Intervals'!AA26</f>
        <v>0</v>
      </c>
      <c r="AB59" s="161">
        <f>'Scheduled Intervals'!AB26</f>
        <v>0</v>
      </c>
      <c r="AC59" s="161">
        <f>'Scheduled Intervals'!AC26</f>
        <v>0</v>
      </c>
      <c r="AD59" s="161">
        <f>'Scheduled Intervals'!AD26</f>
        <v>0</v>
      </c>
      <c r="AE59" s="161">
        <f>'Scheduled Intervals'!AE26</f>
        <v>0</v>
      </c>
      <c r="AF59" s="161">
        <f>'Scheduled Intervals'!AF26</f>
        <v>1000</v>
      </c>
      <c r="AG59" s="161">
        <f>'Scheduled Intervals'!AG26</f>
        <v>1000</v>
      </c>
      <c r="AH59" s="161">
        <f>'Scheduled Intervals'!AH26</f>
        <v>1000</v>
      </c>
      <c r="AI59" s="161">
        <f>'Scheduled Intervals'!AI26</f>
        <v>2000</v>
      </c>
      <c r="AJ59" s="161">
        <f>'Scheduled Intervals'!AJ26</f>
        <v>0</v>
      </c>
      <c r="AK59" s="161">
        <f>'Scheduled Intervals'!AK26</f>
        <v>500</v>
      </c>
      <c r="AL59" s="161">
        <f>'Scheduled Intervals'!AL26</f>
        <v>0</v>
      </c>
      <c r="AM59" s="161">
        <f>'Scheduled Intervals'!AM26</f>
        <v>0</v>
      </c>
      <c r="AN59" s="161">
        <f>'Scheduled Intervals'!AN26</f>
        <v>0</v>
      </c>
      <c r="AO59" s="161">
        <f>'Scheduled Intervals'!AO26</f>
        <v>0</v>
      </c>
      <c r="AP59" s="161">
        <f>'Scheduled Intervals'!AP26</f>
        <v>0</v>
      </c>
      <c r="AQ59" s="161">
        <f>'Scheduled Intervals'!AQ26</f>
        <v>0</v>
      </c>
      <c r="AR59" s="161">
        <f>'Scheduled Intervals'!AR26</f>
        <v>0</v>
      </c>
      <c r="AS59" s="161">
        <f>'Scheduled Intervals'!AS26</f>
        <v>0</v>
      </c>
      <c r="AT59" s="161">
        <f>'Scheduled Intervals'!AT26</f>
        <v>250</v>
      </c>
      <c r="AU59" s="161">
        <f>'Scheduled Intervals'!AU26</f>
        <v>0</v>
      </c>
      <c r="AV59" s="161">
        <f>'Scheduled Intervals'!AV26</f>
        <v>0</v>
      </c>
      <c r="AW59" s="161">
        <f>'Scheduled Intervals'!AW26</f>
        <v>0</v>
      </c>
      <c r="AX59" s="161">
        <f>'Scheduled Intervals'!AX26</f>
        <v>0</v>
      </c>
      <c r="AY59" s="161">
        <f>'Scheduled Intervals'!AY26</f>
        <v>0</v>
      </c>
      <c r="AZ59" s="161">
        <f>'Scheduled Intervals'!AZ26</f>
        <v>0</v>
      </c>
      <c r="BA59" s="161">
        <f>'Scheduled Intervals'!BA26</f>
        <v>0</v>
      </c>
      <c r="BB59" s="161">
        <f>'Scheduled Intervals'!BB26</f>
        <v>500</v>
      </c>
      <c r="BC59" s="161">
        <f>'Scheduled Intervals'!BC26</f>
        <v>0</v>
      </c>
      <c r="BD59" s="161">
        <f>'Scheduled Intervals'!BD26</f>
        <v>0</v>
      </c>
      <c r="BE59" s="161">
        <f>'Scheduled Intervals'!BE26</f>
        <v>0</v>
      </c>
      <c r="BF59" s="161">
        <f>'Scheduled Intervals'!BF26</f>
        <v>0</v>
      </c>
      <c r="BG59" s="161">
        <f>'Scheduled Intervals'!BG26</f>
        <v>0</v>
      </c>
      <c r="BH59" s="161">
        <f>'Scheduled Intervals'!BH26</f>
        <v>2000</v>
      </c>
      <c r="BI59" s="161">
        <f>'Scheduled Intervals'!BI26</f>
        <v>0</v>
      </c>
      <c r="BJ59" s="161">
        <f>'Scheduled Intervals'!BJ26</f>
        <v>250</v>
      </c>
      <c r="BK59" s="161">
        <f>'Scheduled Intervals'!BK26</f>
        <v>0</v>
      </c>
      <c r="BL59" s="161">
        <f>'Scheduled Intervals'!BL26</f>
        <v>0</v>
      </c>
      <c r="BM59" s="161">
        <f>'Scheduled Intervals'!BM26</f>
        <v>0</v>
      </c>
      <c r="BN59" s="161" t="str">
        <f>'Scheduled Intervals'!BN26</f>
        <v>Annual</v>
      </c>
      <c r="BO59" s="161" t="str">
        <f>'Scheduled Intervals'!BO26</f>
        <v>Annual</v>
      </c>
      <c r="BP59" s="161" t="str">
        <f>'Scheduled Intervals'!BP26</f>
        <v>Annual</v>
      </c>
    </row>
    <row r="60" spans="2:68" x14ac:dyDescent="0.2">
      <c r="B60" s="161">
        <f>'Scheduled Intervals'!B27</f>
        <v>50</v>
      </c>
      <c r="C60" s="161">
        <f>'Scheduled Intervals'!C27</f>
        <v>0</v>
      </c>
      <c r="D60" s="161">
        <f>'Scheduled Intervals'!D27</f>
        <v>50</v>
      </c>
      <c r="E60" s="161">
        <f>'Scheduled Intervals'!E27</f>
        <v>0</v>
      </c>
      <c r="F60" s="161">
        <f>'Scheduled Intervals'!F27</f>
        <v>0</v>
      </c>
      <c r="G60" s="161">
        <f>'Scheduled Intervals'!G27</f>
        <v>0</v>
      </c>
      <c r="H60" s="161">
        <f>'Scheduled Intervals'!H27</f>
        <v>50</v>
      </c>
      <c r="I60" s="161">
        <f>'Scheduled Intervals'!I27</f>
        <v>50</v>
      </c>
      <c r="J60" s="161">
        <f>'Scheduled Intervals'!J27</f>
        <v>50</v>
      </c>
      <c r="K60" s="161">
        <f>'Scheduled Intervals'!K27</f>
        <v>0</v>
      </c>
      <c r="L60" s="161">
        <f>'Scheduled Intervals'!L27</f>
        <v>0</v>
      </c>
      <c r="M60" s="161">
        <f>'Scheduled Intervals'!M27</f>
        <v>0</v>
      </c>
      <c r="N60" s="161">
        <f>'Scheduled Intervals'!N27</f>
        <v>0</v>
      </c>
      <c r="O60" s="161">
        <f>'Scheduled Intervals'!O27</f>
        <v>0</v>
      </c>
      <c r="P60" s="161">
        <f>'Scheduled Intervals'!P27</f>
        <v>0</v>
      </c>
      <c r="Q60" s="161">
        <f>'Scheduled Intervals'!Q27</f>
        <v>250</v>
      </c>
      <c r="R60" s="161">
        <f>'Scheduled Intervals'!R27</f>
        <v>0</v>
      </c>
      <c r="S60" s="161">
        <f>'Scheduled Intervals'!S27</f>
        <v>0</v>
      </c>
      <c r="T60" s="161">
        <f>'Scheduled Intervals'!T27</f>
        <v>0</v>
      </c>
      <c r="U60" s="161">
        <f>'Scheduled Intervals'!U27</f>
        <v>500</v>
      </c>
      <c r="V60" s="161">
        <f>'Scheduled Intervals'!V27</f>
        <v>0</v>
      </c>
      <c r="W60" s="161">
        <f>'Scheduled Intervals'!W27</f>
        <v>0</v>
      </c>
      <c r="X60" s="161">
        <f>'Scheduled Intervals'!X27</f>
        <v>0</v>
      </c>
      <c r="Y60" s="161">
        <f>'Scheduled Intervals'!Y27</f>
        <v>0</v>
      </c>
      <c r="Z60" s="161">
        <f>'Scheduled Intervals'!Z27</f>
        <v>500</v>
      </c>
      <c r="AA60" s="161">
        <f>'Scheduled Intervals'!AA27</f>
        <v>0</v>
      </c>
      <c r="AB60" s="161">
        <f>'Scheduled Intervals'!AB27</f>
        <v>0</v>
      </c>
      <c r="AC60" s="161">
        <f>'Scheduled Intervals'!AC27</f>
        <v>0</v>
      </c>
      <c r="AD60" s="161">
        <f>'Scheduled Intervals'!AD27</f>
        <v>0</v>
      </c>
      <c r="AE60" s="161">
        <f>'Scheduled Intervals'!AE27</f>
        <v>0</v>
      </c>
      <c r="AF60" s="161">
        <f>'Scheduled Intervals'!AF27</f>
        <v>500</v>
      </c>
      <c r="AG60" s="161">
        <f>'Scheduled Intervals'!AG27</f>
        <v>1000</v>
      </c>
      <c r="AH60" s="161">
        <f>'Scheduled Intervals'!AH27</f>
        <v>1000</v>
      </c>
      <c r="AI60" s="161">
        <f>'Scheduled Intervals'!AI27</f>
        <v>400</v>
      </c>
      <c r="AJ60" s="161">
        <f>'Scheduled Intervals'!AJ27</f>
        <v>0</v>
      </c>
      <c r="AK60" s="161">
        <f>'Scheduled Intervals'!AK27</f>
        <v>2000</v>
      </c>
      <c r="AL60" s="161">
        <f>'Scheduled Intervals'!AL27</f>
        <v>0</v>
      </c>
      <c r="AM60" s="161">
        <f>'Scheduled Intervals'!AM27</f>
        <v>0</v>
      </c>
      <c r="AN60" s="161">
        <f>'Scheduled Intervals'!AN27</f>
        <v>0</v>
      </c>
      <c r="AO60" s="161">
        <f>'Scheduled Intervals'!AO27</f>
        <v>0</v>
      </c>
      <c r="AP60" s="161">
        <f>'Scheduled Intervals'!AP27</f>
        <v>0</v>
      </c>
      <c r="AQ60" s="161">
        <f>'Scheduled Intervals'!AQ27</f>
        <v>0</v>
      </c>
      <c r="AR60" s="161">
        <f>'Scheduled Intervals'!AR27</f>
        <v>0</v>
      </c>
      <c r="AS60" s="161">
        <f>'Scheduled Intervals'!AS27</f>
        <v>0</v>
      </c>
      <c r="AT60" s="161">
        <f>'Scheduled Intervals'!AT27</f>
        <v>500</v>
      </c>
      <c r="AU60" s="161">
        <f>'Scheduled Intervals'!AU27</f>
        <v>0</v>
      </c>
      <c r="AV60" s="161">
        <f>'Scheduled Intervals'!AV27</f>
        <v>0</v>
      </c>
      <c r="AW60" s="161">
        <f>'Scheduled Intervals'!AW27</f>
        <v>0</v>
      </c>
      <c r="AX60" s="161">
        <f>'Scheduled Intervals'!AX27</f>
        <v>0</v>
      </c>
      <c r="AY60" s="161">
        <f>'Scheduled Intervals'!AY27</f>
        <v>0</v>
      </c>
      <c r="AZ60" s="161">
        <f>'Scheduled Intervals'!AZ27</f>
        <v>0</v>
      </c>
      <c r="BA60" s="161">
        <f>'Scheduled Intervals'!BA27</f>
        <v>0</v>
      </c>
      <c r="BB60" s="161">
        <f>'Scheduled Intervals'!BB27</f>
        <v>500</v>
      </c>
      <c r="BC60" s="161">
        <f>'Scheduled Intervals'!BC27</f>
        <v>0</v>
      </c>
      <c r="BD60" s="161">
        <f>'Scheduled Intervals'!BD27</f>
        <v>0</v>
      </c>
      <c r="BE60" s="161">
        <f>'Scheduled Intervals'!BE27</f>
        <v>0</v>
      </c>
      <c r="BF60" s="161">
        <f>'Scheduled Intervals'!BF27</f>
        <v>0</v>
      </c>
      <c r="BG60" s="161">
        <f>'Scheduled Intervals'!BG27</f>
        <v>0</v>
      </c>
      <c r="BH60" s="161">
        <f>'Scheduled Intervals'!BH27</f>
        <v>2000</v>
      </c>
      <c r="BI60" s="161">
        <f>'Scheduled Intervals'!BI27</f>
        <v>0</v>
      </c>
      <c r="BJ60" s="161">
        <f>'Scheduled Intervals'!BJ27</f>
        <v>500</v>
      </c>
      <c r="BK60" s="161">
        <f>'Scheduled Intervals'!BK27</f>
        <v>1000</v>
      </c>
      <c r="BL60" s="161">
        <f>'Scheduled Intervals'!BL27</f>
        <v>0</v>
      </c>
      <c r="BM60" s="161">
        <f>'Scheduled Intervals'!BM27</f>
        <v>0</v>
      </c>
      <c r="BN60" s="161" t="str">
        <f>'Scheduled Intervals'!BN27</f>
        <v>Annual</v>
      </c>
      <c r="BO60" s="161" t="str">
        <f>'Scheduled Intervals'!BO27</f>
        <v>Annual</v>
      </c>
      <c r="BP60" s="161" t="str">
        <f>'Scheduled Intervals'!BP27</f>
        <v>Annual</v>
      </c>
    </row>
    <row r="61" spans="2:68" x14ac:dyDescent="0.2">
      <c r="B61" s="161">
        <f>'Scheduled Intervals'!B28</f>
        <v>50</v>
      </c>
      <c r="C61" s="161">
        <f>'Scheduled Intervals'!C28</f>
        <v>0</v>
      </c>
      <c r="D61" s="161">
        <f>'Scheduled Intervals'!D28</f>
        <v>50</v>
      </c>
      <c r="E61" s="161">
        <f>'Scheduled Intervals'!E28</f>
        <v>0</v>
      </c>
      <c r="F61" s="161">
        <f>'Scheduled Intervals'!F28</f>
        <v>0</v>
      </c>
      <c r="G61" s="161">
        <f>'Scheduled Intervals'!G28</f>
        <v>0</v>
      </c>
      <c r="H61" s="161">
        <f>'Scheduled Intervals'!H28</f>
        <v>50</v>
      </c>
      <c r="I61" s="161">
        <f>'Scheduled Intervals'!I28</f>
        <v>50</v>
      </c>
      <c r="J61" s="161">
        <f>'Scheduled Intervals'!J28</f>
        <v>0</v>
      </c>
      <c r="K61" s="161">
        <f>'Scheduled Intervals'!K28</f>
        <v>0</v>
      </c>
      <c r="L61" s="161">
        <f>'Scheduled Intervals'!L28</f>
        <v>0</v>
      </c>
      <c r="M61" s="161">
        <f>'Scheduled Intervals'!M28</f>
        <v>0</v>
      </c>
      <c r="N61" s="161">
        <f>'Scheduled Intervals'!N28</f>
        <v>0</v>
      </c>
      <c r="O61" s="161">
        <f>'Scheduled Intervals'!O28</f>
        <v>0</v>
      </c>
      <c r="P61" s="161">
        <f>'Scheduled Intervals'!P28</f>
        <v>0</v>
      </c>
      <c r="Q61" s="161">
        <f>'Scheduled Intervals'!Q28</f>
        <v>250</v>
      </c>
      <c r="R61" s="161">
        <f>'Scheduled Intervals'!R28</f>
        <v>250</v>
      </c>
      <c r="S61" s="161">
        <f>'Scheduled Intervals'!S28</f>
        <v>0</v>
      </c>
      <c r="T61" s="161">
        <f>'Scheduled Intervals'!T28</f>
        <v>0</v>
      </c>
      <c r="U61" s="161">
        <f>'Scheduled Intervals'!U28</f>
        <v>500</v>
      </c>
      <c r="V61" s="161">
        <f>'Scheduled Intervals'!V28</f>
        <v>0</v>
      </c>
      <c r="W61" s="161">
        <f>'Scheduled Intervals'!W28</f>
        <v>0</v>
      </c>
      <c r="X61" s="161">
        <f>'Scheduled Intervals'!X28</f>
        <v>0</v>
      </c>
      <c r="Y61" s="161">
        <f>'Scheduled Intervals'!Y28</f>
        <v>0</v>
      </c>
      <c r="Z61" s="161">
        <f>'Scheduled Intervals'!Z28</f>
        <v>500</v>
      </c>
      <c r="AA61" s="161">
        <f>'Scheduled Intervals'!AA28</f>
        <v>0</v>
      </c>
      <c r="AB61" s="161">
        <f>'Scheduled Intervals'!AB28</f>
        <v>0</v>
      </c>
      <c r="AC61" s="161">
        <f>'Scheduled Intervals'!AC28</f>
        <v>0</v>
      </c>
      <c r="AD61" s="161">
        <f>'Scheduled Intervals'!AD28</f>
        <v>0</v>
      </c>
      <c r="AE61" s="161">
        <f>'Scheduled Intervals'!AE28</f>
        <v>0</v>
      </c>
      <c r="AF61" s="161">
        <f>'Scheduled Intervals'!AF28</f>
        <v>500</v>
      </c>
      <c r="AG61" s="161">
        <f>'Scheduled Intervals'!AG28</f>
        <v>1000</v>
      </c>
      <c r="AH61" s="161">
        <f>'Scheduled Intervals'!AH28</f>
        <v>500</v>
      </c>
      <c r="AI61" s="161">
        <f>'Scheduled Intervals'!AI28</f>
        <v>2000</v>
      </c>
      <c r="AJ61" s="161">
        <f>'Scheduled Intervals'!AJ28</f>
        <v>500</v>
      </c>
      <c r="AK61" s="161">
        <f>'Scheduled Intervals'!AK28</f>
        <v>0</v>
      </c>
      <c r="AL61" s="161">
        <f>'Scheduled Intervals'!AL28</f>
        <v>0</v>
      </c>
      <c r="AM61" s="161">
        <f>'Scheduled Intervals'!AM28</f>
        <v>0</v>
      </c>
      <c r="AN61" s="161">
        <f>'Scheduled Intervals'!AN28</f>
        <v>0</v>
      </c>
      <c r="AO61" s="161">
        <f>'Scheduled Intervals'!AO28</f>
        <v>0</v>
      </c>
      <c r="AP61" s="161">
        <f>'Scheduled Intervals'!AP28</f>
        <v>0</v>
      </c>
      <c r="AQ61" s="161">
        <f>'Scheduled Intervals'!AQ28</f>
        <v>0</v>
      </c>
      <c r="AR61" s="161">
        <f>'Scheduled Intervals'!AR28</f>
        <v>0</v>
      </c>
      <c r="AS61" s="161">
        <f>'Scheduled Intervals'!AS28</f>
        <v>0</v>
      </c>
      <c r="AT61" s="161">
        <f>'Scheduled Intervals'!AT28</f>
        <v>500</v>
      </c>
      <c r="AU61" s="161">
        <f>'Scheduled Intervals'!AU28</f>
        <v>0</v>
      </c>
      <c r="AV61" s="161">
        <f>'Scheduled Intervals'!AV28</f>
        <v>0</v>
      </c>
      <c r="AW61" s="161">
        <f>'Scheduled Intervals'!AW28</f>
        <v>0</v>
      </c>
      <c r="AX61" s="161">
        <f>'Scheduled Intervals'!AX28</f>
        <v>0</v>
      </c>
      <c r="AY61" s="161">
        <f>'Scheduled Intervals'!AY28</f>
        <v>0</v>
      </c>
      <c r="AZ61" s="161">
        <f>'Scheduled Intervals'!AZ28</f>
        <v>0</v>
      </c>
      <c r="BA61" s="161">
        <f>'Scheduled Intervals'!BA28</f>
        <v>0</v>
      </c>
      <c r="BB61" s="161">
        <f>'Scheduled Intervals'!BB28</f>
        <v>500</v>
      </c>
      <c r="BC61" s="161">
        <f>'Scheduled Intervals'!BC28</f>
        <v>0</v>
      </c>
      <c r="BD61" s="161">
        <f>'Scheduled Intervals'!BD28</f>
        <v>0</v>
      </c>
      <c r="BE61" s="161">
        <f>'Scheduled Intervals'!BE28</f>
        <v>0</v>
      </c>
      <c r="BF61" s="161">
        <f>'Scheduled Intervals'!BF28</f>
        <v>0</v>
      </c>
      <c r="BG61" s="161">
        <f>'Scheduled Intervals'!BG28</f>
        <v>0</v>
      </c>
      <c r="BH61" s="161">
        <f>'Scheduled Intervals'!BH28</f>
        <v>2000</v>
      </c>
      <c r="BI61" s="161">
        <f>'Scheduled Intervals'!BI28</f>
        <v>0</v>
      </c>
      <c r="BJ61" s="161">
        <f>'Scheduled Intervals'!BJ28</f>
        <v>500</v>
      </c>
      <c r="BK61" s="161">
        <f>'Scheduled Intervals'!BK28</f>
        <v>1000</v>
      </c>
      <c r="BL61" s="161">
        <f>'Scheduled Intervals'!BL28</f>
        <v>0</v>
      </c>
      <c r="BM61" s="161">
        <f>'Scheduled Intervals'!BM28</f>
        <v>0</v>
      </c>
      <c r="BN61" s="161" t="str">
        <f>'Scheduled Intervals'!BN28</f>
        <v>Annual</v>
      </c>
      <c r="BO61" s="161" t="str">
        <f>'Scheduled Intervals'!BO28</f>
        <v>Annual</v>
      </c>
      <c r="BP61" s="161" t="str">
        <f>'Scheduled Intervals'!BP28</f>
        <v>Annual</v>
      </c>
    </row>
    <row r="62" spans="2:68" x14ac:dyDescent="0.2">
      <c r="B62" s="161">
        <f>'Scheduled Intervals'!B29</f>
        <v>50</v>
      </c>
      <c r="C62" s="161">
        <f>'Scheduled Intervals'!C29</f>
        <v>0</v>
      </c>
      <c r="D62" s="161">
        <f>'Scheduled Intervals'!D29</f>
        <v>50</v>
      </c>
      <c r="E62" s="161">
        <f>'Scheduled Intervals'!E29</f>
        <v>0</v>
      </c>
      <c r="F62" s="161">
        <f>'Scheduled Intervals'!F29</f>
        <v>0</v>
      </c>
      <c r="G62" s="161">
        <f>'Scheduled Intervals'!G29</f>
        <v>0</v>
      </c>
      <c r="H62" s="161">
        <f>'Scheduled Intervals'!H29</f>
        <v>50</v>
      </c>
      <c r="I62" s="161">
        <f>'Scheduled Intervals'!I29</f>
        <v>50</v>
      </c>
      <c r="J62" s="161">
        <f>'Scheduled Intervals'!J29</f>
        <v>0</v>
      </c>
      <c r="K62" s="161">
        <f>'Scheduled Intervals'!K29</f>
        <v>0</v>
      </c>
      <c r="L62" s="161">
        <f>'Scheduled Intervals'!L29</f>
        <v>0</v>
      </c>
      <c r="M62" s="161">
        <f>'Scheduled Intervals'!M29</f>
        <v>0</v>
      </c>
      <c r="N62" s="161">
        <f>'Scheduled Intervals'!N29</f>
        <v>0</v>
      </c>
      <c r="O62" s="161">
        <f>'Scheduled Intervals'!O29</f>
        <v>0</v>
      </c>
      <c r="P62" s="161">
        <f>'Scheduled Intervals'!P29</f>
        <v>0</v>
      </c>
      <c r="Q62" s="161">
        <f>'Scheduled Intervals'!Q29</f>
        <v>250</v>
      </c>
      <c r="R62" s="161">
        <f>'Scheduled Intervals'!R29</f>
        <v>250</v>
      </c>
      <c r="S62" s="161">
        <f>'Scheduled Intervals'!S29</f>
        <v>0</v>
      </c>
      <c r="T62" s="161">
        <f>'Scheduled Intervals'!T29</f>
        <v>0</v>
      </c>
      <c r="U62" s="161">
        <f>'Scheduled Intervals'!U29</f>
        <v>500</v>
      </c>
      <c r="V62" s="161">
        <f>'Scheduled Intervals'!V29</f>
        <v>0</v>
      </c>
      <c r="W62" s="161">
        <f>'Scheduled Intervals'!W29</f>
        <v>0</v>
      </c>
      <c r="X62" s="161">
        <f>'Scheduled Intervals'!X29</f>
        <v>0</v>
      </c>
      <c r="Y62" s="161">
        <f>'Scheduled Intervals'!Y29</f>
        <v>0</v>
      </c>
      <c r="Z62" s="161">
        <f>'Scheduled Intervals'!Z29</f>
        <v>500</v>
      </c>
      <c r="AA62" s="161">
        <f>'Scheduled Intervals'!AA29</f>
        <v>0</v>
      </c>
      <c r="AB62" s="161">
        <f>'Scheduled Intervals'!AB29</f>
        <v>0</v>
      </c>
      <c r="AC62" s="161">
        <f>'Scheduled Intervals'!AC29</f>
        <v>0</v>
      </c>
      <c r="AD62" s="161">
        <f>'Scheduled Intervals'!AD29</f>
        <v>0</v>
      </c>
      <c r="AE62" s="161">
        <f>'Scheduled Intervals'!AE29</f>
        <v>0</v>
      </c>
      <c r="AF62" s="161">
        <f>'Scheduled Intervals'!AF29</f>
        <v>1000</v>
      </c>
      <c r="AG62" s="161">
        <f>'Scheduled Intervals'!AG29</f>
        <v>1000</v>
      </c>
      <c r="AH62" s="161">
        <f>'Scheduled Intervals'!AH29</f>
        <v>1000</v>
      </c>
      <c r="AI62" s="161">
        <f>'Scheduled Intervals'!AI29</f>
        <v>2000</v>
      </c>
      <c r="AJ62" s="161">
        <f>'Scheduled Intervals'!AJ29</f>
        <v>2000</v>
      </c>
      <c r="AK62" s="161">
        <f>'Scheduled Intervals'!AK29</f>
        <v>0</v>
      </c>
      <c r="AL62" s="161">
        <f>'Scheduled Intervals'!AL29</f>
        <v>0</v>
      </c>
      <c r="AM62" s="161">
        <f>'Scheduled Intervals'!AM29</f>
        <v>0</v>
      </c>
      <c r="AN62" s="161">
        <f>'Scheduled Intervals'!AN29</f>
        <v>0</v>
      </c>
      <c r="AO62" s="161">
        <f>'Scheduled Intervals'!AO29</f>
        <v>0</v>
      </c>
      <c r="AP62" s="161">
        <f>'Scheduled Intervals'!AP29</f>
        <v>0</v>
      </c>
      <c r="AQ62" s="161">
        <f>'Scheduled Intervals'!AQ29</f>
        <v>0</v>
      </c>
      <c r="AR62" s="161">
        <f>'Scheduled Intervals'!AR29</f>
        <v>0</v>
      </c>
      <c r="AS62" s="161">
        <f>'Scheduled Intervals'!AS29</f>
        <v>0</v>
      </c>
      <c r="AT62" s="161">
        <f>'Scheduled Intervals'!AT29</f>
        <v>500</v>
      </c>
      <c r="AU62" s="161">
        <f>'Scheduled Intervals'!AU29</f>
        <v>0</v>
      </c>
      <c r="AV62" s="161">
        <f>'Scheduled Intervals'!AV29</f>
        <v>0</v>
      </c>
      <c r="AW62" s="161">
        <f>'Scheduled Intervals'!AW29</f>
        <v>0</v>
      </c>
      <c r="AX62" s="161">
        <f>'Scheduled Intervals'!AX29</f>
        <v>0</v>
      </c>
      <c r="AY62" s="161">
        <f>'Scheduled Intervals'!AY29</f>
        <v>0</v>
      </c>
      <c r="AZ62" s="161">
        <f>'Scheduled Intervals'!AZ29</f>
        <v>0</v>
      </c>
      <c r="BA62" s="161">
        <f>'Scheduled Intervals'!BA29</f>
        <v>0</v>
      </c>
      <c r="BB62" s="161">
        <f>'Scheduled Intervals'!BB29</f>
        <v>500</v>
      </c>
      <c r="BC62" s="161">
        <f>'Scheduled Intervals'!BC29</f>
        <v>500</v>
      </c>
      <c r="BD62" s="161">
        <f>'Scheduled Intervals'!BD29</f>
        <v>0</v>
      </c>
      <c r="BE62" s="161">
        <f>'Scheduled Intervals'!BE29</f>
        <v>0</v>
      </c>
      <c r="BF62" s="161">
        <f>'Scheduled Intervals'!BF29</f>
        <v>0</v>
      </c>
      <c r="BG62" s="161">
        <f>'Scheduled Intervals'!BG29</f>
        <v>0</v>
      </c>
      <c r="BH62" s="161">
        <f>'Scheduled Intervals'!BH29</f>
        <v>2000</v>
      </c>
      <c r="BI62" s="161">
        <f>'Scheduled Intervals'!BI29</f>
        <v>0</v>
      </c>
      <c r="BJ62" s="161">
        <f>'Scheduled Intervals'!BJ29</f>
        <v>500</v>
      </c>
      <c r="BK62" s="161">
        <f>'Scheduled Intervals'!BK29</f>
        <v>1000</v>
      </c>
      <c r="BL62" s="161">
        <f>'Scheduled Intervals'!BL29</f>
        <v>0</v>
      </c>
      <c r="BM62" s="161">
        <f>'Scheduled Intervals'!BM29</f>
        <v>500</v>
      </c>
      <c r="BN62" s="161" t="str">
        <f>'Scheduled Intervals'!BN29</f>
        <v>Annual</v>
      </c>
      <c r="BO62" s="161" t="str">
        <f>'Scheduled Intervals'!BO29</f>
        <v>Annual</v>
      </c>
      <c r="BP62" s="161" t="str">
        <f>'Scheduled Intervals'!BP29</f>
        <v>Annual</v>
      </c>
    </row>
    <row r="63" spans="2:68" x14ac:dyDescent="0.2">
      <c r="B63" s="161">
        <f>'Scheduled Intervals'!B30</f>
        <v>50</v>
      </c>
      <c r="C63" s="161">
        <f>'Scheduled Intervals'!C30</f>
        <v>0</v>
      </c>
      <c r="D63" s="161">
        <f>'Scheduled Intervals'!D30</f>
        <v>50</v>
      </c>
      <c r="E63" s="161">
        <f>'Scheduled Intervals'!E30</f>
        <v>50</v>
      </c>
      <c r="F63" s="161">
        <f>'Scheduled Intervals'!F30</f>
        <v>0</v>
      </c>
      <c r="G63" s="161">
        <f>'Scheduled Intervals'!G30</f>
        <v>0</v>
      </c>
      <c r="H63" s="161">
        <f>'Scheduled Intervals'!H30</f>
        <v>50</v>
      </c>
      <c r="I63" s="161">
        <f>'Scheduled Intervals'!I30</f>
        <v>50</v>
      </c>
      <c r="J63" s="161">
        <f>'Scheduled Intervals'!J30</f>
        <v>0</v>
      </c>
      <c r="K63" s="161">
        <f>'Scheduled Intervals'!K30</f>
        <v>50</v>
      </c>
      <c r="L63" s="161">
        <f>'Scheduled Intervals'!L30</f>
        <v>0</v>
      </c>
      <c r="M63" s="161">
        <f>'Scheduled Intervals'!M30</f>
        <v>50</v>
      </c>
      <c r="N63" s="161">
        <f>'Scheduled Intervals'!N30</f>
        <v>50</v>
      </c>
      <c r="O63" s="161">
        <f>'Scheduled Intervals'!O30</f>
        <v>0</v>
      </c>
      <c r="P63" s="161">
        <f>'Scheduled Intervals'!P30</f>
        <v>0</v>
      </c>
      <c r="Q63" s="161">
        <f>'Scheduled Intervals'!Q30</f>
        <v>0</v>
      </c>
      <c r="R63" s="161">
        <f>'Scheduled Intervals'!R30</f>
        <v>0</v>
      </c>
      <c r="S63" s="161">
        <f>'Scheduled Intervals'!S30</f>
        <v>0</v>
      </c>
      <c r="T63" s="161">
        <f>'Scheduled Intervals'!T30</f>
        <v>0</v>
      </c>
      <c r="U63" s="161">
        <f>'Scheduled Intervals'!U30</f>
        <v>250</v>
      </c>
      <c r="V63" s="161">
        <f>'Scheduled Intervals'!V30</f>
        <v>0</v>
      </c>
      <c r="W63" s="161">
        <f>'Scheduled Intervals'!W30</f>
        <v>0</v>
      </c>
      <c r="X63" s="161">
        <f>'Scheduled Intervals'!X30</f>
        <v>0</v>
      </c>
      <c r="Y63" s="161">
        <f>'Scheduled Intervals'!Y30</f>
        <v>0</v>
      </c>
      <c r="Z63" s="161">
        <f>'Scheduled Intervals'!Z30</f>
        <v>500</v>
      </c>
      <c r="AA63" s="161">
        <f>'Scheduled Intervals'!AA30</f>
        <v>0</v>
      </c>
      <c r="AB63" s="161">
        <f>'Scheduled Intervals'!AB30</f>
        <v>1000</v>
      </c>
      <c r="AC63" s="161">
        <f>'Scheduled Intervals'!AC30</f>
        <v>1000</v>
      </c>
      <c r="AD63" s="161">
        <f>'Scheduled Intervals'!AD30</f>
        <v>0</v>
      </c>
      <c r="AE63" s="161">
        <f>'Scheduled Intervals'!AE30</f>
        <v>0</v>
      </c>
      <c r="AF63" s="161">
        <f>'Scheduled Intervals'!AF30</f>
        <v>500</v>
      </c>
      <c r="AG63" s="161">
        <f>'Scheduled Intervals'!AG30</f>
        <v>1000</v>
      </c>
      <c r="AH63" s="161">
        <f>'Scheduled Intervals'!AH30</f>
        <v>1000</v>
      </c>
      <c r="AI63" s="161">
        <f>'Scheduled Intervals'!AI30</f>
        <v>2000</v>
      </c>
      <c r="AJ63" s="161">
        <f>'Scheduled Intervals'!AJ30</f>
        <v>1000</v>
      </c>
      <c r="AK63" s="161">
        <f>'Scheduled Intervals'!AK30</f>
        <v>0</v>
      </c>
      <c r="AL63" s="161">
        <f>'Scheduled Intervals'!AL30</f>
        <v>0</v>
      </c>
      <c r="AM63" s="161">
        <f>'Scheduled Intervals'!AM30</f>
        <v>0</v>
      </c>
      <c r="AN63" s="161">
        <f>'Scheduled Intervals'!AN30</f>
        <v>0</v>
      </c>
      <c r="AO63" s="161">
        <f>'Scheduled Intervals'!AO30</f>
        <v>0</v>
      </c>
      <c r="AP63" s="161">
        <f>'Scheduled Intervals'!AP30</f>
        <v>0</v>
      </c>
      <c r="AQ63" s="161">
        <f>'Scheduled Intervals'!AQ30</f>
        <v>0</v>
      </c>
      <c r="AR63" s="161">
        <f>'Scheduled Intervals'!AR30</f>
        <v>0</v>
      </c>
      <c r="AS63" s="161">
        <f>'Scheduled Intervals'!AS30</f>
        <v>0</v>
      </c>
      <c r="AT63" s="161">
        <f>'Scheduled Intervals'!AT30</f>
        <v>250</v>
      </c>
      <c r="AU63" s="161">
        <f>'Scheduled Intervals'!AU30</f>
        <v>0</v>
      </c>
      <c r="AV63" s="161">
        <f>'Scheduled Intervals'!AV30</f>
        <v>0</v>
      </c>
      <c r="AW63" s="161">
        <f>'Scheduled Intervals'!AW30</f>
        <v>0</v>
      </c>
      <c r="AX63" s="161">
        <f>'Scheduled Intervals'!AX30</f>
        <v>0</v>
      </c>
      <c r="AY63" s="161">
        <f>'Scheduled Intervals'!AY30</f>
        <v>0</v>
      </c>
      <c r="AZ63" s="161">
        <f>'Scheduled Intervals'!AZ30</f>
        <v>0</v>
      </c>
      <c r="BA63" s="161">
        <f>'Scheduled Intervals'!BA30</f>
        <v>0</v>
      </c>
      <c r="BB63" s="161">
        <f>'Scheduled Intervals'!BB30</f>
        <v>1000</v>
      </c>
      <c r="BC63" s="161">
        <f>'Scheduled Intervals'!BC30</f>
        <v>1000</v>
      </c>
      <c r="BD63" s="161">
        <f>'Scheduled Intervals'!BD30</f>
        <v>0</v>
      </c>
      <c r="BE63" s="161">
        <f>'Scheduled Intervals'!BE30</f>
        <v>0</v>
      </c>
      <c r="BF63" s="161">
        <f>'Scheduled Intervals'!BF30</f>
        <v>0</v>
      </c>
      <c r="BG63" s="161">
        <f>'Scheduled Intervals'!BG30</f>
        <v>0</v>
      </c>
      <c r="BH63" s="161">
        <f>'Scheduled Intervals'!BH30</f>
        <v>2000</v>
      </c>
      <c r="BI63" s="161">
        <f>'Scheduled Intervals'!BI30</f>
        <v>0</v>
      </c>
      <c r="BJ63" s="161">
        <f>'Scheduled Intervals'!BJ30</f>
        <v>250</v>
      </c>
      <c r="BK63" s="161">
        <f>'Scheduled Intervals'!BK30</f>
        <v>1000</v>
      </c>
      <c r="BL63" s="161">
        <f>'Scheduled Intervals'!BL30</f>
        <v>1000</v>
      </c>
      <c r="BM63" s="161">
        <f>'Scheduled Intervals'!BM30</f>
        <v>0</v>
      </c>
      <c r="BN63" s="161" t="str">
        <f>'Scheduled Intervals'!BN30</f>
        <v>Annual</v>
      </c>
      <c r="BO63" s="161" t="str">
        <f>'Scheduled Intervals'!BO30</f>
        <v>Annual</v>
      </c>
      <c r="BP63" s="161" t="str">
        <f>'Scheduled Intervals'!BP30</f>
        <v>Annual</v>
      </c>
    </row>
    <row r="64" spans="2:68" x14ac:dyDescent="0.2">
      <c r="B64" s="161">
        <f>'Scheduled Intervals'!B31</f>
        <v>50</v>
      </c>
      <c r="C64" s="161">
        <f>'Scheduled Intervals'!C31</f>
        <v>0</v>
      </c>
      <c r="D64" s="161">
        <f>'Scheduled Intervals'!D31</f>
        <v>0</v>
      </c>
      <c r="E64" s="161">
        <f>'Scheduled Intervals'!E31</f>
        <v>0</v>
      </c>
      <c r="F64" s="161">
        <f>'Scheduled Intervals'!F31</f>
        <v>50</v>
      </c>
      <c r="G64" s="161">
        <f>'Scheduled Intervals'!G31</f>
        <v>0</v>
      </c>
      <c r="H64" s="161">
        <f>'Scheduled Intervals'!H31</f>
        <v>50</v>
      </c>
      <c r="I64" s="161">
        <f>'Scheduled Intervals'!I31</f>
        <v>50</v>
      </c>
      <c r="J64" s="161">
        <f>'Scheduled Intervals'!J31</f>
        <v>0</v>
      </c>
      <c r="K64" s="161">
        <f>'Scheduled Intervals'!K31</f>
        <v>0</v>
      </c>
      <c r="L64" s="161">
        <f>'Scheduled Intervals'!L31</f>
        <v>0</v>
      </c>
      <c r="M64" s="161">
        <f>'Scheduled Intervals'!M31</f>
        <v>0</v>
      </c>
      <c r="N64" s="161">
        <f>'Scheduled Intervals'!N31</f>
        <v>0</v>
      </c>
      <c r="O64" s="161">
        <f>'Scheduled Intervals'!O31</f>
        <v>0</v>
      </c>
      <c r="P64" s="161">
        <f>'Scheduled Intervals'!P31</f>
        <v>0</v>
      </c>
      <c r="Q64" s="161">
        <f>'Scheduled Intervals'!Q31</f>
        <v>0</v>
      </c>
      <c r="R64" s="161">
        <f>'Scheduled Intervals'!R31</f>
        <v>0</v>
      </c>
      <c r="S64" s="161">
        <f>'Scheduled Intervals'!S31</f>
        <v>0</v>
      </c>
      <c r="T64" s="161">
        <f>'Scheduled Intervals'!T31</f>
        <v>0</v>
      </c>
      <c r="U64" s="161">
        <f>'Scheduled Intervals'!U31</f>
        <v>200</v>
      </c>
      <c r="V64" s="161">
        <f>'Scheduled Intervals'!V31</f>
        <v>0</v>
      </c>
      <c r="W64" s="161">
        <f>'Scheduled Intervals'!W31</f>
        <v>0</v>
      </c>
      <c r="X64" s="161">
        <f>'Scheduled Intervals'!X31</f>
        <v>400</v>
      </c>
      <c r="Y64" s="161">
        <f>'Scheduled Intervals'!Y31</f>
        <v>0</v>
      </c>
      <c r="Z64" s="161">
        <f>'Scheduled Intervals'!Z31</f>
        <v>400</v>
      </c>
      <c r="AA64" s="161">
        <f>'Scheduled Intervals'!AA31</f>
        <v>0</v>
      </c>
      <c r="AB64" s="161">
        <f>'Scheduled Intervals'!AB31</f>
        <v>400</v>
      </c>
      <c r="AC64" s="161">
        <f>'Scheduled Intervals'!AC31</f>
        <v>200</v>
      </c>
      <c r="AD64" s="161">
        <f>'Scheduled Intervals'!AD31</f>
        <v>0</v>
      </c>
      <c r="AE64" s="161">
        <f>'Scheduled Intervals'!AE31</f>
        <v>400</v>
      </c>
      <c r="AF64" s="161">
        <f>'Scheduled Intervals'!AF31</f>
        <v>0</v>
      </c>
      <c r="AG64" s="161">
        <f>'Scheduled Intervals'!AG31</f>
        <v>0</v>
      </c>
      <c r="AH64" s="161">
        <f>'Scheduled Intervals'!AH31</f>
        <v>0</v>
      </c>
      <c r="AI64" s="161">
        <f>'Scheduled Intervals'!AI31</f>
        <v>0</v>
      </c>
      <c r="AJ64" s="161">
        <f>'Scheduled Intervals'!AJ31</f>
        <v>0</v>
      </c>
      <c r="AK64" s="161">
        <f>'Scheduled Intervals'!AK31</f>
        <v>0</v>
      </c>
      <c r="AL64" s="161">
        <f>'Scheduled Intervals'!AL31</f>
        <v>0</v>
      </c>
      <c r="AM64" s="161">
        <f>'Scheduled Intervals'!AM31</f>
        <v>0</v>
      </c>
      <c r="AN64" s="161">
        <f>'Scheduled Intervals'!AN31</f>
        <v>0</v>
      </c>
      <c r="AO64" s="161">
        <f>'Scheduled Intervals'!AO31</f>
        <v>0</v>
      </c>
      <c r="AP64" s="161">
        <f>'Scheduled Intervals'!AP31</f>
        <v>0</v>
      </c>
      <c r="AQ64" s="161">
        <f>'Scheduled Intervals'!AQ31</f>
        <v>0</v>
      </c>
      <c r="AR64" s="161">
        <f>'Scheduled Intervals'!AR31</f>
        <v>0</v>
      </c>
      <c r="AS64" s="161">
        <f>'Scheduled Intervals'!AS31</f>
        <v>0</v>
      </c>
      <c r="AT64" s="161">
        <f>'Scheduled Intervals'!AT31</f>
        <v>200</v>
      </c>
      <c r="AU64" s="161">
        <f>'Scheduled Intervals'!AU31</f>
        <v>0</v>
      </c>
      <c r="AV64" s="161">
        <f>'Scheduled Intervals'!AV31</f>
        <v>0</v>
      </c>
      <c r="AW64" s="161">
        <f>'Scheduled Intervals'!AW31</f>
        <v>800</v>
      </c>
      <c r="AX64" s="161">
        <f>'Scheduled Intervals'!AX31</f>
        <v>0</v>
      </c>
      <c r="AY64" s="161">
        <f>'Scheduled Intervals'!AY31</f>
        <v>0</v>
      </c>
      <c r="AZ64" s="161">
        <f>'Scheduled Intervals'!AZ31</f>
        <v>0</v>
      </c>
      <c r="BA64" s="161">
        <f>'Scheduled Intervals'!BA31</f>
        <v>0</v>
      </c>
      <c r="BB64" s="161">
        <f>'Scheduled Intervals'!BB31</f>
        <v>1000</v>
      </c>
      <c r="BC64" s="161">
        <f>'Scheduled Intervals'!BC31</f>
        <v>1000</v>
      </c>
      <c r="BD64" s="161">
        <f>'Scheduled Intervals'!BD31</f>
        <v>0</v>
      </c>
      <c r="BE64" s="161">
        <f>'Scheduled Intervals'!BE31</f>
        <v>0</v>
      </c>
      <c r="BF64" s="161">
        <f>'Scheduled Intervals'!BF31</f>
        <v>0</v>
      </c>
      <c r="BG64" s="161">
        <f>'Scheduled Intervals'!BG31</f>
        <v>0</v>
      </c>
      <c r="BH64" s="161">
        <f>'Scheduled Intervals'!BH31</f>
        <v>2000</v>
      </c>
      <c r="BI64" s="161">
        <f>'Scheduled Intervals'!BI31</f>
        <v>200</v>
      </c>
      <c r="BJ64" s="161">
        <f>'Scheduled Intervals'!BJ31</f>
        <v>200</v>
      </c>
      <c r="BK64" s="161">
        <f>'Scheduled Intervals'!BK31</f>
        <v>0</v>
      </c>
      <c r="BL64" s="161">
        <f>'Scheduled Intervals'!BL31</f>
        <v>0</v>
      </c>
      <c r="BM64" s="161">
        <f>'Scheduled Intervals'!BM31</f>
        <v>0</v>
      </c>
      <c r="BN64" s="161" t="str">
        <f>'Scheduled Intervals'!BN31</f>
        <v>Annual</v>
      </c>
      <c r="BO64" s="161" t="str">
        <f>'Scheduled Intervals'!BO31</f>
        <v>Annual</v>
      </c>
      <c r="BP64" s="161" t="str">
        <f>'Scheduled Intervals'!BP31</f>
        <v>Annual</v>
      </c>
    </row>
    <row r="65" spans="1:68" x14ac:dyDescent="0.2">
      <c r="B65" s="161">
        <f>'Scheduled Intervals'!B33</f>
        <v>50</v>
      </c>
      <c r="C65" s="161">
        <f>'Scheduled Intervals'!C33</f>
        <v>0</v>
      </c>
      <c r="D65" s="161">
        <f>'Scheduled Intervals'!D33</f>
        <v>0</v>
      </c>
      <c r="E65" s="161">
        <f>'Scheduled Intervals'!E33</f>
        <v>0</v>
      </c>
      <c r="F65" s="161">
        <f>'Scheduled Intervals'!F33</f>
        <v>50</v>
      </c>
      <c r="G65" s="161">
        <f>'Scheduled Intervals'!G33</f>
        <v>0</v>
      </c>
      <c r="H65" s="161">
        <f>'Scheduled Intervals'!H33</f>
        <v>50</v>
      </c>
      <c r="I65" s="161">
        <f>'Scheduled Intervals'!I33</f>
        <v>50</v>
      </c>
      <c r="J65" s="161">
        <f>'Scheduled Intervals'!J33</f>
        <v>0</v>
      </c>
      <c r="K65" s="161">
        <f>'Scheduled Intervals'!K33</f>
        <v>0</v>
      </c>
      <c r="L65" s="161">
        <f>'Scheduled Intervals'!L33</f>
        <v>0</v>
      </c>
      <c r="M65" s="161">
        <f>'Scheduled Intervals'!M33</f>
        <v>0</v>
      </c>
      <c r="N65" s="161">
        <f>'Scheduled Intervals'!N33</f>
        <v>0</v>
      </c>
      <c r="O65" s="161">
        <f>'Scheduled Intervals'!O33</f>
        <v>0</v>
      </c>
      <c r="P65" s="161">
        <f>'Scheduled Intervals'!P33</f>
        <v>0</v>
      </c>
      <c r="Q65" s="161">
        <f>'Scheduled Intervals'!Q33</f>
        <v>0</v>
      </c>
      <c r="R65" s="161">
        <f>'Scheduled Intervals'!R33</f>
        <v>0</v>
      </c>
      <c r="S65" s="161">
        <f>'Scheduled Intervals'!S33</f>
        <v>0</v>
      </c>
      <c r="T65" s="161">
        <f>'Scheduled Intervals'!T33</f>
        <v>0</v>
      </c>
      <c r="U65" s="161">
        <f>'Scheduled Intervals'!U33</f>
        <v>100</v>
      </c>
      <c r="V65" s="161">
        <f>'Scheduled Intervals'!V33</f>
        <v>0</v>
      </c>
      <c r="W65" s="161">
        <f>'Scheduled Intervals'!W33</f>
        <v>0</v>
      </c>
      <c r="X65" s="161">
        <f>'Scheduled Intervals'!X33</f>
        <v>0</v>
      </c>
      <c r="Y65" s="161">
        <f>'Scheduled Intervals'!Y33</f>
        <v>0</v>
      </c>
      <c r="Z65" s="161">
        <f>'Scheduled Intervals'!Z33</f>
        <v>250</v>
      </c>
      <c r="AA65" s="161">
        <f>'Scheduled Intervals'!AA33</f>
        <v>0</v>
      </c>
      <c r="AB65" s="161">
        <f>'Scheduled Intervals'!AB33</f>
        <v>0</v>
      </c>
      <c r="AC65" s="161">
        <f>'Scheduled Intervals'!AC33</f>
        <v>0</v>
      </c>
      <c r="AD65" s="161">
        <f>'Scheduled Intervals'!AD33</f>
        <v>0</v>
      </c>
      <c r="AE65" s="161">
        <f>'Scheduled Intervals'!AE33</f>
        <v>0</v>
      </c>
      <c r="AF65" s="161">
        <f>'Scheduled Intervals'!AF33</f>
        <v>1000</v>
      </c>
      <c r="AG65" s="161">
        <f>'Scheduled Intervals'!AG33</f>
        <v>250</v>
      </c>
      <c r="AH65" s="161">
        <f>'Scheduled Intervals'!AH33</f>
        <v>0</v>
      </c>
      <c r="AI65" s="161">
        <f>'Scheduled Intervals'!AI33</f>
        <v>500</v>
      </c>
      <c r="AJ65" s="161">
        <f>'Scheduled Intervals'!AJ33</f>
        <v>0</v>
      </c>
      <c r="AK65" s="161">
        <f>'Scheduled Intervals'!AK33</f>
        <v>0</v>
      </c>
      <c r="AL65" s="161">
        <f>'Scheduled Intervals'!AL33</f>
        <v>0</v>
      </c>
      <c r="AM65" s="161">
        <f>'Scheduled Intervals'!AM33</f>
        <v>0</v>
      </c>
      <c r="AN65" s="161">
        <f>'Scheduled Intervals'!AN33</f>
        <v>0</v>
      </c>
      <c r="AO65" s="161">
        <f>'Scheduled Intervals'!AO33</f>
        <v>0</v>
      </c>
      <c r="AP65" s="161">
        <f>'Scheduled Intervals'!AP33</f>
        <v>0</v>
      </c>
      <c r="AQ65" s="161">
        <f>'Scheduled Intervals'!AQ33</f>
        <v>0</v>
      </c>
      <c r="AR65" s="161">
        <f>'Scheduled Intervals'!AR33</f>
        <v>0</v>
      </c>
      <c r="AS65" s="161">
        <f>'Scheduled Intervals'!AS33</f>
        <v>0</v>
      </c>
      <c r="AT65" s="161">
        <f>'Scheduled Intervals'!AT33</f>
        <v>100</v>
      </c>
      <c r="AU65" s="161">
        <f>'Scheduled Intervals'!AU33</f>
        <v>0</v>
      </c>
      <c r="AV65" s="161">
        <f>'Scheduled Intervals'!AV33</f>
        <v>0</v>
      </c>
      <c r="AW65" s="161">
        <f>'Scheduled Intervals'!AW33</f>
        <v>0</v>
      </c>
      <c r="AX65" s="161">
        <f>'Scheduled Intervals'!AX33</f>
        <v>0</v>
      </c>
      <c r="AY65" s="161">
        <f>'Scheduled Intervals'!AY33</f>
        <v>0</v>
      </c>
      <c r="AZ65" s="161">
        <f>'Scheduled Intervals'!AZ33</f>
        <v>0</v>
      </c>
      <c r="BA65" s="161">
        <f>'Scheduled Intervals'!BA33</f>
        <v>0</v>
      </c>
      <c r="BB65" s="161">
        <f>'Scheduled Intervals'!BB33</f>
        <v>250</v>
      </c>
      <c r="BC65" s="161">
        <f>'Scheduled Intervals'!BC33</f>
        <v>250</v>
      </c>
      <c r="BD65" s="161">
        <f>'Scheduled Intervals'!BD33</f>
        <v>0</v>
      </c>
      <c r="BE65" s="161">
        <f>'Scheduled Intervals'!BE33</f>
        <v>0</v>
      </c>
      <c r="BF65" s="161">
        <f>'Scheduled Intervals'!BF33</f>
        <v>0</v>
      </c>
      <c r="BG65" s="161">
        <f>'Scheduled Intervals'!BG33</f>
        <v>0</v>
      </c>
      <c r="BH65" s="161">
        <f>'Scheduled Intervals'!BH33</f>
        <v>2000</v>
      </c>
      <c r="BI65" s="161">
        <f>'Scheduled Intervals'!BI33</f>
        <v>0</v>
      </c>
      <c r="BJ65" s="161">
        <f>'Scheduled Intervals'!BJ33</f>
        <v>100</v>
      </c>
      <c r="BK65" s="161">
        <f>'Scheduled Intervals'!BK33</f>
        <v>0</v>
      </c>
      <c r="BL65" s="161">
        <f>'Scheduled Intervals'!BL33</f>
        <v>0</v>
      </c>
      <c r="BM65" s="161">
        <f>'Scheduled Intervals'!BM33</f>
        <v>0</v>
      </c>
      <c r="BN65" s="161" t="str">
        <f>'Scheduled Intervals'!BN33</f>
        <v>Annual</v>
      </c>
      <c r="BO65" s="161" t="str">
        <f>'Scheduled Intervals'!BO33</f>
        <v>Annual</v>
      </c>
      <c r="BP65" s="161" t="str">
        <f>'Scheduled Intervals'!BP33</f>
        <v>Annual</v>
      </c>
    </row>
    <row r="66" spans="1:68" x14ac:dyDescent="0.2">
      <c r="B66" s="161">
        <f>'Scheduled Intervals'!B34</f>
        <v>50</v>
      </c>
      <c r="C66" s="161">
        <f>'Scheduled Intervals'!C34</f>
        <v>0</v>
      </c>
      <c r="D66" s="161">
        <f>'Scheduled Intervals'!D34</f>
        <v>0</v>
      </c>
      <c r="E66" s="161">
        <f>'Scheduled Intervals'!E34</f>
        <v>0</v>
      </c>
      <c r="F66" s="161">
        <f>'Scheduled Intervals'!F34</f>
        <v>0</v>
      </c>
      <c r="G66" s="161">
        <f>'Scheduled Intervals'!G34</f>
        <v>0</v>
      </c>
      <c r="H66" s="161">
        <f>'Scheduled Intervals'!H34</f>
        <v>50</v>
      </c>
      <c r="I66" s="161">
        <f>'Scheduled Intervals'!I34</f>
        <v>50</v>
      </c>
      <c r="J66" s="161">
        <f>'Scheduled Intervals'!J34</f>
        <v>0</v>
      </c>
      <c r="K66" s="161">
        <f>'Scheduled Intervals'!K34</f>
        <v>0</v>
      </c>
      <c r="L66" s="161">
        <f>'Scheduled Intervals'!L34</f>
        <v>0</v>
      </c>
      <c r="M66" s="161">
        <f>'Scheduled Intervals'!M34</f>
        <v>0</v>
      </c>
      <c r="N66" s="161">
        <f>'Scheduled Intervals'!N34</f>
        <v>0</v>
      </c>
      <c r="O66" s="161">
        <f>'Scheduled Intervals'!O34</f>
        <v>0</v>
      </c>
      <c r="P66" s="161">
        <f>'Scheduled Intervals'!P34</f>
        <v>0</v>
      </c>
      <c r="Q66" s="161">
        <f>'Scheduled Intervals'!Q34</f>
        <v>0</v>
      </c>
      <c r="R66" s="161">
        <f>'Scheduled Intervals'!R34</f>
        <v>0</v>
      </c>
      <c r="S66" s="161">
        <f>'Scheduled Intervals'!S34</f>
        <v>0</v>
      </c>
      <c r="T66" s="161">
        <f>'Scheduled Intervals'!T34</f>
        <v>0</v>
      </c>
      <c r="U66" s="161">
        <f>'Scheduled Intervals'!U34</f>
        <v>400</v>
      </c>
      <c r="V66" s="161">
        <f>'Scheduled Intervals'!V34</f>
        <v>1400</v>
      </c>
      <c r="W66" s="161">
        <f>'Scheduled Intervals'!W34</f>
        <v>400</v>
      </c>
      <c r="X66" s="161">
        <f>'Scheduled Intervals'!X34</f>
        <v>0</v>
      </c>
      <c r="Y66" s="161">
        <f>'Scheduled Intervals'!Y34</f>
        <v>0</v>
      </c>
      <c r="Z66" s="161">
        <f>'Scheduled Intervals'!Z34</f>
        <v>400</v>
      </c>
      <c r="AA66" s="161">
        <f>'Scheduled Intervals'!AA34</f>
        <v>0</v>
      </c>
      <c r="AB66" s="161">
        <f>'Scheduled Intervals'!AB34</f>
        <v>400</v>
      </c>
      <c r="AC66" s="161">
        <f>'Scheduled Intervals'!AC34</f>
        <v>200</v>
      </c>
      <c r="AD66" s="161">
        <f>'Scheduled Intervals'!AD34</f>
        <v>0</v>
      </c>
      <c r="AE66" s="161">
        <f>'Scheduled Intervals'!AE34</f>
        <v>400</v>
      </c>
      <c r="AF66" s="161">
        <f>'Scheduled Intervals'!AF34</f>
        <v>0</v>
      </c>
      <c r="AG66" s="161">
        <f>'Scheduled Intervals'!AG34</f>
        <v>400</v>
      </c>
      <c r="AH66" s="161">
        <f>'Scheduled Intervals'!AH34</f>
        <v>0</v>
      </c>
      <c r="AI66" s="161">
        <f>'Scheduled Intervals'!AI34</f>
        <v>0</v>
      </c>
      <c r="AJ66" s="161">
        <f>'Scheduled Intervals'!AJ34</f>
        <v>0</v>
      </c>
      <c r="AK66" s="161">
        <f>'Scheduled Intervals'!AK34</f>
        <v>0</v>
      </c>
      <c r="AL66" s="161">
        <f>'Scheduled Intervals'!AL34</f>
        <v>800</v>
      </c>
      <c r="AM66" s="161">
        <f>'Scheduled Intervals'!AM34</f>
        <v>0</v>
      </c>
      <c r="AN66" s="161">
        <f>'Scheduled Intervals'!AN34</f>
        <v>0</v>
      </c>
      <c r="AO66" s="161">
        <f>'Scheduled Intervals'!AO34</f>
        <v>0</v>
      </c>
      <c r="AP66" s="161">
        <f>'Scheduled Intervals'!AP34</f>
        <v>0</v>
      </c>
      <c r="AQ66" s="161">
        <f>'Scheduled Intervals'!AQ34</f>
        <v>0</v>
      </c>
      <c r="AR66" s="161">
        <f>'Scheduled Intervals'!AR34</f>
        <v>0</v>
      </c>
      <c r="AS66" s="161">
        <f>'Scheduled Intervals'!AS34</f>
        <v>0</v>
      </c>
      <c r="AT66" s="161">
        <f>'Scheduled Intervals'!AT34</f>
        <v>400</v>
      </c>
      <c r="AU66" s="161">
        <f>'Scheduled Intervals'!AU34</f>
        <v>0</v>
      </c>
      <c r="AV66" s="161">
        <f>'Scheduled Intervals'!AV34</f>
        <v>0</v>
      </c>
      <c r="AW66" s="161">
        <f>'Scheduled Intervals'!AW34</f>
        <v>0</v>
      </c>
      <c r="AX66" s="161">
        <f>'Scheduled Intervals'!AX34</f>
        <v>0</v>
      </c>
      <c r="AY66" s="161">
        <f>'Scheduled Intervals'!AY34</f>
        <v>0</v>
      </c>
      <c r="AZ66" s="161">
        <f>'Scheduled Intervals'!AZ34</f>
        <v>0</v>
      </c>
      <c r="BA66" s="161">
        <f>'Scheduled Intervals'!BA34</f>
        <v>0</v>
      </c>
      <c r="BB66" s="161">
        <f>'Scheduled Intervals'!BB34</f>
        <v>1000</v>
      </c>
      <c r="BC66" s="161">
        <f>'Scheduled Intervals'!BC34</f>
        <v>1000</v>
      </c>
      <c r="BD66" s="161">
        <f>'Scheduled Intervals'!BD34</f>
        <v>0</v>
      </c>
      <c r="BE66" s="161">
        <f>'Scheduled Intervals'!BE34</f>
        <v>0</v>
      </c>
      <c r="BF66" s="161">
        <f>'Scheduled Intervals'!BF34</f>
        <v>0</v>
      </c>
      <c r="BG66" s="161">
        <f>'Scheduled Intervals'!BG34</f>
        <v>0</v>
      </c>
      <c r="BH66" s="161">
        <f>'Scheduled Intervals'!BH34</f>
        <v>2000</v>
      </c>
      <c r="BI66" s="161">
        <f>'Scheduled Intervals'!BI34</f>
        <v>0</v>
      </c>
      <c r="BJ66" s="161">
        <f>'Scheduled Intervals'!BJ34</f>
        <v>400</v>
      </c>
      <c r="BK66" s="161">
        <f>'Scheduled Intervals'!BK34</f>
        <v>0</v>
      </c>
      <c r="BL66" s="161">
        <f>'Scheduled Intervals'!BL34</f>
        <v>0</v>
      </c>
      <c r="BM66" s="161">
        <f>'Scheduled Intervals'!BM34</f>
        <v>0</v>
      </c>
      <c r="BN66" s="161" t="str">
        <f>'Scheduled Intervals'!BN34</f>
        <v>Annual</v>
      </c>
      <c r="BO66" s="161" t="str">
        <f>'Scheduled Intervals'!BO34</f>
        <v>Annual</v>
      </c>
      <c r="BP66" s="161" t="str">
        <f>'Scheduled Intervals'!BP34</f>
        <v>Annual</v>
      </c>
    </row>
    <row r="68" spans="1:68" x14ac:dyDescent="0.2">
      <c r="A68" s="1" t="str">
        <f>'Scheduled Intervals'!A37</f>
        <v>RTV</v>
      </c>
      <c r="B68" s="17">
        <f>IF('Scheduled Intervals'!$B38&lt;&gt;"",_xlfn.XLOOKUP($A68,$A:$A,B:B),"")</f>
        <v>0.4</v>
      </c>
      <c r="C68" s="17">
        <f>IF('Scheduled Intervals'!$B38&lt;&gt;"",_xlfn.XLOOKUP($A68,$A:$A,C:C),"")</f>
        <v>0</v>
      </c>
      <c r="D68" s="17">
        <f>IF('Scheduled Intervals'!$B38&lt;&gt;"",_xlfn.XLOOKUP($A68,$A:$A,D:D),"")</f>
        <v>0</v>
      </c>
      <c r="E68" s="17">
        <f>IF('Scheduled Intervals'!$B38&lt;&gt;"",_xlfn.XLOOKUP($A68,$A:$A,E:E),"")</f>
        <v>0</v>
      </c>
      <c r="F68" s="17">
        <f>IF('Scheduled Intervals'!$B38&lt;&gt;"",_xlfn.XLOOKUP($A68,$A:$A,F:F),"")</f>
        <v>0.8</v>
      </c>
      <c r="G68" s="17">
        <f>IF('Scheduled Intervals'!$B38&lt;&gt;"",_xlfn.XLOOKUP($A68,$A:$A,G:G),"")</f>
        <v>0</v>
      </c>
      <c r="H68" s="17">
        <f>IF('Scheduled Intervals'!$B38&lt;&gt;"",_xlfn.XLOOKUP($A68,$A:$A,H:H),"")</f>
        <v>0.1</v>
      </c>
      <c r="I68" s="17">
        <f>IF('Scheduled Intervals'!$B38&lt;&gt;"",_xlfn.XLOOKUP($A68,$A:$A,I:I),"")</f>
        <v>0.25</v>
      </c>
      <c r="J68" s="17">
        <f>IF('Scheduled Intervals'!$B38&lt;&gt;"",_xlfn.XLOOKUP($A68,$A:$A,J:J),"")</f>
        <v>0</v>
      </c>
      <c r="K68" s="17">
        <f>IF('Scheduled Intervals'!$B38&lt;&gt;"",_xlfn.XLOOKUP($A68,$A:$A,K:K),"")</f>
        <v>0</v>
      </c>
      <c r="L68" s="17">
        <f>IF('Scheduled Intervals'!$B38&lt;&gt;"",_xlfn.XLOOKUP($A68,$A:$A,L:L),"")</f>
        <v>0</v>
      </c>
      <c r="M68" s="17">
        <f>IF('Scheduled Intervals'!$B38&lt;&gt;"",_xlfn.XLOOKUP($A68,$A:$A,M:M),"")</f>
        <v>0</v>
      </c>
      <c r="N68" s="17">
        <f>IF('Scheduled Intervals'!$B38&lt;&gt;"",_xlfn.XLOOKUP($A68,$A:$A,N:N),"")</f>
        <v>0</v>
      </c>
      <c r="O68" s="17">
        <f>IF('Scheduled Intervals'!$B38&lt;&gt;"",_xlfn.XLOOKUP($A68,$A:$A,O:O),"")</f>
        <v>0</v>
      </c>
      <c r="P68" s="17">
        <f>IF('Scheduled Intervals'!$B38&lt;&gt;"",_xlfn.XLOOKUP($A68,$A:$A,P:P),"")</f>
        <v>0.1</v>
      </c>
      <c r="Q68" s="17">
        <f>IF('Scheduled Intervals'!$B38&lt;&gt;"",_xlfn.XLOOKUP($A68,$A:$A,Q:Q),"")</f>
        <v>0</v>
      </c>
      <c r="R68" s="17">
        <f>IF('Scheduled Intervals'!$B38&lt;&gt;"",_xlfn.XLOOKUP($A68,$A:$A,R:R),"")</f>
        <v>0</v>
      </c>
      <c r="S68" s="17">
        <f>IF('Scheduled Intervals'!$B38&lt;&gt;"",_xlfn.XLOOKUP($A68,$A:$A,S:S),"")</f>
        <v>0</v>
      </c>
      <c r="T68" s="17">
        <f>IF('Scheduled Intervals'!$B38&lt;&gt;"",_xlfn.XLOOKUP($A68,$A:$A,T:T),"")</f>
        <v>0</v>
      </c>
      <c r="U68" s="17">
        <f>IF('Scheduled Intervals'!$B38&lt;&gt;"",_xlfn.XLOOKUP($A68,$A:$A,U:U),"")</f>
        <v>0.4</v>
      </c>
      <c r="V68" s="17">
        <f>IF('Scheduled Intervals'!$B38&lt;&gt;"",_xlfn.XLOOKUP($A68,$A:$A,V:V),"")</f>
        <v>0</v>
      </c>
      <c r="W68" s="17">
        <f>IF('Scheduled Intervals'!$B38&lt;&gt;"",_xlfn.XLOOKUP($A68,$A:$A,W:W),"")</f>
        <v>0</v>
      </c>
      <c r="X68" s="17">
        <f>IF('Scheduled Intervals'!$B38&lt;&gt;"",_xlfn.XLOOKUP($A68,$A:$A,X:X),"")</f>
        <v>0</v>
      </c>
      <c r="Y68" s="17">
        <f>IF('Scheduled Intervals'!$B38&lt;&gt;"",_xlfn.XLOOKUP($A68,$A:$A,Y:Y),"")</f>
        <v>0.1</v>
      </c>
      <c r="Z68" s="17">
        <f>IF('Scheduled Intervals'!$B38&lt;&gt;"",_xlfn.XLOOKUP($A68,$A:$A,Z:Z),"")</f>
        <v>0.2</v>
      </c>
      <c r="AA68" s="17">
        <f>IF('Scheduled Intervals'!$B38&lt;&gt;"",_xlfn.XLOOKUP($A68,$A:$A,AA:AA),"")</f>
        <v>0</v>
      </c>
      <c r="AB68" s="17">
        <f>IF('Scheduled Intervals'!$B38&lt;&gt;"",_xlfn.XLOOKUP($A68,$A:$A,AB:AB),"")</f>
        <v>0.6</v>
      </c>
      <c r="AC68" s="17">
        <f>IF('Scheduled Intervals'!$B38&lt;&gt;"",_xlfn.XLOOKUP($A68,$A:$A,AC:AC),"")</f>
        <v>0.2</v>
      </c>
      <c r="AD68" s="17">
        <f>IF('Scheduled Intervals'!$B38&lt;&gt;"",_xlfn.XLOOKUP($A68,$A:$A,AD:AD),"")</f>
        <v>0</v>
      </c>
      <c r="AE68" s="17">
        <f>IF('Scheduled Intervals'!$B38&lt;&gt;"",_xlfn.XLOOKUP($A68,$A:$A,AE:AE),"")</f>
        <v>0.2</v>
      </c>
      <c r="AF68" s="17">
        <f>IF('Scheduled Intervals'!$B38&lt;&gt;"",_xlfn.XLOOKUP($A68,$A:$A,AF:AF),"")</f>
        <v>0</v>
      </c>
      <c r="AG68" s="17">
        <f>IF('Scheduled Intervals'!$B38&lt;&gt;"",_xlfn.XLOOKUP($A68,$A:$A,AG:AG),"")</f>
        <v>0</v>
      </c>
      <c r="AH68" s="17">
        <f>IF('Scheduled Intervals'!$B38&lt;&gt;"",_xlfn.XLOOKUP($A68,$A:$A,AH:AH),"")</f>
        <v>0</v>
      </c>
      <c r="AI68" s="17">
        <f>IF('Scheduled Intervals'!$B38&lt;&gt;"",_xlfn.XLOOKUP($A68,$A:$A,AI:AI),"")</f>
        <v>0.9</v>
      </c>
      <c r="AJ68" s="17">
        <f>IF('Scheduled Intervals'!$B38&lt;&gt;"",_xlfn.XLOOKUP($A68,$A:$A,AJ:AJ),"")</f>
        <v>0</v>
      </c>
      <c r="AK68" s="17">
        <f>IF('Scheduled Intervals'!$B38&lt;&gt;"",_xlfn.XLOOKUP($A68,$A:$A,AK:AK),"")</f>
        <v>0</v>
      </c>
      <c r="AL68" s="17">
        <f>IF('Scheduled Intervals'!$B38&lt;&gt;"",_xlfn.XLOOKUP($A68,$A:$A,AL:AL),"")</f>
        <v>0.5</v>
      </c>
      <c r="AM68" s="17">
        <f>IF('Scheduled Intervals'!$B38&lt;&gt;"",_xlfn.XLOOKUP($A68,$A:$A,AM:AM),"")</f>
        <v>0</v>
      </c>
      <c r="AN68" s="17">
        <f>IF('Scheduled Intervals'!$B38&lt;&gt;"",_xlfn.XLOOKUP($A68,$A:$A,AN:AN),"")</f>
        <v>0</v>
      </c>
      <c r="AO68" s="17">
        <f>IF('Scheduled Intervals'!$B38&lt;&gt;"",_xlfn.XLOOKUP($A68,$A:$A,AO:AO),"")</f>
        <v>0</v>
      </c>
      <c r="AP68" s="17">
        <f>IF('Scheduled Intervals'!$B38&lt;&gt;"",_xlfn.XLOOKUP($A68,$A:$A,AP:AP),"")</f>
        <v>0</v>
      </c>
      <c r="AQ68" s="17">
        <f>IF('Scheduled Intervals'!$B38&lt;&gt;"",_xlfn.XLOOKUP($A68,$A:$A,AQ:AQ),"")</f>
        <v>0</v>
      </c>
      <c r="AR68" s="17">
        <f>IF('Scheduled Intervals'!$B38&lt;&gt;"",_xlfn.XLOOKUP($A68,$A:$A,AR:AR),"")</f>
        <v>0</v>
      </c>
      <c r="AS68" s="17">
        <f>IF('Scheduled Intervals'!$B38&lt;&gt;"",_xlfn.XLOOKUP($A68,$A:$A,AS:AS),"")</f>
        <v>0</v>
      </c>
      <c r="AT68" s="17">
        <f>IF('Scheduled Intervals'!$B38&lt;&gt;"",_xlfn.XLOOKUP($A68,$A:$A,AT:AT),"")</f>
        <v>0.1</v>
      </c>
      <c r="AU68" s="17">
        <f>IF('Scheduled Intervals'!$B38&lt;&gt;"",_xlfn.XLOOKUP($A68,$A:$A,AU:AU),"")</f>
        <v>0</v>
      </c>
      <c r="AV68" s="17">
        <f>IF('Scheduled Intervals'!$B38&lt;&gt;"",_xlfn.XLOOKUP($A68,$A:$A,AV:AV),"")</f>
        <v>0</v>
      </c>
      <c r="AW68" s="17">
        <f>IF('Scheduled Intervals'!$B38&lt;&gt;"",_xlfn.XLOOKUP($A68,$A:$A,AW:AW),"")</f>
        <v>1.5</v>
      </c>
      <c r="AX68" s="17">
        <f>IF('Scheduled Intervals'!$B38&lt;&gt;"",_xlfn.XLOOKUP($A68,$A:$A,AX:AX),"")</f>
        <v>0</v>
      </c>
      <c r="AY68" s="17">
        <f>IF('Scheduled Intervals'!$B38&lt;&gt;"",_xlfn.XLOOKUP($A68,$A:$A,AY:AY),"")</f>
        <v>0</v>
      </c>
      <c r="AZ68" s="17">
        <f>IF('Scheduled Intervals'!$B38&lt;&gt;"",_xlfn.XLOOKUP($A68,$A:$A,AZ:AZ),"")</f>
        <v>0</v>
      </c>
      <c r="BA68" s="17">
        <f>IF('Scheduled Intervals'!$B38&lt;&gt;"",_xlfn.XLOOKUP($A68,$A:$A,BA:BA),"")</f>
        <v>0</v>
      </c>
      <c r="BB68" s="17">
        <f>IF('Scheduled Intervals'!$B38&lt;&gt;"",_xlfn.XLOOKUP($A68,$A:$A,BB:BB),"")</f>
        <v>0.1</v>
      </c>
      <c r="BC68" s="17">
        <f>IF('Scheduled Intervals'!$B38&lt;&gt;"",_xlfn.XLOOKUP($A68,$A:$A,BC:BC),"")</f>
        <v>0.1</v>
      </c>
      <c r="BD68" s="17">
        <f>IF('Scheduled Intervals'!$B38&lt;&gt;"",_xlfn.XLOOKUP($A68,$A:$A,BD:BD),"")</f>
        <v>0.4</v>
      </c>
      <c r="BE68" s="17">
        <f>IF('Scheduled Intervals'!$B38&lt;&gt;"",_xlfn.XLOOKUP($A68,$A:$A,BE:BE),"")</f>
        <v>0</v>
      </c>
      <c r="BF68" s="17">
        <f>IF('Scheduled Intervals'!$B38&lt;&gt;"",_xlfn.XLOOKUP($A68,$A:$A,BF:BF),"")</f>
        <v>0</v>
      </c>
      <c r="BG68" s="17">
        <f>IF('Scheduled Intervals'!$B38&lt;&gt;"",_xlfn.XLOOKUP($A68,$A:$A,BG:BG),"")</f>
        <v>0</v>
      </c>
      <c r="BH68" s="17">
        <f>IF('Scheduled Intervals'!$B38&lt;&gt;"",_xlfn.XLOOKUP($A68,$A:$A,BH:BH),"")</f>
        <v>0.5</v>
      </c>
      <c r="BI68" s="17">
        <f>IF('Scheduled Intervals'!$B38&lt;&gt;"",_xlfn.XLOOKUP($A68,$A:$A,BI:BI),"")</f>
        <v>0</v>
      </c>
      <c r="BJ68" s="17">
        <f>IF('Scheduled Intervals'!$B38&lt;&gt;"",_xlfn.XLOOKUP($A68,$A:$A,BJ:BJ),"")</f>
        <v>0.25</v>
      </c>
      <c r="BK68" s="17">
        <f>IF('Scheduled Intervals'!$B38&lt;&gt;"",_xlfn.XLOOKUP($A68,$A:$A,BK:BK),"")</f>
        <v>0</v>
      </c>
      <c r="BL68" s="17">
        <f>IF('Scheduled Intervals'!$B38&lt;&gt;"",_xlfn.XLOOKUP($A68,$A:$A,BL:BL),"")</f>
        <v>0</v>
      </c>
      <c r="BM68" s="17">
        <f>IF('Scheduled Intervals'!$B38&lt;&gt;"",_xlfn.XLOOKUP($A68,$A:$A,BM:BM),"")</f>
        <v>0</v>
      </c>
      <c r="BN68" s="17">
        <f>IF('Scheduled Intervals'!$B38&lt;&gt;"",_xlfn.XLOOKUP($A68,$A:$A,BN:BN),"")</f>
        <v>0.4</v>
      </c>
      <c r="BO68" s="17">
        <f>IF('Scheduled Intervals'!$B38&lt;&gt;"",_xlfn.XLOOKUP($A68,$A:$A,BO:BO),"")</f>
        <v>0.1</v>
      </c>
      <c r="BP68" s="17">
        <f>IF('Scheduled Intervals'!$B38&lt;&gt;"",_xlfn.XLOOKUP($A68,$A:$A,BP:BP),"")</f>
        <v>1.05</v>
      </c>
    </row>
  </sheetData>
  <mergeCells count="3">
    <mergeCell ref="B1:P1"/>
    <mergeCell ref="Q1:T1"/>
    <mergeCell ref="U1:BP1"/>
  </mergeCells>
  <conditionalFormatting sqref="B4:BP32">
    <cfRule type="expression" dxfId="3" priority="3">
      <formula>AND(OR(B37&gt;0,B37="annual"),B$3&lt;&gt;"Parts Only")</formula>
    </cfRule>
  </conditionalFormatting>
  <conditionalFormatting sqref="B33:BP34">
    <cfRule type="expression" dxfId="2" priority="1">
      <formula>AND(OR(B65&gt;0,B65="annual"),B$3&lt;&gt;"Parts Only")</formula>
    </cfRule>
  </conditionalFormatting>
  <dataValidations count="2">
    <dataValidation type="list" allowBlank="1" showErrorMessage="1" sqref="B3:T3" xr:uid="{00000000-0002-0000-0300-000000000000}">
      <formula1>"Labor Only,Parts Only,Parts and Labor"</formula1>
    </dataValidation>
    <dataValidation type="decimal" allowBlank="1" showInputMessage="1" showErrorMessage="1" prompt="Enter the hours - per Job.  If not_x000a_Pink leave blank _x000a_or check / revise_x000a_Interval for Job" sqref="B4:BP34" xr:uid="{00000000-0002-0000-0300-000001000000}">
      <formula1>0</formula1>
      <formula2>25</formula2>
    </dataValidation>
  </dataValidation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66"/>
  <sheetViews>
    <sheetView workbookViewId="0">
      <pane xSplit="1" ySplit="2" topLeftCell="B24" activePane="bottomRight" state="frozen"/>
      <selection activeCell="A13" sqref="A13:E16"/>
      <selection pane="topRight" activeCell="A13" sqref="A13:E16"/>
      <selection pane="bottomLeft" activeCell="A13" sqref="A13:E16"/>
      <selection pane="bottomRight" activeCell="A32" sqref="A32"/>
    </sheetView>
  </sheetViews>
  <sheetFormatPr baseColWidth="10" defaultColWidth="11.1640625" defaultRowHeight="15" customHeight="1" x14ac:dyDescent="0.2"/>
  <cols>
    <col min="1" max="1" width="20.5" customWidth="1"/>
    <col min="2" max="27" width="10.83203125" customWidth="1"/>
    <col min="28" max="28" width="13.5" customWidth="1"/>
    <col min="29" max="29" width="13" customWidth="1"/>
    <col min="30" max="61" width="10.83203125" customWidth="1"/>
    <col min="62" max="62" width="12.33203125" customWidth="1"/>
    <col min="63" max="69" width="10.83203125" customWidth="1"/>
  </cols>
  <sheetData>
    <row r="1" spans="1:69" ht="16" x14ac:dyDescent="0.2">
      <c r="B1" s="270" t="s">
        <v>95</v>
      </c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2"/>
      <c r="Q1" s="273" t="s">
        <v>96</v>
      </c>
      <c r="R1" s="265"/>
      <c r="S1" s="265"/>
      <c r="T1" s="269"/>
      <c r="U1" s="268" t="s">
        <v>23</v>
      </c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65"/>
      <c r="AK1" s="265"/>
      <c r="AL1" s="265"/>
      <c r="AM1" s="265"/>
      <c r="AN1" s="265"/>
      <c r="AO1" s="265"/>
      <c r="AP1" s="265"/>
      <c r="AQ1" s="265"/>
      <c r="AR1" s="265"/>
      <c r="AS1" s="265"/>
      <c r="AT1" s="265"/>
      <c r="AU1" s="265"/>
      <c r="AV1" s="265"/>
      <c r="AW1" s="265"/>
      <c r="AX1" s="265"/>
      <c r="AY1" s="265"/>
      <c r="AZ1" s="265"/>
      <c r="BA1" s="265"/>
      <c r="BB1" s="265"/>
      <c r="BC1" s="265"/>
      <c r="BD1" s="265"/>
      <c r="BE1" s="265"/>
      <c r="BF1" s="265"/>
      <c r="BG1" s="265"/>
      <c r="BH1" s="265"/>
      <c r="BI1" s="265"/>
      <c r="BJ1" s="265"/>
      <c r="BK1" s="265"/>
      <c r="BL1" s="265"/>
      <c r="BM1" s="265"/>
      <c r="BN1" s="265"/>
      <c r="BO1" s="265"/>
      <c r="BP1" s="269"/>
    </row>
    <row r="2" spans="1:69" ht="136" x14ac:dyDescent="0.2">
      <c r="A2" s="162" t="s">
        <v>99</v>
      </c>
      <c r="B2" s="163" t="str">
        <f>+'Scheduled Intervals'!B2</f>
        <v>Perform Oil and Filter Change</v>
      </c>
      <c r="C2" s="164" t="str">
        <f>+'Scheduled Intervals'!C2</f>
        <v xml:space="preserve">Clean Water seperator </v>
      </c>
      <c r="D2" s="164" t="str">
        <f>+'Scheduled Intervals'!D2</f>
        <v xml:space="preserve">Drain Water from Fuel Tank </v>
      </c>
      <c r="E2" s="164" t="str">
        <f>+'Scheduled Intervals'!E2</f>
        <v>Perform Transmission Filter and Fluid Service</v>
      </c>
      <c r="F2" s="164" t="str">
        <f>+'Scheduled Intervals'!F2</f>
        <v xml:space="preserve">Change HST Oil Filter </v>
      </c>
      <c r="G2" s="164" t="str">
        <f>+'Scheduled Intervals'!G2</f>
        <v>Change Hydraulic Fluid</v>
      </c>
      <c r="H2" s="164" t="str">
        <f>+'Scheduled Intervals'!H2</f>
        <v>Grease Machine at required lubrication fittings</v>
      </c>
      <c r="I2" s="164" t="str">
        <f>+'Scheduled Intervals'!I2</f>
        <v>Conduct Multi Point Inpection and make minor adjustments</v>
      </c>
      <c r="J2" s="164" t="str">
        <f>+'Scheduled Intervals'!J2</f>
        <v>Perform Track Tension Adjustment</v>
      </c>
      <c r="K2" s="164" t="str">
        <f>+'Scheduled Intervals'!K2</f>
        <v xml:space="preserve">Change fuel filter element </v>
      </c>
      <c r="L2" s="164" t="str">
        <f>+'Scheduled Intervals'!L2</f>
        <v>Change final drive fluid</v>
      </c>
      <c r="M2" s="115" t="str">
        <f>+'Scheduled Intervals'!M2</f>
        <v>Change hydraulic return filter</v>
      </c>
      <c r="N2" s="116" t="str">
        <f>+'Scheduled Intervals'!N2</f>
        <v>Change final drive fluid</v>
      </c>
      <c r="O2" s="116" t="str">
        <f>+'Scheduled Intervals'!O2</f>
        <v>Change final drive fluid</v>
      </c>
      <c r="P2" s="117" t="str">
        <f>+'Scheduled Intervals'!P2</f>
        <v>Change Hydraulic suction return filter</v>
      </c>
      <c r="Q2" s="165" t="str">
        <f>+'Scheduled Intervals'!Q2</f>
        <v xml:space="preserve"> Change Hydraulic Oil Filter and Oil</v>
      </c>
      <c r="R2" s="166" t="str">
        <f>+'Scheduled Intervals'!R2</f>
        <v xml:space="preserve">Final Drive or Hydrostatic Oil Change </v>
      </c>
      <c r="S2" s="166" t="str">
        <f>+'Scheduled Intervals'!S2</f>
        <v>Change Transmission Fluid and filters</v>
      </c>
      <c r="T2" s="167" t="str">
        <f>+'Scheduled Intervals'!T2</f>
        <v>Change Hydraulic fluid</v>
      </c>
      <c r="U2" s="168" t="str">
        <f>+'Scheduled Intervals'!U2</f>
        <v>Perform Oil and Filter Change</v>
      </c>
      <c r="V2" s="169" t="str">
        <f>+'Scheduled Intervals'!V2</f>
        <v>Change Oil Seperator Element</v>
      </c>
      <c r="W2" s="169" t="str">
        <f>+'Scheduled Intervals'!W2</f>
        <v>Clean Water seperator</v>
      </c>
      <c r="X2" s="169" t="str">
        <f>+'Scheduled Intervals'!X2</f>
        <v>Replace Water Seperator Element</v>
      </c>
      <c r="Y2" s="169" t="str">
        <f>+'Scheduled Intervals'!Y2</f>
        <v>Drain Water from Fuel Tank</v>
      </c>
      <c r="Z2" s="169" t="str">
        <f>+'Scheduled Intervals'!Z2</f>
        <v>Change fuel Filter Element</v>
      </c>
      <c r="AA2" s="169" t="str">
        <f>+'Scheduled Intervals'!AA2</f>
        <v>Change Fuel Pump Filter and/or PCV Element</v>
      </c>
      <c r="AB2" s="169" t="str">
        <f>+'Scheduled Intervals'!AB2</f>
        <v xml:space="preserve">Perform Transmission Fluid and Tank Service </v>
      </c>
      <c r="AC2" s="169" t="str">
        <f>+'Scheduled Intervals'!AC2</f>
        <v>Replace Transmission Oil Filters</v>
      </c>
      <c r="AD2" s="169">
        <f>+'Scheduled Intervals'!AD2</f>
        <v>0</v>
      </c>
      <c r="AE2" s="169" t="str">
        <f>+'Scheduled Intervals'!AE2</f>
        <v>Change Hydraulic Oil Filter</v>
      </c>
      <c r="AF2" s="169" t="str">
        <f>+'Scheduled Intervals'!AF2</f>
        <v xml:space="preserve">Change or Clean Hydraulic Breather Element </v>
      </c>
      <c r="AG2" s="169" t="str">
        <f>+'Scheduled Intervals'!AG2</f>
        <v xml:space="preserve">Change or Clean Hydraulic return  Filter </v>
      </c>
      <c r="AH2" s="169" t="str">
        <f>+'Scheduled Intervals'!AH2</f>
        <v>Change Hydraulic Pilot Filters and O-Ring</v>
      </c>
      <c r="AI2" s="169" t="str">
        <f>+'Scheduled Intervals'!AI2</f>
        <v>Change Suction  Elements and Hydraulic Fluid</v>
      </c>
      <c r="AJ2" s="169" t="str">
        <f>+'Scheduled Intervals'!AJ2</f>
        <v xml:space="preserve">Change Drive Oil  - Front and Rear or Hydrostatic </v>
      </c>
      <c r="AK2" s="169" t="str">
        <f>+'Scheduled Intervals'!AK2</f>
        <v>Change Drive Oil Rear</v>
      </c>
      <c r="AL2" s="169" t="str">
        <f>+'Scheduled Intervals'!AL2</f>
        <v xml:space="preserve">Change Drive Oil Front </v>
      </c>
      <c r="AM2" s="169" t="str">
        <f>+'Scheduled Intervals'!AM2</f>
        <v>Change Gear Box Oil and Filter</v>
      </c>
      <c r="AN2" s="169" t="str">
        <f>+'Scheduled Intervals'!AN2</f>
        <v>Change Gear Box Seals</v>
      </c>
      <c r="AO2" s="169" t="str">
        <f>+'Scheduled Intervals'!AO2</f>
        <v>Grease Crank Shaft</v>
      </c>
      <c r="AP2" s="169" t="str">
        <f>+'Scheduled Intervals'!AP2</f>
        <v>Clean AC Condensor</v>
      </c>
      <c r="AQ2" s="169" t="str">
        <f>+'Scheduled Intervals'!AQ2</f>
        <v>Clean Cabin Air Filter</v>
      </c>
      <c r="AR2" s="169" t="str">
        <f>+'Scheduled Intervals'!AR2</f>
        <v>Change Breather Foam</v>
      </c>
      <c r="AS2" s="169" t="str">
        <f>+'Scheduled Intervals'!AS2</f>
        <v>Change or Clean Cabin Air Filter</v>
      </c>
      <c r="AT2" s="169" t="str">
        <f>+'Scheduled Intervals'!AT2</f>
        <v>Grease Machine at Assorted Lubrication Points</v>
      </c>
      <c r="AU2" s="169" t="str">
        <f>+'Scheduled Intervals'!AU2</f>
        <v>Lubricate and Oil Throttle Cable</v>
      </c>
      <c r="AV2" s="169" t="str">
        <f>+'Scheduled Intervals'!AV2</f>
        <v>Adjust Track Tension</v>
      </c>
      <c r="AW2" s="169" t="str">
        <f>+'Scheduled Intervals'!AW2</f>
        <v>Check and Adjust Valve Clearance</v>
      </c>
      <c r="AX2" s="169">
        <f>+'Scheduled Intervals'!AX2</f>
        <v>0</v>
      </c>
      <c r="AY2" s="169" t="str">
        <f>+'Scheduled Intervals'!AY2</f>
        <v>Adjust Electonic Clutch</v>
      </c>
      <c r="AZ2" s="169" t="str">
        <f>+'Scheduled Intervals'!AZ2</f>
        <v>Replace Fan/ Drive Belt</v>
      </c>
      <c r="BA2" s="169" t="str">
        <f>+'Scheduled Intervals'!BA2</f>
        <v>Replace or Replenish Power Steering Fluid</v>
      </c>
      <c r="BB2" s="169" t="str">
        <f>+'Scheduled Intervals'!BB2</f>
        <v>Replace Air Cleaner element</v>
      </c>
      <c r="BC2" s="169" t="str">
        <f>+'Scheduled Intervals'!BC2</f>
        <v>Replace Inner Air Filter</v>
      </c>
      <c r="BD2" s="169" t="str">
        <f>+'Scheduled Intervals'!BD2</f>
        <v>Replace Spark Plugs</v>
      </c>
      <c r="BE2" s="169" t="str">
        <f>+'Scheduled Intervals'!BE2</f>
        <v>Check End Play of  Center Shaft and Make minor Adjustment</v>
      </c>
      <c r="BF2" s="169" t="str">
        <f>+'Scheduled Intervals'!BF2</f>
        <v xml:space="preserve">Check PCV and EGR Valves and Check Fuel Injectors </v>
      </c>
      <c r="BG2" s="169" t="str">
        <f>+'Scheduled Intervals'!BG2</f>
        <v xml:space="preserve">Check DEF Injector Tips and Line </v>
      </c>
      <c r="BH2" s="169" t="str">
        <f>+'Scheduled Intervals'!BH2</f>
        <v>Perform Coolant System Flush</v>
      </c>
      <c r="BI2" s="169" t="str">
        <f>+'Scheduled Intervals'!BI2</f>
        <v>Inspect and Sharpen Blades</v>
      </c>
      <c r="BJ2" s="169" t="str">
        <f>+'Scheduled Intervals'!BJ2</f>
        <v>Conduct Multi Point Inpection and Make Minor Adjustments</v>
      </c>
      <c r="BK2" s="169" t="str">
        <f>+'Scheduled Intervals'!BK2</f>
        <v>Change DEF Suction and Pump Filters</v>
      </c>
      <c r="BL2" s="169" t="str">
        <f>+'Scheduled Intervals'!BL2</f>
        <v>Perform Brake Fluid Service</v>
      </c>
      <c r="BM2" s="169" t="str">
        <f>+'Scheduled Intervals'!BM2</f>
        <v>Change Swing Drive Oil</v>
      </c>
      <c r="BN2" s="169" t="str">
        <f>+'Scheduled Intervals'!BN2</f>
        <v>Perform Annual Oil and Filter Change</v>
      </c>
      <c r="BO2" s="169" t="str">
        <f>+'Scheduled Intervals'!BO2</f>
        <v>Annually Grease Machine at Assorted Lubrication Points</v>
      </c>
      <c r="BP2" s="170" t="str">
        <f>+'Scheduled Intervals'!BP2</f>
        <v>Conduct Annual Multi Point Inpection and Make Minor Adjustments</v>
      </c>
      <c r="BQ2" s="162"/>
    </row>
    <row r="3" spans="1:69" ht="34" x14ac:dyDescent="0.2">
      <c r="A3" s="171" t="s">
        <v>98</v>
      </c>
      <c r="B3" s="172" t="str">
        <f>+'Scheduled Intervals'!B3</f>
        <v>Parts and Labor</v>
      </c>
      <c r="C3" s="173" t="str">
        <f>+'Scheduled Intervals'!C3</f>
        <v>Labor Only</v>
      </c>
      <c r="D3" s="173" t="str">
        <f>+'Scheduled Intervals'!D3</f>
        <v>Labor Only</v>
      </c>
      <c r="E3" s="173" t="str">
        <f>+'Scheduled Intervals'!E3</f>
        <v>Parts and Labor</v>
      </c>
      <c r="F3" s="173" t="str">
        <f>+'Scheduled Intervals'!F3</f>
        <v>Parts and Labor</v>
      </c>
      <c r="G3" s="173" t="str">
        <f>+'Scheduled Intervals'!G3</f>
        <v>Parts and Labor</v>
      </c>
      <c r="H3" s="173" t="str">
        <f>+'Scheduled Intervals'!H3</f>
        <v>Parts and Labor</v>
      </c>
      <c r="I3" s="173" t="str">
        <f>+'Scheduled Intervals'!I3</f>
        <v>Labor Only</v>
      </c>
      <c r="J3" s="173" t="str">
        <f>+'Scheduled Intervals'!J3</f>
        <v>Labor Only</v>
      </c>
      <c r="K3" s="173" t="str">
        <f>+'Scheduled Intervals'!K3</f>
        <v>Parts and Labor</v>
      </c>
      <c r="L3" s="173" t="str">
        <f>+'Scheduled Intervals'!L3</f>
        <v>Parts and Labor</v>
      </c>
      <c r="M3" s="127" t="str">
        <f>+'Scheduled Intervals'!M3</f>
        <v>Parts and Labor</v>
      </c>
      <c r="N3" s="127" t="str">
        <f>+'Scheduled Intervals'!N3</f>
        <v>Parts and Labor</v>
      </c>
      <c r="O3" s="127" t="str">
        <f>+'Scheduled Intervals'!O3</f>
        <v>Parts and Labor</v>
      </c>
      <c r="P3" s="128" t="str">
        <f>+'Scheduled Intervals'!P3</f>
        <v>Parts and Labor</v>
      </c>
      <c r="Q3" s="174" t="str">
        <f>+'Scheduled Intervals'!Q3</f>
        <v>Parts and Labor</v>
      </c>
      <c r="R3" s="175" t="str">
        <f>+'Scheduled Intervals'!R3</f>
        <v>Parts and Labor</v>
      </c>
      <c r="S3" s="175" t="str">
        <f>+'Scheduled Intervals'!S3</f>
        <v>Parts and Labor</v>
      </c>
      <c r="T3" s="176" t="str">
        <f>+'Scheduled Intervals'!T3</f>
        <v>Parts and Labor</v>
      </c>
      <c r="U3" s="168" t="str">
        <f>+'Scheduled Intervals'!U3</f>
        <v>Parts and Labor</v>
      </c>
      <c r="V3" s="169" t="str">
        <f>+'Scheduled Intervals'!V3</f>
        <v>Parts and Labor</v>
      </c>
      <c r="W3" s="169" t="str">
        <f>+'Scheduled Intervals'!W3</f>
        <v>Labor Only</v>
      </c>
      <c r="X3" s="169" t="str">
        <f>+'Scheduled Intervals'!X3</f>
        <v>Parts and Labor</v>
      </c>
      <c r="Y3" s="169" t="str">
        <f>+'Scheduled Intervals'!Y3</f>
        <v>Labor Only</v>
      </c>
      <c r="Z3" s="169" t="str">
        <f>+'Scheduled Intervals'!Z3</f>
        <v>Parts and Labor</v>
      </c>
      <c r="AA3" s="169" t="str">
        <f>+'Scheduled Intervals'!AA3</f>
        <v>Parts and Labor</v>
      </c>
      <c r="AB3" s="169" t="str">
        <f>+'Scheduled Intervals'!AB3</f>
        <v>Parts and Labor</v>
      </c>
      <c r="AC3" s="169" t="str">
        <f>+'Scheduled Intervals'!AC3</f>
        <v>Parts and Labor</v>
      </c>
      <c r="AD3" s="169" t="str">
        <f>+'Scheduled Intervals'!AD3</f>
        <v>Parts and Labor</v>
      </c>
      <c r="AE3" s="169" t="str">
        <f>+'Scheduled Intervals'!AE3</f>
        <v>Parts and Labor</v>
      </c>
      <c r="AF3" s="169" t="str">
        <f>+'Scheduled Intervals'!AF3</f>
        <v>Parts and Labor</v>
      </c>
      <c r="AG3" s="169" t="str">
        <f>+'Scheduled Intervals'!AG3</f>
        <v>Parts and Labor</v>
      </c>
      <c r="AH3" s="169" t="str">
        <f>+'Scheduled Intervals'!AH3</f>
        <v>Parts and Labor</v>
      </c>
      <c r="AI3" s="169" t="str">
        <f>+'Scheduled Intervals'!AI3</f>
        <v>Parts and Labor</v>
      </c>
      <c r="AJ3" s="169" t="str">
        <f>+'Scheduled Intervals'!AJ3</f>
        <v>Parts and Labor</v>
      </c>
      <c r="AK3" s="169" t="str">
        <f>+'Scheduled Intervals'!AK3</f>
        <v>Parts and Labor</v>
      </c>
      <c r="AL3" s="169" t="str">
        <f>+'Scheduled Intervals'!AL3</f>
        <v>Parts and Labor</v>
      </c>
      <c r="AM3" s="169" t="str">
        <f>+'Scheduled Intervals'!AM3</f>
        <v>Parts and Labor</v>
      </c>
      <c r="AN3" s="169" t="str">
        <f>+'Scheduled Intervals'!AN3</f>
        <v>Parts and Labor</v>
      </c>
      <c r="AO3" s="169" t="str">
        <f>+'Scheduled Intervals'!AO3</f>
        <v>Parts and Labor</v>
      </c>
      <c r="AP3" s="169" t="str">
        <f>+'Scheduled Intervals'!AP3</f>
        <v>Labor Only</v>
      </c>
      <c r="AQ3" s="169" t="str">
        <f>+'Scheduled Intervals'!AQ3</f>
        <v>Labor Only</v>
      </c>
      <c r="AR3" s="169" t="str">
        <f>+'Scheduled Intervals'!AR3</f>
        <v>Parts and Labor</v>
      </c>
      <c r="AS3" s="169" t="str">
        <f>+'Scheduled Intervals'!AS3</f>
        <v>Parts and Labor</v>
      </c>
      <c r="AT3" s="169" t="str">
        <f>+'Scheduled Intervals'!AT3</f>
        <v>Parts and Labor</v>
      </c>
      <c r="AU3" s="169" t="str">
        <f>+'Scheduled Intervals'!AU3</f>
        <v>Parts and Labor</v>
      </c>
      <c r="AV3" s="169" t="str">
        <f>+'Scheduled Intervals'!AV3</f>
        <v>Labor Only</v>
      </c>
      <c r="AW3" s="169" t="str">
        <f>+'Scheduled Intervals'!AW3</f>
        <v>Parts and Labor</v>
      </c>
      <c r="AX3" s="169" t="str">
        <f>+'Scheduled Intervals'!AX3</f>
        <v>Parts and Labor</v>
      </c>
      <c r="AY3" s="169" t="str">
        <f>+'Scheduled Intervals'!AY3</f>
        <v>Labor Only</v>
      </c>
      <c r="AZ3" s="169" t="str">
        <f>+'Scheduled Intervals'!AZ3</f>
        <v>Parts and Labor</v>
      </c>
      <c r="BA3" s="169" t="str">
        <f>+'Scheduled Intervals'!BA3</f>
        <v>Parts and Labor</v>
      </c>
      <c r="BB3" s="169" t="str">
        <f>+'Scheduled Intervals'!BB3</f>
        <v>Parts and Labor</v>
      </c>
      <c r="BC3" s="169" t="str">
        <f>+'Scheduled Intervals'!BC3</f>
        <v>Parts and Labor</v>
      </c>
      <c r="BD3" s="169" t="str">
        <f>+'Scheduled Intervals'!BD3</f>
        <v>Parts and Labor</v>
      </c>
      <c r="BE3" s="169" t="str">
        <f>+'Scheduled Intervals'!BE3</f>
        <v>Labor Only</v>
      </c>
      <c r="BF3" s="169" t="str">
        <f>+'Scheduled Intervals'!BF3</f>
        <v>Labor Only</v>
      </c>
      <c r="BG3" s="169" t="str">
        <f>+'Scheduled Intervals'!BG3</f>
        <v>Labor Only</v>
      </c>
      <c r="BH3" s="169" t="str">
        <f>+'Scheduled Intervals'!BH3</f>
        <v>Parts and Labor</v>
      </c>
      <c r="BI3" s="169" t="str">
        <f>+'Scheduled Intervals'!BI3</f>
        <v>Labor Only</v>
      </c>
      <c r="BJ3" s="169" t="str">
        <f>+'Scheduled Intervals'!BJ3</f>
        <v>Labor Only</v>
      </c>
      <c r="BK3" s="169" t="str">
        <f>+'Scheduled Intervals'!BK3</f>
        <v>Parts and Labor</v>
      </c>
      <c r="BL3" s="169" t="str">
        <f>+'Scheduled Intervals'!BL3</f>
        <v>Parts and Labor</v>
      </c>
      <c r="BM3" s="169" t="str">
        <f>+'Scheduled Intervals'!BM3</f>
        <v>Parts and Labor</v>
      </c>
      <c r="BN3" s="169" t="str">
        <f>+'Scheduled Intervals'!BN3</f>
        <v>Parts and Labor</v>
      </c>
      <c r="BO3" s="169" t="str">
        <f>+'Scheduled Intervals'!BO3</f>
        <v>Parts and Labor</v>
      </c>
      <c r="BP3" s="170" t="str">
        <f>+'Scheduled Intervals'!BP3</f>
        <v>Labor Only</v>
      </c>
      <c r="BQ3" s="171" t="str">
        <f>+'Scheduled Intervals'!BP3</f>
        <v>Labor Only</v>
      </c>
    </row>
    <row r="4" spans="1:69" ht="16" x14ac:dyDescent="0.2">
      <c r="A4" s="133" t="str">
        <f>+'Scheduled Intervals'!A4</f>
        <v>RTV</v>
      </c>
      <c r="B4" s="177">
        <v>28.59</v>
      </c>
      <c r="C4" s="135"/>
      <c r="D4" s="135"/>
      <c r="E4" s="135"/>
      <c r="F4" s="136">
        <v>36.19</v>
      </c>
      <c r="G4" s="135"/>
      <c r="H4" s="135">
        <v>7.6</v>
      </c>
      <c r="I4" s="135"/>
      <c r="J4" s="135"/>
      <c r="K4" s="135"/>
      <c r="L4" s="135"/>
      <c r="M4" s="135"/>
      <c r="N4" s="135"/>
      <c r="O4" s="135"/>
      <c r="P4" s="137">
        <v>32.909999999999997</v>
      </c>
      <c r="Q4" s="138"/>
      <c r="R4" s="139"/>
      <c r="S4" s="139"/>
      <c r="T4" s="141"/>
      <c r="U4" s="177">
        <v>28.59</v>
      </c>
      <c r="V4" s="143"/>
      <c r="W4" s="143"/>
      <c r="X4" s="143"/>
      <c r="Y4" s="143"/>
      <c r="Z4" s="144">
        <v>14.82</v>
      </c>
      <c r="AA4" s="143"/>
      <c r="AB4" s="144">
        <v>35.6</v>
      </c>
      <c r="AC4" s="144">
        <v>18.59</v>
      </c>
      <c r="AD4" s="143"/>
      <c r="AE4" s="144">
        <v>36.19</v>
      </c>
      <c r="AF4" s="143"/>
      <c r="AG4" s="143"/>
      <c r="AH4" s="143"/>
      <c r="AI4" s="144">
        <v>84.55</v>
      </c>
      <c r="AJ4" s="143"/>
      <c r="AK4" s="143"/>
      <c r="AL4" s="144">
        <v>6.21</v>
      </c>
      <c r="AM4" s="143"/>
      <c r="AN4" s="143"/>
      <c r="AO4" s="143"/>
      <c r="AP4" s="143"/>
      <c r="AQ4" s="143"/>
      <c r="AR4" s="143"/>
      <c r="AS4" s="143"/>
      <c r="AT4" s="143">
        <v>7.6</v>
      </c>
      <c r="AU4" s="143"/>
      <c r="AV4" s="143"/>
      <c r="AW4" s="144">
        <v>85.04</v>
      </c>
      <c r="AX4" s="143"/>
      <c r="AY4" s="143"/>
      <c r="AZ4" s="143"/>
      <c r="BA4" s="143"/>
      <c r="BB4" s="144">
        <v>36.19</v>
      </c>
      <c r="BC4" s="144">
        <v>39.82</v>
      </c>
      <c r="BD4" s="143">
        <v>21.2</v>
      </c>
      <c r="BE4" s="143"/>
      <c r="BF4" s="143"/>
      <c r="BG4" s="143"/>
      <c r="BH4" s="144">
        <v>21.54</v>
      </c>
      <c r="BI4" s="143"/>
      <c r="BJ4" s="143"/>
      <c r="BK4" s="143"/>
      <c r="BL4" s="143"/>
      <c r="BM4" s="143"/>
      <c r="BN4" s="177">
        <v>28.59</v>
      </c>
      <c r="BO4" s="143">
        <v>7.6</v>
      </c>
      <c r="BP4" s="178"/>
      <c r="BQ4" s="133"/>
    </row>
    <row r="5" spans="1:69" ht="16" x14ac:dyDescent="0.2">
      <c r="A5" s="133" t="str">
        <f>+'Scheduled Intervals'!A5</f>
        <v>Zero Turn Gas</v>
      </c>
      <c r="B5" s="160">
        <v>19.25</v>
      </c>
      <c r="C5" s="145"/>
      <c r="D5" s="145"/>
      <c r="E5" s="145"/>
      <c r="F5" s="145"/>
      <c r="G5" s="145"/>
      <c r="H5" s="145">
        <v>7.6</v>
      </c>
      <c r="I5" s="145"/>
      <c r="J5" s="145"/>
      <c r="K5" s="145"/>
      <c r="L5" s="145"/>
      <c r="M5" s="145"/>
      <c r="N5" s="145"/>
      <c r="O5" s="145"/>
      <c r="P5" s="147"/>
      <c r="Q5" s="148"/>
      <c r="R5" s="149"/>
      <c r="S5" s="150">
        <v>24.48</v>
      </c>
      <c r="T5" s="151"/>
      <c r="U5" s="160">
        <v>19.25</v>
      </c>
      <c r="V5" s="153"/>
      <c r="W5" s="153"/>
      <c r="X5" s="153"/>
      <c r="Y5" s="153"/>
      <c r="Z5" s="154">
        <v>10.4</v>
      </c>
      <c r="AA5" s="153"/>
      <c r="AB5" s="154">
        <v>13.35</v>
      </c>
      <c r="AC5" s="154">
        <v>11.13</v>
      </c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>
        <v>7.6</v>
      </c>
      <c r="AU5" s="153"/>
      <c r="AV5" s="153"/>
      <c r="AW5" s="153"/>
      <c r="AX5" s="153"/>
      <c r="AY5" s="153"/>
      <c r="AZ5" s="153"/>
      <c r="BA5" s="153"/>
      <c r="BB5" s="154">
        <v>27.09</v>
      </c>
      <c r="BC5" s="153"/>
      <c r="BD5" s="154">
        <v>1.17</v>
      </c>
      <c r="BE5" s="153"/>
      <c r="BF5" s="153"/>
      <c r="BG5" s="153"/>
      <c r="BH5" s="154">
        <v>21.54</v>
      </c>
      <c r="BI5" s="153"/>
      <c r="BJ5" s="153"/>
      <c r="BK5" s="153"/>
      <c r="BL5" s="153"/>
      <c r="BM5" s="153"/>
      <c r="BN5" s="160">
        <v>19.25</v>
      </c>
      <c r="BO5" s="153">
        <v>7.6</v>
      </c>
      <c r="BP5" s="179"/>
      <c r="BQ5" s="133"/>
    </row>
    <row r="6" spans="1:69" ht="16" x14ac:dyDescent="0.2">
      <c r="A6" s="133" t="str">
        <f>+'Scheduled Intervals'!A6</f>
        <v>Zero Turn Diesel</v>
      </c>
      <c r="B6" s="160">
        <v>30.85</v>
      </c>
      <c r="C6" s="145"/>
      <c r="D6" s="145"/>
      <c r="E6" s="145"/>
      <c r="F6" s="146">
        <v>18.59</v>
      </c>
      <c r="G6" s="145"/>
      <c r="H6" s="145">
        <v>7.6</v>
      </c>
      <c r="I6" s="145"/>
      <c r="J6" s="145"/>
      <c r="K6" s="145"/>
      <c r="L6" s="145"/>
      <c r="M6" s="145"/>
      <c r="N6" s="145"/>
      <c r="O6" s="145"/>
      <c r="P6" s="147"/>
      <c r="Q6" s="148"/>
      <c r="R6" s="149"/>
      <c r="S6" s="149"/>
      <c r="T6" s="151"/>
      <c r="U6" s="160">
        <v>30.85</v>
      </c>
      <c r="V6" s="153"/>
      <c r="W6" s="153"/>
      <c r="X6" s="154">
        <v>36.35</v>
      </c>
      <c r="Y6" s="153"/>
      <c r="Z6" s="154">
        <v>18.18</v>
      </c>
      <c r="AA6" s="153"/>
      <c r="AB6" s="154">
        <v>57.85</v>
      </c>
      <c r="AC6" s="154">
        <v>36.19</v>
      </c>
      <c r="AD6" s="153"/>
      <c r="AE6" s="154">
        <v>18.59</v>
      </c>
      <c r="AF6" s="153"/>
      <c r="AG6" s="153"/>
      <c r="AH6" s="153"/>
      <c r="AI6" s="153"/>
      <c r="AJ6" s="153"/>
      <c r="AK6" s="153"/>
      <c r="AL6" s="153"/>
      <c r="AM6" s="153"/>
      <c r="AN6" s="153"/>
      <c r="AO6" s="153"/>
      <c r="AP6" s="153"/>
      <c r="AQ6" s="153"/>
      <c r="AR6" s="153"/>
      <c r="AS6" s="153"/>
      <c r="AT6" s="153">
        <v>7.6</v>
      </c>
      <c r="AU6" s="153"/>
      <c r="AV6" s="153"/>
      <c r="AW6" s="154">
        <v>85.4</v>
      </c>
      <c r="AX6" s="153"/>
      <c r="AY6" s="153"/>
      <c r="AZ6" s="153"/>
      <c r="BA6" s="153"/>
      <c r="BB6" s="154">
        <v>21.18</v>
      </c>
      <c r="BC6" s="154">
        <v>16.25</v>
      </c>
      <c r="BD6" s="153"/>
      <c r="BE6" s="153"/>
      <c r="BF6" s="153"/>
      <c r="BG6" s="153"/>
      <c r="BH6" s="154">
        <v>21.54</v>
      </c>
      <c r="BI6" s="153"/>
      <c r="BJ6" s="153"/>
      <c r="BK6" s="153"/>
      <c r="BL6" s="153"/>
      <c r="BM6" s="153"/>
      <c r="BN6" s="160">
        <v>30.85</v>
      </c>
      <c r="BO6" s="153">
        <v>7.6</v>
      </c>
      <c r="BP6" s="179"/>
      <c r="BQ6" s="133"/>
    </row>
    <row r="7" spans="1:69" ht="16" x14ac:dyDescent="0.2">
      <c r="A7" s="133" t="str">
        <f>+'Scheduled Intervals'!A7</f>
        <v>Compact L series</v>
      </c>
      <c r="B7" s="160">
        <v>31.54</v>
      </c>
      <c r="C7" s="145"/>
      <c r="D7" s="145"/>
      <c r="E7" s="145"/>
      <c r="F7" s="146">
        <v>18.59</v>
      </c>
      <c r="G7" s="145"/>
      <c r="H7" s="145">
        <v>7.6</v>
      </c>
      <c r="I7" s="145"/>
      <c r="J7" s="145"/>
      <c r="K7" s="145"/>
      <c r="L7" s="145"/>
      <c r="M7" s="146">
        <v>18.59</v>
      </c>
      <c r="N7" s="145"/>
      <c r="O7" s="145"/>
      <c r="P7" s="147"/>
      <c r="Q7" s="148"/>
      <c r="R7" s="149"/>
      <c r="S7" s="149"/>
      <c r="T7" s="151"/>
      <c r="U7" s="160">
        <v>31.54</v>
      </c>
      <c r="V7" s="153"/>
      <c r="W7" s="153"/>
      <c r="X7" s="153"/>
      <c r="Y7" s="153"/>
      <c r="Z7" s="154">
        <v>14.82</v>
      </c>
      <c r="AA7" s="153"/>
      <c r="AB7" s="154">
        <v>133.5</v>
      </c>
      <c r="AC7" s="154">
        <v>18.59</v>
      </c>
      <c r="AD7" s="153"/>
      <c r="AE7" s="154">
        <v>18.59</v>
      </c>
      <c r="AF7" s="153"/>
      <c r="AG7" s="153"/>
      <c r="AH7" s="153"/>
      <c r="AI7" s="153"/>
      <c r="AJ7" s="153"/>
      <c r="AK7" s="153"/>
      <c r="AL7" s="154">
        <v>31.05</v>
      </c>
      <c r="AM7" s="153"/>
      <c r="AN7" s="153"/>
      <c r="AO7" s="153"/>
      <c r="AP7" s="153"/>
      <c r="AQ7" s="153"/>
      <c r="AR7" s="153"/>
      <c r="AS7" s="153"/>
      <c r="AT7" s="153">
        <v>7.6</v>
      </c>
      <c r="AU7" s="153"/>
      <c r="AV7" s="153"/>
      <c r="AW7" s="154">
        <v>99.2</v>
      </c>
      <c r="AX7" s="153"/>
      <c r="AY7" s="153"/>
      <c r="AZ7" s="153"/>
      <c r="BA7" s="153"/>
      <c r="BB7" s="154">
        <v>28.05</v>
      </c>
      <c r="BC7" s="153"/>
      <c r="BD7" s="153"/>
      <c r="BE7" s="153"/>
      <c r="BF7" s="153"/>
      <c r="BG7" s="153"/>
      <c r="BH7" s="154">
        <v>21.54</v>
      </c>
      <c r="BI7" s="153"/>
      <c r="BJ7" s="153"/>
      <c r="BK7" s="153"/>
      <c r="BL7" s="153"/>
      <c r="BM7" s="153"/>
      <c r="BN7" s="160">
        <v>31.54</v>
      </c>
      <c r="BO7" s="153">
        <v>7.6</v>
      </c>
      <c r="BP7" s="179"/>
      <c r="BQ7" s="133"/>
    </row>
    <row r="8" spans="1:69" ht="16" x14ac:dyDescent="0.2">
      <c r="A8" s="133" t="str">
        <f>+'Scheduled Intervals'!A8</f>
        <v>Utility under 75 MX&amp;M</v>
      </c>
      <c r="B8" s="160">
        <v>39.840000000000003</v>
      </c>
      <c r="C8" s="145"/>
      <c r="D8" s="145"/>
      <c r="E8" s="145"/>
      <c r="F8" s="146">
        <v>53.19</v>
      </c>
      <c r="G8" s="145"/>
      <c r="H8" s="146">
        <v>7.6</v>
      </c>
      <c r="I8" s="145"/>
      <c r="J8" s="145"/>
      <c r="K8" s="145"/>
      <c r="L8" s="145"/>
      <c r="M8" s="145"/>
      <c r="N8" s="145"/>
      <c r="O8" s="145"/>
      <c r="P8" s="147"/>
      <c r="Q8" s="148"/>
      <c r="R8" s="149"/>
      <c r="S8" s="149"/>
      <c r="T8" s="151"/>
      <c r="U8" s="160">
        <v>39.840000000000003</v>
      </c>
      <c r="V8" s="154">
        <v>65.150000000000006</v>
      </c>
      <c r="W8" s="153"/>
      <c r="X8" s="153"/>
      <c r="Y8" s="153"/>
      <c r="Z8" s="154">
        <v>22.33</v>
      </c>
      <c r="AA8" s="153"/>
      <c r="AB8" s="154">
        <v>204.7</v>
      </c>
      <c r="AC8" s="153"/>
      <c r="AD8" s="153"/>
      <c r="AE8" s="154">
        <v>53.19</v>
      </c>
      <c r="AF8" s="153"/>
      <c r="AG8" s="153"/>
      <c r="AH8" s="153"/>
      <c r="AI8" s="153"/>
      <c r="AJ8" s="153"/>
      <c r="AK8" s="153"/>
      <c r="AL8" s="154">
        <v>55.89</v>
      </c>
      <c r="AM8" s="153"/>
      <c r="AN8" s="153"/>
      <c r="AO8" s="153"/>
      <c r="AP8" s="153"/>
      <c r="AQ8" s="153"/>
      <c r="AR8" s="153"/>
      <c r="AS8" s="154">
        <v>26.17</v>
      </c>
      <c r="AT8" s="153">
        <v>7.6</v>
      </c>
      <c r="AU8" s="153"/>
      <c r="AV8" s="153"/>
      <c r="AW8" s="153"/>
      <c r="AX8" s="153"/>
      <c r="AY8" s="153"/>
      <c r="AZ8" s="153"/>
      <c r="BA8" s="153"/>
      <c r="BB8" s="154">
        <v>21.18</v>
      </c>
      <c r="BC8" s="154">
        <v>16.25</v>
      </c>
      <c r="BD8" s="153"/>
      <c r="BE8" s="153"/>
      <c r="BF8" s="153"/>
      <c r="BG8" s="153"/>
      <c r="BH8" s="154">
        <v>10.77</v>
      </c>
      <c r="BI8" s="153"/>
      <c r="BJ8" s="153"/>
      <c r="BK8" s="153"/>
      <c r="BL8" s="153"/>
      <c r="BM8" s="153"/>
      <c r="BN8" s="160">
        <v>39.840000000000003</v>
      </c>
      <c r="BO8" s="153">
        <v>7.6</v>
      </c>
      <c r="BP8" s="179"/>
      <c r="BQ8" s="133"/>
    </row>
    <row r="9" spans="1:69" ht="16" x14ac:dyDescent="0.2">
      <c r="A9" s="133" t="str">
        <f>+'Scheduled Intervals'!A9</f>
        <v>Utility over 75 M4 class</v>
      </c>
      <c r="B9" s="160">
        <v>65.7</v>
      </c>
      <c r="C9" s="145"/>
      <c r="D9" s="145"/>
      <c r="E9" s="145"/>
      <c r="F9" s="145"/>
      <c r="G9" s="145"/>
      <c r="H9" s="145">
        <v>7.6</v>
      </c>
      <c r="I9" s="145"/>
      <c r="J9" s="145"/>
      <c r="K9" s="145"/>
      <c r="L9" s="145"/>
      <c r="M9" s="145"/>
      <c r="N9" s="145"/>
      <c r="O9" s="145"/>
      <c r="P9" s="147"/>
      <c r="Q9" s="148"/>
      <c r="R9" s="149"/>
      <c r="S9" s="149"/>
      <c r="T9" s="151"/>
      <c r="U9" s="160">
        <v>65.7</v>
      </c>
      <c r="V9" s="154">
        <v>15.44</v>
      </c>
      <c r="W9" s="153"/>
      <c r="X9" s="153"/>
      <c r="Y9" s="153"/>
      <c r="Z9" s="154">
        <v>21.35</v>
      </c>
      <c r="AA9" s="153"/>
      <c r="AB9" s="154">
        <v>222.5</v>
      </c>
      <c r="AC9" s="153"/>
      <c r="AD9" s="153"/>
      <c r="AE9" s="154">
        <v>51.18</v>
      </c>
      <c r="AF9" s="153"/>
      <c r="AG9" s="153"/>
      <c r="AH9" s="153"/>
      <c r="AI9" s="153"/>
      <c r="AJ9" s="154">
        <v>62.1</v>
      </c>
      <c r="AK9" s="153"/>
      <c r="AL9" s="153"/>
      <c r="AM9" s="153"/>
      <c r="AN9" s="153"/>
      <c r="AO9" s="153"/>
      <c r="AP9" s="153"/>
      <c r="AQ9" s="153"/>
      <c r="AR9" s="153"/>
      <c r="AS9" s="154">
        <v>26.17</v>
      </c>
      <c r="AT9" s="153">
        <v>7.6</v>
      </c>
      <c r="AU9" s="153"/>
      <c r="AV9" s="153"/>
      <c r="AW9" s="154">
        <v>115.71</v>
      </c>
      <c r="AX9" s="153"/>
      <c r="AY9" s="153"/>
      <c r="AZ9" s="153"/>
      <c r="BA9" s="153"/>
      <c r="BB9" s="154">
        <v>18.72</v>
      </c>
      <c r="BC9" s="153"/>
      <c r="BD9" s="153"/>
      <c r="BE9" s="153"/>
      <c r="BF9" s="153"/>
      <c r="BG9" s="153"/>
      <c r="BH9" s="154">
        <v>32.31</v>
      </c>
      <c r="BI9" s="153"/>
      <c r="BJ9" s="153"/>
      <c r="BK9" s="153"/>
      <c r="BL9" s="153"/>
      <c r="BM9" s="153"/>
      <c r="BN9" s="160">
        <v>65.7</v>
      </c>
      <c r="BO9" s="153">
        <v>7.6</v>
      </c>
      <c r="BP9" s="179"/>
      <c r="BQ9" s="133"/>
    </row>
    <row r="10" spans="1:69" ht="16" x14ac:dyDescent="0.2">
      <c r="A10" s="133" t="str">
        <f>+'Scheduled Intervals'!A10</f>
        <v>Large Ag M6</v>
      </c>
      <c r="B10" s="160">
        <v>114.33</v>
      </c>
      <c r="C10" s="145"/>
      <c r="D10" s="145"/>
      <c r="E10" s="145"/>
      <c r="F10" s="146">
        <v>69.02</v>
      </c>
      <c r="G10" s="145"/>
      <c r="H10" s="145">
        <v>7.6</v>
      </c>
      <c r="I10" s="145"/>
      <c r="J10" s="145"/>
      <c r="K10" s="145"/>
      <c r="L10" s="145"/>
      <c r="M10" s="145"/>
      <c r="N10" s="145"/>
      <c r="O10" s="145"/>
      <c r="P10" s="147"/>
      <c r="Q10" s="148"/>
      <c r="R10" s="149"/>
      <c r="S10" s="149"/>
      <c r="T10" s="151"/>
      <c r="U10" s="160">
        <v>114.33</v>
      </c>
      <c r="V10" s="154">
        <v>70.77</v>
      </c>
      <c r="W10" s="153"/>
      <c r="X10" s="154">
        <v>25.82</v>
      </c>
      <c r="Y10" s="153"/>
      <c r="Z10" s="154">
        <v>25.82</v>
      </c>
      <c r="AA10" s="153"/>
      <c r="AB10" s="154">
        <v>400.5</v>
      </c>
      <c r="AC10" s="154">
        <v>131.91999999999999</v>
      </c>
      <c r="AD10" s="153"/>
      <c r="AE10" s="153"/>
      <c r="AF10" s="153"/>
      <c r="AG10" s="154">
        <v>103.03</v>
      </c>
      <c r="AH10" s="153"/>
      <c r="AI10" s="154">
        <v>66.72</v>
      </c>
      <c r="AJ10" s="153"/>
      <c r="AK10" s="154">
        <v>68.31</v>
      </c>
      <c r="AL10" s="154">
        <v>74.52</v>
      </c>
      <c r="AM10" s="153"/>
      <c r="AN10" s="153"/>
      <c r="AO10" s="153"/>
      <c r="AP10" s="153"/>
      <c r="AQ10" s="153"/>
      <c r="AR10" s="153"/>
      <c r="AS10" s="153"/>
      <c r="AT10" s="153">
        <v>7.6</v>
      </c>
      <c r="AU10" s="153"/>
      <c r="AV10" s="153"/>
      <c r="AW10" s="154">
        <v>121.25</v>
      </c>
      <c r="AX10" s="153"/>
      <c r="AY10" s="153"/>
      <c r="AZ10" s="153"/>
      <c r="BA10" s="154">
        <v>169.18</v>
      </c>
      <c r="BB10" s="154">
        <v>102.51</v>
      </c>
      <c r="BC10" s="153"/>
      <c r="BD10" s="153"/>
      <c r="BE10" s="153"/>
      <c r="BF10" s="153"/>
      <c r="BG10" s="153"/>
      <c r="BH10" s="154">
        <v>75.39</v>
      </c>
      <c r="BI10" s="153"/>
      <c r="BJ10" s="153"/>
      <c r="BK10" s="154">
        <v>271.45</v>
      </c>
      <c r="BL10" s="153"/>
      <c r="BM10" s="153"/>
      <c r="BN10" s="160">
        <v>114.33</v>
      </c>
      <c r="BO10" s="153">
        <v>7.6</v>
      </c>
      <c r="BP10" s="179"/>
      <c r="BQ10" s="133"/>
    </row>
    <row r="11" spans="1:69" ht="16" x14ac:dyDescent="0.2">
      <c r="A11" s="133" t="str">
        <f>+'Scheduled Intervals'!A11</f>
        <v>Skid Steer</v>
      </c>
      <c r="B11" s="160">
        <v>59.44</v>
      </c>
      <c r="C11" s="145"/>
      <c r="D11" s="145"/>
      <c r="E11" s="145"/>
      <c r="F11" s="146">
        <v>53.19</v>
      </c>
      <c r="G11" s="145"/>
      <c r="H11" s="145">
        <v>7.6</v>
      </c>
      <c r="I11" s="145"/>
      <c r="J11" s="145"/>
      <c r="K11" s="145"/>
      <c r="L11" s="145"/>
      <c r="M11" s="145"/>
      <c r="N11" s="145"/>
      <c r="O11" s="145"/>
      <c r="P11" s="147"/>
      <c r="Q11" s="155">
        <v>81.25</v>
      </c>
      <c r="R11" s="149"/>
      <c r="S11" s="149"/>
      <c r="T11" s="151"/>
      <c r="U11" s="160">
        <v>59.45</v>
      </c>
      <c r="V11" s="154">
        <v>65.150000000000006</v>
      </c>
      <c r="W11" s="153"/>
      <c r="X11" s="153"/>
      <c r="Y11" s="153"/>
      <c r="Z11" s="154">
        <v>15.23</v>
      </c>
      <c r="AA11" s="153"/>
      <c r="AB11" s="154">
        <v>133.5</v>
      </c>
      <c r="AC11" s="153"/>
      <c r="AD11" s="153"/>
      <c r="AE11" s="154">
        <v>53.19</v>
      </c>
      <c r="AF11" s="154">
        <v>47.4</v>
      </c>
      <c r="AG11" s="154">
        <v>81.25</v>
      </c>
      <c r="AH11" s="153"/>
      <c r="AI11" s="154">
        <v>53.4</v>
      </c>
      <c r="AJ11" s="153"/>
      <c r="AK11" s="153"/>
      <c r="AL11" s="153"/>
      <c r="AM11" s="153"/>
      <c r="AN11" s="153"/>
      <c r="AO11" s="153"/>
      <c r="AP11" s="153"/>
      <c r="AQ11" s="153"/>
      <c r="AR11" s="153"/>
      <c r="AS11" s="154">
        <v>106.73</v>
      </c>
      <c r="AT11" s="153">
        <v>7.6</v>
      </c>
      <c r="AU11" s="153"/>
      <c r="AV11" s="153"/>
      <c r="AW11" s="154">
        <v>121.25</v>
      </c>
      <c r="AX11" s="153"/>
      <c r="AY11" s="153"/>
      <c r="AZ11" s="153"/>
      <c r="BA11" s="153"/>
      <c r="BB11" s="154">
        <v>31.34</v>
      </c>
      <c r="BC11" s="153"/>
      <c r="BD11" s="153"/>
      <c r="BE11" s="153"/>
      <c r="BF11" s="153"/>
      <c r="BG11" s="153"/>
      <c r="BH11" s="154">
        <v>32.31</v>
      </c>
      <c r="BI11" s="153"/>
      <c r="BJ11" s="153"/>
      <c r="BK11" s="153"/>
      <c r="BL11" s="153"/>
      <c r="BM11" s="153"/>
      <c r="BN11" s="160">
        <v>59.45</v>
      </c>
      <c r="BO11" s="153">
        <v>7.6</v>
      </c>
      <c r="BP11" s="179"/>
      <c r="BQ11" s="133"/>
    </row>
    <row r="12" spans="1:69" ht="16" x14ac:dyDescent="0.2">
      <c r="A12" s="133" t="str">
        <f>+'Scheduled Intervals'!A12</f>
        <v>Excavator - under 3.5 ton</v>
      </c>
      <c r="B12" s="160">
        <v>56.44</v>
      </c>
      <c r="C12" s="145"/>
      <c r="D12" s="145"/>
      <c r="E12" s="145"/>
      <c r="F12" s="145"/>
      <c r="G12" s="145"/>
      <c r="H12" s="145">
        <v>7.6</v>
      </c>
      <c r="I12" s="145"/>
      <c r="J12" s="145"/>
      <c r="K12" s="145"/>
      <c r="L12" s="145"/>
      <c r="M12" s="145"/>
      <c r="N12" s="145"/>
      <c r="O12" s="145"/>
      <c r="P12" s="147"/>
      <c r="Q12" s="155">
        <v>80.17</v>
      </c>
      <c r="R12" s="149"/>
      <c r="S12" s="149"/>
      <c r="T12" s="151"/>
      <c r="U12" s="160">
        <v>56.44</v>
      </c>
      <c r="V12" s="154">
        <v>85.67</v>
      </c>
      <c r="W12" s="153"/>
      <c r="X12" s="154">
        <v>60.85</v>
      </c>
      <c r="Y12" s="153"/>
      <c r="Z12" s="154">
        <v>25.45</v>
      </c>
      <c r="AA12" s="153"/>
      <c r="AB12" s="153"/>
      <c r="AC12" s="153"/>
      <c r="AD12" s="153"/>
      <c r="AE12" s="153"/>
      <c r="AF12" s="154">
        <v>16.149999999999999</v>
      </c>
      <c r="AG12" s="154">
        <v>55.82</v>
      </c>
      <c r="AH12" s="154">
        <v>24.35</v>
      </c>
      <c r="AI12" s="153">
        <v>51.83</v>
      </c>
      <c r="AJ12" s="154"/>
      <c r="AK12" s="153"/>
      <c r="AL12" s="154">
        <v>12.42</v>
      </c>
      <c r="AM12" s="153"/>
      <c r="AN12" s="153"/>
      <c r="AO12" s="153"/>
      <c r="AP12" s="153"/>
      <c r="AQ12" s="153"/>
      <c r="AR12" s="153"/>
      <c r="AS12" s="153">
        <v>29.04</v>
      </c>
      <c r="AT12" s="153">
        <v>7.6</v>
      </c>
      <c r="AU12" s="153"/>
      <c r="AV12" s="153"/>
      <c r="AW12" s="154">
        <v>41.27</v>
      </c>
      <c r="AX12" s="153"/>
      <c r="AY12" s="153"/>
      <c r="AZ12" s="154">
        <v>63.12</v>
      </c>
      <c r="BA12" s="153"/>
      <c r="BB12" s="154">
        <v>54.4</v>
      </c>
      <c r="BC12" s="153"/>
      <c r="BD12" s="153"/>
      <c r="BE12" s="153"/>
      <c r="BF12" s="153"/>
      <c r="BG12" s="153"/>
      <c r="BH12" s="154">
        <v>32.31</v>
      </c>
      <c r="BI12" s="153"/>
      <c r="BJ12" s="153"/>
      <c r="BK12" s="153"/>
      <c r="BL12" s="153"/>
      <c r="BM12" s="153"/>
      <c r="BN12" s="160">
        <v>56.44</v>
      </c>
      <c r="BO12" s="153">
        <v>7.6</v>
      </c>
      <c r="BP12" s="179"/>
      <c r="BQ12" s="133"/>
    </row>
    <row r="13" spans="1:69" ht="16" x14ac:dyDescent="0.2">
      <c r="A13" s="133" t="str">
        <f>+'Scheduled Intervals'!A13</f>
        <v>Excavator - over 3.5 ton</v>
      </c>
      <c r="B13" s="160">
        <v>56.44</v>
      </c>
      <c r="C13" s="145"/>
      <c r="D13" s="145"/>
      <c r="E13" s="145"/>
      <c r="F13" s="145"/>
      <c r="G13" s="145"/>
      <c r="H13" s="145">
        <v>7.6</v>
      </c>
      <c r="I13" s="145"/>
      <c r="J13" s="145"/>
      <c r="K13" s="145"/>
      <c r="L13" s="145"/>
      <c r="M13" s="145"/>
      <c r="N13" s="145"/>
      <c r="O13" s="145"/>
      <c r="P13" s="147"/>
      <c r="Q13" s="155">
        <v>80.17</v>
      </c>
      <c r="R13" s="149"/>
      <c r="S13" s="149"/>
      <c r="T13" s="151"/>
      <c r="U13" s="160">
        <v>56.44</v>
      </c>
      <c r="V13" s="154">
        <v>85.67</v>
      </c>
      <c r="W13" s="153"/>
      <c r="X13" s="154">
        <v>60.85</v>
      </c>
      <c r="Y13" s="153"/>
      <c r="Z13" s="154">
        <v>25.45</v>
      </c>
      <c r="AA13" s="153"/>
      <c r="AB13" s="153"/>
      <c r="AC13" s="153"/>
      <c r="AD13" s="153"/>
      <c r="AE13" s="153"/>
      <c r="AF13" s="154">
        <v>16.149999999999999</v>
      </c>
      <c r="AG13" s="154">
        <v>55.82</v>
      </c>
      <c r="AH13" s="154">
        <v>24.35</v>
      </c>
      <c r="AI13" s="153">
        <v>170.93</v>
      </c>
      <c r="AJ13" s="154"/>
      <c r="AK13" s="153"/>
      <c r="AL13" s="154">
        <v>12.42</v>
      </c>
      <c r="AM13" s="153"/>
      <c r="AN13" s="153"/>
      <c r="AO13" s="153"/>
      <c r="AP13" s="153"/>
      <c r="AQ13" s="153"/>
      <c r="AR13" s="153"/>
      <c r="AS13" s="153">
        <v>47.14</v>
      </c>
      <c r="AT13" s="153">
        <v>7.6</v>
      </c>
      <c r="AU13" s="153"/>
      <c r="AV13" s="153"/>
      <c r="AW13" s="154">
        <v>99.2</v>
      </c>
      <c r="AX13" s="153"/>
      <c r="AY13" s="153"/>
      <c r="AZ13" s="154">
        <v>63.12</v>
      </c>
      <c r="BA13" s="153"/>
      <c r="BB13" s="154">
        <v>54.4</v>
      </c>
      <c r="BC13" s="153"/>
      <c r="BD13" s="153"/>
      <c r="BE13" s="153"/>
      <c r="BF13" s="153"/>
      <c r="BG13" s="153"/>
      <c r="BH13" s="154">
        <v>32.31</v>
      </c>
      <c r="BI13" s="153"/>
      <c r="BJ13" s="153"/>
      <c r="BK13" s="153"/>
      <c r="BL13" s="153"/>
      <c r="BM13" s="153"/>
      <c r="BN13" s="160">
        <v>56.44</v>
      </c>
      <c r="BO13" s="153">
        <v>7.6</v>
      </c>
      <c r="BP13" s="179"/>
      <c r="BQ13" s="133"/>
    </row>
    <row r="14" spans="1:69" ht="16" x14ac:dyDescent="0.2">
      <c r="A14" s="133" t="str">
        <f>+'Scheduled Intervals'!A14</f>
        <v>Wheel Loader</v>
      </c>
      <c r="B14" s="160">
        <v>55.3</v>
      </c>
      <c r="C14" s="145"/>
      <c r="D14" s="145"/>
      <c r="E14" s="145"/>
      <c r="F14" s="145"/>
      <c r="G14" s="145"/>
      <c r="H14" s="145">
        <v>7.6</v>
      </c>
      <c r="I14" s="145"/>
      <c r="J14" s="145"/>
      <c r="K14" s="145"/>
      <c r="L14" s="145"/>
      <c r="M14" s="145"/>
      <c r="N14" s="146"/>
      <c r="O14" s="145"/>
      <c r="P14" s="147"/>
      <c r="Q14" s="148"/>
      <c r="R14" s="150">
        <v>49.68</v>
      </c>
      <c r="S14" s="149"/>
      <c r="T14" s="151"/>
      <c r="U14" s="160">
        <v>55.3</v>
      </c>
      <c r="V14" s="154">
        <v>61.39</v>
      </c>
      <c r="W14" s="153"/>
      <c r="X14" s="154">
        <v>32.51</v>
      </c>
      <c r="Y14" s="153"/>
      <c r="Z14" s="154">
        <v>79.459999999999994</v>
      </c>
      <c r="AA14" s="153"/>
      <c r="AB14" s="153"/>
      <c r="AC14" s="153"/>
      <c r="AD14" s="153"/>
      <c r="AE14" s="153"/>
      <c r="AF14" s="153"/>
      <c r="AG14" s="154">
        <v>64.8</v>
      </c>
      <c r="AH14" s="153"/>
      <c r="AI14" s="154">
        <v>326.79000000000002</v>
      </c>
      <c r="AJ14" s="154">
        <v>49.68</v>
      </c>
      <c r="AK14" s="153"/>
      <c r="AL14" s="153"/>
      <c r="AM14" s="153"/>
      <c r="AN14" s="153"/>
      <c r="AO14" s="153"/>
      <c r="AP14" s="153"/>
      <c r="AQ14" s="153"/>
      <c r="AR14" s="153"/>
      <c r="AS14" s="154">
        <v>67.64</v>
      </c>
      <c r="AT14" s="153">
        <v>7.6</v>
      </c>
      <c r="AU14" s="153"/>
      <c r="AV14" s="153"/>
      <c r="AW14" s="154">
        <v>117.73</v>
      </c>
      <c r="AX14" s="153"/>
      <c r="AY14" s="153"/>
      <c r="AZ14" s="153"/>
      <c r="BA14" s="153"/>
      <c r="BB14" s="154">
        <v>116.14</v>
      </c>
      <c r="BC14" s="153"/>
      <c r="BD14" s="153"/>
      <c r="BE14" s="153"/>
      <c r="BF14" s="153"/>
      <c r="BG14" s="153"/>
      <c r="BH14" s="154">
        <v>32.31</v>
      </c>
      <c r="BI14" s="153"/>
      <c r="BJ14" s="153"/>
      <c r="BK14" s="153"/>
      <c r="BL14" s="153"/>
      <c r="BM14" s="153"/>
      <c r="BN14" s="160">
        <v>55.3</v>
      </c>
      <c r="BO14" s="153">
        <v>7.6</v>
      </c>
      <c r="BP14" s="179"/>
      <c r="BQ14" s="133"/>
    </row>
    <row r="15" spans="1:69" ht="16" x14ac:dyDescent="0.2">
      <c r="A15" s="133" t="str">
        <f>+'Scheduled Intervals'!A15</f>
        <v>Telehandler</v>
      </c>
      <c r="B15" s="157">
        <v>109.5</v>
      </c>
      <c r="C15" s="145"/>
      <c r="D15" s="145"/>
      <c r="E15" s="145"/>
      <c r="F15" s="145"/>
      <c r="G15" s="145"/>
      <c r="H15" s="145">
        <v>7.6</v>
      </c>
      <c r="I15" s="145"/>
      <c r="J15" s="145"/>
      <c r="K15" s="145"/>
      <c r="L15" s="145"/>
      <c r="M15" s="145"/>
      <c r="N15" s="145"/>
      <c r="O15" s="145"/>
      <c r="P15" s="147"/>
      <c r="Q15" s="148"/>
      <c r="R15" s="150">
        <v>52.55</v>
      </c>
      <c r="S15" s="149"/>
      <c r="T15" s="151"/>
      <c r="U15" s="157">
        <v>109.5</v>
      </c>
      <c r="V15" s="153"/>
      <c r="W15" s="153"/>
      <c r="X15" s="153">
        <v>32.86</v>
      </c>
      <c r="Y15" s="153"/>
      <c r="Z15" s="153">
        <v>47.75</v>
      </c>
      <c r="AA15" s="153"/>
      <c r="AB15" s="153"/>
      <c r="AC15" s="153"/>
      <c r="AD15" s="153"/>
      <c r="AE15" s="153"/>
      <c r="AF15" s="153"/>
      <c r="AG15" s="154">
        <v>81.33</v>
      </c>
      <c r="AH15" s="153"/>
      <c r="AI15" s="154">
        <v>341.74</v>
      </c>
      <c r="AJ15" s="154"/>
      <c r="AK15" s="153"/>
      <c r="AL15" s="153"/>
      <c r="AM15" s="153"/>
      <c r="AN15" s="153"/>
      <c r="AO15" s="153"/>
      <c r="AP15" s="153"/>
      <c r="AQ15" s="153"/>
      <c r="AR15" s="153"/>
      <c r="AS15" s="154">
        <v>58.48</v>
      </c>
      <c r="AT15" s="153">
        <v>7.6</v>
      </c>
      <c r="AU15" s="153"/>
      <c r="AV15" s="153"/>
      <c r="AW15" s="154">
        <v>124.98</v>
      </c>
      <c r="AX15" s="153"/>
      <c r="AY15" s="153"/>
      <c r="AZ15" s="153"/>
      <c r="BA15" s="153"/>
      <c r="BB15" s="153">
        <v>30.75</v>
      </c>
      <c r="BC15" s="153"/>
      <c r="BD15" s="153"/>
      <c r="BE15" s="153"/>
      <c r="BF15" s="153"/>
      <c r="BG15" s="153"/>
      <c r="BH15" s="154">
        <v>32.31</v>
      </c>
      <c r="BI15" s="153"/>
      <c r="BJ15" s="153"/>
      <c r="BK15" s="153"/>
      <c r="BL15" s="153"/>
      <c r="BM15" s="153"/>
      <c r="BN15" s="157">
        <v>109.5</v>
      </c>
      <c r="BO15" s="153">
        <v>7.6</v>
      </c>
      <c r="BP15" s="179"/>
      <c r="BQ15" s="133"/>
    </row>
    <row r="16" spans="1:69" ht="16" x14ac:dyDescent="0.2">
      <c r="A16" s="133" t="str">
        <f>+'Scheduled Intervals'!A16</f>
        <v>Mahindra Emax</v>
      </c>
      <c r="B16" s="160">
        <v>33.97</v>
      </c>
      <c r="C16" s="145"/>
      <c r="D16" s="145"/>
      <c r="E16" s="146">
        <v>102.35</v>
      </c>
      <c r="F16" s="146">
        <v>21.28</v>
      </c>
      <c r="G16" s="145"/>
      <c r="H16" s="145">
        <v>7.6</v>
      </c>
      <c r="I16" s="145"/>
      <c r="J16" s="145"/>
      <c r="K16" s="146"/>
      <c r="L16" s="146">
        <v>24.84</v>
      </c>
      <c r="M16" s="145"/>
      <c r="N16" s="145"/>
      <c r="O16" s="145"/>
      <c r="P16" s="147"/>
      <c r="Q16" s="148"/>
      <c r="R16" s="149"/>
      <c r="S16" s="149"/>
      <c r="T16" s="151"/>
      <c r="U16" s="160">
        <v>33.97</v>
      </c>
      <c r="V16" s="153"/>
      <c r="W16" s="153"/>
      <c r="X16" s="153"/>
      <c r="Y16" s="153"/>
      <c r="Z16" s="154">
        <v>41.41</v>
      </c>
      <c r="AA16" s="153"/>
      <c r="AB16" s="154">
        <v>102.35</v>
      </c>
      <c r="AC16" s="153"/>
      <c r="AD16" s="153"/>
      <c r="AE16" s="154">
        <v>21.28</v>
      </c>
      <c r="AF16" s="153"/>
      <c r="AG16" s="153"/>
      <c r="AH16" s="153"/>
      <c r="AI16" s="153"/>
      <c r="AJ16" s="153"/>
      <c r="AK16" s="153"/>
      <c r="AL16" s="154">
        <v>24.84</v>
      </c>
      <c r="AM16" s="153"/>
      <c r="AN16" s="153"/>
      <c r="AO16" s="153"/>
      <c r="AP16" s="153"/>
      <c r="AQ16" s="153"/>
      <c r="AR16" s="153"/>
      <c r="AS16" s="153"/>
      <c r="AT16" s="153">
        <v>7.6</v>
      </c>
      <c r="AU16" s="153"/>
      <c r="AV16" s="153"/>
      <c r="AW16" s="153"/>
      <c r="AX16" s="153"/>
      <c r="AY16" s="153"/>
      <c r="AZ16" s="153"/>
      <c r="BA16" s="153"/>
      <c r="BB16" s="154">
        <v>29.8</v>
      </c>
      <c r="BC16" s="153"/>
      <c r="BD16" s="153"/>
      <c r="BE16" s="153"/>
      <c r="BF16" s="153"/>
      <c r="BG16" s="153"/>
      <c r="BH16" s="154">
        <v>21.54</v>
      </c>
      <c r="BI16" s="153"/>
      <c r="BJ16" s="153"/>
      <c r="BK16" s="153"/>
      <c r="BL16" s="153"/>
      <c r="BM16" s="153"/>
      <c r="BN16" s="160">
        <v>33.97</v>
      </c>
      <c r="BO16" s="153">
        <v>7.6</v>
      </c>
      <c r="BP16" s="179"/>
      <c r="BQ16" s="133"/>
    </row>
    <row r="17" spans="1:69" ht="16" x14ac:dyDescent="0.2">
      <c r="A17" s="133" t="str">
        <f>+'Scheduled Intervals'!A17</f>
        <v>Mahindra 1600 Series</v>
      </c>
      <c r="B17" s="160">
        <v>26.63</v>
      </c>
      <c r="C17" s="145"/>
      <c r="D17" s="145"/>
      <c r="E17" s="146">
        <v>192.56</v>
      </c>
      <c r="F17" s="146">
        <v>30.21</v>
      </c>
      <c r="G17" s="145"/>
      <c r="H17" s="145">
        <v>7.6</v>
      </c>
      <c r="I17" s="145"/>
      <c r="J17" s="145"/>
      <c r="K17" s="146">
        <v>59.02</v>
      </c>
      <c r="L17" s="146">
        <v>31.05</v>
      </c>
      <c r="M17" s="145"/>
      <c r="N17" s="145"/>
      <c r="O17" s="145"/>
      <c r="P17" s="147"/>
      <c r="Q17" s="148"/>
      <c r="R17" s="149"/>
      <c r="S17" s="149"/>
      <c r="T17" s="151"/>
      <c r="U17" s="160">
        <v>26.63</v>
      </c>
      <c r="V17" s="153"/>
      <c r="W17" s="153"/>
      <c r="X17" s="153"/>
      <c r="Y17" s="153"/>
      <c r="Z17" s="154">
        <v>59.02</v>
      </c>
      <c r="AA17" s="153"/>
      <c r="AB17" s="154">
        <v>192.56</v>
      </c>
      <c r="AC17" s="153"/>
      <c r="AD17" s="153"/>
      <c r="AE17" s="154">
        <v>30.21</v>
      </c>
      <c r="AF17" s="153"/>
      <c r="AG17" s="153"/>
      <c r="AH17" s="153"/>
      <c r="AI17" s="153"/>
      <c r="AJ17" s="153"/>
      <c r="AK17" s="153"/>
      <c r="AL17" s="154">
        <v>31.05</v>
      </c>
      <c r="AM17" s="153"/>
      <c r="AN17" s="153"/>
      <c r="AO17" s="153"/>
      <c r="AP17" s="153"/>
      <c r="AQ17" s="153"/>
      <c r="AR17" s="153"/>
      <c r="AS17" s="153"/>
      <c r="AT17" s="153">
        <v>7.6</v>
      </c>
      <c r="AU17" s="153"/>
      <c r="AV17" s="153"/>
      <c r="AW17" s="154">
        <v>78</v>
      </c>
      <c r="AX17" s="153"/>
      <c r="AY17" s="153"/>
      <c r="AZ17" s="153"/>
      <c r="BA17" s="153"/>
      <c r="BB17" s="153">
        <v>35</v>
      </c>
      <c r="BC17" s="153"/>
      <c r="BD17" s="153"/>
      <c r="BE17" s="153"/>
      <c r="BF17" s="153"/>
      <c r="BG17" s="153"/>
      <c r="BH17" s="154">
        <v>21.54</v>
      </c>
      <c r="BI17" s="153"/>
      <c r="BJ17" s="153"/>
      <c r="BK17" s="153"/>
      <c r="BL17" s="153"/>
      <c r="BM17" s="153"/>
      <c r="BN17" s="160">
        <v>26.63</v>
      </c>
      <c r="BO17" s="153">
        <v>7.6</v>
      </c>
      <c r="BP17" s="179"/>
      <c r="BQ17" s="133"/>
    </row>
    <row r="18" spans="1:69" ht="16" x14ac:dyDescent="0.2">
      <c r="A18" s="133" t="str">
        <f>+'Scheduled Intervals'!A18</f>
        <v>Mahindra 4500</v>
      </c>
      <c r="B18" s="160">
        <v>58.92</v>
      </c>
      <c r="C18" s="145"/>
      <c r="D18" s="145"/>
      <c r="E18" s="145"/>
      <c r="F18" s="146">
        <v>18.18</v>
      </c>
      <c r="G18" s="145"/>
      <c r="H18" s="145">
        <v>7.6</v>
      </c>
      <c r="I18" s="145"/>
      <c r="J18" s="145"/>
      <c r="K18" s="146"/>
      <c r="L18" s="145"/>
      <c r="M18" s="145"/>
      <c r="N18" s="145"/>
      <c r="O18" s="145"/>
      <c r="P18" s="147"/>
      <c r="Q18" s="148"/>
      <c r="R18" s="149"/>
      <c r="S18" s="149"/>
      <c r="T18" s="151"/>
      <c r="U18" s="160">
        <v>58.92</v>
      </c>
      <c r="V18" s="153"/>
      <c r="W18" s="153"/>
      <c r="X18" s="153"/>
      <c r="Y18" s="153"/>
      <c r="Z18" s="154">
        <v>27.48</v>
      </c>
      <c r="AA18" s="153"/>
      <c r="AB18" s="154">
        <v>178</v>
      </c>
      <c r="AC18" s="154">
        <v>72.73</v>
      </c>
      <c r="AD18" s="153"/>
      <c r="AE18" s="154">
        <v>18.18</v>
      </c>
      <c r="AF18" s="153"/>
      <c r="AG18" s="153"/>
      <c r="AH18" s="153"/>
      <c r="AI18" s="153"/>
      <c r="AJ18" s="153"/>
      <c r="AK18" s="153"/>
      <c r="AL18" s="154">
        <v>55.98</v>
      </c>
      <c r="AM18" s="153"/>
      <c r="AN18" s="153"/>
      <c r="AO18" s="153"/>
      <c r="AP18" s="153"/>
      <c r="AQ18" s="153"/>
      <c r="AR18" s="153"/>
      <c r="AS18" s="153"/>
      <c r="AT18" s="153">
        <v>7.6</v>
      </c>
      <c r="AU18" s="153"/>
      <c r="AV18" s="153"/>
      <c r="AW18" s="154">
        <v>38.25</v>
      </c>
      <c r="AX18" s="153"/>
      <c r="AY18" s="153"/>
      <c r="AZ18" s="153"/>
      <c r="BA18" s="153"/>
      <c r="BB18" s="153">
        <v>38</v>
      </c>
      <c r="BC18" s="153">
        <v>37</v>
      </c>
      <c r="BD18" s="153"/>
      <c r="BE18" s="153"/>
      <c r="BF18" s="153"/>
      <c r="BG18" s="153"/>
      <c r="BH18" s="153">
        <v>33.450000000000003</v>
      </c>
      <c r="BI18" s="153"/>
      <c r="BJ18" s="153"/>
      <c r="BK18" s="153"/>
      <c r="BL18" s="153"/>
      <c r="BM18" s="153"/>
      <c r="BN18" s="160">
        <v>58.92</v>
      </c>
      <c r="BO18" s="153">
        <v>7.6</v>
      </c>
      <c r="BP18" s="179"/>
      <c r="BQ18" s="133"/>
    </row>
    <row r="19" spans="1:69" ht="16" x14ac:dyDescent="0.2">
      <c r="A19" s="133" t="str">
        <f>+'Scheduled Intervals'!A19</f>
        <v>Mahindra 5500</v>
      </c>
      <c r="B19" s="160">
        <v>58.92</v>
      </c>
      <c r="C19" s="145"/>
      <c r="D19" s="145"/>
      <c r="E19" s="145"/>
      <c r="F19" s="146">
        <v>40.15</v>
      </c>
      <c r="G19" s="145"/>
      <c r="H19" s="145">
        <v>7.6</v>
      </c>
      <c r="I19" s="145"/>
      <c r="J19" s="145"/>
      <c r="K19" s="146"/>
      <c r="L19" s="145"/>
      <c r="M19" s="145"/>
      <c r="N19" s="145"/>
      <c r="O19" s="145"/>
      <c r="P19" s="147"/>
      <c r="Q19" s="148"/>
      <c r="R19" s="149"/>
      <c r="S19" s="149"/>
      <c r="T19" s="151"/>
      <c r="U19" s="160">
        <v>58.92</v>
      </c>
      <c r="V19" s="153"/>
      <c r="W19" s="153"/>
      <c r="X19" s="153"/>
      <c r="Y19" s="153"/>
      <c r="Z19" s="154">
        <v>58.62</v>
      </c>
      <c r="AA19" s="153"/>
      <c r="AB19" s="154">
        <v>222.5</v>
      </c>
      <c r="AC19" s="154">
        <v>40.15</v>
      </c>
      <c r="AD19" s="153"/>
      <c r="AE19" s="153"/>
      <c r="AF19" s="153"/>
      <c r="AG19" s="153"/>
      <c r="AH19" s="153"/>
      <c r="AI19" s="154">
        <v>262.64999999999998</v>
      </c>
      <c r="AJ19" s="153"/>
      <c r="AK19" s="153"/>
      <c r="AL19" s="154">
        <v>55.98</v>
      </c>
      <c r="AM19" s="153"/>
      <c r="AN19" s="153"/>
      <c r="AO19" s="153"/>
      <c r="AP19" s="153"/>
      <c r="AQ19" s="153"/>
      <c r="AR19" s="153"/>
      <c r="AS19" s="153"/>
      <c r="AT19" s="153">
        <v>7.6</v>
      </c>
      <c r="AU19" s="153"/>
      <c r="AV19" s="153"/>
      <c r="AW19" s="153"/>
      <c r="AX19" s="153"/>
      <c r="AY19" s="153"/>
      <c r="AZ19" s="153"/>
      <c r="BA19" s="153"/>
      <c r="BB19" s="154">
        <v>63.7</v>
      </c>
      <c r="BC19" s="154">
        <v>29.29</v>
      </c>
      <c r="BD19" s="153"/>
      <c r="BE19" s="153"/>
      <c r="BF19" s="153"/>
      <c r="BG19" s="153"/>
      <c r="BH19" s="153">
        <v>33.450000000000003</v>
      </c>
      <c r="BI19" s="153"/>
      <c r="BJ19" s="153"/>
      <c r="BK19" s="153"/>
      <c r="BL19" s="153"/>
      <c r="BM19" s="153"/>
      <c r="BN19" s="160">
        <v>58.92</v>
      </c>
      <c r="BO19" s="153">
        <v>7.6</v>
      </c>
      <c r="BP19" s="179"/>
      <c r="BQ19" s="133"/>
    </row>
    <row r="20" spans="1:69" ht="16" x14ac:dyDescent="0.2">
      <c r="A20" s="133" t="str">
        <f>+'Scheduled Intervals'!A20</f>
        <v>Mahindra 6000</v>
      </c>
      <c r="B20" s="160">
        <v>58.92</v>
      </c>
      <c r="C20" s="145"/>
      <c r="D20" s="145"/>
      <c r="E20" s="145"/>
      <c r="F20" s="146">
        <v>70.709999999999994</v>
      </c>
      <c r="G20" s="145"/>
      <c r="H20" s="145">
        <v>7.6</v>
      </c>
      <c r="I20" s="145"/>
      <c r="J20" s="145"/>
      <c r="K20" s="146"/>
      <c r="L20" s="145"/>
      <c r="M20" s="145"/>
      <c r="N20" s="145"/>
      <c r="O20" s="145"/>
      <c r="P20" s="147"/>
      <c r="Q20" s="148"/>
      <c r="R20" s="149"/>
      <c r="S20" s="149"/>
      <c r="T20" s="151"/>
      <c r="U20" s="160">
        <v>58.92</v>
      </c>
      <c r="V20" s="153"/>
      <c r="W20" s="153"/>
      <c r="X20" s="153"/>
      <c r="Y20" s="153"/>
      <c r="Z20" s="154">
        <v>27.48</v>
      </c>
      <c r="AA20" s="153"/>
      <c r="AB20" s="154">
        <v>262.55</v>
      </c>
      <c r="AC20" s="154">
        <v>70.709999999999994</v>
      </c>
      <c r="AD20" s="153"/>
      <c r="AE20" s="153"/>
      <c r="AF20" s="153"/>
      <c r="AG20" s="153"/>
      <c r="AH20" s="153"/>
      <c r="AI20" s="154">
        <v>311.01</v>
      </c>
      <c r="AJ20" s="153"/>
      <c r="AK20" s="153"/>
      <c r="AL20" s="154">
        <v>55.98</v>
      </c>
      <c r="AM20" s="153"/>
      <c r="AN20" s="153"/>
      <c r="AO20" s="153"/>
      <c r="AP20" s="153"/>
      <c r="AQ20" s="153"/>
      <c r="AR20" s="153"/>
      <c r="AS20" s="153"/>
      <c r="AT20" s="153">
        <v>7.6</v>
      </c>
      <c r="AU20" s="153"/>
      <c r="AV20" s="153"/>
      <c r="AW20" s="154">
        <v>156</v>
      </c>
      <c r="AX20" s="153"/>
      <c r="AY20" s="153"/>
      <c r="AZ20" s="153"/>
      <c r="BA20" s="153"/>
      <c r="BB20" s="154">
        <v>48.48</v>
      </c>
      <c r="BC20" s="154">
        <v>34.340000000000003</v>
      </c>
      <c r="BD20" s="153"/>
      <c r="BE20" s="153"/>
      <c r="BF20" s="153"/>
      <c r="BG20" s="153"/>
      <c r="BH20" s="153">
        <v>33.450000000000003</v>
      </c>
      <c r="BI20" s="153"/>
      <c r="BJ20" s="153"/>
      <c r="BK20" s="153"/>
      <c r="BL20" s="153"/>
      <c r="BM20" s="153"/>
      <c r="BN20" s="160">
        <v>58.92</v>
      </c>
      <c r="BO20" s="153">
        <v>7.6</v>
      </c>
      <c r="BP20" s="179"/>
      <c r="BQ20" s="133"/>
    </row>
    <row r="21" spans="1:69" ht="16" x14ac:dyDescent="0.2">
      <c r="A21" s="133" t="str">
        <f>+'Scheduled Intervals'!A21</f>
        <v>Takeuchi TL 8/10/12</v>
      </c>
      <c r="B21" s="157">
        <v>77.114000000000004</v>
      </c>
      <c r="C21" s="145"/>
      <c r="D21" s="145"/>
      <c r="E21" s="145"/>
      <c r="F21" s="146">
        <v>55.82</v>
      </c>
      <c r="G21" s="146"/>
      <c r="H21" s="145">
        <v>7.6</v>
      </c>
      <c r="I21" s="145"/>
      <c r="J21" s="145"/>
      <c r="K21" s="145"/>
      <c r="L21" s="145"/>
      <c r="M21" s="146">
        <v>55.82</v>
      </c>
      <c r="N21" s="145"/>
      <c r="O21" s="145"/>
      <c r="P21" s="159">
        <v>30.44</v>
      </c>
      <c r="Q21" s="148"/>
      <c r="R21" s="149"/>
      <c r="S21" s="149"/>
      <c r="T21" s="151"/>
      <c r="U21" s="157">
        <v>77.114000000000004</v>
      </c>
      <c r="V21" s="154">
        <v>66.150000000000006</v>
      </c>
      <c r="W21" s="153"/>
      <c r="X21" s="153">
        <v>20.94</v>
      </c>
      <c r="Y21" s="153"/>
      <c r="Z21" s="153">
        <v>24.47</v>
      </c>
      <c r="AA21" s="153"/>
      <c r="AB21" s="153"/>
      <c r="AC21" s="153"/>
      <c r="AD21" s="153"/>
      <c r="AE21" s="154"/>
      <c r="AF21" s="153"/>
      <c r="AG21" s="154">
        <v>59.12</v>
      </c>
      <c r="AH21" s="154">
        <v>24.35</v>
      </c>
      <c r="AI21" s="154">
        <v>540.29999999999995</v>
      </c>
      <c r="AJ21" s="153"/>
      <c r="AK21" s="153"/>
      <c r="AL21" s="154">
        <v>24.84</v>
      </c>
      <c r="AM21" s="153"/>
      <c r="AN21" s="153"/>
      <c r="AO21" s="153"/>
      <c r="AP21" s="153"/>
      <c r="AQ21" s="153"/>
      <c r="AR21" s="153"/>
      <c r="AS21" s="153"/>
      <c r="AT21" s="153">
        <v>7.6</v>
      </c>
      <c r="AU21" s="153"/>
      <c r="AV21" s="153"/>
      <c r="AW21" s="154">
        <v>108.23</v>
      </c>
      <c r="AX21" s="153"/>
      <c r="AY21" s="153"/>
      <c r="AZ21" s="153"/>
      <c r="BA21" s="153"/>
      <c r="BB21" s="153">
        <v>64.16</v>
      </c>
      <c r="BC21" s="153"/>
      <c r="BD21" s="153"/>
      <c r="BE21" s="153"/>
      <c r="BF21" s="153"/>
      <c r="BG21" s="153"/>
      <c r="BH21" s="154">
        <v>43.08</v>
      </c>
      <c r="BI21" s="153"/>
      <c r="BJ21" s="153"/>
      <c r="BK21" s="153"/>
      <c r="BL21" s="153"/>
      <c r="BM21" s="153"/>
      <c r="BN21" s="157">
        <v>77.114000000000004</v>
      </c>
      <c r="BO21" s="153">
        <v>7.6</v>
      </c>
      <c r="BP21" s="179"/>
      <c r="BQ21" s="133"/>
    </row>
    <row r="22" spans="1:69" ht="16" x14ac:dyDescent="0.2">
      <c r="A22" s="133" t="str">
        <f>+'Scheduled Intervals'!A22</f>
        <v>Takeuchi 228-235-250</v>
      </c>
      <c r="B22" s="160">
        <v>77.11</v>
      </c>
      <c r="C22" s="145"/>
      <c r="D22" s="145"/>
      <c r="E22" s="145"/>
      <c r="F22" s="145"/>
      <c r="G22" s="145"/>
      <c r="H22" s="145">
        <v>7.6</v>
      </c>
      <c r="I22" s="145"/>
      <c r="J22" s="145"/>
      <c r="K22" s="145"/>
      <c r="L22" s="145"/>
      <c r="M22" s="145"/>
      <c r="N22" s="145"/>
      <c r="O22" s="145"/>
      <c r="P22" s="147"/>
      <c r="Q22" s="155">
        <v>83.47</v>
      </c>
      <c r="R22" s="150">
        <v>12.42</v>
      </c>
      <c r="S22" s="149"/>
      <c r="T22" s="151"/>
      <c r="U22" s="160">
        <v>40.909999999999997</v>
      </c>
      <c r="V22" s="153"/>
      <c r="W22" s="153"/>
      <c r="X22" s="154">
        <v>16.829999999999998</v>
      </c>
      <c r="Y22" s="153"/>
      <c r="Z22" s="154">
        <v>35.43</v>
      </c>
      <c r="AA22" s="153"/>
      <c r="AB22" s="154">
        <v>449.45</v>
      </c>
      <c r="AC22" s="153"/>
      <c r="AD22" s="153"/>
      <c r="AE22" s="153"/>
      <c r="AF22" s="154">
        <v>13.73</v>
      </c>
      <c r="AG22" s="154">
        <v>59.12</v>
      </c>
      <c r="AH22" s="154">
        <v>24.35</v>
      </c>
      <c r="AI22" s="153"/>
      <c r="AJ22" s="154">
        <v>12.42</v>
      </c>
      <c r="AK22" s="153"/>
      <c r="AL22" s="153"/>
      <c r="AM22" s="153"/>
      <c r="AN22" s="153"/>
      <c r="AO22" s="153"/>
      <c r="AP22" s="153"/>
      <c r="AQ22" s="153"/>
      <c r="AR22" s="153"/>
      <c r="AS22" s="153"/>
      <c r="AT22" s="153">
        <v>7.6</v>
      </c>
      <c r="AU22" s="153"/>
      <c r="AV22" s="153"/>
      <c r="AW22" s="154">
        <v>108.23</v>
      </c>
      <c r="AX22" s="153"/>
      <c r="AY22" s="153"/>
      <c r="AZ22" s="153"/>
      <c r="BA22" s="153"/>
      <c r="BB22" s="154">
        <v>11.22</v>
      </c>
      <c r="BC22" s="154">
        <v>10.65</v>
      </c>
      <c r="BD22" s="153"/>
      <c r="BE22" s="153"/>
      <c r="BF22" s="153"/>
      <c r="BG22" s="153"/>
      <c r="BH22" s="154">
        <v>21.54</v>
      </c>
      <c r="BI22" s="153"/>
      <c r="BJ22" s="153"/>
      <c r="BK22" s="153"/>
      <c r="BL22" s="153"/>
      <c r="BM22" s="153"/>
      <c r="BN22" s="160">
        <v>40.909999999999997</v>
      </c>
      <c r="BO22" s="153">
        <v>7.6</v>
      </c>
      <c r="BP22" s="179"/>
      <c r="BQ22" s="133"/>
    </row>
    <row r="23" spans="1:69" ht="16" x14ac:dyDescent="0.2">
      <c r="A23" s="133" t="str">
        <f>+'Scheduled Intervals'!A23</f>
        <v>Takeuchi 260</v>
      </c>
      <c r="B23" s="160">
        <v>77.11</v>
      </c>
      <c r="C23" s="145"/>
      <c r="D23" s="145"/>
      <c r="E23" s="145"/>
      <c r="F23" s="145"/>
      <c r="G23" s="145"/>
      <c r="H23" s="145">
        <v>7.6</v>
      </c>
      <c r="I23" s="145"/>
      <c r="J23" s="145"/>
      <c r="K23" s="145"/>
      <c r="L23" s="146"/>
      <c r="M23" s="146"/>
      <c r="N23" s="145"/>
      <c r="O23" s="145"/>
      <c r="P23" s="159"/>
      <c r="Q23" s="155">
        <v>86.26</v>
      </c>
      <c r="R23" s="150">
        <v>12.42</v>
      </c>
      <c r="S23" s="149"/>
      <c r="T23" s="151"/>
      <c r="U23" s="160">
        <v>40.43</v>
      </c>
      <c r="V23" s="153"/>
      <c r="W23" s="153"/>
      <c r="X23" s="154">
        <v>37.520000000000003</v>
      </c>
      <c r="Y23" s="153"/>
      <c r="Z23" s="154">
        <v>37.92</v>
      </c>
      <c r="AA23" s="153"/>
      <c r="AB23" s="154">
        <v>427.2</v>
      </c>
      <c r="AC23" s="153"/>
      <c r="AD23" s="153"/>
      <c r="AE23" s="153"/>
      <c r="AF23" s="154">
        <v>16.149999999999999</v>
      </c>
      <c r="AG23" s="154">
        <v>55.82</v>
      </c>
      <c r="AH23" s="154">
        <v>30.44</v>
      </c>
      <c r="AI23" s="153"/>
      <c r="AJ23" s="153"/>
      <c r="AK23" s="153"/>
      <c r="AL23" s="154">
        <v>12.42</v>
      </c>
      <c r="AM23" s="153"/>
      <c r="AN23" s="153"/>
      <c r="AO23" s="153"/>
      <c r="AP23" s="153"/>
      <c r="AQ23" s="153"/>
      <c r="AR23" s="153"/>
      <c r="AS23" s="153"/>
      <c r="AT23" s="153">
        <v>7.6</v>
      </c>
      <c r="AU23" s="153"/>
      <c r="AV23" s="153"/>
      <c r="AW23" s="154">
        <v>25.31</v>
      </c>
      <c r="AX23" s="153"/>
      <c r="AY23" s="153"/>
      <c r="AZ23" s="153"/>
      <c r="BA23" s="153"/>
      <c r="BB23" s="154">
        <v>18.239999999999998</v>
      </c>
      <c r="BC23" s="154">
        <v>72.400000000000006</v>
      </c>
      <c r="BD23" s="153"/>
      <c r="BE23" s="153"/>
      <c r="BF23" s="153"/>
      <c r="BG23" s="153"/>
      <c r="BH23" s="154">
        <v>32.31</v>
      </c>
      <c r="BI23" s="153"/>
      <c r="BJ23" s="153"/>
      <c r="BK23" s="153"/>
      <c r="BL23" s="153"/>
      <c r="BM23" s="153"/>
      <c r="BN23" s="160">
        <v>40.43</v>
      </c>
      <c r="BO23" s="153">
        <v>7.6</v>
      </c>
      <c r="BP23" s="179"/>
      <c r="BQ23" s="133"/>
    </row>
    <row r="24" spans="1:69" ht="16" x14ac:dyDescent="0.2">
      <c r="A24" s="133" t="str">
        <f>+'Scheduled Intervals'!A24</f>
        <v>Takeuchi 335</v>
      </c>
      <c r="B24" s="157">
        <v>77.11</v>
      </c>
      <c r="C24" s="145"/>
      <c r="D24" s="145"/>
      <c r="E24" s="145"/>
      <c r="F24" s="145"/>
      <c r="G24" s="145"/>
      <c r="H24" s="145">
        <v>7.6</v>
      </c>
      <c r="I24" s="145"/>
      <c r="J24" s="145"/>
      <c r="K24" s="145"/>
      <c r="L24" s="145"/>
      <c r="M24" s="145"/>
      <c r="N24" s="145"/>
      <c r="O24" s="145"/>
      <c r="P24" s="147"/>
      <c r="Q24" s="155">
        <v>83.47</v>
      </c>
      <c r="R24" s="149"/>
      <c r="S24" s="149"/>
      <c r="T24" s="151"/>
      <c r="U24" s="157">
        <v>77.11</v>
      </c>
      <c r="V24" s="153"/>
      <c r="W24" s="153"/>
      <c r="X24" s="154">
        <v>17.77</v>
      </c>
      <c r="Y24" s="153"/>
      <c r="Z24" s="154">
        <v>13.86</v>
      </c>
      <c r="AA24" s="153"/>
      <c r="AB24" s="154">
        <v>293.7</v>
      </c>
      <c r="AC24" s="153"/>
      <c r="AD24" s="153"/>
      <c r="AE24" s="153"/>
      <c r="AF24" s="154">
        <v>16.149999999999999</v>
      </c>
      <c r="AG24" s="153">
        <v>55.27</v>
      </c>
      <c r="AH24" s="154">
        <v>24.35</v>
      </c>
      <c r="AI24" s="153"/>
      <c r="AJ24" s="153"/>
      <c r="AK24" s="153"/>
      <c r="AL24" s="153"/>
      <c r="AM24" s="153"/>
      <c r="AN24" s="153"/>
      <c r="AO24" s="153"/>
      <c r="AP24" s="153"/>
      <c r="AQ24" s="153"/>
      <c r="AR24" s="153"/>
      <c r="AS24" s="153"/>
      <c r="AT24" s="153">
        <v>7.6</v>
      </c>
      <c r="AU24" s="153"/>
      <c r="AV24" s="153"/>
      <c r="AW24" s="154">
        <v>108.23</v>
      </c>
      <c r="AX24" s="153"/>
      <c r="AY24" s="153"/>
      <c r="AZ24" s="153">
        <v>23.12</v>
      </c>
      <c r="BA24" s="153"/>
      <c r="BB24" s="153">
        <v>18.11</v>
      </c>
      <c r="BC24" s="153">
        <v>34.17</v>
      </c>
      <c r="BD24" s="153"/>
      <c r="BE24" s="153"/>
      <c r="BF24" s="153"/>
      <c r="BG24" s="153"/>
      <c r="BH24" s="154">
        <v>32.31</v>
      </c>
      <c r="BI24" s="153"/>
      <c r="BJ24" s="153"/>
      <c r="BK24" s="153"/>
      <c r="BL24" s="153"/>
      <c r="BM24" s="153"/>
      <c r="BN24" s="157">
        <v>77.11</v>
      </c>
      <c r="BO24" s="153">
        <v>7.6</v>
      </c>
      <c r="BP24" s="179"/>
      <c r="BQ24" s="133"/>
    </row>
    <row r="25" spans="1:69" ht="16" x14ac:dyDescent="0.2">
      <c r="A25" s="133" t="str">
        <f>+'Scheduled Intervals'!A25</f>
        <v>Sany SY up to 35</v>
      </c>
      <c r="B25" s="160">
        <v>47.05</v>
      </c>
      <c r="C25" s="145"/>
      <c r="D25" s="145"/>
      <c r="E25" s="145"/>
      <c r="F25" s="146"/>
      <c r="G25" s="146"/>
      <c r="H25" s="145">
        <v>7.6</v>
      </c>
      <c r="I25" s="145"/>
      <c r="J25" s="145"/>
      <c r="K25" s="146"/>
      <c r="L25" s="145"/>
      <c r="M25" s="146"/>
      <c r="N25" s="145"/>
      <c r="O25" s="146"/>
      <c r="P25" s="159"/>
      <c r="Q25" s="155">
        <v>75.739999999999995</v>
      </c>
      <c r="R25" s="150">
        <v>12.42</v>
      </c>
      <c r="S25" s="150"/>
      <c r="T25" s="151"/>
      <c r="U25" s="160">
        <v>47.05</v>
      </c>
      <c r="V25" s="154"/>
      <c r="W25" s="153"/>
      <c r="X25" s="154">
        <v>17.14</v>
      </c>
      <c r="Y25" s="153"/>
      <c r="Z25" s="154">
        <v>19.75</v>
      </c>
      <c r="AA25" s="153"/>
      <c r="AB25" s="153"/>
      <c r="AC25" s="153"/>
      <c r="AD25" s="154"/>
      <c r="AE25" s="153"/>
      <c r="AF25" s="154">
        <v>22.51</v>
      </c>
      <c r="AG25" s="154">
        <v>75.739999999999995</v>
      </c>
      <c r="AH25" s="154">
        <v>17.22</v>
      </c>
      <c r="AI25" s="154">
        <v>191.35</v>
      </c>
      <c r="AJ25" s="153"/>
      <c r="AK25" s="154">
        <v>12.42</v>
      </c>
      <c r="AL25" s="153"/>
      <c r="AM25" s="153"/>
      <c r="AN25" s="153"/>
      <c r="AO25" s="153"/>
      <c r="AP25" s="153"/>
      <c r="AQ25" s="153"/>
      <c r="AR25" s="153"/>
      <c r="AS25" s="154"/>
      <c r="AT25" s="153">
        <v>7.6</v>
      </c>
      <c r="AU25" s="153"/>
      <c r="AV25" s="153"/>
      <c r="AW25" s="153"/>
      <c r="AX25" s="153"/>
      <c r="AY25" s="153"/>
      <c r="AZ25" s="154"/>
      <c r="BA25" s="153"/>
      <c r="BB25" s="154">
        <v>37.07</v>
      </c>
      <c r="BC25" s="154"/>
      <c r="BD25" s="153"/>
      <c r="BE25" s="153"/>
      <c r="BF25" s="153"/>
      <c r="BG25" s="153"/>
      <c r="BH25" s="154">
        <v>21.54</v>
      </c>
      <c r="BI25" s="153"/>
      <c r="BJ25" s="153"/>
      <c r="BK25" s="153"/>
      <c r="BL25" s="153"/>
      <c r="BM25" s="153"/>
      <c r="BN25" s="160">
        <v>47.05</v>
      </c>
      <c r="BO25" s="153">
        <v>7.6</v>
      </c>
      <c r="BP25" s="179"/>
      <c r="BQ25" s="133"/>
    </row>
    <row r="26" spans="1:69" ht="16" x14ac:dyDescent="0.2">
      <c r="A26" s="133" t="str">
        <f>+'Scheduled Intervals'!A26</f>
        <v>Sany SY up to 60</v>
      </c>
      <c r="B26" s="160">
        <v>55.35</v>
      </c>
      <c r="C26" s="145"/>
      <c r="D26" s="145"/>
      <c r="E26" s="145"/>
      <c r="F26" s="146"/>
      <c r="G26" s="146"/>
      <c r="H26" s="146">
        <v>7.6</v>
      </c>
      <c r="I26" s="145"/>
      <c r="J26" s="145"/>
      <c r="K26" s="146"/>
      <c r="L26" s="145"/>
      <c r="M26" s="146"/>
      <c r="N26" s="145"/>
      <c r="O26" s="146"/>
      <c r="P26" s="159"/>
      <c r="Q26" s="155">
        <v>75.739999999999995</v>
      </c>
      <c r="R26" s="150">
        <v>12.42</v>
      </c>
      <c r="S26" s="149"/>
      <c r="T26" s="151"/>
      <c r="U26" s="156">
        <v>55.35</v>
      </c>
      <c r="V26" s="154"/>
      <c r="W26" s="153"/>
      <c r="X26" s="154">
        <v>54.61</v>
      </c>
      <c r="Y26" s="153"/>
      <c r="Z26" s="154">
        <v>19.75</v>
      </c>
      <c r="AA26" s="153"/>
      <c r="AB26" s="153"/>
      <c r="AC26" s="153"/>
      <c r="AD26" s="154"/>
      <c r="AE26" s="154"/>
      <c r="AF26" s="154">
        <v>22.51</v>
      </c>
      <c r="AG26" s="154">
        <v>75.739999999999995</v>
      </c>
      <c r="AH26" s="154">
        <v>17.22</v>
      </c>
      <c r="AI26" s="154">
        <v>452.45</v>
      </c>
      <c r="AJ26" s="153"/>
      <c r="AK26" s="154">
        <v>12.42</v>
      </c>
      <c r="AL26" s="153"/>
      <c r="AM26" s="153"/>
      <c r="AN26" s="153"/>
      <c r="AO26" s="153"/>
      <c r="AP26" s="153"/>
      <c r="AQ26" s="153"/>
      <c r="AR26" s="153"/>
      <c r="AS26" s="154"/>
      <c r="AT26" s="154">
        <v>7.6</v>
      </c>
      <c r="AU26" s="153"/>
      <c r="AV26" s="153"/>
      <c r="AW26" s="153"/>
      <c r="AX26" s="153"/>
      <c r="AY26" s="153"/>
      <c r="AZ26" s="154"/>
      <c r="BA26" s="153"/>
      <c r="BB26" s="154">
        <v>37.07</v>
      </c>
      <c r="BC26" s="154"/>
      <c r="BD26" s="153"/>
      <c r="BE26" s="153"/>
      <c r="BF26" s="153"/>
      <c r="BG26" s="153"/>
      <c r="BH26" s="154">
        <v>21.54</v>
      </c>
      <c r="BI26" s="153"/>
      <c r="BJ26" s="153"/>
      <c r="BK26" s="153"/>
      <c r="BL26" s="153"/>
      <c r="BM26" s="153"/>
      <c r="BN26" s="156">
        <v>55.35</v>
      </c>
      <c r="BO26" s="154">
        <v>7.6</v>
      </c>
      <c r="BP26" s="179"/>
      <c r="BQ26" s="133"/>
    </row>
    <row r="27" spans="1:69" ht="16" x14ac:dyDescent="0.2">
      <c r="A27" s="133" t="str">
        <f>+'Scheduled Intervals'!A27</f>
        <v>Sany SY up to 155</v>
      </c>
      <c r="B27" s="160">
        <v>80.25</v>
      </c>
      <c r="C27" s="145"/>
      <c r="D27" s="145"/>
      <c r="E27" s="145"/>
      <c r="F27" s="146"/>
      <c r="G27" s="146"/>
      <c r="H27" s="146">
        <v>7.6</v>
      </c>
      <c r="I27" s="145"/>
      <c r="J27" s="145"/>
      <c r="K27" s="146"/>
      <c r="L27" s="145"/>
      <c r="M27" s="146"/>
      <c r="N27" s="145"/>
      <c r="O27" s="146"/>
      <c r="P27" s="159"/>
      <c r="Q27" s="155">
        <v>75.739999999999995</v>
      </c>
      <c r="R27" s="150"/>
      <c r="S27" s="150"/>
      <c r="T27" s="151"/>
      <c r="U27" s="156">
        <v>80.25</v>
      </c>
      <c r="V27" s="154"/>
      <c r="W27" s="153"/>
      <c r="X27" s="154"/>
      <c r="Y27" s="153"/>
      <c r="Z27" s="154">
        <v>19.75</v>
      </c>
      <c r="AA27" s="154"/>
      <c r="AB27" s="153"/>
      <c r="AC27" s="153"/>
      <c r="AD27" s="154"/>
      <c r="AE27" s="153"/>
      <c r="AF27" s="154">
        <v>22.51</v>
      </c>
      <c r="AG27" s="154">
        <v>75.739999999999995</v>
      </c>
      <c r="AH27" s="154">
        <v>17.22</v>
      </c>
      <c r="AI27" s="154">
        <v>536.97</v>
      </c>
      <c r="AJ27" s="153"/>
      <c r="AK27" s="154">
        <v>37.32</v>
      </c>
      <c r="AL27" s="153"/>
      <c r="AM27" s="153"/>
      <c r="AN27" s="153"/>
      <c r="AO27" s="153"/>
      <c r="AP27" s="153"/>
      <c r="AQ27" s="153"/>
      <c r="AR27" s="153"/>
      <c r="AS27" s="154"/>
      <c r="AT27" s="154">
        <v>7.6</v>
      </c>
      <c r="AU27" s="153"/>
      <c r="AV27" s="153"/>
      <c r="AW27" s="153"/>
      <c r="AX27" s="153"/>
      <c r="AY27" s="153"/>
      <c r="AZ27" s="154"/>
      <c r="BA27" s="153"/>
      <c r="BB27" s="154">
        <v>120.91</v>
      </c>
      <c r="BC27" s="154"/>
      <c r="BD27" s="153"/>
      <c r="BE27" s="153"/>
      <c r="BF27" s="153"/>
      <c r="BG27" s="153"/>
      <c r="BH27" s="154">
        <v>64.62</v>
      </c>
      <c r="BI27" s="153"/>
      <c r="BJ27" s="153"/>
      <c r="BK27" s="154">
        <v>239.84</v>
      </c>
      <c r="BL27" s="153"/>
      <c r="BM27" s="153"/>
      <c r="BN27" s="156">
        <v>80.25</v>
      </c>
      <c r="BO27" s="154">
        <v>7.6</v>
      </c>
      <c r="BP27" s="179"/>
      <c r="BQ27" s="133"/>
    </row>
    <row r="28" spans="1:69" ht="16" x14ac:dyDescent="0.2">
      <c r="A28" s="133" t="str">
        <f>+'Scheduled Intervals'!A28</f>
        <v>Sany SY up to 215</v>
      </c>
      <c r="B28" s="160">
        <v>134.19999999999999</v>
      </c>
      <c r="C28" s="145"/>
      <c r="D28" s="145"/>
      <c r="E28" s="145"/>
      <c r="F28" s="146"/>
      <c r="G28" s="146"/>
      <c r="H28" s="146">
        <v>7.6</v>
      </c>
      <c r="I28" s="145"/>
      <c r="J28" s="145"/>
      <c r="K28" s="146"/>
      <c r="L28" s="145"/>
      <c r="M28" s="146"/>
      <c r="N28" s="145"/>
      <c r="O28" s="146"/>
      <c r="P28" s="159"/>
      <c r="Q28" s="155">
        <v>75.739999999999995</v>
      </c>
      <c r="R28" s="150">
        <v>17.22</v>
      </c>
      <c r="S28" s="150"/>
      <c r="T28" s="151"/>
      <c r="U28" s="156">
        <v>134.19999999999999</v>
      </c>
      <c r="V28" s="154"/>
      <c r="W28" s="153"/>
      <c r="X28" s="153"/>
      <c r="Y28" s="153"/>
      <c r="Z28" s="154">
        <v>92.12</v>
      </c>
      <c r="AA28" s="153"/>
      <c r="AB28" s="153"/>
      <c r="AC28" s="153"/>
      <c r="AD28" s="154"/>
      <c r="AE28" s="153"/>
      <c r="AF28" s="154">
        <v>22.51</v>
      </c>
      <c r="AG28" s="154">
        <v>75.739999999999995</v>
      </c>
      <c r="AH28" s="154">
        <v>17.22</v>
      </c>
      <c r="AI28" s="154">
        <v>1076.9000000000001</v>
      </c>
      <c r="AJ28" s="154">
        <v>62.2</v>
      </c>
      <c r="AK28" s="153"/>
      <c r="AL28" s="153"/>
      <c r="AM28" s="153"/>
      <c r="AN28" s="153"/>
      <c r="AO28" s="153"/>
      <c r="AP28" s="153"/>
      <c r="AQ28" s="153"/>
      <c r="AR28" s="153"/>
      <c r="AS28" s="154"/>
      <c r="AT28" s="154">
        <v>7.6</v>
      </c>
      <c r="AU28" s="153"/>
      <c r="AV28" s="153"/>
      <c r="AW28" s="153"/>
      <c r="AX28" s="153"/>
      <c r="AY28" s="153"/>
      <c r="AZ28" s="154"/>
      <c r="BA28" s="153"/>
      <c r="BB28" s="154">
        <v>120.91</v>
      </c>
      <c r="BC28" s="154"/>
      <c r="BD28" s="153"/>
      <c r="BE28" s="153"/>
      <c r="BF28" s="153"/>
      <c r="BG28" s="153"/>
      <c r="BH28" s="154">
        <v>86.16</v>
      </c>
      <c r="BI28" s="153"/>
      <c r="BJ28" s="153"/>
      <c r="BK28" s="154">
        <v>341.55</v>
      </c>
      <c r="BL28" s="153"/>
      <c r="BM28" s="153"/>
      <c r="BN28" s="156">
        <v>134.19999999999999</v>
      </c>
      <c r="BO28" s="154">
        <v>7.6</v>
      </c>
      <c r="BP28" s="179"/>
      <c r="BQ28" s="133"/>
    </row>
    <row r="29" spans="1:69" ht="16" x14ac:dyDescent="0.2">
      <c r="A29" s="133" t="str">
        <f>+'Scheduled Intervals'!A29</f>
        <v>Sany SY up to 500</v>
      </c>
      <c r="B29" s="160">
        <v>168.64</v>
      </c>
      <c r="C29" s="145"/>
      <c r="D29" s="145"/>
      <c r="E29" s="145"/>
      <c r="F29" s="146"/>
      <c r="G29" s="146"/>
      <c r="H29" s="146">
        <v>7.6</v>
      </c>
      <c r="I29" s="145"/>
      <c r="J29" s="145"/>
      <c r="K29" s="146"/>
      <c r="L29" s="145"/>
      <c r="M29" s="146"/>
      <c r="N29" s="145"/>
      <c r="O29" s="146"/>
      <c r="P29" s="159"/>
      <c r="Q29" s="155">
        <v>75.739999999999995</v>
      </c>
      <c r="R29" s="150">
        <v>27.25</v>
      </c>
      <c r="S29" s="150"/>
      <c r="T29" s="151"/>
      <c r="U29" s="156">
        <v>168.64</v>
      </c>
      <c r="V29" s="154"/>
      <c r="W29" s="153"/>
      <c r="X29" s="154"/>
      <c r="Y29" s="153"/>
      <c r="Z29" s="154">
        <v>54.61</v>
      </c>
      <c r="AA29" s="153"/>
      <c r="AB29" s="153"/>
      <c r="AC29" s="153"/>
      <c r="AD29" s="154"/>
      <c r="AE29" s="153"/>
      <c r="AF29" s="154">
        <v>54.24</v>
      </c>
      <c r="AG29" s="154">
        <v>75.739999999999995</v>
      </c>
      <c r="AH29" s="154">
        <v>17.22</v>
      </c>
      <c r="AI29" s="154">
        <v>1629.25</v>
      </c>
      <c r="AJ29" s="154">
        <v>31.1</v>
      </c>
      <c r="AK29" s="153"/>
      <c r="AL29" s="153"/>
      <c r="AM29" s="153"/>
      <c r="AN29" s="153"/>
      <c r="AO29" s="153"/>
      <c r="AP29" s="153"/>
      <c r="AQ29" s="153"/>
      <c r="AR29" s="153"/>
      <c r="AS29" s="154"/>
      <c r="AT29" s="154">
        <v>7.6</v>
      </c>
      <c r="AU29" s="153"/>
      <c r="AV29" s="153"/>
      <c r="AW29" s="153"/>
      <c r="AX29" s="153"/>
      <c r="AY29" s="153"/>
      <c r="AZ29" s="154"/>
      <c r="BA29" s="153"/>
      <c r="BB29" s="154">
        <v>242.31</v>
      </c>
      <c r="BC29" s="154">
        <v>116.26</v>
      </c>
      <c r="BD29" s="153"/>
      <c r="BE29" s="153"/>
      <c r="BF29" s="153"/>
      <c r="BG29" s="153"/>
      <c r="BH29" s="154">
        <v>140.01</v>
      </c>
      <c r="BI29" s="153"/>
      <c r="BJ29" s="153"/>
      <c r="BK29" s="154">
        <v>467.21</v>
      </c>
      <c r="BL29" s="153"/>
      <c r="BM29" s="154">
        <v>74.64</v>
      </c>
      <c r="BN29" s="156">
        <v>168.64</v>
      </c>
      <c r="BO29" s="154">
        <v>7.6</v>
      </c>
      <c r="BP29" s="179"/>
      <c r="BQ29" s="133"/>
    </row>
    <row r="30" spans="1:69" ht="16" x14ac:dyDescent="0.2">
      <c r="A30" s="133" t="str">
        <f>+'Scheduled Intervals'!A30</f>
        <v>Sany SW up to 305</v>
      </c>
      <c r="B30" s="160">
        <v>97.68</v>
      </c>
      <c r="C30" s="145"/>
      <c r="D30" s="145"/>
      <c r="E30" s="146">
        <v>284.24</v>
      </c>
      <c r="F30" s="146"/>
      <c r="G30" s="146"/>
      <c r="H30" s="146">
        <v>7.6</v>
      </c>
      <c r="I30" s="145"/>
      <c r="J30" s="145"/>
      <c r="K30" s="146">
        <v>166.7</v>
      </c>
      <c r="L30" s="145"/>
      <c r="M30" s="146">
        <v>75.739999999999995</v>
      </c>
      <c r="N30" s="146">
        <v>460.28</v>
      </c>
      <c r="O30" s="145"/>
      <c r="P30" s="159"/>
      <c r="Q30" s="155"/>
      <c r="R30" s="149"/>
      <c r="S30" s="150"/>
      <c r="T30" s="151"/>
      <c r="U30" s="156">
        <v>97.68</v>
      </c>
      <c r="V30" s="154"/>
      <c r="W30" s="153"/>
      <c r="X30" s="154"/>
      <c r="Y30" s="153"/>
      <c r="Z30" s="154">
        <v>166.7</v>
      </c>
      <c r="AA30" s="153"/>
      <c r="AB30" s="154">
        <v>195.8</v>
      </c>
      <c r="AC30" s="154">
        <v>84.44</v>
      </c>
      <c r="AD30" s="154"/>
      <c r="AE30" s="154"/>
      <c r="AF30" s="154">
        <v>18.36</v>
      </c>
      <c r="AG30" s="154">
        <v>75.739999999999995</v>
      </c>
      <c r="AH30" s="154">
        <v>7.78</v>
      </c>
      <c r="AI30" s="154">
        <v>657.12</v>
      </c>
      <c r="AJ30" s="154">
        <v>460.28</v>
      </c>
      <c r="AK30" s="154"/>
      <c r="AL30" s="154"/>
      <c r="AM30" s="153"/>
      <c r="AN30" s="153"/>
      <c r="AO30" s="153"/>
      <c r="AP30" s="153"/>
      <c r="AQ30" s="153"/>
      <c r="AR30" s="153"/>
      <c r="AS30" s="154"/>
      <c r="AT30" s="154">
        <v>7.6</v>
      </c>
      <c r="AU30" s="153"/>
      <c r="AV30" s="153"/>
      <c r="AW30" s="153"/>
      <c r="AX30" s="153"/>
      <c r="AY30" s="153"/>
      <c r="AZ30" s="154"/>
      <c r="BA30" s="153"/>
      <c r="BB30" s="154">
        <v>221.04</v>
      </c>
      <c r="BC30" s="154">
        <v>169.55</v>
      </c>
      <c r="BD30" s="153"/>
      <c r="BE30" s="153"/>
      <c r="BF30" s="153"/>
      <c r="BG30" s="153"/>
      <c r="BH30" s="154">
        <v>96.93</v>
      </c>
      <c r="BI30" s="153"/>
      <c r="BJ30" s="153"/>
      <c r="BK30" s="154">
        <v>411.72</v>
      </c>
      <c r="BL30" s="154">
        <v>188.21</v>
      </c>
      <c r="BM30" s="153"/>
      <c r="BN30" s="156">
        <v>97.68</v>
      </c>
      <c r="BO30" s="154">
        <v>7.6</v>
      </c>
      <c r="BP30" s="179"/>
      <c r="BQ30" s="133"/>
    </row>
    <row r="31" spans="1:69" ht="16" x14ac:dyDescent="0.2">
      <c r="A31" s="133" t="str">
        <f>+'Scheduled Intervals'!A31</f>
        <v>SCL - DIESEL</v>
      </c>
      <c r="B31" s="160">
        <v>30.85</v>
      </c>
      <c r="C31" s="145"/>
      <c r="D31" s="145"/>
      <c r="E31" s="145"/>
      <c r="F31" s="146">
        <v>18.59</v>
      </c>
      <c r="G31" s="145"/>
      <c r="H31" s="145">
        <v>7.6</v>
      </c>
      <c r="I31" s="145"/>
      <c r="J31" s="145"/>
      <c r="K31" s="145"/>
      <c r="L31" s="145"/>
      <c r="M31" s="145"/>
      <c r="N31" s="145"/>
      <c r="O31" s="145"/>
      <c r="P31" s="147"/>
      <c r="Q31" s="148"/>
      <c r="R31" s="149"/>
      <c r="S31" s="149"/>
      <c r="T31" s="151"/>
      <c r="U31" s="160">
        <v>30.85</v>
      </c>
      <c r="V31" s="153"/>
      <c r="W31" s="153"/>
      <c r="X31" s="154">
        <v>36.35</v>
      </c>
      <c r="Y31" s="153"/>
      <c r="Z31" s="154">
        <v>18.18</v>
      </c>
      <c r="AA31" s="153"/>
      <c r="AB31" s="154">
        <v>57.85</v>
      </c>
      <c r="AC31" s="154">
        <v>36.19</v>
      </c>
      <c r="AD31" s="153"/>
      <c r="AE31" s="154">
        <v>18.59</v>
      </c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  <c r="AT31" s="153">
        <v>7.6</v>
      </c>
      <c r="AU31" s="153"/>
      <c r="AV31" s="153"/>
      <c r="AW31" s="154">
        <v>85.4</v>
      </c>
      <c r="AX31" s="153"/>
      <c r="AY31" s="153"/>
      <c r="AZ31" s="153"/>
      <c r="BA31" s="153"/>
      <c r="BB31" s="154">
        <v>21.18</v>
      </c>
      <c r="BC31" s="154">
        <v>16.25</v>
      </c>
      <c r="BD31" s="153"/>
      <c r="BE31" s="153"/>
      <c r="BF31" s="153"/>
      <c r="BG31" s="153"/>
      <c r="BH31" s="154">
        <v>21.54</v>
      </c>
      <c r="BI31" s="153"/>
      <c r="BJ31" s="153"/>
      <c r="BK31" s="153"/>
      <c r="BL31" s="153"/>
      <c r="BM31" s="153"/>
      <c r="BN31" s="160">
        <v>30.85</v>
      </c>
      <c r="BO31" s="153">
        <v>7.6</v>
      </c>
      <c r="BP31" s="179"/>
      <c r="BQ31" s="133"/>
    </row>
    <row r="32" spans="1:69" ht="16" x14ac:dyDescent="0.2">
      <c r="A32" s="133" t="str">
        <f>+'Scheduled Intervals'!A32</f>
        <v>SCL -  Gas</v>
      </c>
      <c r="B32" s="160">
        <v>19.25</v>
      </c>
      <c r="C32" s="145"/>
      <c r="D32" s="145"/>
      <c r="E32" s="145"/>
      <c r="F32" s="145"/>
      <c r="G32" s="145"/>
      <c r="H32" s="145">
        <v>7.6</v>
      </c>
      <c r="I32" s="145"/>
      <c r="J32" s="145"/>
      <c r="K32" s="145"/>
      <c r="L32" s="145"/>
      <c r="M32" s="145"/>
      <c r="N32" s="145"/>
      <c r="O32" s="145"/>
      <c r="P32" s="147"/>
      <c r="Q32" s="148"/>
      <c r="R32" s="149"/>
      <c r="S32" s="150">
        <v>24.48</v>
      </c>
      <c r="T32" s="151"/>
      <c r="U32" s="160">
        <v>19.25</v>
      </c>
      <c r="V32" s="153"/>
      <c r="W32" s="153"/>
      <c r="X32" s="153"/>
      <c r="Y32" s="153"/>
      <c r="Z32" s="154">
        <v>10.4</v>
      </c>
      <c r="AA32" s="153"/>
      <c r="AB32" s="154">
        <v>13.35</v>
      </c>
      <c r="AC32" s="154">
        <v>11.13</v>
      </c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3"/>
      <c r="AQ32" s="153"/>
      <c r="AR32" s="153"/>
      <c r="AS32" s="153"/>
      <c r="AT32" s="153">
        <v>7.6</v>
      </c>
      <c r="AU32" s="153"/>
      <c r="AV32" s="153"/>
      <c r="AW32" s="153"/>
      <c r="AX32" s="153"/>
      <c r="AY32" s="153"/>
      <c r="AZ32" s="153"/>
      <c r="BA32" s="153"/>
      <c r="BB32" s="154">
        <v>27.09</v>
      </c>
      <c r="BC32" s="153"/>
      <c r="BD32" s="154">
        <v>1.17</v>
      </c>
      <c r="BE32" s="153"/>
      <c r="BF32" s="153"/>
      <c r="BG32" s="153"/>
      <c r="BH32" s="154">
        <v>21.54</v>
      </c>
      <c r="BI32" s="153"/>
      <c r="BJ32" s="153"/>
      <c r="BK32" s="153"/>
      <c r="BL32" s="153"/>
      <c r="BM32" s="153"/>
      <c r="BN32" s="160">
        <v>19.25</v>
      </c>
      <c r="BO32" s="153">
        <v>7.6</v>
      </c>
      <c r="BP32" s="179"/>
      <c r="BQ32" s="133"/>
    </row>
    <row r="33" spans="1:69" ht="16" x14ac:dyDescent="0.2">
      <c r="A33" s="133" t="str">
        <f>+'Scheduled Intervals'!A33</f>
        <v>Mini Excavator</v>
      </c>
      <c r="B33" s="180">
        <v>25.22</v>
      </c>
      <c r="C33" s="181"/>
      <c r="D33" s="181"/>
      <c r="E33" s="181"/>
      <c r="F33" s="182">
        <v>51.04</v>
      </c>
      <c r="G33" s="181"/>
      <c r="H33" s="182">
        <v>7.6</v>
      </c>
      <c r="I33" s="181"/>
      <c r="J33" s="181"/>
      <c r="K33" s="181"/>
      <c r="L33" s="181"/>
      <c r="M33" s="181"/>
      <c r="N33" s="181"/>
      <c r="O33" s="181"/>
      <c r="P33" s="183"/>
      <c r="Q33" s="184"/>
      <c r="R33" s="185"/>
      <c r="S33" s="185"/>
      <c r="T33" s="186"/>
      <c r="U33" s="187">
        <v>25.22</v>
      </c>
      <c r="V33" s="188"/>
      <c r="W33" s="188"/>
      <c r="X33" s="188"/>
      <c r="Y33" s="188"/>
      <c r="Z33" s="189">
        <v>13.72</v>
      </c>
      <c r="AA33" s="188"/>
      <c r="AB33" s="189"/>
      <c r="AC33" s="189"/>
      <c r="AD33" s="188"/>
      <c r="AE33" s="189"/>
      <c r="AF33" s="189">
        <v>10.96</v>
      </c>
      <c r="AG33" s="189">
        <v>51.04</v>
      </c>
      <c r="AH33" s="188"/>
      <c r="AI33" s="189">
        <v>106.8</v>
      </c>
      <c r="AJ33" s="188"/>
      <c r="AK33" s="188"/>
      <c r="AL33" s="189"/>
      <c r="AM33" s="188"/>
      <c r="AN33" s="188"/>
      <c r="AO33" s="188"/>
      <c r="AP33" s="188"/>
      <c r="AQ33" s="188"/>
      <c r="AR33" s="188"/>
      <c r="AS33" s="188"/>
      <c r="AT33" s="189">
        <v>7.6</v>
      </c>
      <c r="AU33" s="188"/>
      <c r="AV33" s="188"/>
      <c r="AW33" s="188"/>
      <c r="AX33" s="188"/>
      <c r="AY33" s="188"/>
      <c r="AZ33" s="188"/>
      <c r="BA33" s="188"/>
      <c r="BB33" s="189">
        <v>22.88</v>
      </c>
      <c r="BC33" s="189">
        <v>18.510000000000002</v>
      </c>
      <c r="BD33" s="188"/>
      <c r="BE33" s="188"/>
      <c r="BF33" s="188"/>
      <c r="BG33" s="188"/>
      <c r="BH33" s="189">
        <v>21.45</v>
      </c>
      <c r="BI33" s="188"/>
      <c r="BJ33" s="188"/>
      <c r="BK33" s="188"/>
      <c r="BL33" s="188"/>
      <c r="BM33" s="188"/>
      <c r="BN33" s="187">
        <v>25.22</v>
      </c>
      <c r="BO33" s="189">
        <v>7.6</v>
      </c>
      <c r="BP33" s="190"/>
      <c r="BQ33" s="133"/>
    </row>
    <row r="34" spans="1:69" ht="16" x14ac:dyDescent="0.2">
      <c r="A34" s="133" t="str">
        <f>+'Scheduled Intervals'!A34</f>
        <v>Sub Compact BX</v>
      </c>
      <c r="B34" s="191">
        <v>45.97</v>
      </c>
      <c r="C34" s="192"/>
      <c r="D34" s="192"/>
      <c r="E34" s="192"/>
      <c r="F34" s="192"/>
      <c r="G34" s="192"/>
      <c r="H34" s="193">
        <v>7.6</v>
      </c>
      <c r="I34" s="192"/>
      <c r="J34" s="192"/>
      <c r="K34" s="192"/>
      <c r="L34" s="192"/>
      <c r="M34" s="192"/>
      <c r="N34" s="192"/>
      <c r="O34" s="192"/>
      <c r="P34" s="194"/>
      <c r="Q34" s="195"/>
      <c r="R34" s="196"/>
      <c r="S34" s="196"/>
      <c r="T34" s="197"/>
      <c r="U34" s="198">
        <v>45.97</v>
      </c>
      <c r="V34" s="199">
        <v>39.14</v>
      </c>
      <c r="W34" s="200"/>
      <c r="X34" s="200"/>
      <c r="Y34" s="200"/>
      <c r="Z34" s="199">
        <v>25.59</v>
      </c>
      <c r="AA34" s="200"/>
      <c r="AB34" s="199">
        <v>191.35</v>
      </c>
      <c r="AC34" s="199">
        <v>37.44</v>
      </c>
      <c r="AD34" s="200"/>
      <c r="AE34" s="199">
        <v>37.44</v>
      </c>
      <c r="AF34" s="200"/>
      <c r="AG34" s="199">
        <v>52.66</v>
      </c>
      <c r="AH34" s="200"/>
      <c r="AI34" s="200"/>
      <c r="AJ34" s="200"/>
      <c r="AK34" s="200"/>
      <c r="AL34" s="199">
        <v>43.54</v>
      </c>
      <c r="AM34" s="200"/>
      <c r="AN34" s="200"/>
      <c r="AO34" s="200"/>
      <c r="AP34" s="200"/>
      <c r="AQ34" s="200"/>
      <c r="AR34" s="200"/>
      <c r="AS34" s="200"/>
      <c r="AT34" s="199">
        <v>7.6</v>
      </c>
      <c r="AU34" s="200"/>
      <c r="AV34" s="200"/>
      <c r="AW34" s="200"/>
      <c r="AX34" s="200"/>
      <c r="AY34" s="200"/>
      <c r="AZ34" s="200"/>
      <c r="BA34" s="200"/>
      <c r="BB34" s="199">
        <v>20.97</v>
      </c>
      <c r="BC34" s="199">
        <v>16.09</v>
      </c>
      <c r="BD34" s="200"/>
      <c r="BE34" s="200"/>
      <c r="BF34" s="200"/>
      <c r="BG34" s="200"/>
      <c r="BH34" s="199">
        <v>21.45</v>
      </c>
      <c r="BI34" s="200"/>
      <c r="BJ34" s="200"/>
      <c r="BK34" s="200"/>
      <c r="BL34" s="200"/>
      <c r="BM34" s="200"/>
      <c r="BN34" s="198">
        <v>45.97</v>
      </c>
      <c r="BO34" s="199">
        <v>7.6</v>
      </c>
      <c r="BP34" s="201"/>
      <c r="BQ34" s="133"/>
    </row>
    <row r="35" spans="1:69" ht="16" x14ac:dyDescent="0.2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3"/>
      <c r="BK35" s="133"/>
      <c r="BL35" s="133"/>
      <c r="BM35" s="133"/>
      <c r="BN35" s="133"/>
      <c r="BO35" s="133"/>
      <c r="BP35" s="133"/>
      <c r="BQ35" s="133"/>
    </row>
    <row r="36" spans="1:69" ht="17.25" customHeight="1" x14ac:dyDescent="0.2"/>
    <row r="37" spans="1:69" ht="16" x14ac:dyDescent="0.2">
      <c r="B37" s="161">
        <f>'Scheduled Intervals'!B4</f>
        <v>50</v>
      </c>
      <c r="C37" s="161">
        <f>'Scheduled Intervals'!C4</f>
        <v>0</v>
      </c>
      <c r="D37" s="161">
        <f>'Scheduled Intervals'!D4</f>
        <v>0</v>
      </c>
      <c r="E37" s="161">
        <f>'Scheduled Intervals'!E4</f>
        <v>0</v>
      </c>
      <c r="F37" s="161">
        <f>'Scheduled Intervals'!F4</f>
        <v>50</v>
      </c>
      <c r="G37" s="161">
        <f>'Scheduled Intervals'!G4</f>
        <v>0</v>
      </c>
      <c r="H37" s="161">
        <f>'Scheduled Intervals'!H4</f>
        <v>50</v>
      </c>
      <c r="I37" s="161">
        <f>'Scheduled Intervals'!I4</f>
        <v>50</v>
      </c>
      <c r="J37" s="161">
        <f>'Scheduled Intervals'!J4</f>
        <v>0</v>
      </c>
      <c r="K37" s="161">
        <f>'Scheduled Intervals'!K4</f>
        <v>0</v>
      </c>
      <c r="L37" s="161">
        <f>'Scheduled Intervals'!L4</f>
        <v>0</v>
      </c>
      <c r="M37" s="161">
        <f>'Scheduled Intervals'!M4</f>
        <v>0</v>
      </c>
      <c r="N37" s="161">
        <f>'Scheduled Intervals'!N4</f>
        <v>0</v>
      </c>
      <c r="O37" s="161">
        <f>'Scheduled Intervals'!O4</f>
        <v>0</v>
      </c>
      <c r="P37" s="161">
        <f>'Scheduled Intervals'!P4</f>
        <v>50</v>
      </c>
      <c r="Q37" s="161">
        <f>'Scheduled Intervals'!Q4</f>
        <v>0</v>
      </c>
      <c r="R37" s="161">
        <f>'Scheduled Intervals'!R4</f>
        <v>0</v>
      </c>
      <c r="S37" s="161">
        <f>'Scheduled Intervals'!S4</f>
        <v>0</v>
      </c>
      <c r="T37" s="161">
        <f>'Scheduled Intervals'!T4</f>
        <v>0</v>
      </c>
      <c r="U37" s="161">
        <f>'Scheduled Intervals'!U4</f>
        <v>200</v>
      </c>
      <c r="V37" s="161">
        <f>'Scheduled Intervals'!V4</f>
        <v>0</v>
      </c>
      <c r="W37" s="161">
        <f>'Scheduled Intervals'!W4</f>
        <v>0</v>
      </c>
      <c r="X37" s="161">
        <f>'Scheduled Intervals'!X4</f>
        <v>0</v>
      </c>
      <c r="Y37" s="161">
        <f>'Scheduled Intervals'!Y4</f>
        <v>200</v>
      </c>
      <c r="Z37" s="161">
        <f>'Scheduled Intervals'!Z4</f>
        <v>400</v>
      </c>
      <c r="AA37" s="161">
        <f>'Scheduled Intervals'!AA4</f>
        <v>0</v>
      </c>
      <c r="AB37" s="161">
        <f>'Scheduled Intervals'!AB4</f>
        <v>400</v>
      </c>
      <c r="AC37" s="161">
        <f>'Scheduled Intervals'!AC4</f>
        <v>200</v>
      </c>
      <c r="AE37" s="161">
        <f>'Scheduled Intervals'!AE4</f>
        <v>200</v>
      </c>
      <c r="AF37" s="161">
        <f>'Scheduled Intervals'!AF4</f>
        <v>0</v>
      </c>
      <c r="AG37" s="161">
        <f>'Scheduled Intervals'!AG4</f>
        <v>0</v>
      </c>
      <c r="AH37" s="161">
        <f>'Scheduled Intervals'!AH4</f>
        <v>0</v>
      </c>
      <c r="AI37" s="161">
        <f>'Scheduled Intervals'!AI4</f>
        <v>200</v>
      </c>
      <c r="AJ37" s="161">
        <f>'Scheduled Intervals'!AJ4</f>
        <v>0</v>
      </c>
      <c r="AK37" s="161">
        <f>'Scheduled Intervals'!AK4</f>
        <v>0</v>
      </c>
      <c r="AL37" s="161">
        <f>'Scheduled Intervals'!AL4</f>
        <v>400</v>
      </c>
      <c r="AM37" s="161">
        <f>'Scheduled Intervals'!AM4</f>
        <v>0</v>
      </c>
      <c r="AN37" s="161">
        <f>'Scheduled Intervals'!AN4</f>
        <v>0</v>
      </c>
      <c r="AO37" s="161">
        <f>'Scheduled Intervals'!AO4</f>
        <v>0</v>
      </c>
      <c r="AP37" s="161">
        <f>'Scheduled Intervals'!AP4</f>
        <v>0</v>
      </c>
      <c r="AQ37" s="161">
        <f>'Scheduled Intervals'!AQ4</f>
        <v>0</v>
      </c>
      <c r="AR37" s="161">
        <f>'Scheduled Intervals'!AR4</f>
        <v>0</v>
      </c>
      <c r="AS37" s="161">
        <f>'Scheduled Intervals'!AS4</f>
        <v>0</v>
      </c>
      <c r="AT37" s="161">
        <f>'Scheduled Intervals'!AT4</f>
        <v>200</v>
      </c>
      <c r="AU37" s="161">
        <f>'Scheduled Intervals'!AU4</f>
        <v>0</v>
      </c>
      <c r="AV37" s="161">
        <f>'Scheduled Intervals'!AV4</f>
        <v>0</v>
      </c>
      <c r="AW37" s="161">
        <f>'Scheduled Intervals'!AW4</f>
        <v>800</v>
      </c>
      <c r="AX37" s="161">
        <f>'Scheduled Intervals'!AX4</f>
        <v>0</v>
      </c>
      <c r="AY37" s="161">
        <f>'Scheduled Intervals'!AY4</f>
        <v>0</v>
      </c>
      <c r="AZ37" s="161">
        <f>'Scheduled Intervals'!AZ4</f>
        <v>0</v>
      </c>
      <c r="BA37" s="161">
        <f>'Scheduled Intervals'!BA4</f>
        <v>0</v>
      </c>
      <c r="BB37" s="161">
        <f>'Scheduled Intervals'!BB4</f>
        <v>1000</v>
      </c>
      <c r="BC37" s="161">
        <f>'Scheduled Intervals'!BC4</f>
        <v>1000</v>
      </c>
      <c r="BD37" s="161">
        <f>'Scheduled Intervals'!BD4</f>
        <v>500</v>
      </c>
      <c r="BE37" s="161">
        <f>'Scheduled Intervals'!BE4</f>
        <v>0</v>
      </c>
      <c r="BF37" s="161">
        <f>'Scheduled Intervals'!BF4</f>
        <v>0</v>
      </c>
      <c r="BG37" s="161">
        <f>'Scheduled Intervals'!BG4</f>
        <v>0</v>
      </c>
      <c r="BH37" s="161">
        <f>'Scheduled Intervals'!BH4</f>
        <v>2000</v>
      </c>
      <c r="BI37" s="161">
        <f>'Scheduled Intervals'!BI4</f>
        <v>0</v>
      </c>
      <c r="BJ37" s="161">
        <f>'Scheduled Intervals'!BJ4</f>
        <v>200</v>
      </c>
      <c r="BK37" s="161">
        <f>'Scheduled Intervals'!BK4</f>
        <v>0</v>
      </c>
      <c r="BL37" s="161">
        <f>'Scheduled Intervals'!BL4</f>
        <v>0</v>
      </c>
      <c r="BM37" s="161">
        <f>'Scheduled Intervals'!BM4</f>
        <v>0</v>
      </c>
      <c r="BN37" s="161" t="str">
        <f>'Scheduled Intervals'!BN4</f>
        <v>Annual</v>
      </c>
      <c r="BO37" s="161" t="str">
        <f>'Scheduled Intervals'!BO4</f>
        <v>Annual</v>
      </c>
      <c r="BP37" s="161" t="str">
        <f>'Scheduled Intervals'!BP4</f>
        <v>Annual</v>
      </c>
    </row>
    <row r="38" spans="1:69" ht="16" x14ac:dyDescent="0.2">
      <c r="B38" s="161">
        <f>'Scheduled Intervals'!B5</f>
        <v>8</v>
      </c>
      <c r="C38" s="161">
        <f>'Scheduled Intervals'!C5</f>
        <v>0</v>
      </c>
      <c r="D38" s="161">
        <f>'Scheduled Intervals'!D5</f>
        <v>0</v>
      </c>
      <c r="E38" s="161">
        <f>'Scheduled Intervals'!E5</f>
        <v>0</v>
      </c>
      <c r="F38" s="161">
        <f>'Scheduled Intervals'!F5</f>
        <v>0</v>
      </c>
      <c r="G38" s="161">
        <f>'Scheduled Intervals'!G5</f>
        <v>0</v>
      </c>
      <c r="H38" s="161">
        <f>'Scheduled Intervals'!H5</f>
        <v>50</v>
      </c>
      <c r="I38" s="161">
        <f>'Scheduled Intervals'!I5</f>
        <v>50</v>
      </c>
      <c r="J38" s="161">
        <f>'Scheduled Intervals'!J5</f>
        <v>0</v>
      </c>
      <c r="K38" s="161">
        <f>'Scheduled Intervals'!K5</f>
        <v>0</v>
      </c>
      <c r="L38" s="161">
        <f>'Scheduled Intervals'!L5</f>
        <v>0</v>
      </c>
      <c r="M38" s="161">
        <f>'Scheduled Intervals'!M5</f>
        <v>0</v>
      </c>
      <c r="N38" s="161">
        <f>'Scheduled Intervals'!N5</f>
        <v>0</v>
      </c>
      <c r="O38" s="161">
        <f>'Scheduled Intervals'!O5</f>
        <v>0</v>
      </c>
      <c r="P38" s="161">
        <f>'Scheduled Intervals'!P5</f>
        <v>0</v>
      </c>
      <c r="Q38" s="161">
        <f>'Scheduled Intervals'!Q5</f>
        <v>0</v>
      </c>
      <c r="R38" s="161">
        <f>'Scheduled Intervals'!R5</f>
        <v>0</v>
      </c>
      <c r="S38" s="161">
        <f>'Scheduled Intervals'!S5</f>
        <v>100</v>
      </c>
      <c r="T38" s="161">
        <f>'Scheduled Intervals'!T5</f>
        <v>0</v>
      </c>
      <c r="U38" s="161">
        <f>'Scheduled Intervals'!U5</f>
        <v>100</v>
      </c>
      <c r="V38" s="161">
        <f>'Scheduled Intervals'!V5</f>
        <v>0</v>
      </c>
      <c r="W38" s="161">
        <f>'Scheduled Intervals'!W5</f>
        <v>0</v>
      </c>
      <c r="X38" s="161">
        <f>'Scheduled Intervals'!X5</f>
        <v>0</v>
      </c>
      <c r="Y38" s="161">
        <f>'Scheduled Intervals'!Y5</f>
        <v>0</v>
      </c>
      <c r="Z38" s="161">
        <f>'Scheduled Intervals'!Z5</f>
        <v>100</v>
      </c>
      <c r="AA38" s="161">
        <f>'Scheduled Intervals'!AA5</f>
        <v>0</v>
      </c>
      <c r="AB38" s="161">
        <f>'Scheduled Intervals'!AB5</f>
        <v>400</v>
      </c>
      <c r="AC38" s="161">
        <f>'Scheduled Intervals'!AC5</f>
        <v>400</v>
      </c>
      <c r="AE38" s="161">
        <f>'Scheduled Intervals'!AE5</f>
        <v>0</v>
      </c>
      <c r="AF38" s="161">
        <f>'Scheduled Intervals'!AF5</f>
        <v>0</v>
      </c>
      <c r="AG38" s="161">
        <f>'Scheduled Intervals'!AG5</f>
        <v>0</v>
      </c>
      <c r="AH38" s="161">
        <f>'Scheduled Intervals'!AH5</f>
        <v>0</v>
      </c>
      <c r="AI38" s="161">
        <f>'Scheduled Intervals'!AI5</f>
        <v>0</v>
      </c>
      <c r="AJ38" s="161">
        <f>'Scheduled Intervals'!AJ5</f>
        <v>0</v>
      </c>
      <c r="AK38" s="161">
        <f>'Scheduled Intervals'!AK5</f>
        <v>0</v>
      </c>
      <c r="AL38" s="161">
        <f>'Scheduled Intervals'!AL5</f>
        <v>0</v>
      </c>
      <c r="AM38" s="161">
        <f>'Scheduled Intervals'!AM5</f>
        <v>0</v>
      </c>
      <c r="AN38" s="161">
        <f>'Scheduled Intervals'!AN5</f>
        <v>0</v>
      </c>
      <c r="AO38" s="161">
        <f>'Scheduled Intervals'!AO5</f>
        <v>0</v>
      </c>
      <c r="AP38" s="161">
        <f>'Scheduled Intervals'!AP5</f>
        <v>0</v>
      </c>
      <c r="AQ38" s="161">
        <f>'Scheduled Intervals'!AQ5</f>
        <v>0</v>
      </c>
      <c r="AR38" s="161">
        <f>'Scheduled Intervals'!AR5</f>
        <v>0</v>
      </c>
      <c r="AS38" s="161">
        <f>'Scheduled Intervals'!AS5</f>
        <v>0</v>
      </c>
      <c r="AT38" s="161">
        <f>'Scheduled Intervals'!AT5</f>
        <v>100</v>
      </c>
      <c r="AU38" s="161">
        <f>'Scheduled Intervals'!AU5</f>
        <v>0</v>
      </c>
      <c r="AV38" s="161">
        <f>'Scheduled Intervals'!AV5</f>
        <v>0</v>
      </c>
      <c r="AW38" s="161">
        <f>'Scheduled Intervals'!AW5</f>
        <v>0</v>
      </c>
      <c r="AX38" s="161">
        <f>'Scheduled Intervals'!AX5</f>
        <v>0</v>
      </c>
      <c r="AY38" s="161">
        <f>'Scheduled Intervals'!AY5</f>
        <v>0</v>
      </c>
      <c r="AZ38" s="161">
        <f>'Scheduled Intervals'!AZ5</f>
        <v>0</v>
      </c>
      <c r="BA38" s="161">
        <f>'Scheduled Intervals'!BA5</f>
        <v>0</v>
      </c>
      <c r="BB38" s="161">
        <f>'Scheduled Intervals'!BB5</f>
        <v>100</v>
      </c>
      <c r="BC38" s="161">
        <f>'Scheduled Intervals'!BC5</f>
        <v>0</v>
      </c>
      <c r="BD38" s="161">
        <f>'Scheduled Intervals'!BD5</f>
        <v>500</v>
      </c>
      <c r="BE38" s="161">
        <f>'Scheduled Intervals'!BE5</f>
        <v>0</v>
      </c>
      <c r="BF38" s="161">
        <f>'Scheduled Intervals'!BF5</f>
        <v>0</v>
      </c>
      <c r="BG38" s="161">
        <f>'Scheduled Intervals'!BG5</f>
        <v>0</v>
      </c>
      <c r="BH38" s="161">
        <f>'Scheduled Intervals'!BH5</f>
        <v>100</v>
      </c>
      <c r="BI38" s="161">
        <f>'Scheduled Intervals'!BI5</f>
        <v>100</v>
      </c>
      <c r="BJ38" s="161">
        <f>'Scheduled Intervals'!BJ5</f>
        <v>100</v>
      </c>
      <c r="BK38" s="161">
        <f>'Scheduled Intervals'!BK5</f>
        <v>0</v>
      </c>
      <c r="BL38" s="161">
        <f>'Scheduled Intervals'!BL5</f>
        <v>0</v>
      </c>
      <c r="BM38" s="161">
        <f>'Scheduled Intervals'!BM5</f>
        <v>0</v>
      </c>
      <c r="BN38" s="161" t="str">
        <f>'Scheduled Intervals'!BN5</f>
        <v>Annual</v>
      </c>
      <c r="BO38" s="161" t="str">
        <f>'Scheduled Intervals'!BO5</f>
        <v>Annual</v>
      </c>
      <c r="BP38" s="161" t="str">
        <f>'Scheduled Intervals'!BP5</f>
        <v>Annual</v>
      </c>
    </row>
    <row r="39" spans="1:69" ht="16" x14ac:dyDescent="0.2">
      <c r="B39" s="161">
        <f>'Scheduled Intervals'!B6</f>
        <v>50</v>
      </c>
      <c r="C39" s="161">
        <f>'Scheduled Intervals'!C6</f>
        <v>0</v>
      </c>
      <c r="D39" s="161">
        <f>'Scheduled Intervals'!D6</f>
        <v>0</v>
      </c>
      <c r="E39" s="161">
        <f>'Scheduled Intervals'!E6</f>
        <v>0</v>
      </c>
      <c r="F39" s="161">
        <f>'Scheduled Intervals'!F6</f>
        <v>50</v>
      </c>
      <c r="G39" s="161">
        <f>'Scheduled Intervals'!G6</f>
        <v>0</v>
      </c>
      <c r="H39" s="161">
        <f>'Scheduled Intervals'!H6</f>
        <v>50</v>
      </c>
      <c r="I39" s="161">
        <f>'Scheduled Intervals'!I6</f>
        <v>50</v>
      </c>
      <c r="J39" s="161">
        <f>'Scheduled Intervals'!J6</f>
        <v>0</v>
      </c>
      <c r="K39" s="161">
        <f>'Scheduled Intervals'!K6</f>
        <v>0</v>
      </c>
      <c r="L39" s="161">
        <f>'Scheduled Intervals'!L6</f>
        <v>0</v>
      </c>
      <c r="M39" s="161">
        <f>'Scheduled Intervals'!M6</f>
        <v>0</v>
      </c>
      <c r="N39" s="161">
        <f>'Scheduled Intervals'!N6</f>
        <v>0</v>
      </c>
      <c r="O39" s="161">
        <f>'Scheduled Intervals'!O6</f>
        <v>0</v>
      </c>
      <c r="P39" s="161">
        <f>'Scheduled Intervals'!P6</f>
        <v>0</v>
      </c>
      <c r="Q39" s="161">
        <f>'Scheduled Intervals'!Q6</f>
        <v>0</v>
      </c>
      <c r="R39" s="161">
        <f>'Scheduled Intervals'!R6</f>
        <v>0</v>
      </c>
      <c r="S39" s="161">
        <f>'Scheduled Intervals'!S6</f>
        <v>0</v>
      </c>
      <c r="T39" s="161">
        <f>'Scheduled Intervals'!T6</f>
        <v>0</v>
      </c>
      <c r="U39" s="161">
        <f>'Scheduled Intervals'!U6</f>
        <v>200</v>
      </c>
      <c r="V39" s="161">
        <f>'Scheduled Intervals'!V6</f>
        <v>0</v>
      </c>
      <c r="W39" s="161">
        <f>'Scheduled Intervals'!W6</f>
        <v>0</v>
      </c>
      <c r="X39" s="161">
        <f>'Scheduled Intervals'!X6</f>
        <v>400</v>
      </c>
      <c r="Y39" s="161">
        <f>'Scheduled Intervals'!Y6</f>
        <v>0</v>
      </c>
      <c r="Z39" s="161">
        <f>'Scheduled Intervals'!Z6</f>
        <v>400</v>
      </c>
      <c r="AA39" s="161">
        <f>'Scheduled Intervals'!AA6</f>
        <v>0</v>
      </c>
      <c r="AB39" s="161">
        <f>'Scheduled Intervals'!AB6</f>
        <v>400</v>
      </c>
      <c r="AC39" s="161">
        <f>'Scheduled Intervals'!AC6</f>
        <v>200</v>
      </c>
      <c r="AE39" s="161">
        <f>'Scheduled Intervals'!AE6</f>
        <v>400</v>
      </c>
      <c r="AF39" s="161">
        <f>'Scheduled Intervals'!AF6</f>
        <v>0</v>
      </c>
      <c r="AG39" s="161">
        <f>'Scheduled Intervals'!AG6</f>
        <v>0</v>
      </c>
      <c r="AH39" s="161">
        <f>'Scheduled Intervals'!AH6</f>
        <v>0</v>
      </c>
      <c r="AI39" s="161">
        <f>'Scheduled Intervals'!AI6</f>
        <v>0</v>
      </c>
      <c r="AJ39" s="161">
        <f>'Scheduled Intervals'!AJ6</f>
        <v>0</v>
      </c>
      <c r="AK39" s="161">
        <f>'Scheduled Intervals'!AK6</f>
        <v>0</v>
      </c>
      <c r="AL39" s="161">
        <f>'Scheduled Intervals'!AL6</f>
        <v>0</v>
      </c>
      <c r="AM39" s="161">
        <f>'Scheduled Intervals'!AM6</f>
        <v>0</v>
      </c>
      <c r="AN39" s="161">
        <f>'Scheduled Intervals'!AN6</f>
        <v>0</v>
      </c>
      <c r="AO39" s="161">
        <f>'Scheduled Intervals'!AO6</f>
        <v>0</v>
      </c>
      <c r="AP39" s="161">
        <f>'Scheduled Intervals'!AP6</f>
        <v>0</v>
      </c>
      <c r="AQ39" s="161">
        <f>'Scheduled Intervals'!AQ6</f>
        <v>0</v>
      </c>
      <c r="AR39" s="161">
        <f>'Scheduled Intervals'!AR6</f>
        <v>0</v>
      </c>
      <c r="AS39" s="161">
        <f>'Scheduled Intervals'!AS6</f>
        <v>0</v>
      </c>
      <c r="AT39" s="161">
        <f>'Scheduled Intervals'!AT6</f>
        <v>200</v>
      </c>
      <c r="AU39" s="161">
        <f>'Scheduled Intervals'!AU6</f>
        <v>0</v>
      </c>
      <c r="AV39" s="161">
        <f>'Scheduled Intervals'!AV6</f>
        <v>0</v>
      </c>
      <c r="AW39" s="161">
        <f>'Scheduled Intervals'!AW6</f>
        <v>800</v>
      </c>
      <c r="AX39" s="161">
        <f>'Scheduled Intervals'!AX6</f>
        <v>0</v>
      </c>
      <c r="AY39" s="161">
        <f>'Scheduled Intervals'!AY6</f>
        <v>0</v>
      </c>
      <c r="AZ39" s="161">
        <f>'Scheduled Intervals'!AZ6</f>
        <v>0</v>
      </c>
      <c r="BA39" s="161">
        <f>'Scheduled Intervals'!BA6</f>
        <v>0</v>
      </c>
      <c r="BB39" s="161">
        <f>'Scheduled Intervals'!BB6</f>
        <v>1000</v>
      </c>
      <c r="BC39" s="161">
        <f>'Scheduled Intervals'!BC6</f>
        <v>1000</v>
      </c>
      <c r="BD39" s="161">
        <f>'Scheduled Intervals'!BD6</f>
        <v>0</v>
      </c>
      <c r="BE39" s="161">
        <f>'Scheduled Intervals'!BE6</f>
        <v>0</v>
      </c>
      <c r="BF39" s="161">
        <f>'Scheduled Intervals'!BF6</f>
        <v>0</v>
      </c>
      <c r="BG39" s="161">
        <f>'Scheduled Intervals'!BG6</f>
        <v>0</v>
      </c>
      <c r="BH39" s="161">
        <f>'Scheduled Intervals'!BH6</f>
        <v>2000</v>
      </c>
      <c r="BI39" s="161">
        <f>'Scheduled Intervals'!BI6</f>
        <v>200</v>
      </c>
      <c r="BJ39" s="161">
        <f>'Scheduled Intervals'!BJ6</f>
        <v>200</v>
      </c>
      <c r="BK39" s="161">
        <f>'Scheduled Intervals'!BK6</f>
        <v>0</v>
      </c>
      <c r="BL39" s="161">
        <f>'Scheduled Intervals'!BL6</f>
        <v>0</v>
      </c>
      <c r="BM39" s="161">
        <f>'Scheduled Intervals'!BM6</f>
        <v>0</v>
      </c>
      <c r="BN39" s="161" t="str">
        <f>'Scheduled Intervals'!BN6</f>
        <v>Annual</v>
      </c>
      <c r="BO39" s="161" t="str">
        <f>'Scheduled Intervals'!BO6</f>
        <v>Annual</v>
      </c>
      <c r="BP39" s="161" t="str">
        <f>'Scheduled Intervals'!BP6</f>
        <v>Annual</v>
      </c>
    </row>
    <row r="40" spans="1:69" ht="16" x14ac:dyDescent="0.2">
      <c r="B40" s="161">
        <f>'Scheduled Intervals'!B7</f>
        <v>50</v>
      </c>
      <c r="C40" s="161">
        <f>'Scheduled Intervals'!C7</f>
        <v>0</v>
      </c>
      <c r="D40" s="161">
        <f>'Scheduled Intervals'!D7</f>
        <v>0</v>
      </c>
      <c r="E40" s="161">
        <f>'Scheduled Intervals'!E7</f>
        <v>0</v>
      </c>
      <c r="F40" s="161">
        <f>'Scheduled Intervals'!F7</f>
        <v>50</v>
      </c>
      <c r="G40" s="161">
        <f>'Scheduled Intervals'!G7</f>
        <v>0</v>
      </c>
      <c r="H40" s="161">
        <f>'Scheduled Intervals'!H7</f>
        <v>50</v>
      </c>
      <c r="I40" s="161">
        <f>'Scheduled Intervals'!I7</f>
        <v>50</v>
      </c>
      <c r="J40" s="161">
        <f>'Scheduled Intervals'!J7</f>
        <v>0</v>
      </c>
      <c r="K40" s="161">
        <f>'Scheduled Intervals'!K7</f>
        <v>0</v>
      </c>
      <c r="L40" s="161">
        <f>'Scheduled Intervals'!L7</f>
        <v>0</v>
      </c>
      <c r="M40" s="161">
        <f>'Scheduled Intervals'!M7</f>
        <v>50</v>
      </c>
      <c r="N40" s="161">
        <f>'Scheduled Intervals'!N7</f>
        <v>0</v>
      </c>
      <c r="O40" s="161">
        <f>'Scheduled Intervals'!O7</f>
        <v>0</v>
      </c>
      <c r="P40" s="161">
        <f>'Scheduled Intervals'!P7</f>
        <v>0</v>
      </c>
      <c r="Q40" s="161">
        <f>'Scheduled Intervals'!Q7</f>
        <v>0</v>
      </c>
      <c r="R40" s="161">
        <f>'Scheduled Intervals'!R7</f>
        <v>0</v>
      </c>
      <c r="S40" s="161">
        <f>'Scheduled Intervals'!S7</f>
        <v>0</v>
      </c>
      <c r="T40" s="161">
        <f>'Scheduled Intervals'!T7</f>
        <v>0</v>
      </c>
      <c r="U40" s="161">
        <f>'Scheduled Intervals'!U7</f>
        <v>200</v>
      </c>
      <c r="V40" s="161">
        <f>'Scheduled Intervals'!V7</f>
        <v>0</v>
      </c>
      <c r="W40" s="161">
        <f>'Scheduled Intervals'!W7</f>
        <v>0</v>
      </c>
      <c r="X40" s="161">
        <f>'Scheduled Intervals'!X7</f>
        <v>0</v>
      </c>
      <c r="Y40" s="161">
        <f>'Scheduled Intervals'!Y7</f>
        <v>0</v>
      </c>
      <c r="Z40" s="161">
        <f>'Scheduled Intervals'!Z7</f>
        <v>400</v>
      </c>
      <c r="AA40" s="161">
        <f>'Scheduled Intervals'!AA7</f>
        <v>0</v>
      </c>
      <c r="AB40" s="161">
        <f>'Scheduled Intervals'!AB7</f>
        <v>400</v>
      </c>
      <c r="AC40" s="161">
        <f>'Scheduled Intervals'!AC7</f>
        <v>200</v>
      </c>
      <c r="AE40" s="161">
        <f>'Scheduled Intervals'!AE7</f>
        <v>400</v>
      </c>
      <c r="AF40" s="161">
        <f>'Scheduled Intervals'!AF7</f>
        <v>0</v>
      </c>
      <c r="AG40" s="161">
        <f>'Scheduled Intervals'!AG7</f>
        <v>0</v>
      </c>
      <c r="AH40" s="161">
        <f>'Scheduled Intervals'!AH7</f>
        <v>0</v>
      </c>
      <c r="AI40" s="161">
        <f>'Scheduled Intervals'!AI7</f>
        <v>0</v>
      </c>
      <c r="AJ40" s="161">
        <f>'Scheduled Intervals'!AJ7</f>
        <v>0</v>
      </c>
      <c r="AK40" s="161">
        <f>'Scheduled Intervals'!AK7</f>
        <v>0</v>
      </c>
      <c r="AL40" s="161">
        <f>'Scheduled Intervals'!AL7</f>
        <v>800</v>
      </c>
      <c r="AM40" s="161">
        <f>'Scheduled Intervals'!AM7</f>
        <v>0</v>
      </c>
      <c r="AN40" s="161">
        <f>'Scheduled Intervals'!AN7</f>
        <v>0</v>
      </c>
      <c r="AO40" s="161">
        <f>'Scheduled Intervals'!AO7</f>
        <v>0</v>
      </c>
      <c r="AP40" s="161">
        <f>'Scheduled Intervals'!AP7</f>
        <v>200</v>
      </c>
      <c r="AQ40" s="161">
        <f>'Scheduled Intervals'!AQ7</f>
        <v>200</v>
      </c>
      <c r="AR40" s="161">
        <f>'Scheduled Intervals'!AR7</f>
        <v>0</v>
      </c>
      <c r="AS40" s="161">
        <f>'Scheduled Intervals'!AS7</f>
        <v>0</v>
      </c>
      <c r="AT40" s="161">
        <f>'Scheduled Intervals'!AT7</f>
        <v>200</v>
      </c>
      <c r="AU40" s="161">
        <f>'Scheduled Intervals'!AU7</f>
        <v>0</v>
      </c>
      <c r="AV40" s="161">
        <f>'Scheduled Intervals'!AV7</f>
        <v>0</v>
      </c>
      <c r="AW40" s="161">
        <f>'Scheduled Intervals'!AW7</f>
        <v>800</v>
      </c>
      <c r="AX40" s="161">
        <f>'Scheduled Intervals'!AX7</f>
        <v>0</v>
      </c>
      <c r="AY40" s="161">
        <f>'Scheduled Intervals'!AY7</f>
        <v>0</v>
      </c>
      <c r="AZ40" s="161">
        <f>'Scheduled Intervals'!AZ7</f>
        <v>0</v>
      </c>
      <c r="BA40" s="161">
        <f>'Scheduled Intervals'!BA7</f>
        <v>0</v>
      </c>
      <c r="BB40" s="161">
        <f>'Scheduled Intervals'!BB7</f>
        <v>1000</v>
      </c>
      <c r="BC40" s="161">
        <f>'Scheduled Intervals'!BC7</f>
        <v>0</v>
      </c>
      <c r="BD40" s="161">
        <f>'Scheduled Intervals'!BD7</f>
        <v>0</v>
      </c>
      <c r="BE40" s="161">
        <f>'Scheduled Intervals'!BE7</f>
        <v>0</v>
      </c>
      <c r="BF40" s="161">
        <f>'Scheduled Intervals'!BF7</f>
        <v>0</v>
      </c>
      <c r="BG40" s="161">
        <f>'Scheduled Intervals'!BG7</f>
        <v>0</v>
      </c>
      <c r="BH40" s="161">
        <f>'Scheduled Intervals'!BH7</f>
        <v>2000</v>
      </c>
      <c r="BI40" s="161">
        <f>'Scheduled Intervals'!BI7</f>
        <v>0</v>
      </c>
      <c r="BJ40" s="161">
        <f>'Scheduled Intervals'!BJ7</f>
        <v>200</v>
      </c>
      <c r="BK40" s="161">
        <f>'Scheduled Intervals'!BK7</f>
        <v>0</v>
      </c>
      <c r="BL40" s="161">
        <f>'Scheduled Intervals'!BL7</f>
        <v>0</v>
      </c>
      <c r="BM40" s="161">
        <f>'Scheduled Intervals'!BM7</f>
        <v>0</v>
      </c>
      <c r="BN40" s="161" t="str">
        <f>'Scheduled Intervals'!BN7</f>
        <v>Annual</v>
      </c>
      <c r="BO40" s="161" t="str">
        <f>'Scheduled Intervals'!BO7</f>
        <v>Annual</v>
      </c>
      <c r="BP40" s="161" t="str">
        <f>'Scheduled Intervals'!BP7</f>
        <v>Annual</v>
      </c>
    </row>
    <row r="41" spans="1:69" ht="16" x14ac:dyDescent="0.2">
      <c r="B41" s="161">
        <f>'Scheduled Intervals'!B8</f>
        <v>50</v>
      </c>
      <c r="C41" s="161">
        <f>'Scheduled Intervals'!C8</f>
        <v>0</v>
      </c>
      <c r="D41" s="161">
        <f>'Scheduled Intervals'!D8</f>
        <v>0</v>
      </c>
      <c r="E41" s="161">
        <f>'Scheduled Intervals'!E8</f>
        <v>0</v>
      </c>
      <c r="F41" s="161">
        <f>'Scheduled Intervals'!F8</f>
        <v>50</v>
      </c>
      <c r="G41" s="161">
        <f>'Scheduled Intervals'!G8</f>
        <v>0</v>
      </c>
      <c r="H41" s="161">
        <f>'Scheduled Intervals'!H8</f>
        <v>50</v>
      </c>
      <c r="I41" s="161">
        <f>'Scheduled Intervals'!I8</f>
        <v>50</v>
      </c>
      <c r="J41" s="161">
        <f>'Scheduled Intervals'!J8</f>
        <v>0</v>
      </c>
      <c r="K41" s="161">
        <f>'Scheduled Intervals'!K8</f>
        <v>0</v>
      </c>
      <c r="L41" s="161">
        <f>'Scheduled Intervals'!L8</f>
        <v>0</v>
      </c>
      <c r="M41" s="161">
        <f>'Scheduled Intervals'!M8</f>
        <v>0</v>
      </c>
      <c r="N41" s="161">
        <f>'Scheduled Intervals'!N8</f>
        <v>0</v>
      </c>
      <c r="O41" s="161">
        <f>'Scheduled Intervals'!O8</f>
        <v>0</v>
      </c>
      <c r="P41" s="161">
        <f>'Scheduled Intervals'!P8</f>
        <v>0</v>
      </c>
      <c r="Q41" s="161">
        <f>'Scheduled Intervals'!Q8</f>
        <v>0</v>
      </c>
      <c r="R41" s="161">
        <f>'Scheduled Intervals'!R8</f>
        <v>0</v>
      </c>
      <c r="S41" s="161">
        <f>'Scheduled Intervals'!S8</f>
        <v>0</v>
      </c>
      <c r="T41" s="161">
        <f>'Scheduled Intervals'!T8</f>
        <v>0</v>
      </c>
      <c r="U41" s="161">
        <f>'Scheduled Intervals'!U8</f>
        <v>400</v>
      </c>
      <c r="V41" s="161">
        <f>'Scheduled Intervals'!V8</f>
        <v>1200</v>
      </c>
      <c r="W41" s="161">
        <f>'Scheduled Intervals'!W8</f>
        <v>400</v>
      </c>
      <c r="X41" s="161">
        <f>'Scheduled Intervals'!X8</f>
        <v>0</v>
      </c>
      <c r="Y41" s="161">
        <f>'Scheduled Intervals'!Y8</f>
        <v>400</v>
      </c>
      <c r="Z41" s="161">
        <f>'Scheduled Intervals'!Z8</f>
        <v>400</v>
      </c>
      <c r="AA41" s="161">
        <f>'Scheduled Intervals'!AA8</f>
        <v>0</v>
      </c>
      <c r="AB41" s="161">
        <f>'Scheduled Intervals'!AB8</f>
        <v>400</v>
      </c>
      <c r="AC41" s="161">
        <f>'Scheduled Intervals'!AC8</f>
        <v>0</v>
      </c>
      <c r="AE41" s="161">
        <f>'Scheduled Intervals'!AE8</f>
        <v>400</v>
      </c>
      <c r="AF41" s="161">
        <f>'Scheduled Intervals'!AF8</f>
        <v>0</v>
      </c>
      <c r="AG41" s="161">
        <f>'Scheduled Intervals'!AG8</f>
        <v>0</v>
      </c>
      <c r="AH41" s="161">
        <f>'Scheduled Intervals'!AH8</f>
        <v>0</v>
      </c>
      <c r="AI41" s="161">
        <f>'Scheduled Intervals'!AI8</f>
        <v>0</v>
      </c>
      <c r="AJ41" s="161">
        <f>'Scheduled Intervals'!AJ8</f>
        <v>0</v>
      </c>
      <c r="AK41" s="161">
        <f>'Scheduled Intervals'!AK8</f>
        <v>0</v>
      </c>
      <c r="AL41" s="161">
        <f>'Scheduled Intervals'!AL8</f>
        <v>800</v>
      </c>
      <c r="AM41" s="161">
        <f>'Scheduled Intervals'!AM8</f>
        <v>0</v>
      </c>
      <c r="AN41" s="161">
        <f>'Scheduled Intervals'!AN8</f>
        <v>0</v>
      </c>
      <c r="AO41" s="161">
        <f>'Scheduled Intervals'!AO8</f>
        <v>0</v>
      </c>
      <c r="AP41" s="161">
        <f>'Scheduled Intervals'!AP8</f>
        <v>800</v>
      </c>
      <c r="AQ41" s="161">
        <f>'Scheduled Intervals'!AQ8</f>
        <v>800</v>
      </c>
      <c r="AR41" s="161">
        <f>'Scheduled Intervals'!AR8</f>
        <v>0</v>
      </c>
      <c r="AS41" s="161">
        <f>'Scheduled Intervals'!AS8</f>
        <v>800</v>
      </c>
      <c r="AT41" s="161">
        <f>'Scheduled Intervals'!AT8</f>
        <v>400</v>
      </c>
      <c r="AU41" s="161">
        <f>'Scheduled Intervals'!AU8</f>
        <v>0</v>
      </c>
      <c r="AV41" s="161">
        <f>'Scheduled Intervals'!AV8</f>
        <v>0</v>
      </c>
      <c r="AW41" s="161">
        <f>'Scheduled Intervals'!AW8</f>
        <v>0</v>
      </c>
      <c r="AX41" s="161">
        <f>'Scheduled Intervals'!AX8</f>
        <v>0</v>
      </c>
      <c r="AY41" s="161">
        <f>'Scheduled Intervals'!AY8</f>
        <v>0</v>
      </c>
      <c r="AZ41" s="161">
        <f>'Scheduled Intervals'!AZ8</f>
        <v>0</v>
      </c>
      <c r="BA41" s="161">
        <f>'Scheduled Intervals'!BA8</f>
        <v>0</v>
      </c>
      <c r="BB41" s="161">
        <f>'Scheduled Intervals'!BB8</f>
        <v>800</v>
      </c>
      <c r="BC41" s="161">
        <f>'Scheduled Intervals'!BC8</f>
        <v>800</v>
      </c>
      <c r="BD41" s="161">
        <f>'Scheduled Intervals'!BD8</f>
        <v>0</v>
      </c>
      <c r="BE41" s="161">
        <f>'Scheduled Intervals'!BE8</f>
        <v>0</v>
      </c>
      <c r="BF41" s="161">
        <f>'Scheduled Intervals'!BF8</f>
        <v>1200</v>
      </c>
      <c r="BG41" s="161">
        <f>'Scheduled Intervals'!BG8</f>
        <v>1200</v>
      </c>
      <c r="BH41" s="161">
        <f>'Scheduled Intervals'!BH8</f>
        <v>2000</v>
      </c>
      <c r="BI41" s="161">
        <f>'Scheduled Intervals'!BI8</f>
        <v>0</v>
      </c>
      <c r="BJ41" s="161">
        <f>'Scheduled Intervals'!BJ8</f>
        <v>400</v>
      </c>
      <c r="BK41" s="161">
        <f>'Scheduled Intervals'!BK8</f>
        <v>0</v>
      </c>
      <c r="BL41" s="161">
        <f>'Scheduled Intervals'!BL8</f>
        <v>0</v>
      </c>
      <c r="BM41" s="161">
        <f>'Scheduled Intervals'!BM8</f>
        <v>0</v>
      </c>
      <c r="BN41" s="161" t="str">
        <f>'Scheduled Intervals'!BN8</f>
        <v>Annual</v>
      </c>
      <c r="BO41" s="161" t="str">
        <f>'Scheduled Intervals'!BO8</f>
        <v>Annual</v>
      </c>
      <c r="BP41" s="161" t="str">
        <f>'Scheduled Intervals'!BP8</f>
        <v>Annual</v>
      </c>
    </row>
    <row r="42" spans="1:69" ht="16" x14ac:dyDescent="0.2">
      <c r="B42" s="161">
        <f>'Scheduled Intervals'!B9</f>
        <v>50</v>
      </c>
      <c r="C42" s="161">
        <f>'Scheduled Intervals'!C9</f>
        <v>0</v>
      </c>
      <c r="D42" s="161">
        <f>'Scheduled Intervals'!D9</f>
        <v>0</v>
      </c>
      <c r="E42" s="161">
        <f>'Scheduled Intervals'!E9</f>
        <v>0</v>
      </c>
      <c r="F42" s="161">
        <f>'Scheduled Intervals'!F9</f>
        <v>0</v>
      </c>
      <c r="G42" s="161">
        <f>'Scheduled Intervals'!G9</f>
        <v>0</v>
      </c>
      <c r="H42" s="161">
        <f>'Scheduled Intervals'!H9</f>
        <v>50</v>
      </c>
      <c r="I42" s="161">
        <f>'Scheduled Intervals'!I9</f>
        <v>50</v>
      </c>
      <c r="J42" s="161">
        <f>'Scheduled Intervals'!J9</f>
        <v>0</v>
      </c>
      <c r="K42" s="161">
        <f>'Scheduled Intervals'!K9</f>
        <v>0</v>
      </c>
      <c r="L42" s="161">
        <f>'Scheduled Intervals'!L9</f>
        <v>0</v>
      </c>
      <c r="M42" s="161">
        <f>'Scheduled Intervals'!M9</f>
        <v>0</v>
      </c>
      <c r="N42" s="161">
        <f>'Scheduled Intervals'!N9</f>
        <v>0</v>
      </c>
      <c r="O42" s="161">
        <f>'Scheduled Intervals'!O9</f>
        <v>0</v>
      </c>
      <c r="P42" s="161">
        <f>'Scheduled Intervals'!P9</f>
        <v>0</v>
      </c>
      <c r="Q42" s="161">
        <f>'Scheduled Intervals'!Q9</f>
        <v>0</v>
      </c>
      <c r="R42" s="161">
        <f>'Scheduled Intervals'!R9</f>
        <v>0</v>
      </c>
      <c r="S42" s="161">
        <f>'Scheduled Intervals'!S9</f>
        <v>0</v>
      </c>
      <c r="T42" s="161">
        <f>'Scheduled Intervals'!T9</f>
        <v>0</v>
      </c>
      <c r="U42" s="161">
        <f>'Scheduled Intervals'!U9</f>
        <v>500</v>
      </c>
      <c r="V42" s="161">
        <f>'Scheduled Intervals'!V9</f>
        <v>1500</v>
      </c>
      <c r="W42" s="161">
        <f>'Scheduled Intervals'!W9</f>
        <v>500</v>
      </c>
      <c r="X42" s="161">
        <f>'Scheduled Intervals'!X9</f>
        <v>0</v>
      </c>
      <c r="Y42" s="161">
        <f>'Scheduled Intervals'!Y9</f>
        <v>500</v>
      </c>
      <c r="Z42" s="161">
        <f>'Scheduled Intervals'!Z9</f>
        <v>500</v>
      </c>
      <c r="AA42" s="161">
        <f>'Scheduled Intervals'!AA9</f>
        <v>0</v>
      </c>
      <c r="AB42" s="161">
        <f>'Scheduled Intervals'!AB9</f>
        <v>1000</v>
      </c>
      <c r="AC42" s="161">
        <f>'Scheduled Intervals'!AC9</f>
        <v>0</v>
      </c>
      <c r="AE42" s="161">
        <f>'Scheduled Intervals'!AE9</f>
        <v>500</v>
      </c>
      <c r="AF42" s="161">
        <f>'Scheduled Intervals'!AF9</f>
        <v>0</v>
      </c>
      <c r="AG42" s="161">
        <f>'Scheduled Intervals'!AG9</f>
        <v>0</v>
      </c>
      <c r="AH42" s="161">
        <f>'Scheduled Intervals'!AH9</f>
        <v>0</v>
      </c>
      <c r="AI42" s="161">
        <f>'Scheduled Intervals'!AI9</f>
        <v>0</v>
      </c>
      <c r="AJ42" s="161">
        <f>'Scheduled Intervals'!AJ9</f>
        <v>1000</v>
      </c>
      <c r="AK42" s="161">
        <f>'Scheduled Intervals'!AK9</f>
        <v>0</v>
      </c>
      <c r="AL42" s="161">
        <f>'Scheduled Intervals'!AL9</f>
        <v>0</v>
      </c>
      <c r="AM42" s="161">
        <f>'Scheduled Intervals'!AM9</f>
        <v>0</v>
      </c>
      <c r="AN42" s="161">
        <f>'Scheduled Intervals'!AN9</f>
        <v>0</v>
      </c>
      <c r="AO42" s="161">
        <f>'Scheduled Intervals'!AO9</f>
        <v>0</v>
      </c>
      <c r="AP42" s="161">
        <f>'Scheduled Intervals'!AP9</f>
        <v>0</v>
      </c>
      <c r="AQ42" s="161">
        <f>'Scheduled Intervals'!AQ9</f>
        <v>0</v>
      </c>
      <c r="AR42" s="161">
        <f>'Scheduled Intervals'!AR9</f>
        <v>0</v>
      </c>
      <c r="AS42" s="161">
        <f>'Scheduled Intervals'!AS9</f>
        <v>1000</v>
      </c>
      <c r="AT42" s="161">
        <f>'Scheduled Intervals'!AT9</f>
        <v>500</v>
      </c>
      <c r="AU42" s="161">
        <f>'Scheduled Intervals'!AU9</f>
        <v>0</v>
      </c>
      <c r="AV42" s="161">
        <f>'Scheduled Intervals'!AV9</f>
        <v>0</v>
      </c>
      <c r="AW42" s="161">
        <f>'Scheduled Intervals'!AW9</f>
        <v>1000</v>
      </c>
      <c r="AX42" s="161">
        <f>'Scheduled Intervals'!AX9</f>
        <v>0</v>
      </c>
      <c r="AY42" s="161">
        <f>'Scheduled Intervals'!AY9</f>
        <v>0</v>
      </c>
      <c r="AZ42" s="161">
        <f>'Scheduled Intervals'!AZ9</f>
        <v>0</v>
      </c>
      <c r="BA42" s="161">
        <f>'Scheduled Intervals'!BA9</f>
        <v>0</v>
      </c>
      <c r="BB42" s="161">
        <f>'Scheduled Intervals'!BB9</f>
        <v>1000</v>
      </c>
      <c r="BC42" s="161">
        <f>'Scheduled Intervals'!BC9</f>
        <v>0</v>
      </c>
      <c r="BD42" s="161">
        <f>'Scheduled Intervals'!BD9</f>
        <v>0</v>
      </c>
      <c r="BE42" s="161">
        <f>'Scheduled Intervals'!BE9</f>
        <v>0</v>
      </c>
      <c r="BF42" s="161">
        <f>'Scheduled Intervals'!BF9</f>
        <v>1500</v>
      </c>
      <c r="BG42" s="161">
        <f>'Scheduled Intervals'!BG9</f>
        <v>1500</v>
      </c>
      <c r="BH42" s="161">
        <f>'Scheduled Intervals'!BH9</f>
        <v>2000</v>
      </c>
      <c r="BI42" s="161">
        <f>'Scheduled Intervals'!BI9</f>
        <v>0</v>
      </c>
      <c r="BJ42" s="161">
        <f>'Scheduled Intervals'!BJ9</f>
        <v>500</v>
      </c>
      <c r="BK42" s="161">
        <f>'Scheduled Intervals'!BK9</f>
        <v>0</v>
      </c>
      <c r="BL42" s="161">
        <f>'Scheduled Intervals'!BL9</f>
        <v>0</v>
      </c>
      <c r="BM42" s="161">
        <f>'Scheduled Intervals'!BM9</f>
        <v>0</v>
      </c>
      <c r="BN42" s="161" t="str">
        <f>'Scheduled Intervals'!BN9</f>
        <v>Annual</v>
      </c>
      <c r="BO42" s="161" t="str">
        <f>'Scheduled Intervals'!BO9</f>
        <v>Annual</v>
      </c>
      <c r="BP42" s="161" t="str">
        <f>'Scheduled Intervals'!BP9</f>
        <v>Annual</v>
      </c>
    </row>
    <row r="43" spans="1:69" ht="16" x14ac:dyDescent="0.2">
      <c r="B43" s="161">
        <f>'Scheduled Intervals'!B10</f>
        <v>50</v>
      </c>
      <c r="C43" s="161">
        <f>'Scheduled Intervals'!C10</f>
        <v>50</v>
      </c>
      <c r="D43" s="161">
        <f>'Scheduled Intervals'!D10</f>
        <v>0</v>
      </c>
      <c r="E43" s="161">
        <f>'Scheduled Intervals'!E10</f>
        <v>0</v>
      </c>
      <c r="F43" s="161">
        <f>'Scheduled Intervals'!F10</f>
        <v>50</v>
      </c>
      <c r="G43" s="161">
        <f>'Scheduled Intervals'!G10</f>
        <v>0</v>
      </c>
      <c r="H43" s="161">
        <f>'Scheduled Intervals'!H10</f>
        <v>50</v>
      </c>
      <c r="I43" s="161">
        <f>'Scheduled Intervals'!I10</f>
        <v>50</v>
      </c>
      <c r="J43" s="161">
        <f>'Scheduled Intervals'!J10</f>
        <v>0</v>
      </c>
      <c r="K43" s="161">
        <f>'Scheduled Intervals'!K10</f>
        <v>0</v>
      </c>
      <c r="L43" s="161">
        <f>'Scheduled Intervals'!L10</f>
        <v>0</v>
      </c>
      <c r="M43" s="161">
        <f>'Scheduled Intervals'!M10</f>
        <v>0</v>
      </c>
      <c r="N43" s="161">
        <f>'Scheduled Intervals'!N10</f>
        <v>0</v>
      </c>
      <c r="O43" s="161">
        <f>'Scheduled Intervals'!O10</f>
        <v>0</v>
      </c>
      <c r="P43" s="161">
        <f>'Scheduled Intervals'!P10</f>
        <v>0</v>
      </c>
      <c r="Q43" s="161">
        <f>'Scheduled Intervals'!Q10</f>
        <v>0</v>
      </c>
      <c r="R43" s="161">
        <f>'Scheduled Intervals'!R10</f>
        <v>0</v>
      </c>
      <c r="S43" s="161">
        <f>'Scheduled Intervals'!S10</f>
        <v>0</v>
      </c>
      <c r="T43" s="161">
        <f>'Scheduled Intervals'!T10</f>
        <v>0</v>
      </c>
      <c r="U43" s="161">
        <f>'Scheduled Intervals'!U10</f>
        <v>500</v>
      </c>
      <c r="V43" s="161">
        <f>'Scheduled Intervals'!V10</f>
        <v>1500</v>
      </c>
      <c r="W43" s="161">
        <f>'Scheduled Intervals'!W10</f>
        <v>0</v>
      </c>
      <c r="X43" s="161">
        <f>'Scheduled Intervals'!X10</f>
        <v>500</v>
      </c>
      <c r="Y43" s="161">
        <f>'Scheduled Intervals'!Y10</f>
        <v>500</v>
      </c>
      <c r="Z43" s="161">
        <f>'Scheduled Intervals'!Z10</f>
        <v>500</v>
      </c>
      <c r="AA43" s="161">
        <f>'Scheduled Intervals'!AA10</f>
        <v>0</v>
      </c>
      <c r="AB43" s="161">
        <f>'Scheduled Intervals'!AB10</f>
        <v>500</v>
      </c>
      <c r="AC43" s="161">
        <f>'Scheduled Intervals'!AC10</f>
        <v>500</v>
      </c>
      <c r="AE43" s="161">
        <f>'Scheduled Intervals'!AE10</f>
        <v>0</v>
      </c>
      <c r="AF43" s="161">
        <f>'Scheduled Intervals'!AF10</f>
        <v>0</v>
      </c>
      <c r="AG43" s="161">
        <f>'Scheduled Intervals'!AG10</f>
        <v>500</v>
      </c>
      <c r="AH43" s="161">
        <f>'Scheduled Intervals'!AH10</f>
        <v>0</v>
      </c>
      <c r="AI43" s="161">
        <f>'Scheduled Intervals'!AI10</f>
        <v>500</v>
      </c>
      <c r="AJ43" s="161">
        <f>'Scheduled Intervals'!AJ10</f>
        <v>0</v>
      </c>
      <c r="AK43" s="161">
        <f>'Scheduled Intervals'!AK10</f>
        <v>500</v>
      </c>
      <c r="AL43" s="161">
        <f>'Scheduled Intervals'!AL10</f>
        <v>1000</v>
      </c>
      <c r="AM43" s="161">
        <f>'Scheduled Intervals'!AM10</f>
        <v>0</v>
      </c>
      <c r="AN43" s="161">
        <f>'Scheduled Intervals'!AN10</f>
        <v>0</v>
      </c>
      <c r="AO43" s="161">
        <f>'Scheduled Intervals'!AO10</f>
        <v>0</v>
      </c>
      <c r="AP43" s="161">
        <f>'Scheduled Intervals'!AP10</f>
        <v>0</v>
      </c>
      <c r="AQ43" s="161">
        <f>'Scheduled Intervals'!AQ10</f>
        <v>0</v>
      </c>
      <c r="AR43" s="161">
        <f>'Scheduled Intervals'!AR10</f>
        <v>0</v>
      </c>
      <c r="AS43" s="161">
        <f>'Scheduled Intervals'!AS10</f>
        <v>0</v>
      </c>
      <c r="AT43" s="161">
        <f>'Scheduled Intervals'!AT10</f>
        <v>500</v>
      </c>
      <c r="AU43" s="161">
        <f>'Scheduled Intervals'!AU10</f>
        <v>0</v>
      </c>
      <c r="AV43" s="161">
        <f>'Scheduled Intervals'!AV10</f>
        <v>0</v>
      </c>
      <c r="AW43" s="161">
        <f>'Scheduled Intervals'!AW10</f>
        <v>1000</v>
      </c>
      <c r="AX43" s="161">
        <f>'Scheduled Intervals'!AX10</f>
        <v>0</v>
      </c>
      <c r="AY43" s="161">
        <f>'Scheduled Intervals'!AY10</f>
        <v>0</v>
      </c>
      <c r="AZ43" s="161">
        <f>'Scheduled Intervals'!AZ10</f>
        <v>0</v>
      </c>
      <c r="BA43" s="161">
        <f>'Scheduled Intervals'!BA10</f>
        <v>500</v>
      </c>
      <c r="BB43" s="161">
        <f>'Scheduled Intervals'!BB10</f>
        <v>1000</v>
      </c>
      <c r="BC43" s="161">
        <f>'Scheduled Intervals'!BC10</f>
        <v>0</v>
      </c>
      <c r="BD43" s="161">
        <f>'Scheduled Intervals'!BD10</f>
        <v>0</v>
      </c>
      <c r="BE43" s="161">
        <f>'Scheduled Intervals'!BE10</f>
        <v>0</v>
      </c>
      <c r="BF43" s="161">
        <f>'Scheduled Intervals'!BF10</f>
        <v>1500</v>
      </c>
      <c r="BG43" s="161">
        <f>'Scheduled Intervals'!BG10</f>
        <v>1500</v>
      </c>
      <c r="BH43" s="161">
        <f>'Scheduled Intervals'!BH10</f>
        <v>2000</v>
      </c>
      <c r="BI43" s="161">
        <f>'Scheduled Intervals'!BI10</f>
        <v>0</v>
      </c>
      <c r="BJ43" s="161">
        <f>'Scheduled Intervals'!BJ10</f>
        <v>500</v>
      </c>
      <c r="BK43" s="161">
        <f>'Scheduled Intervals'!BK10</f>
        <v>3000</v>
      </c>
      <c r="BL43" s="161">
        <f>'Scheduled Intervals'!BL10</f>
        <v>0</v>
      </c>
      <c r="BM43" s="161">
        <f>'Scheduled Intervals'!BM10</f>
        <v>0</v>
      </c>
      <c r="BN43" s="161" t="str">
        <f>'Scheduled Intervals'!BN10</f>
        <v>Annual</v>
      </c>
      <c r="BO43" s="161" t="str">
        <f>'Scheduled Intervals'!BO10</f>
        <v>Annual</v>
      </c>
      <c r="BP43" s="161" t="str">
        <f>'Scheduled Intervals'!BP10</f>
        <v>Annual</v>
      </c>
    </row>
    <row r="44" spans="1:69" ht="16" x14ac:dyDescent="0.2">
      <c r="B44" s="161">
        <f>'Scheduled Intervals'!B11</f>
        <v>50</v>
      </c>
      <c r="C44" s="161">
        <f>'Scheduled Intervals'!C11</f>
        <v>0</v>
      </c>
      <c r="D44" s="161">
        <f>'Scheduled Intervals'!D11</f>
        <v>50</v>
      </c>
      <c r="E44" s="161">
        <f>'Scheduled Intervals'!E11</f>
        <v>0</v>
      </c>
      <c r="F44" s="161">
        <f>'Scheduled Intervals'!F11</f>
        <v>50</v>
      </c>
      <c r="G44" s="161">
        <f>'Scheduled Intervals'!G11</f>
        <v>0</v>
      </c>
      <c r="H44" s="161">
        <f>'Scheduled Intervals'!H11</f>
        <v>50</v>
      </c>
      <c r="I44" s="161">
        <f>'Scheduled Intervals'!I11</f>
        <v>50</v>
      </c>
      <c r="J44" s="161">
        <f>'Scheduled Intervals'!J11</f>
        <v>50</v>
      </c>
      <c r="K44" s="161">
        <f>'Scheduled Intervals'!K11</f>
        <v>0</v>
      </c>
      <c r="L44" s="161">
        <f>'Scheduled Intervals'!L11</f>
        <v>0</v>
      </c>
      <c r="M44" s="161">
        <f>'Scheduled Intervals'!M11</f>
        <v>0</v>
      </c>
      <c r="N44" s="161">
        <f>'Scheduled Intervals'!N11</f>
        <v>0</v>
      </c>
      <c r="O44" s="161">
        <f>'Scheduled Intervals'!O11</f>
        <v>0</v>
      </c>
      <c r="P44" s="161">
        <f>'Scheduled Intervals'!P11</f>
        <v>0</v>
      </c>
      <c r="Q44" s="161">
        <f>'Scheduled Intervals'!Q11</f>
        <v>250</v>
      </c>
      <c r="R44" s="161">
        <f>'Scheduled Intervals'!R11</f>
        <v>0</v>
      </c>
      <c r="S44" s="161">
        <f>'Scheduled Intervals'!S11</f>
        <v>0</v>
      </c>
      <c r="T44" s="161">
        <f>'Scheduled Intervals'!T11</f>
        <v>0</v>
      </c>
      <c r="U44" s="161">
        <f>'Scheduled Intervals'!U11</f>
        <v>500</v>
      </c>
      <c r="V44" s="161">
        <f>'Scheduled Intervals'!V11</f>
        <v>1500</v>
      </c>
      <c r="W44" s="161">
        <f>'Scheduled Intervals'!W11</f>
        <v>0</v>
      </c>
      <c r="X44" s="161">
        <f>'Scheduled Intervals'!X11</f>
        <v>0</v>
      </c>
      <c r="Y44" s="161">
        <f>'Scheduled Intervals'!Y11</f>
        <v>500</v>
      </c>
      <c r="Z44" s="161">
        <f>'Scheduled Intervals'!Z11</f>
        <v>500</v>
      </c>
      <c r="AA44" s="161">
        <f>'Scheduled Intervals'!AA11</f>
        <v>0</v>
      </c>
      <c r="AB44" s="161">
        <f>'Scheduled Intervals'!AB11</f>
        <v>1000</v>
      </c>
      <c r="AC44" s="161">
        <f>'Scheduled Intervals'!AC11</f>
        <v>0</v>
      </c>
      <c r="AE44" s="161">
        <f>'Scheduled Intervals'!AE11</f>
        <v>500</v>
      </c>
      <c r="AF44" s="161">
        <f>'Scheduled Intervals'!AF11</f>
        <v>500</v>
      </c>
      <c r="AG44" s="161">
        <f>'Scheduled Intervals'!AG11</f>
        <v>500</v>
      </c>
      <c r="AH44" s="161">
        <f>'Scheduled Intervals'!AH11</f>
        <v>0</v>
      </c>
      <c r="AI44" s="161">
        <f>'Scheduled Intervals'!AI11</f>
        <v>1000</v>
      </c>
      <c r="AJ44" s="161">
        <f>'Scheduled Intervals'!AJ11</f>
        <v>0</v>
      </c>
      <c r="AK44" s="161">
        <f>'Scheduled Intervals'!AK11</f>
        <v>0</v>
      </c>
      <c r="AL44" s="161">
        <f>'Scheduled Intervals'!AL11</f>
        <v>0</v>
      </c>
      <c r="AM44" s="161">
        <f>'Scheduled Intervals'!AM11</f>
        <v>0</v>
      </c>
      <c r="AN44" s="161">
        <f>'Scheduled Intervals'!AN11</f>
        <v>0</v>
      </c>
      <c r="AO44" s="161">
        <f>'Scheduled Intervals'!AO11</f>
        <v>0</v>
      </c>
      <c r="AP44" s="161">
        <f>'Scheduled Intervals'!AP11</f>
        <v>0</v>
      </c>
      <c r="AQ44" s="161">
        <f>'Scheduled Intervals'!AQ11</f>
        <v>0</v>
      </c>
      <c r="AR44" s="161">
        <f>'Scheduled Intervals'!AR11</f>
        <v>0</v>
      </c>
      <c r="AS44" s="161">
        <f>'Scheduled Intervals'!AS11</f>
        <v>500</v>
      </c>
      <c r="AT44" s="161">
        <f>'Scheduled Intervals'!AT11</f>
        <v>500</v>
      </c>
      <c r="AU44" s="161">
        <f>'Scheduled Intervals'!AU11</f>
        <v>0</v>
      </c>
      <c r="AV44" s="161">
        <f>'Scheduled Intervals'!AV11</f>
        <v>0</v>
      </c>
      <c r="AW44" s="161">
        <f>'Scheduled Intervals'!AW11</f>
        <v>1000</v>
      </c>
      <c r="AX44" s="161">
        <f>'Scheduled Intervals'!AX11</f>
        <v>0</v>
      </c>
      <c r="AY44" s="161">
        <f>'Scheduled Intervals'!AY11</f>
        <v>0</v>
      </c>
      <c r="AZ44" s="161">
        <f>'Scheduled Intervals'!AZ11</f>
        <v>0</v>
      </c>
      <c r="BA44" s="161">
        <f>'Scheduled Intervals'!BA11</f>
        <v>0</v>
      </c>
      <c r="BB44" s="161">
        <f>'Scheduled Intervals'!BB11</f>
        <v>500</v>
      </c>
      <c r="BC44" s="161">
        <f>'Scheduled Intervals'!BC11</f>
        <v>0</v>
      </c>
      <c r="BD44" s="161">
        <f>'Scheduled Intervals'!BD11</f>
        <v>0</v>
      </c>
      <c r="BE44" s="161">
        <f>'Scheduled Intervals'!BE11</f>
        <v>0</v>
      </c>
      <c r="BF44" s="161">
        <f>'Scheduled Intervals'!BF11</f>
        <v>1500</v>
      </c>
      <c r="BG44" s="161">
        <f>'Scheduled Intervals'!BG11</f>
        <v>1500</v>
      </c>
      <c r="BH44" s="161">
        <f>'Scheduled Intervals'!BH11</f>
        <v>2000</v>
      </c>
      <c r="BI44" s="161">
        <f>'Scheduled Intervals'!BI11</f>
        <v>0</v>
      </c>
      <c r="BJ44" s="161">
        <f>'Scheduled Intervals'!BJ11</f>
        <v>500</v>
      </c>
      <c r="BK44" s="161">
        <f>'Scheduled Intervals'!BK11</f>
        <v>0</v>
      </c>
      <c r="BL44" s="161">
        <f>'Scheduled Intervals'!BL11</f>
        <v>0</v>
      </c>
      <c r="BM44" s="161">
        <f>'Scheduled Intervals'!BM11</f>
        <v>0</v>
      </c>
      <c r="BN44" s="161" t="str">
        <f>'Scheduled Intervals'!BN11</f>
        <v>Annual</v>
      </c>
      <c r="BO44" s="161" t="str">
        <f>'Scheduled Intervals'!BO11</f>
        <v>Annual</v>
      </c>
      <c r="BP44" s="161" t="str">
        <f>'Scheduled Intervals'!BP11</f>
        <v>Annual</v>
      </c>
    </row>
    <row r="45" spans="1:69" ht="16" x14ac:dyDescent="0.2">
      <c r="B45" s="161">
        <f>'Scheduled Intervals'!B12</f>
        <v>50</v>
      </c>
      <c r="C45" s="161">
        <f>'Scheduled Intervals'!C12</f>
        <v>50</v>
      </c>
      <c r="D45" s="161">
        <f>'Scheduled Intervals'!D12</f>
        <v>50</v>
      </c>
      <c r="E45" s="161">
        <f>'Scheduled Intervals'!E12</f>
        <v>0</v>
      </c>
      <c r="F45" s="161">
        <f>'Scheduled Intervals'!F12</f>
        <v>0</v>
      </c>
      <c r="G45" s="161">
        <f>'Scheduled Intervals'!G12</f>
        <v>0</v>
      </c>
      <c r="H45" s="161">
        <f>'Scheduled Intervals'!H12</f>
        <v>50</v>
      </c>
      <c r="I45" s="161">
        <f>'Scheduled Intervals'!I12</f>
        <v>50</v>
      </c>
      <c r="J45" s="161">
        <f>'Scheduled Intervals'!J12</f>
        <v>0</v>
      </c>
      <c r="K45" s="161">
        <f>'Scheduled Intervals'!K12</f>
        <v>0</v>
      </c>
      <c r="L45" s="161">
        <f>'Scheduled Intervals'!L12</f>
        <v>0</v>
      </c>
      <c r="M45" s="161">
        <f>'Scheduled Intervals'!M12</f>
        <v>0</v>
      </c>
      <c r="N45" s="161">
        <f>'Scheduled Intervals'!N12</f>
        <v>0</v>
      </c>
      <c r="O45" s="161">
        <f>'Scheduled Intervals'!O12</f>
        <v>0</v>
      </c>
      <c r="P45" s="161">
        <f>'Scheduled Intervals'!P12</f>
        <v>0</v>
      </c>
      <c r="Q45" s="161">
        <f>'Scheduled Intervals'!Q12</f>
        <v>250</v>
      </c>
      <c r="R45" s="161">
        <f>'Scheduled Intervals'!R12</f>
        <v>0</v>
      </c>
      <c r="S45" s="161">
        <f>'Scheduled Intervals'!S12</f>
        <v>0</v>
      </c>
      <c r="T45" s="161">
        <f>'Scheduled Intervals'!T12</f>
        <v>0</v>
      </c>
      <c r="U45" s="161">
        <f>'Scheduled Intervals'!U12</f>
        <v>500</v>
      </c>
      <c r="V45" s="161">
        <f>'Scheduled Intervals'!V12</f>
        <v>1500</v>
      </c>
      <c r="W45" s="161">
        <f>'Scheduled Intervals'!W12</f>
        <v>0</v>
      </c>
      <c r="X45" s="161">
        <f>'Scheduled Intervals'!X12</f>
        <v>500</v>
      </c>
      <c r="Y45" s="161">
        <f>'Scheduled Intervals'!Y12</f>
        <v>0</v>
      </c>
      <c r="Z45" s="161">
        <f>'Scheduled Intervals'!Z12</f>
        <v>500</v>
      </c>
      <c r="AA45" s="161">
        <f>'Scheduled Intervals'!AA12</f>
        <v>0</v>
      </c>
      <c r="AB45" s="161">
        <f>'Scheduled Intervals'!AB12</f>
        <v>0</v>
      </c>
      <c r="AC45" s="161">
        <f>'Scheduled Intervals'!AC12</f>
        <v>0</v>
      </c>
      <c r="AE45" s="161">
        <f>'Scheduled Intervals'!AE12</f>
        <v>0</v>
      </c>
      <c r="AF45" s="161">
        <f>'Scheduled Intervals'!AF12</f>
        <v>1000</v>
      </c>
      <c r="AG45" s="161">
        <f>'Scheduled Intervals'!AG12</f>
        <v>1000</v>
      </c>
      <c r="AH45" s="161">
        <f>'Scheduled Intervals'!AH12</f>
        <v>1000</v>
      </c>
      <c r="AI45" s="161">
        <f>'Scheduled Intervals'!AI12</f>
        <v>1000</v>
      </c>
      <c r="AJ45" s="161">
        <f>'Scheduled Intervals'!AJ12</f>
        <v>0</v>
      </c>
      <c r="AK45" s="161">
        <f>'Scheduled Intervals'!AK12</f>
        <v>0</v>
      </c>
      <c r="AL45" s="161">
        <f>'Scheduled Intervals'!AL12</f>
        <v>1000</v>
      </c>
      <c r="AM45" s="161">
        <f>'Scheduled Intervals'!AM12</f>
        <v>0</v>
      </c>
      <c r="AN45" s="161">
        <f>'Scheduled Intervals'!AN12</f>
        <v>0</v>
      </c>
      <c r="AO45" s="161">
        <f>'Scheduled Intervals'!AO12</f>
        <v>0</v>
      </c>
      <c r="AP45" s="161">
        <f>'Scheduled Intervals'!AP12</f>
        <v>500</v>
      </c>
      <c r="AQ45" s="161">
        <f>'Scheduled Intervals'!AQ12</f>
        <v>500</v>
      </c>
      <c r="AR45" s="161">
        <f>'Scheduled Intervals'!AR12</f>
        <v>0</v>
      </c>
      <c r="AS45" s="161">
        <f>'Scheduled Intervals'!AS12</f>
        <v>1000</v>
      </c>
      <c r="AT45" s="161">
        <f>'Scheduled Intervals'!AT12</f>
        <v>500</v>
      </c>
      <c r="AU45" s="161">
        <f>'Scheduled Intervals'!AU12</f>
        <v>0</v>
      </c>
      <c r="AV45" s="161">
        <f>'Scheduled Intervals'!AV12</f>
        <v>0</v>
      </c>
      <c r="AW45" s="161">
        <f>'Scheduled Intervals'!AW12</f>
        <v>1000</v>
      </c>
      <c r="AX45" s="161">
        <f>'Scheduled Intervals'!AX12</f>
        <v>0</v>
      </c>
      <c r="AY45" s="161">
        <f>'Scheduled Intervals'!AY12</f>
        <v>0</v>
      </c>
      <c r="AZ45" s="161">
        <f>'Scheduled Intervals'!AZ12</f>
        <v>500</v>
      </c>
      <c r="BA45" s="161">
        <f>'Scheduled Intervals'!BA12</f>
        <v>0</v>
      </c>
      <c r="BB45" s="161">
        <f>'Scheduled Intervals'!BB12</f>
        <v>1000</v>
      </c>
      <c r="BC45" s="161">
        <f>'Scheduled Intervals'!BC12</f>
        <v>0</v>
      </c>
      <c r="BD45" s="161">
        <f>'Scheduled Intervals'!BD12</f>
        <v>0</v>
      </c>
      <c r="BE45" s="161">
        <f>'Scheduled Intervals'!BE12</f>
        <v>0</v>
      </c>
      <c r="BF45" s="161">
        <f>'Scheduled Intervals'!BF12</f>
        <v>0</v>
      </c>
      <c r="BG45" s="161">
        <f>'Scheduled Intervals'!BG12</f>
        <v>0</v>
      </c>
      <c r="BH45" s="161">
        <f>'Scheduled Intervals'!BH12</f>
        <v>2000</v>
      </c>
      <c r="BI45" s="161">
        <f>'Scheduled Intervals'!BI12</f>
        <v>0</v>
      </c>
      <c r="BJ45" s="161">
        <f>'Scheduled Intervals'!BJ12</f>
        <v>500</v>
      </c>
      <c r="BK45" s="161">
        <f>'Scheduled Intervals'!BK12</f>
        <v>0</v>
      </c>
      <c r="BL45" s="161">
        <f>'Scheduled Intervals'!BL12</f>
        <v>0</v>
      </c>
      <c r="BM45" s="161">
        <f>'Scheduled Intervals'!BM12</f>
        <v>0</v>
      </c>
      <c r="BN45" s="161" t="str">
        <f>'Scheduled Intervals'!BN12</f>
        <v>Annual</v>
      </c>
      <c r="BO45" s="161" t="str">
        <f>'Scheduled Intervals'!BO12</f>
        <v>Annual</v>
      </c>
      <c r="BP45" s="161" t="str">
        <f>'Scheduled Intervals'!BP12</f>
        <v>Annual</v>
      </c>
    </row>
    <row r="46" spans="1:69" ht="16" x14ac:dyDescent="0.2">
      <c r="B46" s="161">
        <f>'Scheduled Intervals'!B13</f>
        <v>50</v>
      </c>
      <c r="C46" s="161">
        <f>'Scheduled Intervals'!C13</f>
        <v>50</v>
      </c>
      <c r="D46" s="161">
        <f>'Scheduled Intervals'!D13</f>
        <v>50</v>
      </c>
      <c r="E46" s="161">
        <f>'Scheduled Intervals'!E13</f>
        <v>0</v>
      </c>
      <c r="F46" s="161">
        <f>'Scheduled Intervals'!F13</f>
        <v>0</v>
      </c>
      <c r="G46" s="161">
        <f>'Scheduled Intervals'!G13</f>
        <v>0</v>
      </c>
      <c r="H46" s="161">
        <f>'Scheduled Intervals'!H13</f>
        <v>50</v>
      </c>
      <c r="I46" s="161">
        <f>'Scheduled Intervals'!I13</f>
        <v>50</v>
      </c>
      <c r="J46" s="161">
        <f>'Scheduled Intervals'!J13</f>
        <v>0</v>
      </c>
      <c r="K46" s="161">
        <f>'Scheduled Intervals'!K13</f>
        <v>0</v>
      </c>
      <c r="L46" s="161">
        <f>'Scheduled Intervals'!L13</f>
        <v>0</v>
      </c>
      <c r="M46" s="161">
        <f>'Scheduled Intervals'!M13</f>
        <v>0</v>
      </c>
      <c r="N46" s="161">
        <f>'Scheduled Intervals'!N13</f>
        <v>0</v>
      </c>
      <c r="O46" s="161">
        <f>'Scheduled Intervals'!O13</f>
        <v>0</v>
      </c>
      <c r="P46" s="161">
        <f>'Scheduled Intervals'!P13</f>
        <v>0</v>
      </c>
      <c r="Q46" s="161">
        <f>'Scheduled Intervals'!Q13</f>
        <v>250</v>
      </c>
      <c r="R46" s="161">
        <f>'Scheduled Intervals'!R13</f>
        <v>0</v>
      </c>
      <c r="S46" s="161">
        <f>'Scheduled Intervals'!S13</f>
        <v>0</v>
      </c>
      <c r="T46" s="161">
        <f>'Scheduled Intervals'!T13</f>
        <v>0</v>
      </c>
      <c r="U46" s="161">
        <f>'Scheduled Intervals'!U13</f>
        <v>500</v>
      </c>
      <c r="V46" s="161">
        <f>'Scheduled Intervals'!V13</f>
        <v>1500</v>
      </c>
      <c r="W46" s="161">
        <f>'Scheduled Intervals'!W13</f>
        <v>0</v>
      </c>
      <c r="X46" s="161">
        <f>'Scheduled Intervals'!X13</f>
        <v>500</v>
      </c>
      <c r="Y46" s="161">
        <f>'Scheduled Intervals'!Y13</f>
        <v>0</v>
      </c>
      <c r="Z46" s="161">
        <f>'Scheduled Intervals'!Z13</f>
        <v>500</v>
      </c>
      <c r="AA46" s="161">
        <f>'Scheduled Intervals'!AA13</f>
        <v>0</v>
      </c>
      <c r="AB46" s="161">
        <f>'Scheduled Intervals'!AB13</f>
        <v>0</v>
      </c>
      <c r="AC46" s="161">
        <f>'Scheduled Intervals'!AC13</f>
        <v>0</v>
      </c>
      <c r="AE46" s="161">
        <f>'Scheduled Intervals'!AE13</f>
        <v>0</v>
      </c>
      <c r="AF46" s="161">
        <f>'Scheduled Intervals'!AF13</f>
        <v>1000</v>
      </c>
      <c r="AG46" s="161">
        <f>'Scheduled Intervals'!AG13</f>
        <v>1000</v>
      </c>
      <c r="AH46" s="161">
        <f>'Scheduled Intervals'!AH13</f>
        <v>1000</v>
      </c>
      <c r="AI46" s="161">
        <f>'Scheduled Intervals'!AI13</f>
        <v>1000</v>
      </c>
      <c r="AJ46" s="161">
        <f>'Scheduled Intervals'!AJ13</f>
        <v>0</v>
      </c>
      <c r="AK46" s="161">
        <f>'Scheduled Intervals'!AK13</f>
        <v>0</v>
      </c>
      <c r="AL46" s="161">
        <f>'Scheduled Intervals'!AL13</f>
        <v>1000</v>
      </c>
      <c r="AM46" s="161">
        <f>'Scheduled Intervals'!AM13</f>
        <v>0</v>
      </c>
      <c r="AN46" s="161">
        <f>'Scheduled Intervals'!AN13</f>
        <v>0</v>
      </c>
      <c r="AO46" s="161">
        <f>'Scheduled Intervals'!AO13</f>
        <v>0</v>
      </c>
      <c r="AP46" s="161">
        <f>'Scheduled Intervals'!AP13</f>
        <v>500</v>
      </c>
      <c r="AQ46" s="161">
        <f>'Scheduled Intervals'!AQ13</f>
        <v>500</v>
      </c>
      <c r="AR46" s="161">
        <f>'Scheduled Intervals'!AR13</f>
        <v>0</v>
      </c>
      <c r="AS46" s="161">
        <f>'Scheduled Intervals'!AS13</f>
        <v>1000</v>
      </c>
      <c r="AT46" s="161">
        <f>'Scheduled Intervals'!AT13</f>
        <v>500</v>
      </c>
      <c r="AU46" s="161">
        <f>'Scheduled Intervals'!AU13</f>
        <v>0</v>
      </c>
      <c r="AV46" s="161">
        <f>'Scheduled Intervals'!AV13</f>
        <v>0</v>
      </c>
      <c r="AW46" s="161">
        <f>'Scheduled Intervals'!AW13</f>
        <v>1000</v>
      </c>
      <c r="AX46" s="161">
        <f>'Scheduled Intervals'!AX13</f>
        <v>0</v>
      </c>
      <c r="AY46" s="161">
        <f>'Scheduled Intervals'!AY13</f>
        <v>0</v>
      </c>
      <c r="AZ46" s="161">
        <f>'Scheduled Intervals'!AZ13</f>
        <v>500</v>
      </c>
      <c r="BA46" s="161">
        <f>'Scheduled Intervals'!BA13</f>
        <v>0</v>
      </c>
      <c r="BB46" s="161">
        <f>'Scheduled Intervals'!BB13</f>
        <v>500</v>
      </c>
      <c r="BC46" s="161">
        <f>'Scheduled Intervals'!BC13</f>
        <v>0</v>
      </c>
      <c r="BD46" s="161">
        <f>'Scheduled Intervals'!BD13</f>
        <v>0</v>
      </c>
      <c r="BE46" s="161">
        <f>'Scheduled Intervals'!BE13</f>
        <v>0</v>
      </c>
      <c r="BF46" s="161">
        <f>'Scheduled Intervals'!BF13</f>
        <v>0</v>
      </c>
      <c r="BG46" s="161">
        <f>'Scheduled Intervals'!BG13</f>
        <v>0</v>
      </c>
      <c r="BH46" s="161">
        <f>'Scheduled Intervals'!BH13</f>
        <v>2000</v>
      </c>
      <c r="BI46" s="161">
        <f>'Scheduled Intervals'!BI13</f>
        <v>0</v>
      </c>
      <c r="BJ46" s="161">
        <f>'Scheduled Intervals'!BJ13</f>
        <v>500</v>
      </c>
      <c r="BK46" s="161">
        <f>'Scheduled Intervals'!BK13</f>
        <v>0</v>
      </c>
      <c r="BL46" s="161">
        <f>'Scheduled Intervals'!BL13</f>
        <v>0</v>
      </c>
      <c r="BM46" s="161">
        <f>'Scheduled Intervals'!BM13</f>
        <v>0</v>
      </c>
      <c r="BN46" s="161" t="str">
        <f>'Scheduled Intervals'!BN13</f>
        <v>Annual</v>
      </c>
      <c r="BO46" s="161" t="str">
        <f>'Scheduled Intervals'!BO13</f>
        <v>Annual</v>
      </c>
      <c r="BP46" s="161" t="str">
        <f>'Scheduled Intervals'!BP13</f>
        <v>Annual</v>
      </c>
    </row>
    <row r="47" spans="1:69" ht="16" x14ac:dyDescent="0.2">
      <c r="B47" s="161">
        <f>'Scheduled Intervals'!B14</f>
        <v>50</v>
      </c>
      <c r="C47" s="161">
        <f>'Scheduled Intervals'!C14</f>
        <v>50</v>
      </c>
      <c r="D47" s="161">
        <f>'Scheduled Intervals'!D14</f>
        <v>50</v>
      </c>
      <c r="E47" s="161">
        <f>'Scheduled Intervals'!E14</f>
        <v>0</v>
      </c>
      <c r="F47" s="161">
        <f>'Scheduled Intervals'!F14</f>
        <v>0</v>
      </c>
      <c r="G47" s="161">
        <f>'Scheduled Intervals'!G14</f>
        <v>0</v>
      </c>
      <c r="H47" s="161">
        <f>'Scheduled Intervals'!H14</f>
        <v>50</v>
      </c>
      <c r="I47" s="161">
        <f>'Scheduled Intervals'!I14</f>
        <v>50</v>
      </c>
      <c r="J47" s="161">
        <f>'Scheduled Intervals'!J14</f>
        <v>0</v>
      </c>
      <c r="K47" s="161">
        <f>'Scheduled Intervals'!K14</f>
        <v>0</v>
      </c>
      <c r="L47" s="161">
        <f>'Scheduled Intervals'!L14</f>
        <v>0</v>
      </c>
      <c r="M47" s="161">
        <f>'Scheduled Intervals'!M14</f>
        <v>0</v>
      </c>
      <c r="N47" s="161">
        <f>'Scheduled Intervals'!N14</f>
        <v>0</v>
      </c>
      <c r="O47" s="161">
        <f>'Scheduled Intervals'!O14</f>
        <v>0</v>
      </c>
      <c r="P47" s="161">
        <f>'Scheduled Intervals'!P14</f>
        <v>0</v>
      </c>
      <c r="Q47" s="161">
        <f>'Scheduled Intervals'!Q14</f>
        <v>0</v>
      </c>
      <c r="R47" s="161">
        <f>'Scheduled Intervals'!R14</f>
        <v>250</v>
      </c>
      <c r="S47" s="161">
        <f>'Scheduled Intervals'!S14</f>
        <v>0</v>
      </c>
      <c r="T47" s="161">
        <f>'Scheduled Intervals'!T14</f>
        <v>0</v>
      </c>
      <c r="U47" s="161">
        <f>'Scheduled Intervals'!U14</f>
        <v>500</v>
      </c>
      <c r="V47" s="161">
        <f>'Scheduled Intervals'!V14</f>
        <v>1500</v>
      </c>
      <c r="W47" s="161">
        <f>'Scheduled Intervals'!W14</f>
        <v>0</v>
      </c>
      <c r="X47" s="161">
        <f>'Scheduled Intervals'!X14</f>
        <v>500</v>
      </c>
      <c r="Y47" s="161">
        <f>'Scheduled Intervals'!Y14</f>
        <v>0</v>
      </c>
      <c r="Z47" s="161">
        <f>'Scheduled Intervals'!Z14</f>
        <v>500</v>
      </c>
      <c r="AA47" s="161">
        <f>'Scheduled Intervals'!AA14</f>
        <v>0</v>
      </c>
      <c r="AB47" s="161">
        <f>'Scheduled Intervals'!AB14</f>
        <v>0</v>
      </c>
      <c r="AC47" s="161">
        <f>'Scheduled Intervals'!AC14</f>
        <v>0</v>
      </c>
      <c r="AE47" s="161">
        <f>'Scheduled Intervals'!AE14</f>
        <v>0</v>
      </c>
      <c r="AF47" s="161">
        <f>'Scheduled Intervals'!AF14</f>
        <v>0</v>
      </c>
      <c r="AG47" s="161">
        <f>'Scheduled Intervals'!AG14</f>
        <v>500</v>
      </c>
      <c r="AH47" s="161">
        <f>'Scheduled Intervals'!AH14</f>
        <v>0</v>
      </c>
      <c r="AI47" s="161">
        <f>'Scheduled Intervals'!AI14</f>
        <v>1000</v>
      </c>
      <c r="AJ47" s="161">
        <f>'Scheduled Intervals'!AJ14</f>
        <v>1000</v>
      </c>
      <c r="AK47" s="161">
        <f>'Scheduled Intervals'!AK14</f>
        <v>0</v>
      </c>
      <c r="AL47" s="161">
        <f>'Scheduled Intervals'!AL14</f>
        <v>0</v>
      </c>
      <c r="AM47" s="161">
        <f>'Scheduled Intervals'!AM14</f>
        <v>0</v>
      </c>
      <c r="AN47" s="161">
        <f>'Scheduled Intervals'!AN14</f>
        <v>0</v>
      </c>
      <c r="AO47" s="161">
        <f>'Scheduled Intervals'!AO14</f>
        <v>0</v>
      </c>
      <c r="AP47" s="161">
        <f>'Scheduled Intervals'!AP14</f>
        <v>500</v>
      </c>
      <c r="AQ47" s="161">
        <f>'Scheduled Intervals'!AQ14</f>
        <v>0</v>
      </c>
      <c r="AR47" s="161">
        <f>'Scheduled Intervals'!AR14</f>
        <v>0</v>
      </c>
      <c r="AS47" s="161">
        <f>'Scheduled Intervals'!AS14</f>
        <v>1000</v>
      </c>
      <c r="AT47" s="161">
        <f>'Scheduled Intervals'!AT14</f>
        <v>500</v>
      </c>
      <c r="AU47" s="161">
        <f>'Scheduled Intervals'!AU14</f>
        <v>0</v>
      </c>
      <c r="AV47" s="161">
        <f>'Scheduled Intervals'!AV14</f>
        <v>0</v>
      </c>
      <c r="AW47" s="161">
        <f>'Scheduled Intervals'!AW14</f>
        <v>1000</v>
      </c>
      <c r="AX47" s="161">
        <f>'Scheduled Intervals'!AX14</f>
        <v>0</v>
      </c>
      <c r="AY47" s="161">
        <f>'Scheduled Intervals'!AY14</f>
        <v>0</v>
      </c>
      <c r="AZ47" s="161">
        <f>'Scheduled Intervals'!AZ14</f>
        <v>0</v>
      </c>
      <c r="BA47" s="161">
        <f>'Scheduled Intervals'!BA14</f>
        <v>0</v>
      </c>
      <c r="BB47" s="161">
        <f>'Scheduled Intervals'!BB14</f>
        <v>1000</v>
      </c>
      <c r="BC47" s="161">
        <f>'Scheduled Intervals'!BC14</f>
        <v>0</v>
      </c>
      <c r="BD47" s="161">
        <f>'Scheduled Intervals'!BD14</f>
        <v>0</v>
      </c>
      <c r="BE47" s="161">
        <f>'Scheduled Intervals'!BE14</f>
        <v>500</v>
      </c>
      <c r="BF47" s="161">
        <f>'Scheduled Intervals'!BF14</f>
        <v>0</v>
      </c>
      <c r="BG47" s="161">
        <f>'Scheduled Intervals'!BG14</f>
        <v>0</v>
      </c>
      <c r="BH47" s="161">
        <f>'Scheduled Intervals'!BH14</f>
        <v>2000</v>
      </c>
      <c r="BI47" s="161">
        <f>'Scheduled Intervals'!BI14</f>
        <v>0</v>
      </c>
      <c r="BJ47" s="161">
        <f>'Scheduled Intervals'!BJ14</f>
        <v>500</v>
      </c>
      <c r="BK47" s="161">
        <f>'Scheduled Intervals'!BK14</f>
        <v>0</v>
      </c>
      <c r="BL47" s="161">
        <f>'Scheduled Intervals'!BL14</f>
        <v>0</v>
      </c>
      <c r="BM47" s="161">
        <f>'Scheduled Intervals'!BM14</f>
        <v>0</v>
      </c>
      <c r="BN47" s="161" t="str">
        <f>'Scheduled Intervals'!BN14</f>
        <v>Annual</v>
      </c>
      <c r="BO47" s="161" t="str">
        <f>'Scheduled Intervals'!BO14</f>
        <v>Annual</v>
      </c>
      <c r="BP47" s="161" t="str">
        <f>'Scheduled Intervals'!BP14</f>
        <v>Annual</v>
      </c>
    </row>
    <row r="48" spans="1:69" ht="16" x14ac:dyDescent="0.2">
      <c r="B48" s="161">
        <f>'Scheduled Intervals'!B15</f>
        <v>50</v>
      </c>
      <c r="C48" s="161">
        <f>'Scheduled Intervals'!C15</f>
        <v>50</v>
      </c>
      <c r="D48" s="161">
        <f>'Scheduled Intervals'!D15</f>
        <v>50</v>
      </c>
      <c r="E48" s="161">
        <f>'Scheduled Intervals'!E15</f>
        <v>0</v>
      </c>
      <c r="F48" s="161">
        <f>'Scheduled Intervals'!F15</f>
        <v>0</v>
      </c>
      <c r="G48" s="161">
        <f>'Scheduled Intervals'!G15</f>
        <v>0</v>
      </c>
      <c r="H48" s="161">
        <f>'Scheduled Intervals'!H15</f>
        <v>50</v>
      </c>
      <c r="I48" s="161">
        <f>'Scheduled Intervals'!I15</f>
        <v>50</v>
      </c>
      <c r="J48" s="161">
        <f>'Scheduled Intervals'!J15</f>
        <v>0</v>
      </c>
      <c r="K48" s="161">
        <f>'Scheduled Intervals'!K15</f>
        <v>0</v>
      </c>
      <c r="L48" s="161">
        <f>'Scheduled Intervals'!L15</f>
        <v>0</v>
      </c>
      <c r="M48" s="161">
        <f>'Scheduled Intervals'!M15</f>
        <v>0</v>
      </c>
      <c r="N48" s="161">
        <f>'Scheduled Intervals'!N15</f>
        <v>0</v>
      </c>
      <c r="O48" s="161">
        <f>'Scheduled Intervals'!O15</f>
        <v>0</v>
      </c>
      <c r="P48" s="161">
        <f>'Scheduled Intervals'!P15</f>
        <v>0</v>
      </c>
      <c r="Q48" s="161">
        <f>'Scheduled Intervals'!Q15</f>
        <v>0</v>
      </c>
      <c r="R48" s="161">
        <f>'Scheduled Intervals'!R15</f>
        <v>250</v>
      </c>
      <c r="S48" s="161">
        <f>'Scheduled Intervals'!S15</f>
        <v>0</v>
      </c>
      <c r="T48" s="161">
        <f>'Scheduled Intervals'!T15</f>
        <v>0</v>
      </c>
      <c r="U48" s="161">
        <f>'Scheduled Intervals'!U15</f>
        <v>500</v>
      </c>
      <c r="V48" s="161">
        <f>'Scheduled Intervals'!V15</f>
        <v>0</v>
      </c>
      <c r="W48" s="161">
        <f>'Scheduled Intervals'!W15</f>
        <v>500</v>
      </c>
      <c r="X48" s="161">
        <f>'Scheduled Intervals'!X15</f>
        <v>500</v>
      </c>
      <c r="Y48" s="161">
        <f>'Scheduled Intervals'!Y15</f>
        <v>500</v>
      </c>
      <c r="Z48" s="161">
        <f>'Scheduled Intervals'!Z15</f>
        <v>500</v>
      </c>
      <c r="AA48" s="161">
        <f>'Scheduled Intervals'!AA15</f>
        <v>0</v>
      </c>
      <c r="AB48" s="161">
        <f>'Scheduled Intervals'!AB15</f>
        <v>0</v>
      </c>
      <c r="AC48" s="161">
        <f>'Scheduled Intervals'!AC15</f>
        <v>0</v>
      </c>
      <c r="AE48" s="161">
        <f>'Scheduled Intervals'!AE15</f>
        <v>0</v>
      </c>
      <c r="AF48" s="161">
        <f>'Scheduled Intervals'!AF15</f>
        <v>0</v>
      </c>
      <c r="AG48" s="161">
        <f>'Scheduled Intervals'!AG15</f>
        <v>500</v>
      </c>
      <c r="AH48" s="161">
        <f>'Scheduled Intervals'!AH15</f>
        <v>0</v>
      </c>
      <c r="AI48" s="161">
        <f>'Scheduled Intervals'!AI15</f>
        <v>1000</v>
      </c>
      <c r="AJ48" s="161">
        <f>'Scheduled Intervals'!AJ15</f>
        <v>0</v>
      </c>
      <c r="AK48" s="161">
        <f>'Scheduled Intervals'!AK15</f>
        <v>0</v>
      </c>
      <c r="AL48" s="161">
        <f>'Scheduled Intervals'!AL15</f>
        <v>0</v>
      </c>
      <c r="AM48" s="161">
        <f>'Scheduled Intervals'!AM15</f>
        <v>0</v>
      </c>
      <c r="AN48" s="161">
        <f>'Scheduled Intervals'!AN15</f>
        <v>0</v>
      </c>
      <c r="AO48" s="161">
        <f>'Scheduled Intervals'!AO15</f>
        <v>0</v>
      </c>
      <c r="AP48" s="161">
        <f>'Scheduled Intervals'!AP15</f>
        <v>500</v>
      </c>
      <c r="AQ48" s="161">
        <f>'Scheduled Intervals'!AQ15</f>
        <v>0</v>
      </c>
      <c r="AR48" s="161">
        <f>'Scheduled Intervals'!AR15</f>
        <v>0</v>
      </c>
      <c r="AS48" s="161">
        <f>'Scheduled Intervals'!AS15</f>
        <v>1000</v>
      </c>
      <c r="AT48" s="161">
        <f>'Scheduled Intervals'!AT15</f>
        <v>500</v>
      </c>
      <c r="AU48" s="161">
        <f>'Scheduled Intervals'!AU15</f>
        <v>0</v>
      </c>
      <c r="AV48" s="161">
        <f>'Scheduled Intervals'!AV15</f>
        <v>0</v>
      </c>
      <c r="AW48" s="161">
        <f>'Scheduled Intervals'!AW15</f>
        <v>1000</v>
      </c>
      <c r="AX48" s="161">
        <f>'Scheduled Intervals'!AX15</f>
        <v>0</v>
      </c>
      <c r="AY48" s="161">
        <f>'Scheduled Intervals'!AY15</f>
        <v>0</v>
      </c>
      <c r="AZ48" s="161">
        <f>'Scheduled Intervals'!AZ15</f>
        <v>0</v>
      </c>
      <c r="BA48" s="161">
        <f>'Scheduled Intervals'!BA15</f>
        <v>0</v>
      </c>
      <c r="BB48" s="161">
        <f>'Scheduled Intervals'!BB15</f>
        <v>1000</v>
      </c>
      <c r="BC48" s="161">
        <f>'Scheduled Intervals'!BC15</f>
        <v>0</v>
      </c>
      <c r="BD48" s="161">
        <f>'Scheduled Intervals'!BD15</f>
        <v>0</v>
      </c>
      <c r="BE48" s="161">
        <f>'Scheduled Intervals'!BE15</f>
        <v>500</v>
      </c>
      <c r="BF48" s="161">
        <f>'Scheduled Intervals'!BF15</f>
        <v>0</v>
      </c>
      <c r="BG48" s="161">
        <f>'Scheduled Intervals'!BG15</f>
        <v>0</v>
      </c>
      <c r="BH48" s="161">
        <f>'Scheduled Intervals'!BH15</f>
        <v>2000</v>
      </c>
      <c r="BI48" s="161">
        <f>'Scheduled Intervals'!BI15</f>
        <v>0</v>
      </c>
      <c r="BJ48" s="161">
        <f>'Scheduled Intervals'!BJ15</f>
        <v>500</v>
      </c>
      <c r="BK48" s="161">
        <f>'Scheduled Intervals'!BK15</f>
        <v>0</v>
      </c>
      <c r="BL48" s="161">
        <f>'Scheduled Intervals'!BL15</f>
        <v>0</v>
      </c>
      <c r="BM48" s="161">
        <f>'Scheduled Intervals'!BM15</f>
        <v>0</v>
      </c>
      <c r="BN48" s="161" t="str">
        <f>'Scheduled Intervals'!BN15</f>
        <v>Annual</v>
      </c>
      <c r="BO48" s="161" t="str">
        <f>'Scheduled Intervals'!BO15</f>
        <v>Annual</v>
      </c>
      <c r="BP48" s="161" t="str">
        <f>'Scheduled Intervals'!BP15</f>
        <v>Annual</v>
      </c>
    </row>
    <row r="49" spans="2:68" ht="16" x14ac:dyDescent="0.2">
      <c r="B49" s="161">
        <f>'Scheduled Intervals'!B16</f>
        <v>50</v>
      </c>
      <c r="C49" s="161">
        <f>'Scheduled Intervals'!C16</f>
        <v>0</v>
      </c>
      <c r="D49" s="161">
        <f>'Scheduled Intervals'!D16</f>
        <v>0</v>
      </c>
      <c r="E49" s="161">
        <f>'Scheduled Intervals'!E16</f>
        <v>50</v>
      </c>
      <c r="F49" s="161">
        <f>'Scheduled Intervals'!F16</f>
        <v>50</v>
      </c>
      <c r="G49" s="161">
        <f>'Scheduled Intervals'!G16</f>
        <v>0</v>
      </c>
      <c r="H49" s="161">
        <f>'Scheduled Intervals'!H16</f>
        <v>50</v>
      </c>
      <c r="I49" s="161">
        <f>'Scheduled Intervals'!I16</f>
        <v>50</v>
      </c>
      <c r="J49" s="161">
        <f>'Scheduled Intervals'!J16</f>
        <v>0</v>
      </c>
      <c r="K49" s="161">
        <f>'Scheduled Intervals'!K16</f>
        <v>0</v>
      </c>
      <c r="L49" s="161">
        <f>'Scheduled Intervals'!L16</f>
        <v>50</v>
      </c>
      <c r="M49" s="161">
        <f>'Scheduled Intervals'!M16</f>
        <v>0</v>
      </c>
      <c r="N49" s="161">
        <f>'Scheduled Intervals'!N16</f>
        <v>0</v>
      </c>
      <c r="O49" s="161">
        <f>'Scheduled Intervals'!O16</f>
        <v>0</v>
      </c>
      <c r="P49" s="161">
        <f>'Scheduled Intervals'!P16</f>
        <v>0</v>
      </c>
      <c r="Q49" s="161">
        <f>'Scheduled Intervals'!Q16</f>
        <v>0</v>
      </c>
      <c r="R49" s="161">
        <f>'Scheduled Intervals'!R16</f>
        <v>0</v>
      </c>
      <c r="S49" s="161">
        <f>'Scheduled Intervals'!S16</f>
        <v>0</v>
      </c>
      <c r="T49" s="161">
        <f>'Scheduled Intervals'!T16</f>
        <v>0</v>
      </c>
      <c r="U49" s="161">
        <f>'Scheduled Intervals'!U16</f>
        <v>250</v>
      </c>
      <c r="V49" s="161">
        <f>'Scheduled Intervals'!V16</f>
        <v>0</v>
      </c>
      <c r="W49" s="161">
        <f>'Scheduled Intervals'!W16</f>
        <v>0</v>
      </c>
      <c r="X49" s="161">
        <f>'Scheduled Intervals'!X16</f>
        <v>0</v>
      </c>
      <c r="Y49" s="161">
        <f>'Scheduled Intervals'!Y16</f>
        <v>0</v>
      </c>
      <c r="Z49" s="161">
        <f>'Scheduled Intervals'!Z16</f>
        <v>250</v>
      </c>
      <c r="AA49" s="161">
        <f>'Scheduled Intervals'!AA16</f>
        <v>0</v>
      </c>
      <c r="AB49" s="161">
        <f>'Scheduled Intervals'!AB16</f>
        <v>500</v>
      </c>
      <c r="AC49" s="161">
        <f>'Scheduled Intervals'!AC16</f>
        <v>0</v>
      </c>
      <c r="AE49" s="161">
        <f>'Scheduled Intervals'!AE16</f>
        <v>250</v>
      </c>
      <c r="AF49" s="161">
        <f>'Scheduled Intervals'!AF16</f>
        <v>0</v>
      </c>
      <c r="AG49" s="161">
        <f>'Scheduled Intervals'!AG16</f>
        <v>0</v>
      </c>
      <c r="AH49" s="161">
        <f>'Scheduled Intervals'!AH16</f>
        <v>0</v>
      </c>
      <c r="AI49" s="161">
        <f>'Scheduled Intervals'!AI16</f>
        <v>0</v>
      </c>
      <c r="AJ49" s="161">
        <f>'Scheduled Intervals'!AJ16</f>
        <v>0</v>
      </c>
      <c r="AK49" s="161">
        <f>'Scheduled Intervals'!AK16</f>
        <v>0</v>
      </c>
      <c r="AL49" s="161">
        <f>'Scheduled Intervals'!AL16</f>
        <v>500</v>
      </c>
      <c r="AM49" s="161">
        <f>'Scheduled Intervals'!AM16</f>
        <v>0</v>
      </c>
      <c r="AN49" s="161">
        <f>'Scheduled Intervals'!AN16</f>
        <v>0</v>
      </c>
      <c r="AO49" s="161">
        <f>'Scheduled Intervals'!AO16</f>
        <v>0</v>
      </c>
      <c r="AP49" s="161">
        <f>'Scheduled Intervals'!AP16</f>
        <v>0</v>
      </c>
      <c r="AQ49" s="161">
        <f>'Scheduled Intervals'!AQ16</f>
        <v>0</v>
      </c>
      <c r="AR49" s="161">
        <f>'Scheduled Intervals'!AR16</f>
        <v>0</v>
      </c>
      <c r="AS49" s="161">
        <f>'Scheduled Intervals'!AS16</f>
        <v>0</v>
      </c>
      <c r="AT49" s="161">
        <f>'Scheduled Intervals'!AT16</f>
        <v>250</v>
      </c>
      <c r="AU49" s="161">
        <f>'Scheduled Intervals'!AU16</f>
        <v>0</v>
      </c>
      <c r="AV49" s="161">
        <f>'Scheduled Intervals'!AV16</f>
        <v>0</v>
      </c>
      <c r="AW49" s="161">
        <f>'Scheduled Intervals'!AW16</f>
        <v>0</v>
      </c>
      <c r="AX49" s="161">
        <f>'Scheduled Intervals'!AX16</f>
        <v>0</v>
      </c>
      <c r="AY49" s="161">
        <f>'Scheduled Intervals'!AY16</f>
        <v>0</v>
      </c>
      <c r="AZ49" s="161">
        <f>'Scheduled Intervals'!AZ16</f>
        <v>0</v>
      </c>
      <c r="BA49" s="161">
        <f>'Scheduled Intervals'!BA16</f>
        <v>0</v>
      </c>
      <c r="BB49" s="161">
        <f>'Scheduled Intervals'!BB16</f>
        <v>500</v>
      </c>
      <c r="BC49" s="161">
        <f>'Scheduled Intervals'!BC16</f>
        <v>0</v>
      </c>
      <c r="BD49" s="161">
        <f>'Scheduled Intervals'!BD16</f>
        <v>0</v>
      </c>
      <c r="BE49" s="161">
        <f>'Scheduled Intervals'!BE16</f>
        <v>0</v>
      </c>
      <c r="BF49" s="161">
        <f>'Scheduled Intervals'!BF16</f>
        <v>0</v>
      </c>
      <c r="BG49" s="161">
        <f>'Scheduled Intervals'!BG16</f>
        <v>0</v>
      </c>
      <c r="BH49" s="161">
        <f>'Scheduled Intervals'!BH16</f>
        <v>1000</v>
      </c>
      <c r="BI49" s="161">
        <f>'Scheduled Intervals'!BI16</f>
        <v>0</v>
      </c>
      <c r="BJ49" s="161">
        <f>'Scheduled Intervals'!BJ16</f>
        <v>250</v>
      </c>
      <c r="BK49" s="161">
        <f>'Scheduled Intervals'!BK16</f>
        <v>0</v>
      </c>
      <c r="BL49" s="161">
        <f>'Scheduled Intervals'!BL16</f>
        <v>0</v>
      </c>
      <c r="BM49" s="161">
        <f>'Scheduled Intervals'!BM16</f>
        <v>0</v>
      </c>
      <c r="BN49" s="161" t="str">
        <f>'Scheduled Intervals'!BN16</f>
        <v>Annual</v>
      </c>
      <c r="BO49" s="161" t="str">
        <f>'Scheduled Intervals'!BO16</f>
        <v>Annual</v>
      </c>
      <c r="BP49" s="161" t="str">
        <f>'Scheduled Intervals'!BP16</f>
        <v>Annual</v>
      </c>
    </row>
    <row r="50" spans="2:68" ht="16" x14ac:dyDescent="0.2">
      <c r="B50" s="161">
        <f>'Scheduled Intervals'!B17</f>
        <v>50</v>
      </c>
      <c r="C50" s="161">
        <f>'Scheduled Intervals'!C17</f>
        <v>50</v>
      </c>
      <c r="D50" s="161">
        <f>'Scheduled Intervals'!D17</f>
        <v>0</v>
      </c>
      <c r="E50" s="161">
        <f>'Scheduled Intervals'!E17</f>
        <v>50</v>
      </c>
      <c r="F50" s="161">
        <f>'Scheduled Intervals'!F17</f>
        <v>50</v>
      </c>
      <c r="G50" s="161">
        <f>'Scheduled Intervals'!G17</f>
        <v>0</v>
      </c>
      <c r="H50" s="161">
        <f>'Scheduled Intervals'!H17</f>
        <v>50</v>
      </c>
      <c r="I50" s="161">
        <f>'Scheduled Intervals'!I17</f>
        <v>50</v>
      </c>
      <c r="J50" s="161">
        <f>'Scheduled Intervals'!J17</f>
        <v>0</v>
      </c>
      <c r="K50" s="161">
        <f>'Scheduled Intervals'!K17</f>
        <v>50</v>
      </c>
      <c r="L50" s="161">
        <f>'Scheduled Intervals'!L17</f>
        <v>50</v>
      </c>
      <c r="M50" s="161">
        <f>'Scheduled Intervals'!M17</f>
        <v>0</v>
      </c>
      <c r="N50" s="161">
        <f>'Scheduled Intervals'!N17</f>
        <v>0</v>
      </c>
      <c r="O50" s="161">
        <f>'Scheduled Intervals'!O17</f>
        <v>0</v>
      </c>
      <c r="P50" s="161">
        <f>'Scheduled Intervals'!P17</f>
        <v>0</v>
      </c>
      <c r="Q50" s="161">
        <f>'Scheduled Intervals'!Q17</f>
        <v>0</v>
      </c>
      <c r="R50" s="161">
        <f>'Scheduled Intervals'!R17</f>
        <v>0</v>
      </c>
      <c r="S50" s="161">
        <f>'Scheduled Intervals'!S17</f>
        <v>0</v>
      </c>
      <c r="T50" s="161">
        <f>'Scheduled Intervals'!T17</f>
        <v>0</v>
      </c>
      <c r="U50" s="161">
        <f>'Scheduled Intervals'!U17</f>
        <v>100</v>
      </c>
      <c r="V50" s="161">
        <f>'Scheduled Intervals'!V17</f>
        <v>0</v>
      </c>
      <c r="W50" s="161">
        <f>'Scheduled Intervals'!W17</f>
        <v>100</v>
      </c>
      <c r="X50" s="161">
        <f>'Scheduled Intervals'!X17</f>
        <v>0</v>
      </c>
      <c r="Y50" s="161">
        <f>'Scheduled Intervals'!Y17</f>
        <v>0</v>
      </c>
      <c r="Z50" s="161">
        <f>'Scheduled Intervals'!Z17</f>
        <v>100</v>
      </c>
      <c r="AA50" s="161">
        <f>'Scheduled Intervals'!AA17</f>
        <v>0</v>
      </c>
      <c r="AB50" s="161">
        <f>'Scheduled Intervals'!AB17</f>
        <v>300</v>
      </c>
      <c r="AC50" s="161">
        <f>'Scheduled Intervals'!AC17</f>
        <v>0</v>
      </c>
      <c r="AE50" s="161">
        <f>'Scheduled Intervals'!AE17</f>
        <v>300</v>
      </c>
      <c r="AF50" s="161">
        <f>'Scheduled Intervals'!AF17</f>
        <v>0</v>
      </c>
      <c r="AG50" s="161">
        <f>'Scheduled Intervals'!AG17</f>
        <v>0</v>
      </c>
      <c r="AH50" s="161">
        <f>'Scheduled Intervals'!AH17</f>
        <v>0</v>
      </c>
      <c r="AI50" s="161">
        <f>'Scheduled Intervals'!AI17</f>
        <v>0</v>
      </c>
      <c r="AJ50" s="161">
        <f>'Scheduled Intervals'!AJ17</f>
        <v>0</v>
      </c>
      <c r="AK50" s="161">
        <f>'Scheduled Intervals'!AK17</f>
        <v>0</v>
      </c>
      <c r="AL50" s="161">
        <f>'Scheduled Intervals'!AL17</f>
        <v>400</v>
      </c>
      <c r="AM50" s="161">
        <f>'Scheduled Intervals'!AM17</f>
        <v>0</v>
      </c>
      <c r="AN50" s="161">
        <f>'Scheduled Intervals'!AN17</f>
        <v>0</v>
      </c>
      <c r="AO50" s="161">
        <f>'Scheduled Intervals'!AO17</f>
        <v>0</v>
      </c>
      <c r="AP50" s="161">
        <f>'Scheduled Intervals'!AP17</f>
        <v>0</v>
      </c>
      <c r="AQ50" s="161">
        <f>'Scheduled Intervals'!AQ17</f>
        <v>0</v>
      </c>
      <c r="AR50" s="161">
        <f>'Scheduled Intervals'!AR17</f>
        <v>0</v>
      </c>
      <c r="AS50" s="161">
        <f>'Scheduled Intervals'!AS17</f>
        <v>0</v>
      </c>
      <c r="AT50" s="161">
        <f>'Scheduled Intervals'!AT17</f>
        <v>100</v>
      </c>
      <c r="AU50" s="161">
        <f>'Scheduled Intervals'!AU17</f>
        <v>0</v>
      </c>
      <c r="AV50" s="161">
        <f>'Scheduled Intervals'!AV17</f>
        <v>0</v>
      </c>
      <c r="AW50" s="161">
        <f>'Scheduled Intervals'!AW17</f>
        <v>400</v>
      </c>
      <c r="AX50" s="161">
        <f>'Scheduled Intervals'!AX17</f>
        <v>0</v>
      </c>
      <c r="AY50" s="161">
        <f>'Scheduled Intervals'!AY17</f>
        <v>0</v>
      </c>
      <c r="AZ50" s="161">
        <f>'Scheduled Intervals'!AZ17</f>
        <v>0</v>
      </c>
      <c r="BA50" s="161">
        <f>'Scheduled Intervals'!BA17</f>
        <v>0</v>
      </c>
      <c r="BB50" s="161">
        <f>'Scheduled Intervals'!BB17</f>
        <v>300</v>
      </c>
      <c r="BC50" s="161">
        <f>'Scheduled Intervals'!BC17</f>
        <v>0</v>
      </c>
      <c r="BD50" s="161">
        <f>'Scheduled Intervals'!BD17</f>
        <v>0</v>
      </c>
      <c r="BE50" s="161">
        <f>'Scheduled Intervals'!BE17</f>
        <v>0</v>
      </c>
      <c r="BF50" s="161">
        <f>'Scheduled Intervals'!BF17</f>
        <v>0</v>
      </c>
      <c r="BG50" s="161">
        <f>'Scheduled Intervals'!BG17</f>
        <v>0</v>
      </c>
      <c r="BH50" s="161">
        <f>'Scheduled Intervals'!BH17</f>
        <v>1000</v>
      </c>
      <c r="BI50" s="161">
        <f>'Scheduled Intervals'!BI17</f>
        <v>0</v>
      </c>
      <c r="BJ50" s="161">
        <f>'Scheduled Intervals'!BJ17</f>
        <v>100</v>
      </c>
      <c r="BK50" s="161">
        <f>'Scheduled Intervals'!BK17</f>
        <v>0</v>
      </c>
      <c r="BL50" s="161">
        <f>'Scheduled Intervals'!BL17</f>
        <v>0</v>
      </c>
      <c r="BM50" s="161">
        <f>'Scheduled Intervals'!BM17</f>
        <v>0</v>
      </c>
      <c r="BN50" s="161" t="str">
        <f>'Scheduled Intervals'!BN17</f>
        <v>Annual</v>
      </c>
      <c r="BO50" s="161" t="str">
        <f>'Scheduled Intervals'!BO17</f>
        <v>Annual</v>
      </c>
      <c r="BP50" s="161" t="str">
        <f>'Scheduled Intervals'!BP17</f>
        <v>Annual</v>
      </c>
    </row>
    <row r="51" spans="2:68" ht="16" x14ac:dyDescent="0.2">
      <c r="B51" s="161">
        <f>'Scheduled Intervals'!B18</f>
        <v>50</v>
      </c>
      <c r="C51" s="161">
        <f>'Scheduled Intervals'!C18</f>
        <v>0</v>
      </c>
      <c r="D51" s="161">
        <f>'Scheduled Intervals'!D18</f>
        <v>0</v>
      </c>
      <c r="E51" s="161">
        <f>'Scheduled Intervals'!E18</f>
        <v>0</v>
      </c>
      <c r="F51" s="161">
        <f>'Scheduled Intervals'!F18</f>
        <v>50</v>
      </c>
      <c r="G51" s="161">
        <f>'Scheduled Intervals'!G18</f>
        <v>0</v>
      </c>
      <c r="H51" s="161">
        <f>'Scheduled Intervals'!H18</f>
        <v>50</v>
      </c>
      <c r="I51" s="161">
        <f>'Scheduled Intervals'!I18</f>
        <v>50</v>
      </c>
      <c r="J51" s="161">
        <f>'Scheduled Intervals'!J18</f>
        <v>0</v>
      </c>
      <c r="K51" s="161">
        <f>'Scheduled Intervals'!K18</f>
        <v>0</v>
      </c>
      <c r="L51" s="161">
        <f>'Scheduled Intervals'!L18</f>
        <v>0</v>
      </c>
      <c r="M51" s="161">
        <f>'Scheduled Intervals'!M18</f>
        <v>0</v>
      </c>
      <c r="N51" s="161">
        <f>'Scheduled Intervals'!N18</f>
        <v>0</v>
      </c>
      <c r="O51" s="161">
        <f>'Scheduled Intervals'!O18</f>
        <v>0</v>
      </c>
      <c r="P51" s="161">
        <f>'Scheduled Intervals'!P18</f>
        <v>0</v>
      </c>
      <c r="Q51" s="161">
        <f>'Scheduled Intervals'!Q18</f>
        <v>0</v>
      </c>
      <c r="R51" s="161">
        <f>'Scheduled Intervals'!R18</f>
        <v>0</v>
      </c>
      <c r="S51" s="161">
        <f>'Scheduled Intervals'!S18</f>
        <v>0</v>
      </c>
      <c r="T51" s="161">
        <f>'Scheduled Intervals'!T18</f>
        <v>0</v>
      </c>
      <c r="U51" s="161">
        <f>'Scheduled Intervals'!U18</f>
        <v>400</v>
      </c>
      <c r="V51" s="161">
        <f>'Scheduled Intervals'!V18</f>
        <v>0</v>
      </c>
      <c r="W51" s="161">
        <f>'Scheduled Intervals'!W18</f>
        <v>0</v>
      </c>
      <c r="X51" s="161">
        <f>'Scheduled Intervals'!X18</f>
        <v>0</v>
      </c>
      <c r="Y51" s="161">
        <f>'Scheduled Intervals'!Y18</f>
        <v>0</v>
      </c>
      <c r="Z51" s="161">
        <f>'Scheduled Intervals'!Z18</f>
        <v>200</v>
      </c>
      <c r="AA51" s="161">
        <f>'Scheduled Intervals'!AA18</f>
        <v>0</v>
      </c>
      <c r="AB51" s="161">
        <f>'Scheduled Intervals'!AB18</f>
        <v>1000</v>
      </c>
      <c r="AC51" s="161">
        <f>'Scheduled Intervals'!AC18</f>
        <v>1600</v>
      </c>
      <c r="AE51" s="161">
        <f>'Scheduled Intervals'!AE18</f>
        <v>400</v>
      </c>
      <c r="AF51" s="161">
        <f>'Scheduled Intervals'!AF18</f>
        <v>0</v>
      </c>
      <c r="AG51" s="161">
        <f>'Scheduled Intervals'!AG18</f>
        <v>0</v>
      </c>
      <c r="AH51" s="161">
        <f>'Scheduled Intervals'!AH18</f>
        <v>0</v>
      </c>
      <c r="AI51" s="161">
        <f>'Scheduled Intervals'!AI18</f>
        <v>0</v>
      </c>
      <c r="AJ51" s="161">
        <f>'Scheduled Intervals'!AJ18</f>
        <v>0</v>
      </c>
      <c r="AK51" s="161">
        <f>'Scheduled Intervals'!AK18</f>
        <v>0</v>
      </c>
      <c r="AL51" s="161">
        <f>'Scheduled Intervals'!AL18</f>
        <v>200</v>
      </c>
      <c r="AM51" s="161">
        <f>'Scheduled Intervals'!AM18</f>
        <v>0</v>
      </c>
      <c r="AN51" s="161">
        <f>'Scheduled Intervals'!AN18</f>
        <v>0</v>
      </c>
      <c r="AO51" s="161">
        <f>'Scheduled Intervals'!AO18</f>
        <v>0</v>
      </c>
      <c r="AP51" s="161">
        <f>'Scheduled Intervals'!AP18</f>
        <v>0</v>
      </c>
      <c r="AQ51" s="161">
        <f>'Scheduled Intervals'!AQ18</f>
        <v>0</v>
      </c>
      <c r="AR51" s="161">
        <f>'Scheduled Intervals'!AR18</f>
        <v>0</v>
      </c>
      <c r="AS51" s="161">
        <f>'Scheduled Intervals'!AS18</f>
        <v>0</v>
      </c>
      <c r="AT51" s="161">
        <f>'Scheduled Intervals'!AT18</f>
        <v>200</v>
      </c>
      <c r="AU51" s="161">
        <f>'Scheduled Intervals'!AU18</f>
        <v>0</v>
      </c>
      <c r="AV51" s="161">
        <f>'Scheduled Intervals'!AV18</f>
        <v>0</v>
      </c>
      <c r="AW51" s="161">
        <f>'Scheduled Intervals'!AW18</f>
        <v>1000</v>
      </c>
      <c r="AX51" s="161">
        <f>'Scheduled Intervals'!AX18</f>
        <v>0</v>
      </c>
      <c r="AY51" s="161">
        <f>'Scheduled Intervals'!AY18</f>
        <v>0</v>
      </c>
      <c r="AZ51" s="161">
        <f>'Scheduled Intervals'!AZ18</f>
        <v>0</v>
      </c>
      <c r="BA51" s="161">
        <f>'Scheduled Intervals'!BA18</f>
        <v>0</v>
      </c>
      <c r="BB51" s="161">
        <f>'Scheduled Intervals'!BB18</f>
        <v>800</v>
      </c>
      <c r="BC51" s="161">
        <f>'Scheduled Intervals'!BC18</f>
        <v>800</v>
      </c>
      <c r="BD51" s="161">
        <f>'Scheduled Intervals'!BD18</f>
        <v>0</v>
      </c>
      <c r="BE51" s="161">
        <f>'Scheduled Intervals'!BE18</f>
        <v>0</v>
      </c>
      <c r="BF51" s="161">
        <f>'Scheduled Intervals'!BF18</f>
        <v>1600</v>
      </c>
      <c r="BG51" s="161">
        <f>'Scheduled Intervals'!BG18</f>
        <v>0</v>
      </c>
      <c r="BH51" s="161">
        <f>'Scheduled Intervals'!BH18</f>
        <v>1000</v>
      </c>
      <c r="BI51" s="161">
        <f>'Scheduled Intervals'!BI18</f>
        <v>0</v>
      </c>
      <c r="BJ51" s="161">
        <f>'Scheduled Intervals'!BJ18</f>
        <v>200</v>
      </c>
      <c r="BK51" s="161">
        <f>'Scheduled Intervals'!BK18</f>
        <v>0</v>
      </c>
      <c r="BL51" s="161">
        <f>'Scheduled Intervals'!BL18</f>
        <v>0</v>
      </c>
      <c r="BM51" s="161">
        <f>'Scheduled Intervals'!BM18</f>
        <v>0</v>
      </c>
      <c r="BN51" s="161" t="str">
        <f>'Scheduled Intervals'!BN18</f>
        <v>Annual</v>
      </c>
      <c r="BO51" s="161" t="str">
        <f>'Scheduled Intervals'!BO18</f>
        <v>Annual</v>
      </c>
      <c r="BP51" s="161" t="str">
        <f>'Scheduled Intervals'!BP18</f>
        <v>Annual</v>
      </c>
    </row>
    <row r="52" spans="2:68" ht="16" x14ac:dyDescent="0.2">
      <c r="B52" s="161">
        <f>'Scheduled Intervals'!B19</f>
        <v>50</v>
      </c>
      <c r="C52" s="161">
        <f>'Scheduled Intervals'!C19</f>
        <v>0</v>
      </c>
      <c r="D52" s="161">
        <f>'Scheduled Intervals'!D19</f>
        <v>0</v>
      </c>
      <c r="E52" s="161">
        <f>'Scheduled Intervals'!E19</f>
        <v>0</v>
      </c>
      <c r="F52" s="161">
        <f>'Scheduled Intervals'!F19</f>
        <v>50</v>
      </c>
      <c r="G52" s="161">
        <f>'Scheduled Intervals'!G19</f>
        <v>0</v>
      </c>
      <c r="H52" s="161">
        <f>'Scheduled Intervals'!H19</f>
        <v>50</v>
      </c>
      <c r="I52" s="161">
        <f>'Scheduled Intervals'!I19</f>
        <v>50</v>
      </c>
      <c r="J52" s="161">
        <f>'Scheduled Intervals'!J19</f>
        <v>0</v>
      </c>
      <c r="K52" s="161">
        <f>'Scheduled Intervals'!K19</f>
        <v>0</v>
      </c>
      <c r="L52" s="161">
        <f>'Scheduled Intervals'!L19</f>
        <v>0</v>
      </c>
      <c r="M52" s="161">
        <f>'Scheduled Intervals'!M19</f>
        <v>0</v>
      </c>
      <c r="N52" s="161">
        <f>'Scheduled Intervals'!N19</f>
        <v>0</v>
      </c>
      <c r="O52" s="161">
        <f>'Scheduled Intervals'!O19</f>
        <v>0</v>
      </c>
      <c r="P52" s="161">
        <f>'Scheduled Intervals'!P19</f>
        <v>0</v>
      </c>
      <c r="Q52" s="161">
        <f>'Scheduled Intervals'!Q19</f>
        <v>0</v>
      </c>
      <c r="R52" s="161">
        <f>'Scheduled Intervals'!R19</f>
        <v>0</v>
      </c>
      <c r="S52" s="161">
        <f>'Scheduled Intervals'!S19</f>
        <v>0</v>
      </c>
      <c r="T52" s="161">
        <f>'Scheduled Intervals'!T19</f>
        <v>0</v>
      </c>
      <c r="U52" s="161">
        <f>'Scheduled Intervals'!U19</f>
        <v>250</v>
      </c>
      <c r="V52" s="161">
        <f>'Scheduled Intervals'!V19</f>
        <v>0</v>
      </c>
      <c r="W52" s="161">
        <f>'Scheduled Intervals'!W19</f>
        <v>0</v>
      </c>
      <c r="X52" s="161">
        <f>'Scheduled Intervals'!X19</f>
        <v>0</v>
      </c>
      <c r="Y52" s="161">
        <f>'Scheduled Intervals'!Y19</f>
        <v>0</v>
      </c>
      <c r="Z52" s="161">
        <f>'Scheduled Intervals'!Z19</f>
        <v>500</v>
      </c>
      <c r="AA52" s="161">
        <f>'Scheduled Intervals'!AA19</f>
        <v>0</v>
      </c>
      <c r="AB52" s="161">
        <f>'Scheduled Intervals'!AB19</f>
        <v>650</v>
      </c>
      <c r="AC52" s="161">
        <f>'Scheduled Intervals'!AC19</f>
        <v>650</v>
      </c>
      <c r="AE52" s="161">
        <f>'Scheduled Intervals'!AE19</f>
        <v>0</v>
      </c>
      <c r="AF52" s="161">
        <f>'Scheduled Intervals'!AF19</f>
        <v>0</v>
      </c>
      <c r="AG52" s="161">
        <f>'Scheduled Intervals'!AG19</f>
        <v>0</v>
      </c>
      <c r="AH52" s="161">
        <f>'Scheduled Intervals'!AH19</f>
        <v>0</v>
      </c>
      <c r="AI52" s="161">
        <f>'Scheduled Intervals'!AI19</f>
        <v>2000</v>
      </c>
      <c r="AJ52" s="161">
        <f>'Scheduled Intervals'!AJ19</f>
        <v>0</v>
      </c>
      <c r="AK52" s="161">
        <f>'Scheduled Intervals'!AK19</f>
        <v>0</v>
      </c>
      <c r="AL52" s="161">
        <f>'Scheduled Intervals'!AL19</f>
        <v>650</v>
      </c>
      <c r="AM52" s="161">
        <f>'Scheduled Intervals'!AM19</f>
        <v>0</v>
      </c>
      <c r="AN52" s="161">
        <f>'Scheduled Intervals'!AN19</f>
        <v>0</v>
      </c>
      <c r="AO52" s="161">
        <f>'Scheduled Intervals'!AO19</f>
        <v>0</v>
      </c>
      <c r="AP52" s="161">
        <f>'Scheduled Intervals'!AP19</f>
        <v>0</v>
      </c>
      <c r="AQ52" s="161">
        <f>'Scheduled Intervals'!AQ19</f>
        <v>0</v>
      </c>
      <c r="AR52" s="161">
        <f>'Scheduled Intervals'!AR19</f>
        <v>0</v>
      </c>
      <c r="AS52" s="161">
        <f>'Scheduled Intervals'!AS19</f>
        <v>0</v>
      </c>
      <c r="AT52" s="161">
        <f>'Scheduled Intervals'!AT19</f>
        <v>250</v>
      </c>
      <c r="AU52" s="161">
        <f>'Scheduled Intervals'!AU19</f>
        <v>0</v>
      </c>
      <c r="AV52" s="161">
        <f>'Scheduled Intervals'!AV19</f>
        <v>0</v>
      </c>
      <c r="AW52" s="161">
        <f>'Scheduled Intervals'!AW19</f>
        <v>0</v>
      </c>
      <c r="AX52" s="161">
        <f>'Scheduled Intervals'!AX19</f>
        <v>0</v>
      </c>
      <c r="AY52" s="161">
        <f>'Scheduled Intervals'!AY19</f>
        <v>0</v>
      </c>
      <c r="AZ52" s="161">
        <f>'Scheduled Intervals'!AZ19</f>
        <v>0</v>
      </c>
      <c r="BA52" s="161">
        <f>'Scheduled Intervals'!BA19</f>
        <v>0</v>
      </c>
      <c r="BB52" s="161">
        <f>'Scheduled Intervals'!BB19</f>
        <v>1000</v>
      </c>
      <c r="BC52" s="161">
        <f>'Scheduled Intervals'!BC19</f>
        <v>1000</v>
      </c>
      <c r="BD52" s="161">
        <f>'Scheduled Intervals'!BD19</f>
        <v>0</v>
      </c>
      <c r="BE52" s="161">
        <f>'Scheduled Intervals'!BE19</f>
        <v>0</v>
      </c>
      <c r="BF52" s="161">
        <f>'Scheduled Intervals'!BF19</f>
        <v>1750</v>
      </c>
      <c r="BG52" s="161">
        <f>'Scheduled Intervals'!BG19</f>
        <v>0</v>
      </c>
      <c r="BH52" s="161">
        <f>'Scheduled Intervals'!BH19</f>
        <v>1000</v>
      </c>
      <c r="BI52" s="161">
        <f>'Scheduled Intervals'!BI19</f>
        <v>0</v>
      </c>
      <c r="BJ52" s="161">
        <f>'Scheduled Intervals'!BJ19</f>
        <v>250</v>
      </c>
      <c r="BK52" s="161">
        <f>'Scheduled Intervals'!BK19</f>
        <v>0</v>
      </c>
      <c r="BL52" s="161">
        <f>'Scheduled Intervals'!BL19</f>
        <v>0</v>
      </c>
      <c r="BM52" s="161">
        <f>'Scheduled Intervals'!BM19</f>
        <v>0</v>
      </c>
      <c r="BN52" s="161" t="str">
        <f>'Scheduled Intervals'!BN19</f>
        <v>Annual</v>
      </c>
      <c r="BO52" s="161" t="str">
        <f>'Scheduled Intervals'!BO19</f>
        <v>Annual</v>
      </c>
      <c r="BP52" s="161" t="str">
        <f>'Scheduled Intervals'!BP19</f>
        <v>Annual</v>
      </c>
    </row>
    <row r="53" spans="2:68" ht="16" x14ac:dyDescent="0.2">
      <c r="B53" s="161">
        <f>'Scheduled Intervals'!B20</f>
        <v>50</v>
      </c>
      <c r="C53" s="161">
        <f>'Scheduled Intervals'!C20</f>
        <v>0</v>
      </c>
      <c r="D53" s="161">
        <f>'Scheduled Intervals'!D20</f>
        <v>0</v>
      </c>
      <c r="E53" s="161">
        <f>'Scheduled Intervals'!E20</f>
        <v>0</v>
      </c>
      <c r="F53" s="161">
        <f>'Scheduled Intervals'!F20</f>
        <v>50</v>
      </c>
      <c r="G53" s="161">
        <f>'Scheduled Intervals'!G20</f>
        <v>0</v>
      </c>
      <c r="H53" s="161">
        <f>'Scheduled Intervals'!H20</f>
        <v>50</v>
      </c>
      <c r="I53" s="161">
        <f>'Scheduled Intervals'!I20</f>
        <v>50</v>
      </c>
      <c r="J53" s="161">
        <f>'Scheduled Intervals'!J20</f>
        <v>0</v>
      </c>
      <c r="K53" s="161">
        <f>'Scheduled Intervals'!K20</f>
        <v>0</v>
      </c>
      <c r="L53" s="161">
        <f>'Scheduled Intervals'!L20</f>
        <v>0</v>
      </c>
      <c r="M53" s="161">
        <f>'Scheduled Intervals'!M20</f>
        <v>0</v>
      </c>
      <c r="N53" s="161">
        <f>'Scheduled Intervals'!N20</f>
        <v>0</v>
      </c>
      <c r="O53" s="161">
        <f>'Scheduled Intervals'!O20</f>
        <v>0</v>
      </c>
      <c r="P53" s="161">
        <f>'Scheduled Intervals'!P20</f>
        <v>0</v>
      </c>
      <c r="Q53" s="161">
        <f>'Scheduled Intervals'!Q20</f>
        <v>0</v>
      </c>
      <c r="R53" s="161">
        <f>'Scheduled Intervals'!R20</f>
        <v>0</v>
      </c>
      <c r="S53" s="161">
        <f>'Scheduled Intervals'!S20</f>
        <v>0</v>
      </c>
      <c r="T53" s="161">
        <f>'Scheduled Intervals'!T20</f>
        <v>0</v>
      </c>
      <c r="U53" s="161">
        <f>'Scheduled Intervals'!U20</f>
        <v>500</v>
      </c>
      <c r="V53" s="161">
        <f>'Scheduled Intervals'!V20</f>
        <v>0</v>
      </c>
      <c r="W53" s="161">
        <f>'Scheduled Intervals'!W20</f>
        <v>0</v>
      </c>
      <c r="X53" s="161">
        <f>'Scheduled Intervals'!X20</f>
        <v>0</v>
      </c>
      <c r="Y53" s="161">
        <f>'Scheduled Intervals'!Y20</f>
        <v>0</v>
      </c>
      <c r="Z53" s="161">
        <f>'Scheduled Intervals'!Z20</f>
        <v>250</v>
      </c>
      <c r="AA53" s="161">
        <f>'Scheduled Intervals'!AA20</f>
        <v>0</v>
      </c>
      <c r="AB53" s="161">
        <f>'Scheduled Intervals'!AB20</f>
        <v>1250</v>
      </c>
      <c r="AC53" s="161">
        <f>'Scheduled Intervals'!AC20</f>
        <v>500</v>
      </c>
      <c r="AE53" s="161">
        <f>'Scheduled Intervals'!AE20</f>
        <v>0</v>
      </c>
      <c r="AF53" s="161">
        <f>'Scheduled Intervals'!AF20</f>
        <v>0</v>
      </c>
      <c r="AG53" s="161">
        <f>'Scheduled Intervals'!AG20</f>
        <v>0</v>
      </c>
      <c r="AH53" s="161">
        <f>'Scheduled Intervals'!AH20</f>
        <v>0</v>
      </c>
      <c r="AI53" s="161">
        <f>'Scheduled Intervals'!AI20</f>
        <v>500</v>
      </c>
      <c r="AJ53" s="161">
        <f>'Scheduled Intervals'!AJ20</f>
        <v>0</v>
      </c>
      <c r="AK53" s="161">
        <f>'Scheduled Intervals'!AK20</f>
        <v>0</v>
      </c>
      <c r="AL53" s="161">
        <f>'Scheduled Intervals'!AL20</f>
        <v>500</v>
      </c>
      <c r="AM53" s="161">
        <f>'Scheduled Intervals'!AM20</f>
        <v>0</v>
      </c>
      <c r="AN53" s="161">
        <f>'Scheduled Intervals'!AN20</f>
        <v>0</v>
      </c>
      <c r="AO53" s="161">
        <f>'Scheduled Intervals'!AO20</f>
        <v>0</v>
      </c>
      <c r="AP53" s="161">
        <f>'Scheduled Intervals'!AP20</f>
        <v>0</v>
      </c>
      <c r="AQ53" s="161">
        <f>'Scheduled Intervals'!AQ20</f>
        <v>0</v>
      </c>
      <c r="AR53" s="161">
        <f>'Scheduled Intervals'!AR20</f>
        <v>0</v>
      </c>
      <c r="AS53" s="161">
        <f>'Scheduled Intervals'!AS20</f>
        <v>0</v>
      </c>
      <c r="AT53" s="161">
        <f>'Scheduled Intervals'!AT20</f>
        <v>250</v>
      </c>
      <c r="AU53" s="161">
        <f>'Scheduled Intervals'!AU20</f>
        <v>0</v>
      </c>
      <c r="AV53" s="161">
        <f>'Scheduled Intervals'!AV20</f>
        <v>0</v>
      </c>
      <c r="AW53" s="161">
        <f>'Scheduled Intervals'!AW20</f>
        <v>1000</v>
      </c>
      <c r="AX53" s="161">
        <f>'Scheduled Intervals'!AX20</f>
        <v>0</v>
      </c>
      <c r="AY53" s="161">
        <f>'Scheduled Intervals'!AY20</f>
        <v>0</v>
      </c>
      <c r="AZ53" s="161">
        <f>'Scheduled Intervals'!AZ20</f>
        <v>0</v>
      </c>
      <c r="BA53" s="161">
        <f>'Scheduled Intervals'!BA20</f>
        <v>0</v>
      </c>
      <c r="BB53" s="161">
        <f>'Scheduled Intervals'!BB20</f>
        <v>1000</v>
      </c>
      <c r="BC53" s="161">
        <f>'Scheduled Intervals'!BC20</f>
        <v>1000</v>
      </c>
      <c r="BD53" s="161">
        <f>'Scheduled Intervals'!BD20</f>
        <v>0</v>
      </c>
      <c r="BE53" s="161">
        <f>'Scheduled Intervals'!BE20</f>
        <v>0</v>
      </c>
      <c r="BF53" s="161">
        <f>'Scheduled Intervals'!BF20</f>
        <v>1500</v>
      </c>
      <c r="BG53" s="161">
        <f>'Scheduled Intervals'!BG20</f>
        <v>0</v>
      </c>
      <c r="BH53" s="161">
        <f>'Scheduled Intervals'!BH20</f>
        <v>1000</v>
      </c>
      <c r="BI53" s="161">
        <f>'Scheduled Intervals'!BI20</f>
        <v>0</v>
      </c>
      <c r="BJ53" s="161">
        <f>'Scheduled Intervals'!BJ20</f>
        <v>250</v>
      </c>
      <c r="BK53" s="161">
        <f>'Scheduled Intervals'!BK20</f>
        <v>0</v>
      </c>
      <c r="BL53" s="161">
        <f>'Scheduled Intervals'!BL20</f>
        <v>0</v>
      </c>
      <c r="BM53" s="161">
        <f>'Scheduled Intervals'!BM20</f>
        <v>0</v>
      </c>
      <c r="BN53" s="161" t="str">
        <f>'Scheduled Intervals'!BN20</f>
        <v>Annual</v>
      </c>
      <c r="BO53" s="161" t="str">
        <f>'Scheduled Intervals'!BO20</f>
        <v>Annual</v>
      </c>
      <c r="BP53" s="161" t="str">
        <f>'Scheduled Intervals'!BP20</f>
        <v>Annual</v>
      </c>
    </row>
    <row r="54" spans="2:68" ht="16" x14ac:dyDescent="0.2">
      <c r="B54" s="161">
        <f>'Scheduled Intervals'!B21</f>
        <v>50</v>
      </c>
      <c r="C54" s="161">
        <f>'Scheduled Intervals'!C21</f>
        <v>50</v>
      </c>
      <c r="D54" s="161">
        <f>'Scheduled Intervals'!D21</f>
        <v>50</v>
      </c>
      <c r="E54" s="161">
        <f>'Scheduled Intervals'!E21</f>
        <v>0</v>
      </c>
      <c r="F54" s="161">
        <f>'Scheduled Intervals'!F21</f>
        <v>50</v>
      </c>
      <c r="G54" s="161">
        <f>'Scheduled Intervals'!G21</f>
        <v>0</v>
      </c>
      <c r="H54" s="161">
        <f>'Scheduled Intervals'!H21</f>
        <v>50</v>
      </c>
      <c r="I54" s="161">
        <f>'Scheduled Intervals'!I21</f>
        <v>50</v>
      </c>
      <c r="J54" s="161">
        <f>'Scheduled Intervals'!J21</f>
        <v>0</v>
      </c>
      <c r="K54" s="161">
        <f>'Scheduled Intervals'!K21</f>
        <v>0</v>
      </c>
      <c r="L54" s="161">
        <f>'Scheduled Intervals'!L21</f>
        <v>0</v>
      </c>
      <c r="M54" s="161">
        <f>'Scheduled Intervals'!M21</f>
        <v>50</v>
      </c>
      <c r="N54" s="161">
        <f>'Scheduled Intervals'!N21</f>
        <v>0</v>
      </c>
      <c r="O54" s="161">
        <f>'Scheduled Intervals'!O21</f>
        <v>0</v>
      </c>
      <c r="P54" s="161">
        <f>'Scheduled Intervals'!P21</f>
        <v>50</v>
      </c>
      <c r="Q54" s="161">
        <f>'Scheduled Intervals'!Q21</f>
        <v>0</v>
      </c>
      <c r="R54" s="161">
        <f>'Scheduled Intervals'!R21</f>
        <v>0</v>
      </c>
      <c r="S54" s="161">
        <f>'Scheduled Intervals'!S21</f>
        <v>0</v>
      </c>
      <c r="T54" s="161">
        <f>'Scheduled Intervals'!T21</f>
        <v>0</v>
      </c>
      <c r="U54" s="161">
        <f>'Scheduled Intervals'!U21</f>
        <v>500</v>
      </c>
      <c r="V54" s="161">
        <f>'Scheduled Intervals'!V21</f>
        <v>1500</v>
      </c>
      <c r="W54" s="161">
        <f>'Scheduled Intervals'!W21</f>
        <v>250</v>
      </c>
      <c r="X54" s="161">
        <f>'Scheduled Intervals'!X21</f>
        <v>1500</v>
      </c>
      <c r="Y54" s="161">
        <f>'Scheduled Intervals'!Y21</f>
        <v>0</v>
      </c>
      <c r="Z54" s="161">
        <f>'Scheduled Intervals'!Z21</f>
        <v>500</v>
      </c>
      <c r="AA54" s="161">
        <f>'Scheduled Intervals'!AA21</f>
        <v>0</v>
      </c>
      <c r="AB54" s="161">
        <f>'Scheduled Intervals'!AB21</f>
        <v>0</v>
      </c>
      <c r="AC54" s="161">
        <f>'Scheduled Intervals'!AC21</f>
        <v>0</v>
      </c>
      <c r="AE54" s="161">
        <f>'Scheduled Intervals'!AE21</f>
        <v>0</v>
      </c>
      <c r="AF54" s="161">
        <f>'Scheduled Intervals'!AF21</f>
        <v>0</v>
      </c>
      <c r="AG54" s="161">
        <f>'Scheduled Intervals'!AG21</f>
        <v>500</v>
      </c>
      <c r="AH54" s="161">
        <f>'Scheduled Intervals'!AH21</f>
        <v>500</v>
      </c>
      <c r="AI54" s="161">
        <f>'Scheduled Intervals'!AI21</f>
        <v>1000</v>
      </c>
      <c r="AJ54" s="161">
        <f>'Scheduled Intervals'!AJ21</f>
        <v>0</v>
      </c>
      <c r="AK54" s="161">
        <f>'Scheduled Intervals'!AK21</f>
        <v>0</v>
      </c>
      <c r="AL54" s="161">
        <f>'Scheduled Intervals'!AL21</f>
        <v>250</v>
      </c>
      <c r="AM54" s="161">
        <f>'Scheduled Intervals'!AM21</f>
        <v>0</v>
      </c>
      <c r="AN54" s="161">
        <f>'Scheduled Intervals'!AN21</f>
        <v>0</v>
      </c>
      <c r="AO54" s="161">
        <f>'Scheduled Intervals'!AO21</f>
        <v>0</v>
      </c>
      <c r="AP54" s="161">
        <f>'Scheduled Intervals'!AP21</f>
        <v>250</v>
      </c>
      <c r="AQ54" s="161">
        <f>'Scheduled Intervals'!AQ21</f>
        <v>250</v>
      </c>
      <c r="AR54" s="161">
        <f>'Scheduled Intervals'!AR21</f>
        <v>0</v>
      </c>
      <c r="AS54" s="161">
        <f>'Scheduled Intervals'!AS21</f>
        <v>0</v>
      </c>
      <c r="AT54" s="161">
        <f>'Scheduled Intervals'!AT21</f>
        <v>500</v>
      </c>
      <c r="AU54" s="161">
        <f>'Scheduled Intervals'!AU21</f>
        <v>0</v>
      </c>
      <c r="AV54" s="161">
        <f>'Scheduled Intervals'!AV21</f>
        <v>0</v>
      </c>
      <c r="AW54" s="161">
        <f>'Scheduled Intervals'!AW21</f>
        <v>1000</v>
      </c>
      <c r="AX54" s="161">
        <f>'Scheduled Intervals'!AX21</f>
        <v>0</v>
      </c>
      <c r="AY54" s="161">
        <f>'Scheduled Intervals'!AY21</f>
        <v>0</v>
      </c>
      <c r="AZ54" s="161">
        <f>'Scheduled Intervals'!AZ21</f>
        <v>0</v>
      </c>
      <c r="BA54" s="161">
        <f>'Scheduled Intervals'!BA21</f>
        <v>0</v>
      </c>
      <c r="BB54" s="161">
        <f>'Scheduled Intervals'!BB21</f>
        <v>250</v>
      </c>
      <c r="BC54" s="161">
        <f>'Scheduled Intervals'!BC21</f>
        <v>0</v>
      </c>
      <c r="BD54" s="161">
        <f>'Scheduled Intervals'!BD21</f>
        <v>0</v>
      </c>
      <c r="BE54" s="161">
        <f>'Scheduled Intervals'!BE21</f>
        <v>0</v>
      </c>
      <c r="BF54" s="161">
        <f>'Scheduled Intervals'!BF21</f>
        <v>1500</v>
      </c>
      <c r="BG54" s="161">
        <f>'Scheduled Intervals'!BG21</f>
        <v>1500</v>
      </c>
      <c r="BH54" s="161">
        <f>'Scheduled Intervals'!BH21</f>
        <v>1000</v>
      </c>
      <c r="BI54" s="161">
        <f>'Scheduled Intervals'!BI21</f>
        <v>0</v>
      </c>
      <c r="BJ54" s="161">
        <f>'Scheduled Intervals'!BJ21</f>
        <v>500</v>
      </c>
      <c r="BK54" s="161">
        <f>'Scheduled Intervals'!BK21</f>
        <v>0</v>
      </c>
      <c r="BL54" s="161">
        <f>'Scheduled Intervals'!BL21</f>
        <v>0</v>
      </c>
      <c r="BM54" s="161">
        <f>'Scheduled Intervals'!BM21</f>
        <v>0</v>
      </c>
      <c r="BN54" s="161" t="str">
        <f>'Scheduled Intervals'!BN21</f>
        <v>Annual</v>
      </c>
      <c r="BO54" s="161" t="str">
        <f>'Scheduled Intervals'!BO21</f>
        <v>Annual</v>
      </c>
      <c r="BP54" s="161" t="str">
        <f>'Scheduled Intervals'!BP21</f>
        <v>Annual</v>
      </c>
    </row>
    <row r="55" spans="2:68" ht="16" x14ac:dyDescent="0.2">
      <c r="B55" s="161">
        <f>'Scheduled Intervals'!B22</f>
        <v>50</v>
      </c>
      <c r="C55" s="161">
        <f>'Scheduled Intervals'!C22</f>
        <v>50</v>
      </c>
      <c r="D55" s="161">
        <f>'Scheduled Intervals'!D22</f>
        <v>0</v>
      </c>
      <c r="E55" s="161">
        <f>'Scheduled Intervals'!E22</f>
        <v>0</v>
      </c>
      <c r="F55" s="161">
        <f>'Scheduled Intervals'!F22</f>
        <v>0</v>
      </c>
      <c r="G55" s="161">
        <f>'Scheduled Intervals'!G22</f>
        <v>0</v>
      </c>
      <c r="H55" s="161">
        <f>'Scheduled Intervals'!H22</f>
        <v>50</v>
      </c>
      <c r="I55" s="161">
        <f>'Scheduled Intervals'!I22</f>
        <v>50</v>
      </c>
      <c r="J55" s="161">
        <f>'Scheduled Intervals'!J22</f>
        <v>0</v>
      </c>
      <c r="K55" s="161">
        <f>'Scheduled Intervals'!K22</f>
        <v>0</v>
      </c>
      <c r="L55" s="161">
        <f>'Scheduled Intervals'!L22</f>
        <v>0</v>
      </c>
      <c r="M55" s="161">
        <f>'Scheduled Intervals'!M22</f>
        <v>0</v>
      </c>
      <c r="N55" s="161">
        <f>'Scheduled Intervals'!N22</f>
        <v>0</v>
      </c>
      <c r="O55" s="161">
        <f>'Scheduled Intervals'!O22</f>
        <v>0</v>
      </c>
      <c r="P55" s="161">
        <f>'Scheduled Intervals'!P22</f>
        <v>0</v>
      </c>
      <c r="Q55" s="161">
        <f>'Scheduled Intervals'!Q22</f>
        <v>250</v>
      </c>
      <c r="R55" s="161">
        <f>'Scheduled Intervals'!R22</f>
        <v>250</v>
      </c>
      <c r="S55" s="161">
        <f>'Scheduled Intervals'!S22</f>
        <v>0</v>
      </c>
      <c r="T55" s="161">
        <f>'Scheduled Intervals'!T22</f>
        <v>0</v>
      </c>
      <c r="U55" s="161">
        <f>'Scheduled Intervals'!U22</f>
        <v>250</v>
      </c>
      <c r="V55" s="161">
        <f>'Scheduled Intervals'!V22</f>
        <v>0</v>
      </c>
      <c r="W55" s="161">
        <f>'Scheduled Intervals'!W22</f>
        <v>0</v>
      </c>
      <c r="X55" s="161">
        <f>'Scheduled Intervals'!X22</f>
        <v>500</v>
      </c>
      <c r="Y55" s="161">
        <f>'Scheduled Intervals'!Y22</f>
        <v>0</v>
      </c>
      <c r="Z55" s="161">
        <f>'Scheduled Intervals'!Z22</f>
        <v>500</v>
      </c>
      <c r="AA55" s="161">
        <f>'Scheduled Intervals'!AA22</f>
        <v>0</v>
      </c>
      <c r="AB55" s="161">
        <f>'Scheduled Intervals'!AB22</f>
        <v>1000</v>
      </c>
      <c r="AC55" s="161">
        <f>'Scheduled Intervals'!AC22</f>
        <v>0</v>
      </c>
      <c r="AE55" s="161">
        <f>'Scheduled Intervals'!AE22</f>
        <v>0</v>
      </c>
      <c r="AF55" s="161">
        <f>'Scheduled Intervals'!AF22</f>
        <v>1000</v>
      </c>
      <c r="AG55" s="161">
        <f>'Scheduled Intervals'!AG22</f>
        <v>1000</v>
      </c>
      <c r="AH55" s="161">
        <f>'Scheduled Intervals'!AH22</f>
        <v>1000</v>
      </c>
      <c r="AI55" s="161">
        <f>'Scheduled Intervals'!AI22</f>
        <v>0</v>
      </c>
      <c r="AJ55" s="161">
        <f>'Scheduled Intervals'!AJ22</f>
        <v>1000</v>
      </c>
      <c r="AK55" s="161">
        <f>'Scheduled Intervals'!AK22</f>
        <v>0</v>
      </c>
      <c r="AL55" s="161">
        <f>'Scheduled Intervals'!AL22</f>
        <v>0</v>
      </c>
      <c r="AM55" s="161">
        <f>'Scheduled Intervals'!AM22</f>
        <v>0</v>
      </c>
      <c r="AN55" s="161">
        <f>'Scheduled Intervals'!AN22</f>
        <v>0</v>
      </c>
      <c r="AO55" s="161">
        <f>'Scheduled Intervals'!AO22</f>
        <v>0</v>
      </c>
      <c r="AP55" s="161">
        <f>'Scheduled Intervals'!AP22</f>
        <v>250</v>
      </c>
      <c r="AQ55" s="161">
        <f>'Scheduled Intervals'!AQ22</f>
        <v>0</v>
      </c>
      <c r="AR55" s="161">
        <f>'Scheduled Intervals'!AR22</f>
        <v>0</v>
      </c>
      <c r="AS55" s="161">
        <f>'Scheduled Intervals'!AS22</f>
        <v>0</v>
      </c>
      <c r="AT55" s="161">
        <f>'Scheduled Intervals'!AT22</f>
        <v>250</v>
      </c>
      <c r="AU55" s="161">
        <f>'Scheduled Intervals'!AU22</f>
        <v>0</v>
      </c>
      <c r="AV55" s="161">
        <f>'Scheduled Intervals'!AV22</f>
        <v>0</v>
      </c>
      <c r="AW55" s="161">
        <f>'Scheduled Intervals'!AW22</f>
        <v>2000</v>
      </c>
      <c r="AX55" s="161">
        <f>'Scheduled Intervals'!AX22</f>
        <v>0</v>
      </c>
      <c r="AY55" s="161">
        <f>'Scheduled Intervals'!AY22</f>
        <v>0</v>
      </c>
      <c r="AZ55" s="161">
        <f>'Scheduled Intervals'!AZ22</f>
        <v>0</v>
      </c>
      <c r="BA55" s="161">
        <f>'Scheduled Intervals'!BA22</f>
        <v>0</v>
      </c>
      <c r="BB55" s="161">
        <f>'Scheduled Intervals'!BB22</f>
        <v>1000</v>
      </c>
      <c r="BC55" s="161">
        <f>'Scheduled Intervals'!BC22</f>
        <v>1000</v>
      </c>
      <c r="BD55" s="161">
        <f>'Scheduled Intervals'!BD22</f>
        <v>0</v>
      </c>
      <c r="BE55" s="161">
        <f>'Scheduled Intervals'!BE22</f>
        <v>0</v>
      </c>
      <c r="BF55" s="161">
        <f>'Scheduled Intervals'!BF22</f>
        <v>1500</v>
      </c>
      <c r="BG55" s="161">
        <f>'Scheduled Intervals'!BG22</f>
        <v>1500</v>
      </c>
      <c r="BH55" s="161">
        <f>'Scheduled Intervals'!BH22</f>
        <v>2000</v>
      </c>
      <c r="BI55" s="161">
        <f>'Scheduled Intervals'!BI22</f>
        <v>0</v>
      </c>
      <c r="BJ55" s="161">
        <f>'Scheduled Intervals'!BJ22</f>
        <v>250</v>
      </c>
      <c r="BK55" s="161">
        <f>'Scheduled Intervals'!BK22</f>
        <v>0</v>
      </c>
      <c r="BL55" s="161">
        <f>'Scheduled Intervals'!BL22</f>
        <v>0</v>
      </c>
      <c r="BM55" s="161">
        <f>'Scheduled Intervals'!BM22</f>
        <v>0</v>
      </c>
      <c r="BN55" s="161" t="str">
        <f>'Scheduled Intervals'!BN22</f>
        <v>Annual</v>
      </c>
      <c r="BO55" s="161" t="str">
        <f>'Scheduled Intervals'!BO22</f>
        <v>Annual</v>
      </c>
      <c r="BP55" s="161" t="str">
        <f>'Scheduled Intervals'!BP22</f>
        <v>Annual</v>
      </c>
    </row>
    <row r="56" spans="2:68" ht="16" x14ac:dyDescent="0.2">
      <c r="B56" s="161">
        <f>'Scheduled Intervals'!B23</f>
        <v>50</v>
      </c>
      <c r="C56" s="161">
        <f>'Scheduled Intervals'!C23</f>
        <v>0</v>
      </c>
      <c r="D56" s="161">
        <f>'Scheduled Intervals'!D23</f>
        <v>50</v>
      </c>
      <c r="E56" s="161">
        <f>'Scheduled Intervals'!E23</f>
        <v>0</v>
      </c>
      <c r="F56" s="161">
        <f>'Scheduled Intervals'!F23</f>
        <v>0</v>
      </c>
      <c r="G56" s="161">
        <f>'Scheduled Intervals'!G23</f>
        <v>0</v>
      </c>
      <c r="H56" s="161">
        <f>'Scheduled Intervals'!H23</f>
        <v>50</v>
      </c>
      <c r="I56" s="161">
        <f>'Scheduled Intervals'!I23</f>
        <v>50</v>
      </c>
      <c r="J56" s="161">
        <f>'Scheduled Intervals'!J23</f>
        <v>0</v>
      </c>
      <c r="K56" s="161">
        <f>'Scheduled Intervals'!K23</f>
        <v>0</v>
      </c>
      <c r="L56" s="161">
        <f>'Scheduled Intervals'!L23</f>
        <v>0</v>
      </c>
      <c r="M56" s="161">
        <f>'Scheduled Intervals'!M23</f>
        <v>0</v>
      </c>
      <c r="N56" s="161">
        <f>'Scheduled Intervals'!N23</f>
        <v>0</v>
      </c>
      <c r="O56" s="161">
        <f>'Scheduled Intervals'!O23</f>
        <v>0</v>
      </c>
      <c r="P56" s="161">
        <f>'Scheduled Intervals'!P23</f>
        <v>0</v>
      </c>
      <c r="Q56" s="161">
        <f>'Scheduled Intervals'!Q23</f>
        <v>250</v>
      </c>
      <c r="R56" s="161">
        <f>'Scheduled Intervals'!R23</f>
        <v>250</v>
      </c>
      <c r="S56" s="161">
        <f>'Scheduled Intervals'!S23</f>
        <v>0</v>
      </c>
      <c r="T56" s="161">
        <f>'Scheduled Intervals'!T23</f>
        <v>0</v>
      </c>
      <c r="U56" s="161">
        <f>'Scheduled Intervals'!U23</f>
        <v>500</v>
      </c>
      <c r="V56" s="161">
        <f>'Scheduled Intervals'!V23</f>
        <v>0</v>
      </c>
      <c r="W56" s="161">
        <f>'Scheduled Intervals'!W23</f>
        <v>0</v>
      </c>
      <c r="X56" s="161">
        <f>'Scheduled Intervals'!X23</f>
        <v>250</v>
      </c>
      <c r="Y56" s="161">
        <f>'Scheduled Intervals'!Y23</f>
        <v>0</v>
      </c>
      <c r="Z56" s="161">
        <f>'Scheduled Intervals'!Z23</f>
        <v>250</v>
      </c>
      <c r="AA56" s="161">
        <f>'Scheduled Intervals'!AA23</f>
        <v>0</v>
      </c>
      <c r="AB56" s="161">
        <f>'Scheduled Intervals'!AB23</f>
        <v>1000</v>
      </c>
      <c r="AC56" s="161">
        <f>'Scheduled Intervals'!AC23</f>
        <v>0</v>
      </c>
      <c r="AE56" s="161">
        <f>'Scheduled Intervals'!AE23</f>
        <v>0</v>
      </c>
      <c r="AF56" s="161">
        <f>'Scheduled Intervals'!AF23</f>
        <v>1000</v>
      </c>
      <c r="AG56" s="161">
        <f>'Scheduled Intervals'!AG23</f>
        <v>1000</v>
      </c>
      <c r="AH56" s="161">
        <f>'Scheduled Intervals'!AH23</f>
        <v>1000</v>
      </c>
      <c r="AI56" s="161">
        <f>'Scheduled Intervals'!AI23</f>
        <v>0</v>
      </c>
      <c r="AJ56" s="161">
        <f>'Scheduled Intervals'!AJ23</f>
        <v>0</v>
      </c>
      <c r="AK56" s="161">
        <f>'Scheduled Intervals'!AK23</f>
        <v>0</v>
      </c>
      <c r="AL56" s="161">
        <f>'Scheduled Intervals'!AL23</f>
        <v>1000</v>
      </c>
      <c r="AM56" s="161">
        <f>'Scheduled Intervals'!AM23</f>
        <v>0</v>
      </c>
      <c r="AN56" s="161">
        <f>'Scheduled Intervals'!AN23</f>
        <v>0</v>
      </c>
      <c r="AO56" s="161">
        <f>'Scheduled Intervals'!AO23</f>
        <v>0</v>
      </c>
      <c r="AP56" s="161">
        <f>'Scheduled Intervals'!AP23</f>
        <v>250</v>
      </c>
      <c r="AQ56" s="161">
        <f>'Scheduled Intervals'!AQ23</f>
        <v>0</v>
      </c>
      <c r="AR56" s="161">
        <f>'Scheduled Intervals'!AR23</f>
        <v>0</v>
      </c>
      <c r="AS56" s="161">
        <f>'Scheduled Intervals'!AS23</f>
        <v>0</v>
      </c>
      <c r="AT56" s="161">
        <f>'Scheduled Intervals'!AT23</f>
        <v>500</v>
      </c>
      <c r="AU56" s="161">
        <f>'Scheduled Intervals'!AU23</f>
        <v>0</v>
      </c>
      <c r="AV56" s="161">
        <f>'Scheduled Intervals'!AV23</f>
        <v>0</v>
      </c>
      <c r="AW56" s="161">
        <f>'Scheduled Intervals'!AW23</f>
        <v>1000</v>
      </c>
      <c r="AX56" s="161">
        <f>'Scheduled Intervals'!AX23</f>
        <v>0</v>
      </c>
      <c r="AY56" s="161">
        <f>'Scheduled Intervals'!AY23</f>
        <v>0</v>
      </c>
      <c r="AZ56" s="161">
        <f>'Scheduled Intervals'!AZ23</f>
        <v>0</v>
      </c>
      <c r="BA56" s="161">
        <f>'Scheduled Intervals'!BA23</f>
        <v>0</v>
      </c>
      <c r="BB56" s="161">
        <f>'Scheduled Intervals'!BB23</f>
        <v>1000</v>
      </c>
      <c r="BC56" s="161">
        <f>'Scheduled Intervals'!BC23</f>
        <v>1000</v>
      </c>
      <c r="BD56" s="161">
        <f>'Scheduled Intervals'!BD23</f>
        <v>0</v>
      </c>
      <c r="BE56" s="161">
        <f>'Scheduled Intervals'!BE23</f>
        <v>0</v>
      </c>
      <c r="BF56" s="161">
        <f>'Scheduled Intervals'!BF23</f>
        <v>1500</v>
      </c>
      <c r="BG56" s="161">
        <f>'Scheduled Intervals'!BG23</f>
        <v>0</v>
      </c>
      <c r="BH56" s="161">
        <f>'Scheduled Intervals'!BH23</f>
        <v>2000</v>
      </c>
      <c r="BI56" s="161">
        <f>'Scheduled Intervals'!BI23</f>
        <v>0</v>
      </c>
      <c r="BJ56" s="161">
        <f>'Scheduled Intervals'!BJ23</f>
        <v>500</v>
      </c>
      <c r="BK56" s="161">
        <f>'Scheduled Intervals'!BK23</f>
        <v>0</v>
      </c>
      <c r="BL56" s="161">
        <f>'Scheduled Intervals'!BL23</f>
        <v>0</v>
      </c>
      <c r="BM56" s="161">
        <f>'Scheduled Intervals'!BM23</f>
        <v>0</v>
      </c>
      <c r="BN56" s="161" t="str">
        <f>'Scheduled Intervals'!BN23</f>
        <v>Annual</v>
      </c>
      <c r="BO56" s="161" t="str">
        <f>'Scheduled Intervals'!BO23</f>
        <v>Annual</v>
      </c>
      <c r="BP56" s="161" t="str">
        <f>'Scheduled Intervals'!BP23</f>
        <v>Annual</v>
      </c>
    </row>
    <row r="57" spans="2:68" ht="16" x14ac:dyDescent="0.2">
      <c r="B57" s="161">
        <f>'Scheduled Intervals'!B24</f>
        <v>50</v>
      </c>
      <c r="C57" s="161">
        <f>'Scheduled Intervals'!C24</f>
        <v>0</v>
      </c>
      <c r="D57" s="161">
        <f>'Scheduled Intervals'!D24</f>
        <v>0</v>
      </c>
      <c r="E57" s="161">
        <f>'Scheduled Intervals'!E24</f>
        <v>0</v>
      </c>
      <c r="F57" s="161">
        <f>'Scheduled Intervals'!F24</f>
        <v>0</v>
      </c>
      <c r="G57" s="161">
        <f>'Scheduled Intervals'!G24</f>
        <v>0</v>
      </c>
      <c r="H57" s="161">
        <f>'Scheduled Intervals'!H24</f>
        <v>50</v>
      </c>
      <c r="I57" s="161">
        <f>'Scheduled Intervals'!I24</f>
        <v>50</v>
      </c>
      <c r="J57" s="161">
        <f>'Scheduled Intervals'!J24</f>
        <v>0</v>
      </c>
      <c r="K57" s="161">
        <f>'Scheduled Intervals'!K24</f>
        <v>0</v>
      </c>
      <c r="L57" s="161">
        <f>'Scheduled Intervals'!L24</f>
        <v>0</v>
      </c>
      <c r="M57" s="161">
        <f>'Scheduled Intervals'!M24</f>
        <v>0</v>
      </c>
      <c r="N57" s="161">
        <f>'Scheduled Intervals'!N24</f>
        <v>0</v>
      </c>
      <c r="O57" s="161">
        <f>'Scheduled Intervals'!O24</f>
        <v>0</v>
      </c>
      <c r="P57" s="161">
        <f>'Scheduled Intervals'!P24</f>
        <v>0</v>
      </c>
      <c r="Q57" s="161">
        <f>'Scheduled Intervals'!Q24</f>
        <v>250</v>
      </c>
      <c r="R57" s="161">
        <f>'Scheduled Intervals'!R24</f>
        <v>0</v>
      </c>
      <c r="S57" s="161">
        <f>'Scheduled Intervals'!S24</f>
        <v>0</v>
      </c>
      <c r="T57" s="161">
        <f>'Scheduled Intervals'!T24</f>
        <v>0</v>
      </c>
      <c r="U57" s="161">
        <f>'Scheduled Intervals'!U24</f>
        <v>250</v>
      </c>
      <c r="V57" s="161">
        <f>'Scheduled Intervals'!V24</f>
        <v>0</v>
      </c>
      <c r="W57" s="161">
        <f>'Scheduled Intervals'!W24</f>
        <v>0</v>
      </c>
      <c r="X57" s="161">
        <f>'Scheduled Intervals'!X24</f>
        <v>500</v>
      </c>
      <c r="Y57" s="161">
        <f>'Scheduled Intervals'!Y24</f>
        <v>0</v>
      </c>
      <c r="Z57" s="161">
        <f>'Scheduled Intervals'!Z24</f>
        <v>500</v>
      </c>
      <c r="AA57" s="161">
        <f>'Scheduled Intervals'!AA24</f>
        <v>0</v>
      </c>
      <c r="AB57" s="161">
        <f>'Scheduled Intervals'!AB24</f>
        <v>1000</v>
      </c>
      <c r="AC57" s="161">
        <f>'Scheduled Intervals'!AC24</f>
        <v>0</v>
      </c>
      <c r="AE57" s="161">
        <f>'Scheduled Intervals'!AE24</f>
        <v>0</v>
      </c>
      <c r="AF57" s="161">
        <f>'Scheduled Intervals'!AF24</f>
        <v>1000</v>
      </c>
      <c r="AG57" s="161">
        <f>'Scheduled Intervals'!AG24</f>
        <v>1000</v>
      </c>
      <c r="AH57" s="161">
        <f>'Scheduled Intervals'!AH24</f>
        <v>1000</v>
      </c>
      <c r="AI57" s="161">
        <f>'Scheduled Intervals'!AI24</f>
        <v>0</v>
      </c>
      <c r="AJ57" s="161">
        <f>'Scheduled Intervals'!AJ24</f>
        <v>0</v>
      </c>
      <c r="AK57" s="161">
        <f>'Scheduled Intervals'!AK24</f>
        <v>0</v>
      </c>
      <c r="AL57" s="161">
        <f>'Scheduled Intervals'!AL24</f>
        <v>0</v>
      </c>
      <c r="AM57" s="161">
        <f>'Scheduled Intervals'!AM24</f>
        <v>0</v>
      </c>
      <c r="AN57" s="161">
        <f>'Scheduled Intervals'!AN24</f>
        <v>0</v>
      </c>
      <c r="AO57" s="161">
        <f>'Scheduled Intervals'!AO24</f>
        <v>0</v>
      </c>
      <c r="AP57" s="161">
        <f>'Scheduled Intervals'!AP24</f>
        <v>250</v>
      </c>
      <c r="AQ57" s="161">
        <f>'Scheduled Intervals'!AQ24</f>
        <v>0</v>
      </c>
      <c r="AR57" s="161">
        <f>'Scheduled Intervals'!AR24</f>
        <v>0</v>
      </c>
      <c r="AS57" s="161">
        <f>'Scheduled Intervals'!AS24</f>
        <v>0</v>
      </c>
      <c r="AT57" s="161">
        <f>'Scheduled Intervals'!AT24</f>
        <v>250</v>
      </c>
      <c r="AU57" s="161">
        <f>'Scheduled Intervals'!AU24</f>
        <v>0</v>
      </c>
      <c r="AV57" s="161">
        <f>'Scheduled Intervals'!AV24</f>
        <v>0</v>
      </c>
      <c r="AW57" s="161">
        <f>'Scheduled Intervals'!AW24</f>
        <v>1000</v>
      </c>
      <c r="AX57" s="161">
        <f>'Scheduled Intervals'!AX24</f>
        <v>0</v>
      </c>
      <c r="AY57" s="161">
        <f>'Scheduled Intervals'!AY24</f>
        <v>0</v>
      </c>
      <c r="AZ57" s="161">
        <f>'Scheduled Intervals'!AZ24</f>
        <v>500</v>
      </c>
      <c r="BA57" s="161">
        <f>'Scheduled Intervals'!BA24</f>
        <v>0</v>
      </c>
      <c r="BB57" s="161">
        <f>'Scheduled Intervals'!BB24</f>
        <v>500</v>
      </c>
      <c r="BC57" s="161">
        <f>'Scheduled Intervals'!BC24</f>
        <v>1000</v>
      </c>
      <c r="BD57" s="161">
        <f>'Scheduled Intervals'!BD24</f>
        <v>0</v>
      </c>
      <c r="BE57" s="161">
        <f>'Scheduled Intervals'!BE24</f>
        <v>0</v>
      </c>
      <c r="BF57" s="161">
        <f>'Scheduled Intervals'!BF24</f>
        <v>1500</v>
      </c>
      <c r="BG57" s="161">
        <f>'Scheduled Intervals'!BG24</f>
        <v>0</v>
      </c>
      <c r="BH57" s="161">
        <f>'Scheduled Intervals'!BH24</f>
        <v>2000</v>
      </c>
      <c r="BI57" s="161">
        <f>'Scheduled Intervals'!BI24</f>
        <v>0</v>
      </c>
      <c r="BJ57" s="161">
        <f>'Scheduled Intervals'!BJ24</f>
        <v>250</v>
      </c>
      <c r="BK57" s="161">
        <f>'Scheduled Intervals'!BK24</f>
        <v>0</v>
      </c>
      <c r="BL57" s="161">
        <f>'Scheduled Intervals'!BL24</f>
        <v>0</v>
      </c>
      <c r="BM57" s="161">
        <f>'Scheduled Intervals'!BM24</f>
        <v>0</v>
      </c>
      <c r="BN57" s="161" t="str">
        <f>'Scheduled Intervals'!BN24</f>
        <v>Annual</v>
      </c>
      <c r="BO57" s="161" t="str">
        <f>'Scheduled Intervals'!BO24</f>
        <v>Annual</v>
      </c>
      <c r="BP57" s="161" t="str">
        <f>'Scheduled Intervals'!BP24</f>
        <v>Annual</v>
      </c>
    </row>
    <row r="58" spans="2:68" ht="16" x14ac:dyDescent="0.2">
      <c r="B58" s="161">
        <f>'Scheduled Intervals'!B25</f>
        <v>50</v>
      </c>
      <c r="C58" s="161">
        <f>'Scheduled Intervals'!C25</f>
        <v>0</v>
      </c>
      <c r="D58" s="161">
        <f>'Scheduled Intervals'!D25</f>
        <v>50</v>
      </c>
      <c r="E58" s="161">
        <f>'Scheduled Intervals'!E25</f>
        <v>0</v>
      </c>
      <c r="F58" s="161">
        <f>'Scheduled Intervals'!F25</f>
        <v>0</v>
      </c>
      <c r="G58" s="161">
        <f>'Scheduled Intervals'!G25</f>
        <v>0</v>
      </c>
      <c r="H58" s="161">
        <f>'Scheduled Intervals'!H25</f>
        <v>50</v>
      </c>
      <c r="I58" s="161">
        <f>'Scheduled Intervals'!I25</f>
        <v>50</v>
      </c>
      <c r="J58" s="161">
        <f>'Scheduled Intervals'!J25</f>
        <v>0</v>
      </c>
      <c r="K58" s="161">
        <f>'Scheduled Intervals'!K25</f>
        <v>0</v>
      </c>
      <c r="L58" s="161">
        <f>'Scheduled Intervals'!L25</f>
        <v>0</v>
      </c>
      <c r="M58" s="161">
        <f>'Scheduled Intervals'!M25</f>
        <v>0</v>
      </c>
      <c r="N58" s="161">
        <f>'Scheduled Intervals'!N25</f>
        <v>0</v>
      </c>
      <c r="O58" s="161">
        <f>'Scheduled Intervals'!O25</f>
        <v>0</v>
      </c>
      <c r="P58" s="161">
        <f>'Scheduled Intervals'!P25</f>
        <v>0</v>
      </c>
      <c r="Q58" s="161">
        <f>'Scheduled Intervals'!Q25</f>
        <v>100</v>
      </c>
      <c r="R58" s="161">
        <f>'Scheduled Intervals'!R25</f>
        <v>250</v>
      </c>
      <c r="S58" s="161">
        <f>'Scheduled Intervals'!S25</f>
        <v>0</v>
      </c>
      <c r="T58" s="161">
        <f>'Scheduled Intervals'!T25</f>
        <v>0</v>
      </c>
      <c r="U58" s="161">
        <f>'Scheduled Intervals'!U25</f>
        <v>250</v>
      </c>
      <c r="V58" s="161">
        <f>'Scheduled Intervals'!V25</f>
        <v>0</v>
      </c>
      <c r="W58" s="161">
        <f>'Scheduled Intervals'!W25</f>
        <v>0</v>
      </c>
      <c r="X58" s="161">
        <f>'Scheduled Intervals'!X25</f>
        <v>500</v>
      </c>
      <c r="Y58" s="161">
        <f>'Scheduled Intervals'!Y25</f>
        <v>0</v>
      </c>
      <c r="Z58" s="161">
        <f>'Scheduled Intervals'!Z25</f>
        <v>500</v>
      </c>
      <c r="AA58" s="161">
        <f>'Scheduled Intervals'!AA25</f>
        <v>0</v>
      </c>
      <c r="AB58" s="161">
        <f>'Scheduled Intervals'!AB25</f>
        <v>0</v>
      </c>
      <c r="AC58" s="161">
        <f>'Scheduled Intervals'!AC25</f>
        <v>0</v>
      </c>
      <c r="AE58" s="161">
        <f>'Scheduled Intervals'!AE25</f>
        <v>0</v>
      </c>
      <c r="AF58" s="161">
        <f>'Scheduled Intervals'!AF25</f>
        <v>1000</v>
      </c>
      <c r="AG58" s="161">
        <f>'Scheduled Intervals'!AG25</f>
        <v>1000</v>
      </c>
      <c r="AH58" s="161">
        <f>'Scheduled Intervals'!AH25</f>
        <v>1000</v>
      </c>
      <c r="AI58" s="161">
        <f>'Scheduled Intervals'!AI25</f>
        <v>2000</v>
      </c>
      <c r="AJ58" s="161">
        <f>'Scheduled Intervals'!AJ25</f>
        <v>0</v>
      </c>
      <c r="AK58" s="161">
        <f>'Scheduled Intervals'!AK25</f>
        <v>500</v>
      </c>
      <c r="AL58" s="161">
        <f>'Scheduled Intervals'!AL25</f>
        <v>0</v>
      </c>
      <c r="AM58" s="161">
        <f>'Scheduled Intervals'!AM25</f>
        <v>0</v>
      </c>
      <c r="AN58" s="161">
        <f>'Scheduled Intervals'!AN25</f>
        <v>0</v>
      </c>
      <c r="AO58" s="161">
        <f>'Scheduled Intervals'!AO25</f>
        <v>0</v>
      </c>
      <c r="AP58" s="161">
        <f>'Scheduled Intervals'!AP25</f>
        <v>0</v>
      </c>
      <c r="AQ58" s="161">
        <f>'Scheduled Intervals'!AQ25</f>
        <v>0</v>
      </c>
      <c r="AR58" s="161">
        <f>'Scheduled Intervals'!AR25</f>
        <v>0</v>
      </c>
      <c r="AS58" s="161">
        <f>'Scheduled Intervals'!AS25</f>
        <v>0</v>
      </c>
      <c r="AT58" s="161">
        <f>'Scheduled Intervals'!AT25</f>
        <v>250</v>
      </c>
      <c r="AU58" s="161">
        <f>'Scheduled Intervals'!AU25</f>
        <v>0</v>
      </c>
      <c r="AV58" s="161">
        <f>'Scheduled Intervals'!AV25</f>
        <v>0</v>
      </c>
      <c r="AW58" s="161">
        <f>'Scheduled Intervals'!AW25</f>
        <v>0</v>
      </c>
      <c r="AX58" s="161">
        <f>'Scheduled Intervals'!AX25</f>
        <v>0</v>
      </c>
      <c r="AY58" s="161">
        <f>'Scheduled Intervals'!AY25</f>
        <v>0</v>
      </c>
      <c r="AZ58" s="161">
        <f>'Scheduled Intervals'!AZ25</f>
        <v>0</v>
      </c>
      <c r="BA58" s="161">
        <f>'Scheduled Intervals'!BA25</f>
        <v>0</v>
      </c>
      <c r="BB58" s="161">
        <f>'Scheduled Intervals'!BB25</f>
        <v>500</v>
      </c>
      <c r="BC58" s="161">
        <f>'Scheduled Intervals'!BC25</f>
        <v>0</v>
      </c>
      <c r="BD58" s="161">
        <f>'Scheduled Intervals'!BD25</f>
        <v>0</v>
      </c>
      <c r="BE58" s="161">
        <f>'Scheduled Intervals'!BE25</f>
        <v>0</v>
      </c>
      <c r="BF58" s="161">
        <f>'Scheduled Intervals'!BF25</f>
        <v>0</v>
      </c>
      <c r="BG58" s="161">
        <f>'Scheduled Intervals'!BG25</f>
        <v>0</v>
      </c>
      <c r="BH58" s="161">
        <f>'Scheduled Intervals'!BH25</f>
        <v>2000</v>
      </c>
      <c r="BI58" s="161">
        <f>'Scheduled Intervals'!BI25</f>
        <v>0</v>
      </c>
      <c r="BJ58" s="161">
        <f>'Scheduled Intervals'!BJ25</f>
        <v>250</v>
      </c>
      <c r="BK58" s="161">
        <f>'Scheduled Intervals'!BK25</f>
        <v>0</v>
      </c>
      <c r="BL58" s="161">
        <f>'Scheduled Intervals'!BL25</f>
        <v>0</v>
      </c>
      <c r="BM58" s="161">
        <f>'Scheduled Intervals'!BM25</f>
        <v>0</v>
      </c>
      <c r="BN58" s="161" t="str">
        <f>'Scheduled Intervals'!BN25</f>
        <v>Annual</v>
      </c>
      <c r="BO58" s="161" t="str">
        <f>'Scheduled Intervals'!BO25</f>
        <v>Annual</v>
      </c>
      <c r="BP58" s="161" t="str">
        <f>'Scheduled Intervals'!BP25</f>
        <v>Annual</v>
      </c>
    </row>
    <row r="59" spans="2:68" ht="16" x14ac:dyDescent="0.2">
      <c r="B59" s="161">
        <f>'Scheduled Intervals'!B26</f>
        <v>50</v>
      </c>
      <c r="C59" s="161">
        <f>'Scheduled Intervals'!C26</f>
        <v>0</v>
      </c>
      <c r="D59" s="161">
        <f>'Scheduled Intervals'!D26</f>
        <v>50</v>
      </c>
      <c r="E59" s="161">
        <f>'Scheduled Intervals'!E26</f>
        <v>0</v>
      </c>
      <c r="F59" s="161">
        <f>'Scheduled Intervals'!F26</f>
        <v>0</v>
      </c>
      <c r="G59" s="161">
        <f>'Scheduled Intervals'!G26</f>
        <v>0</v>
      </c>
      <c r="H59" s="161">
        <f>'Scheduled Intervals'!H26</f>
        <v>50</v>
      </c>
      <c r="I59" s="161">
        <f>'Scheduled Intervals'!I26</f>
        <v>50</v>
      </c>
      <c r="J59" s="161">
        <f>'Scheduled Intervals'!J26</f>
        <v>0</v>
      </c>
      <c r="K59" s="161">
        <f>'Scheduled Intervals'!K26</f>
        <v>0</v>
      </c>
      <c r="L59" s="161">
        <f>'Scheduled Intervals'!L26</f>
        <v>0</v>
      </c>
      <c r="M59" s="161">
        <f>'Scheduled Intervals'!M26</f>
        <v>0</v>
      </c>
      <c r="N59" s="161">
        <f>'Scheduled Intervals'!N26</f>
        <v>0</v>
      </c>
      <c r="O59" s="161">
        <f>'Scheduled Intervals'!O26</f>
        <v>0</v>
      </c>
      <c r="P59" s="161">
        <f>'Scheduled Intervals'!P26</f>
        <v>0</v>
      </c>
      <c r="Q59" s="161">
        <f>'Scheduled Intervals'!Q26</f>
        <v>100</v>
      </c>
      <c r="R59" s="161">
        <f>'Scheduled Intervals'!R26</f>
        <v>250</v>
      </c>
      <c r="S59" s="161">
        <f>'Scheduled Intervals'!S26</f>
        <v>0</v>
      </c>
      <c r="T59" s="161">
        <f>'Scheduled Intervals'!T26</f>
        <v>0</v>
      </c>
      <c r="U59" s="161">
        <f>'Scheduled Intervals'!U26</f>
        <v>250</v>
      </c>
      <c r="V59" s="161">
        <f>'Scheduled Intervals'!V26</f>
        <v>0</v>
      </c>
      <c r="W59" s="161">
        <f>'Scheduled Intervals'!W26</f>
        <v>0</v>
      </c>
      <c r="X59" s="161">
        <f>'Scheduled Intervals'!X26</f>
        <v>500</v>
      </c>
      <c r="Y59" s="161">
        <f>'Scheduled Intervals'!Y26</f>
        <v>0</v>
      </c>
      <c r="Z59" s="161">
        <f>'Scheduled Intervals'!Z26</f>
        <v>500</v>
      </c>
      <c r="AA59" s="161">
        <f>'Scheduled Intervals'!AA26</f>
        <v>0</v>
      </c>
      <c r="AB59" s="161">
        <f>'Scheduled Intervals'!AB26</f>
        <v>0</v>
      </c>
      <c r="AC59" s="161">
        <f>'Scheduled Intervals'!AC26</f>
        <v>0</v>
      </c>
      <c r="AE59" s="161">
        <f>'Scheduled Intervals'!AE26</f>
        <v>0</v>
      </c>
      <c r="AF59" s="161">
        <f>'Scheduled Intervals'!AF26</f>
        <v>1000</v>
      </c>
      <c r="AG59" s="161">
        <f>'Scheduled Intervals'!AG26</f>
        <v>1000</v>
      </c>
      <c r="AH59" s="161">
        <f>'Scheduled Intervals'!AH26</f>
        <v>1000</v>
      </c>
      <c r="AI59" s="161">
        <f>'Scheduled Intervals'!AI26</f>
        <v>2000</v>
      </c>
      <c r="AJ59" s="161">
        <f>'Scheduled Intervals'!AJ26</f>
        <v>0</v>
      </c>
      <c r="AK59" s="161">
        <f>'Scheduled Intervals'!AK26</f>
        <v>500</v>
      </c>
      <c r="AL59" s="161">
        <f>'Scheduled Intervals'!AL26</f>
        <v>0</v>
      </c>
      <c r="AM59" s="161">
        <f>'Scheduled Intervals'!AM26</f>
        <v>0</v>
      </c>
      <c r="AN59" s="161">
        <f>'Scheduled Intervals'!AN26</f>
        <v>0</v>
      </c>
      <c r="AO59" s="161">
        <f>'Scheduled Intervals'!AO26</f>
        <v>0</v>
      </c>
      <c r="AP59" s="161">
        <f>'Scheduled Intervals'!AP26</f>
        <v>0</v>
      </c>
      <c r="AQ59" s="161">
        <f>'Scheduled Intervals'!AQ26</f>
        <v>0</v>
      </c>
      <c r="AR59" s="161">
        <f>'Scheduled Intervals'!AR26</f>
        <v>0</v>
      </c>
      <c r="AS59" s="161">
        <f>'Scheduled Intervals'!AS26</f>
        <v>0</v>
      </c>
      <c r="AT59" s="161">
        <f>'Scheduled Intervals'!AT26</f>
        <v>250</v>
      </c>
      <c r="AU59" s="161">
        <f>'Scheduled Intervals'!AU26</f>
        <v>0</v>
      </c>
      <c r="AV59" s="161">
        <f>'Scheduled Intervals'!AV26</f>
        <v>0</v>
      </c>
      <c r="AW59" s="161">
        <f>'Scheduled Intervals'!AW26</f>
        <v>0</v>
      </c>
      <c r="AX59" s="161">
        <f>'Scheduled Intervals'!AX26</f>
        <v>0</v>
      </c>
      <c r="AY59" s="161">
        <f>'Scheduled Intervals'!AY26</f>
        <v>0</v>
      </c>
      <c r="AZ59" s="161">
        <f>'Scheduled Intervals'!AZ26</f>
        <v>0</v>
      </c>
      <c r="BA59" s="161">
        <f>'Scheduled Intervals'!BA26</f>
        <v>0</v>
      </c>
      <c r="BB59" s="161">
        <f>'Scheduled Intervals'!BB26</f>
        <v>500</v>
      </c>
      <c r="BC59" s="161">
        <f>'Scheduled Intervals'!BC26</f>
        <v>0</v>
      </c>
      <c r="BD59" s="161">
        <f>'Scheduled Intervals'!BD26</f>
        <v>0</v>
      </c>
      <c r="BE59" s="161">
        <f>'Scheduled Intervals'!BE26</f>
        <v>0</v>
      </c>
      <c r="BF59" s="161">
        <f>'Scheduled Intervals'!BF26</f>
        <v>0</v>
      </c>
      <c r="BG59" s="161">
        <f>'Scheduled Intervals'!BG26</f>
        <v>0</v>
      </c>
      <c r="BH59" s="161">
        <f>'Scheduled Intervals'!BH26</f>
        <v>2000</v>
      </c>
      <c r="BI59" s="161">
        <f>'Scheduled Intervals'!BI26</f>
        <v>0</v>
      </c>
      <c r="BJ59" s="161">
        <f>'Scheduled Intervals'!BJ26</f>
        <v>250</v>
      </c>
      <c r="BK59" s="161">
        <f>'Scheduled Intervals'!BK26</f>
        <v>0</v>
      </c>
      <c r="BL59" s="161">
        <f>'Scheduled Intervals'!BL26</f>
        <v>0</v>
      </c>
      <c r="BM59" s="161">
        <f>'Scheduled Intervals'!BM26</f>
        <v>0</v>
      </c>
      <c r="BN59" s="161" t="str">
        <f>'Scheduled Intervals'!BN26</f>
        <v>Annual</v>
      </c>
      <c r="BO59" s="161" t="str">
        <f>'Scheduled Intervals'!BO26</f>
        <v>Annual</v>
      </c>
      <c r="BP59" s="161" t="str">
        <f>'Scheduled Intervals'!BP26</f>
        <v>Annual</v>
      </c>
    </row>
    <row r="60" spans="2:68" ht="16" x14ac:dyDescent="0.2">
      <c r="B60" s="161">
        <f>'Scheduled Intervals'!B27</f>
        <v>50</v>
      </c>
      <c r="C60" s="161">
        <f>'Scheduled Intervals'!C27</f>
        <v>0</v>
      </c>
      <c r="D60" s="161">
        <f>'Scheduled Intervals'!D27</f>
        <v>50</v>
      </c>
      <c r="E60" s="161">
        <f>'Scheduled Intervals'!E27</f>
        <v>0</v>
      </c>
      <c r="F60" s="161">
        <f>'Scheduled Intervals'!F27</f>
        <v>0</v>
      </c>
      <c r="G60" s="161">
        <f>'Scheduled Intervals'!G27</f>
        <v>0</v>
      </c>
      <c r="H60" s="161">
        <f>'Scheduled Intervals'!H27</f>
        <v>50</v>
      </c>
      <c r="I60" s="161">
        <f>'Scheduled Intervals'!I27</f>
        <v>50</v>
      </c>
      <c r="J60" s="161">
        <f>'Scheduled Intervals'!J27</f>
        <v>50</v>
      </c>
      <c r="K60" s="161">
        <f>'Scheduled Intervals'!K27</f>
        <v>0</v>
      </c>
      <c r="L60" s="161">
        <f>'Scheduled Intervals'!L27</f>
        <v>0</v>
      </c>
      <c r="M60" s="161">
        <f>'Scheduled Intervals'!M27</f>
        <v>0</v>
      </c>
      <c r="N60" s="161">
        <f>'Scheduled Intervals'!N27</f>
        <v>0</v>
      </c>
      <c r="O60" s="161">
        <f>'Scheduled Intervals'!O27</f>
        <v>0</v>
      </c>
      <c r="P60" s="161">
        <f>'Scheduled Intervals'!P27</f>
        <v>0</v>
      </c>
      <c r="Q60" s="161">
        <f>'Scheduled Intervals'!Q27</f>
        <v>250</v>
      </c>
      <c r="R60" s="161">
        <f>'Scheduled Intervals'!R27</f>
        <v>0</v>
      </c>
      <c r="S60" s="161">
        <f>'Scheduled Intervals'!S27</f>
        <v>0</v>
      </c>
      <c r="T60" s="161">
        <f>'Scheduled Intervals'!T27</f>
        <v>0</v>
      </c>
      <c r="U60" s="161">
        <f>'Scheduled Intervals'!U27</f>
        <v>500</v>
      </c>
      <c r="V60" s="161">
        <f>'Scheduled Intervals'!V27</f>
        <v>0</v>
      </c>
      <c r="W60" s="161">
        <f>'Scheduled Intervals'!W27</f>
        <v>0</v>
      </c>
      <c r="X60" s="161">
        <f>'Scheduled Intervals'!X27</f>
        <v>0</v>
      </c>
      <c r="Y60" s="161">
        <f>'Scheduled Intervals'!Y27</f>
        <v>0</v>
      </c>
      <c r="Z60" s="161">
        <f>'Scheduled Intervals'!Z27</f>
        <v>500</v>
      </c>
      <c r="AA60" s="161">
        <f>'Scheduled Intervals'!AA27</f>
        <v>0</v>
      </c>
      <c r="AB60" s="161">
        <f>'Scheduled Intervals'!AB27</f>
        <v>0</v>
      </c>
      <c r="AC60" s="161">
        <f>'Scheduled Intervals'!AC27</f>
        <v>0</v>
      </c>
      <c r="AE60" s="161">
        <f>'Scheduled Intervals'!AE27</f>
        <v>0</v>
      </c>
      <c r="AF60" s="161">
        <f>'Scheduled Intervals'!AF27</f>
        <v>500</v>
      </c>
      <c r="AG60" s="161">
        <f>'Scheduled Intervals'!AG27</f>
        <v>1000</v>
      </c>
      <c r="AH60" s="161">
        <f>'Scheduled Intervals'!AH27</f>
        <v>1000</v>
      </c>
      <c r="AI60" s="161">
        <f>'Scheduled Intervals'!AI27</f>
        <v>400</v>
      </c>
      <c r="AJ60" s="161">
        <f>'Scheduled Intervals'!AJ27</f>
        <v>0</v>
      </c>
      <c r="AK60" s="161">
        <f>'Scheduled Intervals'!AK27</f>
        <v>2000</v>
      </c>
      <c r="AL60" s="161">
        <f>'Scheduled Intervals'!AL27</f>
        <v>0</v>
      </c>
      <c r="AM60" s="161">
        <f>'Scheduled Intervals'!AM27</f>
        <v>0</v>
      </c>
      <c r="AN60" s="161">
        <f>'Scheduled Intervals'!AN27</f>
        <v>0</v>
      </c>
      <c r="AO60" s="161">
        <f>'Scheduled Intervals'!AO27</f>
        <v>0</v>
      </c>
      <c r="AP60" s="161">
        <f>'Scheduled Intervals'!AP27</f>
        <v>0</v>
      </c>
      <c r="AQ60" s="161">
        <f>'Scheduled Intervals'!AQ27</f>
        <v>0</v>
      </c>
      <c r="AR60" s="161">
        <f>'Scheduled Intervals'!AR27</f>
        <v>0</v>
      </c>
      <c r="AS60" s="161">
        <f>'Scheduled Intervals'!AS27</f>
        <v>0</v>
      </c>
      <c r="AT60" s="161">
        <f>'Scheduled Intervals'!AT27</f>
        <v>500</v>
      </c>
      <c r="AU60" s="161">
        <f>'Scheduled Intervals'!AU27</f>
        <v>0</v>
      </c>
      <c r="AV60" s="161">
        <f>'Scheduled Intervals'!AV27</f>
        <v>0</v>
      </c>
      <c r="AW60" s="161">
        <f>'Scheduled Intervals'!AW27</f>
        <v>0</v>
      </c>
      <c r="AX60" s="161">
        <f>'Scheduled Intervals'!AX27</f>
        <v>0</v>
      </c>
      <c r="AY60" s="161">
        <f>'Scheduled Intervals'!AY27</f>
        <v>0</v>
      </c>
      <c r="AZ60" s="161">
        <f>'Scheduled Intervals'!AZ27</f>
        <v>0</v>
      </c>
      <c r="BA60" s="161">
        <f>'Scheduled Intervals'!BA27</f>
        <v>0</v>
      </c>
      <c r="BB60" s="161">
        <f>'Scheduled Intervals'!BB27</f>
        <v>500</v>
      </c>
      <c r="BC60" s="161">
        <f>'Scheduled Intervals'!BC27</f>
        <v>0</v>
      </c>
      <c r="BD60" s="161">
        <f>'Scheduled Intervals'!BD27</f>
        <v>0</v>
      </c>
      <c r="BE60" s="161">
        <f>'Scheduled Intervals'!BE27</f>
        <v>0</v>
      </c>
      <c r="BF60" s="161">
        <f>'Scheduled Intervals'!BF27</f>
        <v>0</v>
      </c>
      <c r="BG60" s="161">
        <f>'Scheduled Intervals'!BG27</f>
        <v>0</v>
      </c>
      <c r="BH60" s="161">
        <f>'Scheduled Intervals'!BH27</f>
        <v>2000</v>
      </c>
      <c r="BI60" s="161">
        <f>'Scheduled Intervals'!BI27</f>
        <v>0</v>
      </c>
      <c r="BJ60" s="161">
        <f>'Scheduled Intervals'!BJ27</f>
        <v>500</v>
      </c>
      <c r="BK60" s="161">
        <f>'Scheduled Intervals'!BK27</f>
        <v>1000</v>
      </c>
      <c r="BL60" s="161">
        <f>'Scheduled Intervals'!BL27</f>
        <v>0</v>
      </c>
      <c r="BM60" s="161">
        <f>'Scheduled Intervals'!BM27</f>
        <v>0</v>
      </c>
      <c r="BN60" s="161" t="str">
        <f>'Scheduled Intervals'!BN27</f>
        <v>Annual</v>
      </c>
      <c r="BO60" s="161" t="str">
        <f>'Scheduled Intervals'!BO27</f>
        <v>Annual</v>
      </c>
      <c r="BP60" s="161" t="str">
        <f>'Scheduled Intervals'!BP27</f>
        <v>Annual</v>
      </c>
    </row>
    <row r="61" spans="2:68" ht="16" x14ac:dyDescent="0.2">
      <c r="B61" s="161">
        <f>'Scheduled Intervals'!B28</f>
        <v>50</v>
      </c>
      <c r="C61" s="161">
        <f>'Scheduled Intervals'!C28</f>
        <v>0</v>
      </c>
      <c r="D61" s="161">
        <f>'Scheduled Intervals'!D28</f>
        <v>50</v>
      </c>
      <c r="E61" s="161">
        <f>'Scheduled Intervals'!E28</f>
        <v>0</v>
      </c>
      <c r="F61" s="161">
        <f>'Scheduled Intervals'!F28</f>
        <v>0</v>
      </c>
      <c r="G61" s="161">
        <f>'Scheduled Intervals'!G28</f>
        <v>0</v>
      </c>
      <c r="H61" s="161">
        <f>'Scheduled Intervals'!H28</f>
        <v>50</v>
      </c>
      <c r="I61" s="161">
        <f>'Scheduled Intervals'!I28</f>
        <v>50</v>
      </c>
      <c r="J61" s="161">
        <f>'Scheduled Intervals'!J28</f>
        <v>0</v>
      </c>
      <c r="K61" s="161">
        <f>'Scheduled Intervals'!K28</f>
        <v>0</v>
      </c>
      <c r="L61" s="161">
        <f>'Scheduled Intervals'!L28</f>
        <v>0</v>
      </c>
      <c r="M61" s="161">
        <f>'Scheduled Intervals'!M28</f>
        <v>0</v>
      </c>
      <c r="N61" s="161">
        <f>'Scheduled Intervals'!N28</f>
        <v>0</v>
      </c>
      <c r="O61" s="161">
        <f>'Scheduled Intervals'!O28</f>
        <v>0</v>
      </c>
      <c r="P61" s="161">
        <f>'Scheduled Intervals'!P28</f>
        <v>0</v>
      </c>
      <c r="Q61" s="161">
        <f>'Scheduled Intervals'!Q28</f>
        <v>250</v>
      </c>
      <c r="R61" s="161">
        <f>'Scheduled Intervals'!R28</f>
        <v>250</v>
      </c>
      <c r="S61" s="161">
        <f>'Scheduled Intervals'!S28</f>
        <v>0</v>
      </c>
      <c r="T61" s="161">
        <f>'Scheduled Intervals'!T28</f>
        <v>0</v>
      </c>
      <c r="U61" s="161">
        <f>'Scheduled Intervals'!U28</f>
        <v>500</v>
      </c>
      <c r="V61" s="161">
        <f>'Scheduled Intervals'!V28</f>
        <v>0</v>
      </c>
      <c r="W61" s="161">
        <f>'Scheduled Intervals'!W28</f>
        <v>0</v>
      </c>
      <c r="X61" s="161">
        <f>'Scheduled Intervals'!X28</f>
        <v>0</v>
      </c>
      <c r="Y61" s="161">
        <f>'Scheduled Intervals'!Y28</f>
        <v>0</v>
      </c>
      <c r="Z61" s="161">
        <f>'Scheduled Intervals'!Z28</f>
        <v>500</v>
      </c>
      <c r="AA61" s="161">
        <f>'Scheduled Intervals'!AA28</f>
        <v>0</v>
      </c>
      <c r="AB61" s="161">
        <f>'Scheduled Intervals'!AB28</f>
        <v>0</v>
      </c>
      <c r="AC61" s="161">
        <f>'Scheduled Intervals'!AC28</f>
        <v>0</v>
      </c>
      <c r="AE61" s="161">
        <f>'Scheduled Intervals'!AE28</f>
        <v>0</v>
      </c>
      <c r="AF61" s="161">
        <f>'Scheduled Intervals'!AF28</f>
        <v>500</v>
      </c>
      <c r="AG61" s="161">
        <f>'Scheduled Intervals'!AG28</f>
        <v>1000</v>
      </c>
      <c r="AH61" s="161">
        <f>'Scheduled Intervals'!AH28</f>
        <v>500</v>
      </c>
      <c r="AI61" s="161">
        <f>'Scheduled Intervals'!AI28</f>
        <v>2000</v>
      </c>
      <c r="AJ61" s="161">
        <f>'Scheduled Intervals'!AJ28</f>
        <v>500</v>
      </c>
      <c r="AK61" s="161">
        <f>'Scheduled Intervals'!AK28</f>
        <v>0</v>
      </c>
      <c r="AL61" s="161">
        <f>'Scheduled Intervals'!AL28</f>
        <v>0</v>
      </c>
      <c r="AM61" s="161">
        <f>'Scheduled Intervals'!AM28</f>
        <v>0</v>
      </c>
      <c r="AN61" s="161">
        <f>'Scheduled Intervals'!AN28</f>
        <v>0</v>
      </c>
      <c r="AO61" s="161">
        <f>'Scheduled Intervals'!AO28</f>
        <v>0</v>
      </c>
      <c r="AP61" s="161">
        <f>'Scheduled Intervals'!AP28</f>
        <v>0</v>
      </c>
      <c r="AQ61" s="161">
        <f>'Scheduled Intervals'!AQ28</f>
        <v>0</v>
      </c>
      <c r="AR61" s="161">
        <f>'Scheduled Intervals'!AR28</f>
        <v>0</v>
      </c>
      <c r="AS61" s="161">
        <f>'Scheduled Intervals'!AS28</f>
        <v>0</v>
      </c>
      <c r="AT61" s="161">
        <f>'Scheduled Intervals'!AT28</f>
        <v>500</v>
      </c>
      <c r="AU61" s="161">
        <f>'Scheduled Intervals'!AU28</f>
        <v>0</v>
      </c>
      <c r="AV61" s="161">
        <f>'Scheduled Intervals'!AV28</f>
        <v>0</v>
      </c>
      <c r="AW61" s="161">
        <f>'Scheduled Intervals'!AW28</f>
        <v>0</v>
      </c>
      <c r="AX61" s="161">
        <f>'Scheduled Intervals'!AX28</f>
        <v>0</v>
      </c>
      <c r="AY61" s="161">
        <f>'Scheduled Intervals'!AY28</f>
        <v>0</v>
      </c>
      <c r="AZ61" s="161">
        <f>'Scheduled Intervals'!AZ28</f>
        <v>0</v>
      </c>
      <c r="BA61" s="161">
        <f>'Scheduled Intervals'!BA28</f>
        <v>0</v>
      </c>
      <c r="BB61" s="161">
        <f>'Scheduled Intervals'!BB28</f>
        <v>500</v>
      </c>
      <c r="BC61" s="161">
        <f>'Scheduled Intervals'!BC28</f>
        <v>0</v>
      </c>
      <c r="BD61" s="161">
        <f>'Scheduled Intervals'!BD28</f>
        <v>0</v>
      </c>
      <c r="BE61" s="161">
        <f>'Scheduled Intervals'!BE28</f>
        <v>0</v>
      </c>
      <c r="BF61" s="161">
        <f>'Scheduled Intervals'!BF28</f>
        <v>0</v>
      </c>
      <c r="BG61" s="161">
        <f>'Scheduled Intervals'!BG28</f>
        <v>0</v>
      </c>
      <c r="BH61" s="161">
        <f>'Scheduled Intervals'!BH28</f>
        <v>2000</v>
      </c>
      <c r="BI61" s="161">
        <f>'Scheduled Intervals'!BI28</f>
        <v>0</v>
      </c>
      <c r="BJ61" s="161">
        <f>'Scheduled Intervals'!BJ28</f>
        <v>500</v>
      </c>
      <c r="BK61" s="161">
        <f>'Scheduled Intervals'!BK28</f>
        <v>1000</v>
      </c>
      <c r="BL61" s="161">
        <f>'Scheduled Intervals'!BL28</f>
        <v>0</v>
      </c>
      <c r="BM61" s="161">
        <f>'Scheduled Intervals'!BM28</f>
        <v>0</v>
      </c>
      <c r="BN61" s="161" t="str">
        <f>'Scheduled Intervals'!BN28</f>
        <v>Annual</v>
      </c>
      <c r="BO61" s="161" t="str">
        <f>'Scheduled Intervals'!BO28</f>
        <v>Annual</v>
      </c>
      <c r="BP61" s="161" t="str">
        <f>'Scheduled Intervals'!BP28</f>
        <v>Annual</v>
      </c>
    </row>
    <row r="62" spans="2:68" ht="16" x14ac:dyDescent="0.2">
      <c r="B62" s="161">
        <f>'Scheduled Intervals'!B29</f>
        <v>50</v>
      </c>
      <c r="C62" s="161">
        <f>'Scheduled Intervals'!C29</f>
        <v>0</v>
      </c>
      <c r="D62" s="161">
        <f>'Scheduled Intervals'!D29</f>
        <v>50</v>
      </c>
      <c r="E62" s="161">
        <f>'Scheduled Intervals'!E29</f>
        <v>0</v>
      </c>
      <c r="F62" s="161">
        <f>'Scheduled Intervals'!F29</f>
        <v>0</v>
      </c>
      <c r="G62" s="161">
        <f>'Scheduled Intervals'!G29</f>
        <v>0</v>
      </c>
      <c r="H62" s="161">
        <f>'Scheduled Intervals'!H29</f>
        <v>50</v>
      </c>
      <c r="I62" s="161">
        <f>'Scheduled Intervals'!I29</f>
        <v>50</v>
      </c>
      <c r="J62" s="161">
        <f>'Scheduled Intervals'!J29</f>
        <v>0</v>
      </c>
      <c r="K62" s="161">
        <f>'Scheduled Intervals'!K29</f>
        <v>0</v>
      </c>
      <c r="L62" s="161">
        <f>'Scheduled Intervals'!L29</f>
        <v>0</v>
      </c>
      <c r="M62" s="161">
        <f>'Scheduled Intervals'!M29</f>
        <v>0</v>
      </c>
      <c r="N62" s="161">
        <f>'Scheduled Intervals'!N29</f>
        <v>0</v>
      </c>
      <c r="O62" s="161">
        <f>'Scheduled Intervals'!O29</f>
        <v>0</v>
      </c>
      <c r="P62" s="161">
        <f>'Scheduled Intervals'!P29</f>
        <v>0</v>
      </c>
      <c r="Q62" s="161">
        <f>'Scheduled Intervals'!Q29</f>
        <v>250</v>
      </c>
      <c r="R62" s="161">
        <f>'Scheduled Intervals'!R29</f>
        <v>250</v>
      </c>
      <c r="S62" s="161">
        <f>'Scheduled Intervals'!S29</f>
        <v>0</v>
      </c>
      <c r="T62" s="161">
        <f>'Scheduled Intervals'!T29</f>
        <v>0</v>
      </c>
      <c r="U62" s="161">
        <f>'Scheduled Intervals'!U29</f>
        <v>500</v>
      </c>
      <c r="V62" s="161">
        <f>'Scheduled Intervals'!V29</f>
        <v>0</v>
      </c>
      <c r="W62" s="161">
        <f>'Scheduled Intervals'!W29</f>
        <v>0</v>
      </c>
      <c r="X62" s="161">
        <f>'Scheduled Intervals'!X29</f>
        <v>0</v>
      </c>
      <c r="Y62" s="161">
        <f>'Scheduled Intervals'!Y29</f>
        <v>0</v>
      </c>
      <c r="Z62" s="161">
        <f>'Scheduled Intervals'!Z29</f>
        <v>500</v>
      </c>
      <c r="AA62" s="161">
        <f>'Scheduled Intervals'!AA29</f>
        <v>0</v>
      </c>
      <c r="AB62" s="161">
        <f>'Scheduled Intervals'!AB29</f>
        <v>0</v>
      </c>
      <c r="AC62" s="161">
        <f>'Scheduled Intervals'!AC29</f>
        <v>0</v>
      </c>
      <c r="AE62" s="161">
        <f>'Scheduled Intervals'!AE29</f>
        <v>0</v>
      </c>
      <c r="AF62" s="161">
        <f>'Scheduled Intervals'!AF29</f>
        <v>1000</v>
      </c>
      <c r="AG62" s="161">
        <f>'Scheduled Intervals'!AG29</f>
        <v>1000</v>
      </c>
      <c r="AH62" s="161">
        <f>'Scheduled Intervals'!AH29</f>
        <v>1000</v>
      </c>
      <c r="AI62" s="161">
        <f>'Scheduled Intervals'!AI29</f>
        <v>2000</v>
      </c>
      <c r="AJ62" s="161">
        <f>'Scheduled Intervals'!AJ29</f>
        <v>2000</v>
      </c>
      <c r="AK62" s="161">
        <f>'Scheduled Intervals'!AK29</f>
        <v>0</v>
      </c>
      <c r="AL62" s="161">
        <f>'Scheduled Intervals'!AL29</f>
        <v>0</v>
      </c>
      <c r="AM62" s="161">
        <f>'Scheduled Intervals'!AM29</f>
        <v>0</v>
      </c>
      <c r="AN62" s="161">
        <f>'Scheduled Intervals'!AN29</f>
        <v>0</v>
      </c>
      <c r="AO62" s="161">
        <f>'Scheduled Intervals'!AO29</f>
        <v>0</v>
      </c>
      <c r="AP62" s="161">
        <f>'Scheduled Intervals'!AP29</f>
        <v>0</v>
      </c>
      <c r="AQ62" s="161">
        <f>'Scheduled Intervals'!AQ29</f>
        <v>0</v>
      </c>
      <c r="AR62" s="161">
        <f>'Scheduled Intervals'!AR29</f>
        <v>0</v>
      </c>
      <c r="AS62" s="161">
        <f>'Scheduled Intervals'!AS29</f>
        <v>0</v>
      </c>
      <c r="AT62" s="161">
        <f>'Scheduled Intervals'!AT29</f>
        <v>500</v>
      </c>
      <c r="AU62" s="161">
        <f>'Scheduled Intervals'!AU29</f>
        <v>0</v>
      </c>
      <c r="AV62" s="161">
        <f>'Scheduled Intervals'!AV29</f>
        <v>0</v>
      </c>
      <c r="AW62" s="161">
        <f>'Scheduled Intervals'!AW29</f>
        <v>0</v>
      </c>
      <c r="AX62" s="161">
        <f>'Scheduled Intervals'!AX29</f>
        <v>0</v>
      </c>
      <c r="AY62" s="161">
        <f>'Scheduled Intervals'!AY29</f>
        <v>0</v>
      </c>
      <c r="AZ62" s="161">
        <f>'Scheduled Intervals'!AZ29</f>
        <v>0</v>
      </c>
      <c r="BA62" s="161">
        <f>'Scheduled Intervals'!BA29</f>
        <v>0</v>
      </c>
      <c r="BB62" s="161">
        <f>'Scheduled Intervals'!BB29</f>
        <v>500</v>
      </c>
      <c r="BC62" s="161">
        <f>'Scheduled Intervals'!BC29</f>
        <v>500</v>
      </c>
      <c r="BD62" s="161">
        <f>'Scheduled Intervals'!BD29</f>
        <v>0</v>
      </c>
      <c r="BE62" s="161">
        <f>'Scheduled Intervals'!BE29</f>
        <v>0</v>
      </c>
      <c r="BF62" s="161">
        <f>'Scheduled Intervals'!BF29</f>
        <v>0</v>
      </c>
      <c r="BG62" s="161">
        <f>'Scheduled Intervals'!BG29</f>
        <v>0</v>
      </c>
      <c r="BH62" s="161">
        <f>'Scheduled Intervals'!BH29</f>
        <v>2000</v>
      </c>
      <c r="BI62" s="161">
        <f>'Scheduled Intervals'!BI29</f>
        <v>0</v>
      </c>
      <c r="BJ62" s="161">
        <f>'Scheduled Intervals'!BJ29</f>
        <v>500</v>
      </c>
      <c r="BK62" s="161">
        <f>'Scheduled Intervals'!BK29</f>
        <v>1000</v>
      </c>
      <c r="BL62" s="161">
        <f>'Scheduled Intervals'!BL29</f>
        <v>0</v>
      </c>
      <c r="BM62" s="161">
        <f>'Scheduled Intervals'!BM29</f>
        <v>500</v>
      </c>
      <c r="BN62" s="161" t="str">
        <f>'Scheduled Intervals'!BN29</f>
        <v>Annual</v>
      </c>
      <c r="BO62" s="161" t="str">
        <f>'Scheduled Intervals'!BO29</f>
        <v>Annual</v>
      </c>
      <c r="BP62" s="161" t="str">
        <f>'Scheduled Intervals'!BP29</f>
        <v>Annual</v>
      </c>
    </row>
    <row r="63" spans="2:68" ht="16" x14ac:dyDescent="0.2">
      <c r="B63" s="161">
        <f>'Scheduled Intervals'!B30</f>
        <v>50</v>
      </c>
      <c r="C63" s="161">
        <f>'Scheduled Intervals'!C30</f>
        <v>0</v>
      </c>
      <c r="D63" s="161">
        <f>'Scheduled Intervals'!D30</f>
        <v>50</v>
      </c>
      <c r="E63" s="161">
        <f>'Scheduled Intervals'!E30</f>
        <v>50</v>
      </c>
      <c r="F63" s="161">
        <f>'Scheduled Intervals'!F30</f>
        <v>0</v>
      </c>
      <c r="G63" s="161">
        <f>'Scheduled Intervals'!G30</f>
        <v>0</v>
      </c>
      <c r="H63" s="161">
        <f>'Scheduled Intervals'!H30</f>
        <v>50</v>
      </c>
      <c r="I63" s="161">
        <f>'Scheduled Intervals'!I30</f>
        <v>50</v>
      </c>
      <c r="J63" s="161">
        <f>'Scheduled Intervals'!J30</f>
        <v>0</v>
      </c>
      <c r="K63" s="161">
        <f>'Scheduled Intervals'!K30</f>
        <v>50</v>
      </c>
      <c r="L63" s="161">
        <f>'Scheduled Intervals'!L30</f>
        <v>0</v>
      </c>
      <c r="M63" s="161">
        <f>'Scheduled Intervals'!M30</f>
        <v>50</v>
      </c>
      <c r="N63" s="161">
        <f>'Scheduled Intervals'!N30</f>
        <v>50</v>
      </c>
      <c r="O63" s="161">
        <f>'Scheduled Intervals'!O30</f>
        <v>0</v>
      </c>
      <c r="P63" s="161">
        <f>'Scheduled Intervals'!P30</f>
        <v>0</v>
      </c>
      <c r="Q63" s="161">
        <f>'Scheduled Intervals'!Q30</f>
        <v>0</v>
      </c>
      <c r="R63" s="161">
        <f>'Scheduled Intervals'!R30</f>
        <v>0</v>
      </c>
      <c r="S63" s="161">
        <f>'Scheduled Intervals'!S30</f>
        <v>0</v>
      </c>
      <c r="T63" s="161">
        <f>'Scheduled Intervals'!T30</f>
        <v>0</v>
      </c>
      <c r="U63" s="161">
        <f>'Scheduled Intervals'!U30</f>
        <v>250</v>
      </c>
      <c r="V63" s="161">
        <f>'Scheduled Intervals'!V30</f>
        <v>0</v>
      </c>
      <c r="W63" s="161">
        <f>'Scheduled Intervals'!W30</f>
        <v>0</v>
      </c>
      <c r="X63" s="161">
        <f>'Scheduled Intervals'!X30</f>
        <v>0</v>
      </c>
      <c r="Y63" s="161">
        <f>'Scheduled Intervals'!Y30</f>
        <v>0</v>
      </c>
      <c r="Z63" s="161">
        <f>'Scheduled Intervals'!Z30</f>
        <v>500</v>
      </c>
      <c r="AA63" s="161">
        <f>'Scheduled Intervals'!AA30</f>
        <v>0</v>
      </c>
      <c r="AB63" s="161">
        <f>'Scheduled Intervals'!AB30</f>
        <v>1000</v>
      </c>
      <c r="AC63" s="161">
        <f>'Scheduled Intervals'!AC30</f>
        <v>1000</v>
      </c>
      <c r="AE63" s="161">
        <f>'Scheduled Intervals'!AE30</f>
        <v>0</v>
      </c>
      <c r="AF63" s="161">
        <f>'Scheduled Intervals'!AF30</f>
        <v>500</v>
      </c>
      <c r="AG63" s="161">
        <f>'Scheduled Intervals'!AG30</f>
        <v>1000</v>
      </c>
      <c r="AH63" s="161">
        <f>'Scheduled Intervals'!AH30</f>
        <v>1000</v>
      </c>
      <c r="AI63" s="161">
        <f>'Scheduled Intervals'!AI30</f>
        <v>2000</v>
      </c>
      <c r="AJ63" s="161">
        <f>'Scheduled Intervals'!AJ30</f>
        <v>1000</v>
      </c>
      <c r="AK63" s="161">
        <f>'Scheduled Intervals'!AK30</f>
        <v>0</v>
      </c>
      <c r="AL63" s="161">
        <f>'Scheduled Intervals'!AL30</f>
        <v>0</v>
      </c>
      <c r="AM63" s="161">
        <f>'Scheduled Intervals'!AM30</f>
        <v>0</v>
      </c>
      <c r="AN63" s="161">
        <f>'Scheduled Intervals'!AN30</f>
        <v>0</v>
      </c>
      <c r="AO63" s="161">
        <f>'Scheduled Intervals'!AO30</f>
        <v>0</v>
      </c>
      <c r="AP63" s="161">
        <f>'Scheduled Intervals'!AP30</f>
        <v>0</v>
      </c>
      <c r="AQ63" s="161">
        <f>'Scheduled Intervals'!AQ30</f>
        <v>0</v>
      </c>
      <c r="AR63" s="161">
        <f>'Scheduled Intervals'!AR30</f>
        <v>0</v>
      </c>
      <c r="AS63" s="161">
        <f>'Scheduled Intervals'!AS30</f>
        <v>0</v>
      </c>
      <c r="AT63" s="161">
        <f>'Scheduled Intervals'!AT30</f>
        <v>250</v>
      </c>
      <c r="AU63" s="161">
        <f>'Scheduled Intervals'!AU30</f>
        <v>0</v>
      </c>
      <c r="AV63" s="161">
        <f>'Scheduled Intervals'!AV30</f>
        <v>0</v>
      </c>
      <c r="AW63" s="161">
        <f>'Scheduled Intervals'!AW30</f>
        <v>0</v>
      </c>
      <c r="AX63" s="161">
        <f>'Scheduled Intervals'!AX30</f>
        <v>0</v>
      </c>
      <c r="AY63" s="161">
        <f>'Scheduled Intervals'!AY30</f>
        <v>0</v>
      </c>
      <c r="AZ63" s="161">
        <f>'Scheduled Intervals'!AZ30</f>
        <v>0</v>
      </c>
      <c r="BA63" s="161">
        <f>'Scheduled Intervals'!BA30</f>
        <v>0</v>
      </c>
      <c r="BB63" s="161">
        <f>'Scheduled Intervals'!BB30</f>
        <v>1000</v>
      </c>
      <c r="BC63" s="161">
        <f>'Scheduled Intervals'!BC30</f>
        <v>1000</v>
      </c>
      <c r="BD63" s="161">
        <f>'Scheduled Intervals'!BD30</f>
        <v>0</v>
      </c>
      <c r="BE63" s="161">
        <f>'Scheduled Intervals'!BE30</f>
        <v>0</v>
      </c>
      <c r="BF63" s="161">
        <f>'Scheduled Intervals'!BF30</f>
        <v>0</v>
      </c>
      <c r="BG63" s="161">
        <f>'Scheduled Intervals'!BG30</f>
        <v>0</v>
      </c>
      <c r="BH63" s="161">
        <f>'Scheduled Intervals'!BH30</f>
        <v>2000</v>
      </c>
      <c r="BI63" s="161">
        <f>'Scheduled Intervals'!BI30</f>
        <v>0</v>
      </c>
      <c r="BJ63" s="161">
        <f>'Scheduled Intervals'!BJ30</f>
        <v>250</v>
      </c>
      <c r="BK63" s="161">
        <f>'Scheduled Intervals'!BK30</f>
        <v>1000</v>
      </c>
      <c r="BL63" s="161">
        <f>'Scheduled Intervals'!BL30</f>
        <v>1000</v>
      </c>
      <c r="BM63" s="161">
        <f>'Scheduled Intervals'!BM30</f>
        <v>0</v>
      </c>
      <c r="BN63" s="161" t="str">
        <f>'Scheduled Intervals'!BN30</f>
        <v>Annual</v>
      </c>
      <c r="BO63" s="161" t="str">
        <f>'Scheduled Intervals'!BO30</f>
        <v>Annual</v>
      </c>
      <c r="BP63" s="161" t="str">
        <f>'Scheduled Intervals'!BP30</f>
        <v>Annual</v>
      </c>
    </row>
    <row r="64" spans="2:68" ht="16" x14ac:dyDescent="0.2">
      <c r="B64" s="161">
        <f>'Scheduled Intervals'!B31</f>
        <v>50</v>
      </c>
      <c r="C64" s="161">
        <f>'Scheduled Intervals'!C31</f>
        <v>0</v>
      </c>
      <c r="D64" s="161">
        <f>'Scheduled Intervals'!D31</f>
        <v>0</v>
      </c>
      <c r="E64" s="161">
        <f>'Scheduled Intervals'!E31</f>
        <v>0</v>
      </c>
      <c r="F64" s="161">
        <f>'Scheduled Intervals'!F31</f>
        <v>50</v>
      </c>
      <c r="G64" s="161">
        <f>'Scheduled Intervals'!G31</f>
        <v>0</v>
      </c>
      <c r="H64" s="161">
        <f>'Scheduled Intervals'!H31</f>
        <v>50</v>
      </c>
      <c r="I64" s="161">
        <f>'Scheduled Intervals'!I31</f>
        <v>50</v>
      </c>
      <c r="J64" s="161">
        <f>'Scheduled Intervals'!J31</f>
        <v>0</v>
      </c>
      <c r="K64" s="161">
        <f>'Scheduled Intervals'!K31</f>
        <v>0</v>
      </c>
      <c r="L64" s="161">
        <f>'Scheduled Intervals'!L31</f>
        <v>0</v>
      </c>
      <c r="M64" s="161">
        <f>'Scheduled Intervals'!M31</f>
        <v>0</v>
      </c>
      <c r="N64" s="161">
        <f>'Scheduled Intervals'!N31</f>
        <v>0</v>
      </c>
      <c r="O64" s="161">
        <f>'Scheduled Intervals'!O31</f>
        <v>0</v>
      </c>
      <c r="P64" s="161">
        <f>'Scheduled Intervals'!P31</f>
        <v>0</v>
      </c>
      <c r="Q64" s="161">
        <f>'Scheduled Intervals'!Q31</f>
        <v>0</v>
      </c>
      <c r="R64" s="161">
        <f>'Scheduled Intervals'!R31</f>
        <v>0</v>
      </c>
      <c r="S64" s="161">
        <f>'Scheduled Intervals'!S31</f>
        <v>0</v>
      </c>
      <c r="T64" s="161">
        <f>'Scheduled Intervals'!T31</f>
        <v>0</v>
      </c>
      <c r="U64" s="161">
        <f>'Scheduled Intervals'!U31</f>
        <v>200</v>
      </c>
      <c r="V64" s="161">
        <f>'Scheduled Intervals'!V31</f>
        <v>0</v>
      </c>
      <c r="W64" s="161">
        <f>'Scheduled Intervals'!W31</f>
        <v>0</v>
      </c>
      <c r="X64" s="161">
        <f>'Scheduled Intervals'!X31</f>
        <v>400</v>
      </c>
      <c r="Y64" s="161">
        <f>'Scheduled Intervals'!Y31</f>
        <v>0</v>
      </c>
      <c r="Z64" s="161">
        <f>'Scheduled Intervals'!Z31</f>
        <v>400</v>
      </c>
      <c r="AA64" s="161">
        <f>'Scheduled Intervals'!AA31</f>
        <v>0</v>
      </c>
      <c r="AB64" s="161">
        <f>'Scheduled Intervals'!AB31</f>
        <v>400</v>
      </c>
      <c r="AC64" s="161">
        <f>'Scheduled Intervals'!AC31</f>
        <v>200</v>
      </c>
      <c r="AE64" s="161">
        <f>'Scheduled Intervals'!AE31</f>
        <v>400</v>
      </c>
      <c r="AF64" s="161">
        <f>'Scheduled Intervals'!AF31</f>
        <v>0</v>
      </c>
      <c r="AG64" s="161">
        <f>'Scheduled Intervals'!AG31</f>
        <v>0</v>
      </c>
      <c r="AH64" s="161">
        <f>'Scheduled Intervals'!AH31</f>
        <v>0</v>
      </c>
      <c r="AI64" s="161">
        <f>'Scheduled Intervals'!AI31</f>
        <v>0</v>
      </c>
      <c r="AJ64" s="161">
        <f>'Scheduled Intervals'!AJ31</f>
        <v>0</v>
      </c>
      <c r="AK64" s="161">
        <f>'Scheduled Intervals'!AK31</f>
        <v>0</v>
      </c>
      <c r="AL64" s="161">
        <f>'Scheduled Intervals'!AL31</f>
        <v>0</v>
      </c>
      <c r="AM64" s="161">
        <f>'Scheduled Intervals'!AM31</f>
        <v>0</v>
      </c>
      <c r="AN64" s="161">
        <f>'Scheduled Intervals'!AN31</f>
        <v>0</v>
      </c>
      <c r="AO64" s="161">
        <f>'Scheduled Intervals'!AO31</f>
        <v>0</v>
      </c>
      <c r="AP64" s="161">
        <f>'Scheduled Intervals'!AP31</f>
        <v>0</v>
      </c>
      <c r="AQ64" s="161">
        <f>'Scheduled Intervals'!AQ31</f>
        <v>0</v>
      </c>
      <c r="AR64" s="161">
        <f>'Scheduled Intervals'!AR31</f>
        <v>0</v>
      </c>
      <c r="AS64" s="161">
        <f>'Scheduled Intervals'!AS31</f>
        <v>0</v>
      </c>
      <c r="AT64" s="161">
        <f>'Scheduled Intervals'!AT31</f>
        <v>200</v>
      </c>
      <c r="AU64" s="161">
        <f>'Scheduled Intervals'!AU31</f>
        <v>0</v>
      </c>
      <c r="AV64" s="161">
        <f>'Scheduled Intervals'!AV31</f>
        <v>0</v>
      </c>
      <c r="AW64" s="161">
        <f>'Scheduled Intervals'!AW31</f>
        <v>800</v>
      </c>
      <c r="AX64" s="161">
        <f>'Scheduled Intervals'!AX31</f>
        <v>0</v>
      </c>
      <c r="AY64" s="161">
        <f>'Scheduled Intervals'!AY31</f>
        <v>0</v>
      </c>
      <c r="AZ64" s="161">
        <f>'Scheduled Intervals'!AZ31</f>
        <v>0</v>
      </c>
      <c r="BA64" s="161">
        <f>'Scheduled Intervals'!BA31</f>
        <v>0</v>
      </c>
      <c r="BB64" s="161">
        <f>'Scheduled Intervals'!BB31</f>
        <v>1000</v>
      </c>
      <c r="BC64" s="161">
        <f>'Scheduled Intervals'!BC31</f>
        <v>1000</v>
      </c>
      <c r="BD64" s="161">
        <f>'Scheduled Intervals'!BD31</f>
        <v>0</v>
      </c>
      <c r="BE64" s="161">
        <f>'Scheduled Intervals'!BE31</f>
        <v>0</v>
      </c>
      <c r="BF64" s="161">
        <f>'Scheduled Intervals'!BF31</f>
        <v>0</v>
      </c>
      <c r="BG64" s="161">
        <f>'Scheduled Intervals'!BG31</f>
        <v>0</v>
      </c>
      <c r="BH64" s="161">
        <f>'Scheduled Intervals'!BH31</f>
        <v>2000</v>
      </c>
      <c r="BI64" s="161">
        <f>'Scheduled Intervals'!BI31</f>
        <v>200</v>
      </c>
      <c r="BJ64" s="161">
        <f>'Scheduled Intervals'!BJ31</f>
        <v>200</v>
      </c>
      <c r="BK64" s="161">
        <f>'Scheduled Intervals'!BK31</f>
        <v>0</v>
      </c>
      <c r="BL64" s="161">
        <f>'Scheduled Intervals'!BL31</f>
        <v>0</v>
      </c>
      <c r="BM64" s="161">
        <f>'Scheduled Intervals'!BM31</f>
        <v>0</v>
      </c>
      <c r="BN64" s="161" t="str">
        <f>'Scheduled Intervals'!BN31</f>
        <v>Annual</v>
      </c>
      <c r="BO64" s="161" t="str">
        <f>'Scheduled Intervals'!BO31</f>
        <v>Annual</v>
      </c>
      <c r="BP64" s="161" t="str">
        <f>'Scheduled Intervals'!BP31</f>
        <v>Annual</v>
      </c>
    </row>
    <row r="65" spans="2:68" ht="16" x14ac:dyDescent="0.2">
      <c r="B65" s="161">
        <f>'Scheduled Intervals'!B33</f>
        <v>50</v>
      </c>
      <c r="C65" s="161">
        <f>'Scheduled Intervals'!C33</f>
        <v>0</v>
      </c>
      <c r="D65" s="161">
        <f>'Scheduled Intervals'!D33</f>
        <v>0</v>
      </c>
      <c r="E65" s="161">
        <f>'Scheduled Intervals'!E33</f>
        <v>0</v>
      </c>
      <c r="F65" s="161">
        <f>'Scheduled Intervals'!F33</f>
        <v>50</v>
      </c>
      <c r="G65" s="161">
        <f>'Scheduled Intervals'!G33</f>
        <v>0</v>
      </c>
      <c r="H65" s="161">
        <f>'Scheduled Intervals'!H33</f>
        <v>50</v>
      </c>
      <c r="I65" s="161">
        <f>'Scheduled Intervals'!I33</f>
        <v>50</v>
      </c>
      <c r="J65" s="161">
        <f>'Scheduled Intervals'!J33</f>
        <v>0</v>
      </c>
      <c r="K65" s="161">
        <f>'Scheduled Intervals'!K33</f>
        <v>0</v>
      </c>
      <c r="L65" s="161">
        <f>'Scheduled Intervals'!L33</f>
        <v>0</v>
      </c>
      <c r="M65" s="161">
        <f>'Scheduled Intervals'!M33</f>
        <v>0</v>
      </c>
      <c r="N65" s="161">
        <f>'Scheduled Intervals'!N33</f>
        <v>0</v>
      </c>
      <c r="O65" s="161">
        <f>'Scheduled Intervals'!O33</f>
        <v>0</v>
      </c>
      <c r="P65" s="161">
        <f>'Scheduled Intervals'!P33</f>
        <v>0</v>
      </c>
      <c r="Q65" s="161">
        <f>'Scheduled Intervals'!Q33</f>
        <v>0</v>
      </c>
      <c r="R65" s="161">
        <f>'Scheduled Intervals'!R33</f>
        <v>0</v>
      </c>
      <c r="S65" s="161">
        <f>'Scheduled Intervals'!S33</f>
        <v>0</v>
      </c>
      <c r="T65" s="161">
        <f>'Scheduled Intervals'!T33</f>
        <v>0</v>
      </c>
      <c r="U65" s="161">
        <f>'Scheduled Intervals'!U33</f>
        <v>100</v>
      </c>
      <c r="V65" s="161">
        <f>'Scheduled Intervals'!V33</f>
        <v>0</v>
      </c>
      <c r="W65" s="161">
        <f>'Scheduled Intervals'!W33</f>
        <v>0</v>
      </c>
      <c r="X65" s="161">
        <f>'Scheduled Intervals'!X33</f>
        <v>0</v>
      </c>
      <c r="Y65" s="161">
        <f>'Scheduled Intervals'!Y33</f>
        <v>0</v>
      </c>
      <c r="Z65" s="161">
        <f>'Scheduled Intervals'!Z33</f>
        <v>250</v>
      </c>
      <c r="AA65" s="161">
        <f>'Scheduled Intervals'!AA33</f>
        <v>0</v>
      </c>
      <c r="AB65" s="161">
        <f>'Scheduled Intervals'!AB33</f>
        <v>0</v>
      </c>
      <c r="AC65" s="161">
        <f>'Scheduled Intervals'!AC33</f>
        <v>0</v>
      </c>
      <c r="AE65" s="161">
        <f>'Scheduled Intervals'!AE33</f>
        <v>0</v>
      </c>
      <c r="AF65" s="161">
        <f>'Scheduled Intervals'!AF33</f>
        <v>1000</v>
      </c>
      <c r="AG65" s="161">
        <f>'Scheduled Intervals'!AG33</f>
        <v>250</v>
      </c>
      <c r="AH65" s="161">
        <f>'Scheduled Intervals'!AH33</f>
        <v>0</v>
      </c>
      <c r="AI65" s="161">
        <f>'Scheduled Intervals'!AI33</f>
        <v>500</v>
      </c>
      <c r="AJ65" s="161">
        <f>'Scheduled Intervals'!AJ33</f>
        <v>0</v>
      </c>
      <c r="AK65" s="161">
        <f>'Scheduled Intervals'!AK33</f>
        <v>0</v>
      </c>
      <c r="AL65" s="161">
        <f>'Scheduled Intervals'!AL33</f>
        <v>0</v>
      </c>
      <c r="AM65" s="161">
        <f>'Scheduled Intervals'!AM33</f>
        <v>0</v>
      </c>
      <c r="AN65" s="161">
        <f>'Scheduled Intervals'!AN33</f>
        <v>0</v>
      </c>
      <c r="AO65" s="161">
        <f>'Scheduled Intervals'!AO33</f>
        <v>0</v>
      </c>
      <c r="AP65" s="161">
        <f>'Scheduled Intervals'!AP33</f>
        <v>0</v>
      </c>
      <c r="AQ65" s="161">
        <f>'Scheduled Intervals'!AQ33</f>
        <v>0</v>
      </c>
      <c r="AR65" s="161">
        <f>'Scheduled Intervals'!AR33</f>
        <v>0</v>
      </c>
      <c r="AS65" s="161">
        <f>'Scheduled Intervals'!AS33</f>
        <v>0</v>
      </c>
      <c r="AT65" s="161">
        <f>'Scheduled Intervals'!AT33</f>
        <v>100</v>
      </c>
      <c r="AU65" s="161">
        <f>'Scheduled Intervals'!AU33</f>
        <v>0</v>
      </c>
      <c r="AV65" s="161">
        <f>'Scheduled Intervals'!AV33</f>
        <v>0</v>
      </c>
      <c r="AW65" s="161">
        <f>'Scheduled Intervals'!AW33</f>
        <v>0</v>
      </c>
      <c r="AX65" s="161">
        <f>'Scheduled Intervals'!AX33</f>
        <v>0</v>
      </c>
      <c r="AY65" s="161">
        <f>'Scheduled Intervals'!AY33</f>
        <v>0</v>
      </c>
      <c r="AZ65" s="161">
        <f>'Scheduled Intervals'!AZ33</f>
        <v>0</v>
      </c>
      <c r="BA65" s="161">
        <f>'Scheduled Intervals'!BA33</f>
        <v>0</v>
      </c>
      <c r="BB65" s="161">
        <f>'Scheduled Intervals'!BB33</f>
        <v>250</v>
      </c>
      <c r="BC65" s="161">
        <f>'Scheduled Intervals'!BC33</f>
        <v>250</v>
      </c>
      <c r="BD65" s="161">
        <f>'Scheduled Intervals'!BD33</f>
        <v>0</v>
      </c>
      <c r="BE65" s="161">
        <f>'Scheduled Intervals'!BE33</f>
        <v>0</v>
      </c>
      <c r="BF65" s="161">
        <f>'Scheduled Intervals'!BF33</f>
        <v>0</v>
      </c>
      <c r="BG65" s="161">
        <f>'Scheduled Intervals'!BG33</f>
        <v>0</v>
      </c>
      <c r="BH65" s="161">
        <f>'Scheduled Intervals'!BH33</f>
        <v>2000</v>
      </c>
      <c r="BI65" s="161">
        <f>'Scheduled Intervals'!BI33</f>
        <v>0</v>
      </c>
      <c r="BJ65" s="161">
        <f>'Scheduled Intervals'!BJ33</f>
        <v>100</v>
      </c>
      <c r="BK65" s="161">
        <f>'Scheduled Intervals'!BK33</f>
        <v>0</v>
      </c>
      <c r="BL65" s="161">
        <f>'Scheduled Intervals'!BL33</f>
        <v>0</v>
      </c>
      <c r="BM65" s="161">
        <f>'Scheduled Intervals'!BM33</f>
        <v>0</v>
      </c>
      <c r="BN65" s="161" t="str">
        <f>'Scheduled Intervals'!BN33</f>
        <v>Annual</v>
      </c>
      <c r="BO65" s="161" t="str">
        <f>'Scheduled Intervals'!BO33</f>
        <v>Annual</v>
      </c>
      <c r="BP65" s="161" t="str">
        <f>'Scheduled Intervals'!BP33</f>
        <v>Annual</v>
      </c>
    </row>
    <row r="66" spans="2:68" ht="16" x14ac:dyDescent="0.2">
      <c r="B66" s="161">
        <f>'Scheduled Intervals'!B34</f>
        <v>50</v>
      </c>
      <c r="C66" s="161">
        <f>'Scheduled Intervals'!C34</f>
        <v>0</v>
      </c>
      <c r="D66" s="161">
        <f>'Scheduled Intervals'!D34</f>
        <v>0</v>
      </c>
      <c r="E66" s="161">
        <f>'Scheduled Intervals'!E34</f>
        <v>0</v>
      </c>
      <c r="F66" s="161">
        <f>'Scheduled Intervals'!F34</f>
        <v>0</v>
      </c>
      <c r="G66" s="161">
        <f>'Scheduled Intervals'!G34</f>
        <v>0</v>
      </c>
      <c r="H66" s="161">
        <f>'Scheduled Intervals'!H34</f>
        <v>50</v>
      </c>
      <c r="I66" s="161">
        <f>'Scheduled Intervals'!I34</f>
        <v>50</v>
      </c>
      <c r="J66" s="161">
        <f>'Scheduled Intervals'!J34</f>
        <v>0</v>
      </c>
      <c r="K66" s="161">
        <f>'Scheduled Intervals'!K34</f>
        <v>0</v>
      </c>
      <c r="L66" s="161">
        <f>'Scheduled Intervals'!L34</f>
        <v>0</v>
      </c>
      <c r="M66" s="161">
        <f>'Scheduled Intervals'!M34</f>
        <v>0</v>
      </c>
      <c r="N66" s="161">
        <f>'Scheduled Intervals'!N34</f>
        <v>0</v>
      </c>
      <c r="O66" s="161">
        <f>'Scheduled Intervals'!O34</f>
        <v>0</v>
      </c>
      <c r="P66" s="161">
        <f>'Scheduled Intervals'!P34</f>
        <v>0</v>
      </c>
      <c r="Q66" s="161">
        <f>'Scheduled Intervals'!Q34</f>
        <v>0</v>
      </c>
      <c r="R66" s="161">
        <f>'Scheduled Intervals'!R34</f>
        <v>0</v>
      </c>
      <c r="S66" s="161">
        <f>'Scheduled Intervals'!S34</f>
        <v>0</v>
      </c>
      <c r="T66" s="161">
        <f>'Scheduled Intervals'!T34</f>
        <v>0</v>
      </c>
      <c r="U66" s="161">
        <f>'Scheduled Intervals'!U34</f>
        <v>400</v>
      </c>
      <c r="V66" s="161">
        <f>'Scheduled Intervals'!V34</f>
        <v>1400</v>
      </c>
      <c r="W66" s="161">
        <f>'Scheduled Intervals'!W34</f>
        <v>400</v>
      </c>
      <c r="X66" s="161">
        <f>'Scheduled Intervals'!X34</f>
        <v>0</v>
      </c>
      <c r="Y66" s="161">
        <f>'Scheduled Intervals'!Y34</f>
        <v>0</v>
      </c>
      <c r="Z66" s="161">
        <f>'Scheduled Intervals'!Z34</f>
        <v>400</v>
      </c>
      <c r="AA66" s="161">
        <f>'Scheduled Intervals'!AA34</f>
        <v>0</v>
      </c>
      <c r="AB66" s="161">
        <f>'Scheduled Intervals'!AB34</f>
        <v>400</v>
      </c>
      <c r="AC66" s="161">
        <f>'Scheduled Intervals'!AC34</f>
        <v>200</v>
      </c>
      <c r="AE66" s="161">
        <f>'Scheduled Intervals'!AE34</f>
        <v>400</v>
      </c>
      <c r="AF66" s="161">
        <f>'Scheduled Intervals'!AF34</f>
        <v>0</v>
      </c>
      <c r="AG66" s="161">
        <f>'Scheduled Intervals'!AG34</f>
        <v>400</v>
      </c>
      <c r="AH66" s="161">
        <f>'Scheduled Intervals'!AH34</f>
        <v>0</v>
      </c>
      <c r="AI66" s="161">
        <f>'Scheduled Intervals'!AI34</f>
        <v>0</v>
      </c>
      <c r="AJ66" s="161">
        <f>'Scheduled Intervals'!AJ34</f>
        <v>0</v>
      </c>
      <c r="AK66" s="161">
        <f>'Scheduled Intervals'!AK34</f>
        <v>0</v>
      </c>
      <c r="AL66" s="161">
        <f>'Scheduled Intervals'!AL34</f>
        <v>800</v>
      </c>
      <c r="AM66" s="161">
        <f>'Scheduled Intervals'!AM34</f>
        <v>0</v>
      </c>
      <c r="AN66" s="161">
        <f>'Scheduled Intervals'!AN34</f>
        <v>0</v>
      </c>
      <c r="AO66" s="161">
        <f>'Scheduled Intervals'!AO34</f>
        <v>0</v>
      </c>
      <c r="AP66" s="161">
        <f>'Scheduled Intervals'!AP34</f>
        <v>0</v>
      </c>
      <c r="AQ66" s="161">
        <f>'Scheduled Intervals'!AQ34</f>
        <v>0</v>
      </c>
      <c r="AR66" s="161">
        <f>'Scheduled Intervals'!AR34</f>
        <v>0</v>
      </c>
      <c r="AS66" s="161">
        <f>'Scheduled Intervals'!AS34</f>
        <v>0</v>
      </c>
      <c r="AT66" s="161">
        <f>'Scheduled Intervals'!AT34</f>
        <v>400</v>
      </c>
      <c r="AU66" s="161">
        <f>'Scheduled Intervals'!AU34</f>
        <v>0</v>
      </c>
      <c r="AV66" s="161">
        <f>'Scheduled Intervals'!AV34</f>
        <v>0</v>
      </c>
      <c r="AW66" s="161">
        <f>'Scheduled Intervals'!AW34</f>
        <v>0</v>
      </c>
      <c r="AX66" s="161">
        <f>'Scheduled Intervals'!AX34</f>
        <v>0</v>
      </c>
      <c r="AY66" s="161">
        <f>'Scheduled Intervals'!AY34</f>
        <v>0</v>
      </c>
      <c r="AZ66" s="161">
        <f>'Scheduled Intervals'!AZ34</f>
        <v>0</v>
      </c>
      <c r="BA66" s="161">
        <f>'Scheduled Intervals'!BA34</f>
        <v>0</v>
      </c>
      <c r="BB66" s="161">
        <f>'Scheduled Intervals'!BB34</f>
        <v>1000</v>
      </c>
      <c r="BC66" s="161">
        <f>'Scheduled Intervals'!BC34</f>
        <v>1000</v>
      </c>
      <c r="BD66" s="161">
        <f>'Scheduled Intervals'!BD34</f>
        <v>0</v>
      </c>
      <c r="BE66" s="161">
        <f>'Scheduled Intervals'!BE34</f>
        <v>0</v>
      </c>
      <c r="BF66" s="161">
        <f>'Scheduled Intervals'!BF34</f>
        <v>0</v>
      </c>
      <c r="BG66" s="161">
        <f>'Scheduled Intervals'!BG34</f>
        <v>0</v>
      </c>
      <c r="BH66" s="161">
        <f>'Scheduled Intervals'!BH34</f>
        <v>2000</v>
      </c>
      <c r="BI66" s="161">
        <f>'Scheduled Intervals'!BI34</f>
        <v>0</v>
      </c>
      <c r="BJ66" s="161">
        <f>'Scheduled Intervals'!BJ34</f>
        <v>400</v>
      </c>
      <c r="BK66" s="161">
        <f>'Scheduled Intervals'!BK34</f>
        <v>0</v>
      </c>
      <c r="BL66" s="161">
        <f>'Scheduled Intervals'!BL34</f>
        <v>0</v>
      </c>
      <c r="BM66" s="161">
        <f>'Scheduled Intervals'!BM34</f>
        <v>0</v>
      </c>
      <c r="BN66" s="161" t="str">
        <f>'Scheduled Intervals'!BN34</f>
        <v>Annual</v>
      </c>
      <c r="BO66" s="161" t="str">
        <f>'Scheduled Intervals'!BO34</f>
        <v>Annual</v>
      </c>
      <c r="BP66" s="161" t="str">
        <f>'Scheduled Intervals'!BP34</f>
        <v>Annual</v>
      </c>
    </row>
  </sheetData>
  <mergeCells count="3">
    <mergeCell ref="B1:P1"/>
    <mergeCell ref="Q1:T1"/>
    <mergeCell ref="U1:BP1"/>
  </mergeCells>
  <conditionalFormatting sqref="B4:BP32">
    <cfRule type="expression" dxfId="1" priority="2">
      <formula>AND(B37&gt;0,B$3&lt;&gt;"Labor Only")</formula>
    </cfRule>
  </conditionalFormatting>
  <conditionalFormatting sqref="B33:BP34">
    <cfRule type="expression" dxfId="0" priority="1">
      <formula>AND(B65&gt;0,B$3&lt;&gt;"Labor Only")</formula>
    </cfRule>
  </conditionalFormatting>
  <dataValidations count="2">
    <dataValidation type="list" allowBlank="1" showErrorMessage="1" sqref="BQ3" xr:uid="{00000000-0002-0000-0400-000000000000}">
      <formula1>"Labor Only,Parts Only,Parts and Labor"</formula1>
    </dataValidation>
    <dataValidation type="decimal" allowBlank="1" showInputMessage="1" showErrorMessage="1" prompt="Enter Cost for - All parts for the Job_x000a_If not pink, leave _x000a_blank or check interval_x000a_and job descrioption on _x000a_Scheduled Interval_x000a_" sqref="B4:BP34" xr:uid="{00000000-0002-0000-0400-000001000000}">
      <formula1>0</formula1>
      <formula2>10000</formula2>
    </dataValidation>
  </dataValidation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P1003"/>
  <sheetViews>
    <sheetView workbookViewId="0">
      <pane xSplit="1" ySplit="3" topLeftCell="B4" activePane="bottomRight" state="frozen"/>
      <selection activeCell="A13" sqref="A13:E16"/>
      <selection pane="topRight" activeCell="A13" sqref="A13:E16"/>
      <selection pane="bottomLeft" activeCell="A13" sqref="A13:E16"/>
      <selection pane="bottomRight" activeCell="A32" sqref="A32"/>
    </sheetView>
  </sheetViews>
  <sheetFormatPr baseColWidth="10" defaultColWidth="11.1640625" defaultRowHeight="15" customHeight="1" x14ac:dyDescent="0.2"/>
  <cols>
    <col min="1" max="1" width="22.33203125" customWidth="1"/>
    <col min="2" max="3" width="20" customWidth="1"/>
    <col min="4" max="5" width="11.1640625" customWidth="1"/>
    <col min="6" max="6" width="15.83203125" customWidth="1"/>
    <col min="7" max="7" width="12.6640625" customWidth="1"/>
    <col min="8" max="8" width="14.5" customWidth="1"/>
    <col min="9" max="11" width="11.1640625" customWidth="1"/>
    <col min="12" max="17" width="12.6640625" customWidth="1"/>
    <col min="18" max="20" width="11.1640625" customWidth="1"/>
    <col min="21" max="22" width="15.83203125" customWidth="1"/>
    <col min="23" max="23" width="11.5" customWidth="1"/>
    <col min="24" max="24" width="11.1640625" customWidth="1"/>
    <col min="25" max="25" width="11.5" customWidth="1"/>
    <col min="26" max="27" width="11.1640625" customWidth="1"/>
    <col min="28" max="30" width="12.6640625" customWidth="1"/>
    <col min="31" max="31" width="15.83203125" customWidth="1"/>
    <col min="32" max="34" width="12.6640625" customWidth="1"/>
    <col min="35" max="36" width="15.83203125" customWidth="1"/>
    <col min="37" max="41" width="12.6640625" customWidth="1"/>
    <col min="42" max="45" width="11.1640625" customWidth="1"/>
    <col min="46" max="46" width="11.5" customWidth="1"/>
    <col min="47" max="49" width="11.1640625" customWidth="1"/>
    <col min="50" max="50" width="11.5" customWidth="1"/>
    <col min="51" max="54" width="11.1640625" customWidth="1"/>
    <col min="55" max="56" width="15.83203125" customWidth="1"/>
    <col min="57" max="57" width="17.83203125" customWidth="1"/>
    <col min="58" max="58" width="15.83203125" customWidth="1"/>
    <col min="59" max="60" width="11.5" customWidth="1"/>
    <col min="61" max="61" width="17.83203125" customWidth="1"/>
    <col min="62" max="65" width="14.6640625" customWidth="1"/>
    <col min="66" max="68" width="11.1640625" customWidth="1"/>
  </cols>
  <sheetData>
    <row r="1" spans="1:68" x14ac:dyDescent="0.2">
      <c r="A1" s="9"/>
      <c r="B1" s="274" t="s">
        <v>21</v>
      </c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6"/>
      <c r="N1" s="202"/>
      <c r="O1" s="202"/>
      <c r="P1" s="203"/>
      <c r="Q1" s="275" t="s">
        <v>22</v>
      </c>
      <c r="R1" s="266"/>
      <c r="S1" s="204"/>
      <c r="T1" s="205"/>
      <c r="U1" s="276" t="s">
        <v>23</v>
      </c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65"/>
      <c r="AK1" s="265"/>
      <c r="AL1" s="265"/>
      <c r="AM1" s="265"/>
      <c r="AN1" s="265"/>
      <c r="AO1" s="265"/>
      <c r="AP1" s="265"/>
      <c r="AQ1" s="265"/>
      <c r="AR1" s="265"/>
      <c r="AS1" s="265"/>
      <c r="AT1" s="265"/>
      <c r="AU1" s="265"/>
      <c r="AV1" s="265"/>
      <c r="AW1" s="265"/>
      <c r="AX1" s="265"/>
      <c r="AY1" s="265"/>
      <c r="AZ1" s="265"/>
      <c r="BA1" s="265"/>
      <c r="BB1" s="265"/>
      <c r="BC1" s="265"/>
      <c r="BD1" s="265"/>
      <c r="BE1" s="265"/>
      <c r="BF1" s="265"/>
      <c r="BG1" s="265"/>
      <c r="BH1" s="265"/>
      <c r="BI1" s="265"/>
      <c r="BJ1" s="265"/>
      <c r="BK1" s="265"/>
      <c r="BL1" s="265"/>
      <c r="BM1" s="265"/>
      <c r="BN1" s="269"/>
    </row>
    <row r="2" spans="1:68" x14ac:dyDescent="0.2">
      <c r="A2" s="206" t="s">
        <v>24</v>
      </c>
      <c r="B2" s="207" t="str">
        <f>'Hours Per Job'!B2</f>
        <v>Perform Oil and Filter Change</v>
      </c>
      <c r="C2" s="208" t="str">
        <f>'Hours Per Job'!C2</f>
        <v xml:space="preserve">Clean Water seperator </v>
      </c>
      <c r="D2" s="208" t="str">
        <f>'Hours Per Job'!D2</f>
        <v xml:space="preserve">Drain Water from Fuel Tank </v>
      </c>
      <c r="E2" s="208" t="str">
        <f>'Hours Per Job'!E2</f>
        <v>Perform Transmission Filter and Fluid Service</v>
      </c>
      <c r="F2" s="208" t="str">
        <f>'Hours Per Job'!F2</f>
        <v xml:space="preserve">Change HST Oil Filter </v>
      </c>
      <c r="G2" s="208" t="str">
        <f>'Hours Per Job'!G2</f>
        <v>Change Hydraulic Fluid</v>
      </c>
      <c r="H2" s="208" t="str">
        <f>'Hours Per Job'!H2</f>
        <v>Grease Machine at required lubrication fittings</v>
      </c>
      <c r="I2" s="208" t="str">
        <f>'Hours Per Job'!I2</f>
        <v>Conduct Multi Point Inpection and make minor adjustments</v>
      </c>
      <c r="J2" s="208" t="str">
        <f>'Hours Per Job'!J2</f>
        <v>Perform Track Tension Adjustment</v>
      </c>
      <c r="K2" s="208" t="str">
        <f>'Hours Per Job'!K2</f>
        <v xml:space="preserve">Change fuel filter element </v>
      </c>
      <c r="L2" s="208" t="str">
        <f>'Hours Per Job'!L2</f>
        <v>Change final drive fluid</v>
      </c>
      <c r="M2" s="208" t="str">
        <f>'Hours Per Job'!M2</f>
        <v>Change hydraulic return filter</v>
      </c>
      <c r="N2" s="208" t="str">
        <f>'Hours Per Job'!N2</f>
        <v>Change final drive fluid</v>
      </c>
      <c r="O2" s="208" t="str">
        <f>'Hours Per Job'!O2</f>
        <v>Change final drive fluid</v>
      </c>
      <c r="P2" s="209" t="str">
        <f>'Hours Per Job'!P2</f>
        <v>Change Hydraulic suction return filter</v>
      </c>
      <c r="Q2" s="210" t="str">
        <f>'Hours Per Job'!Q2</f>
        <v xml:space="preserve"> Change Hydraulic Oil Filter and Oil</v>
      </c>
      <c r="R2" s="211" t="str">
        <f>'Hours Per Job'!R2</f>
        <v xml:space="preserve">Final Drive or Hydrostatic Oil Change </v>
      </c>
      <c r="S2" s="211" t="str">
        <f>'Hours Per Job'!S2</f>
        <v>Change Transmission Fluid and filters</v>
      </c>
      <c r="T2" s="212" t="str">
        <f>'Hours Per Job'!T2</f>
        <v>Change Hydraulic fluid</v>
      </c>
      <c r="U2" s="213" t="str">
        <f>'Hours Per Job'!U2</f>
        <v>Perform Oil and Filter Change</v>
      </c>
      <c r="V2" s="214" t="str">
        <f>'Hours Per Job'!V2</f>
        <v>Change Oil Seperator Element</v>
      </c>
      <c r="W2" s="215" t="str">
        <f>'Hours Per Job'!W2</f>
        <v>Clean Water seperator</v>
      </c>
      <c r="X2" s="215" t="str">
        <f>'Hours Per Job'!X2</f>
        <v>Replace Water Seperator Element</v>
      </c>
      <c r="Y2" s="215" t="str">
        <f>'Hours Per Job'!Y2</f>
        <v>Drain Water from Fuel Tank</v>
      </c>
      <c r="Z2" s="215" t="str">
        <f>'Hours Per Job'!Z2</f>
        <v>Change fuel Filter Element</v>
      </c>
      <c r="AA2" s="215" t="str">
        <f>'Hours Per Job'!AA2</f>
        <v>Change Fuel Pump Filter and/or PCV Element</v>
      </c>
      <c r="AB2" s="215" t="str">
        <f>'Hours Per Job'!AB2</f>
        <v xml:space="preserve">Perform Transmission Fluid and Tank Service </v>
      </c>
      <c r="AC2" s="215" t="str">
        <f>'Hours Per Job'!AC2</f>
        <v>Replace Transmission Oil Filters</v>
      </c>
      <c r="AD2" s="215">
        <f>'Hours Per Job'!AD2</f>
        <v>0</v>
      </c>
      <c r="AE2" s="215" t="str">
        <f>'Hours Per Job'!AE2</f>
        <v>Change Hydraulic Oil Filter</v>
      </c>
      <c r="AF2" s="215" t="str">
        <f>'Hours Per Job'!AF2</f>
        <v xml:space="preserve">Change or Clean Hydraulic Breather Element </v>
      </c>
      <c r="AG2" s="215" t="str">
        <f>'Hours Per Job'!AG2</f>
        <v xml:space="preserve">Change or Clean Hydraulic return  Filter </v>
      </c>
      <c r="AH2" s="215" t="str">
        <f>'Hours Per Job'!AH2</f>
        <v>Change Hydraulic Pilot Filters and O-Ring</v>
      </c>
      <c r="AI2" s="215" t="str">
        <f>'Hours Per Job'!AI2</f>
        <v>Change Suction  Elements and Hydraulic Fluid</v>
      </c>
      <c r="AJ2" s="215" t="str">
        <f>'Hours Per Job'!AJ2</f>
        <v xml:space="preserve">Change Drive Oil  - Front and Rear or Hydrostatic </v>
      </c>
      <c r="AK2" s="215" t="str">
        <f>'Hours Per Job'!AK2</f>
        <v>Change Drive Oil Rear</v>
      </c>
      <c r="AL2" s="215" t="str">
        <f>'Hours Per Job'!AL2</f>
        <v xml:space="preserve">Change Drive Oil Front </v>
      </c>
      <c r="AM2" s="215" t="str">
        <f>'Hours Per Job'!AM2</f>
        <v>Change Gear Box Oil and Filter</v>
      </c>
      <c r="AN2" s="215" t="str">
        <f>'Hours Per Job'!AN2</f>
        <v>Change Gear Box Seals</v>
      </c>
      <c r="AO2" s="215" t="str">
        <f>'Hours Per Job'!AO2</f>
        <v>Grease Crank Shaft</v>
      </c>
      <c r="AP2" s="215" t="str">
        <f>'Hours Per Job'!AP2</f>
        <v>Clean AC Condensor</v>
      </c>
      <c r="AQ2" s="215" t="str">
        <f>'Hours Per Job'!AQ2</f>
        <v>Clean Cabin Air Filter</v>
      </c>
      <c r="AR2" s="215" t="str">
        <f>'Hours Per Job'!AR2</f>
        <v>Change Breather Foam</v>
      </c>
      <c r="AS2" s="215" t="str">
        <f>'Hours Per Job'!AS2</f>
        <v>Change or Clean Cabin Air Filter</v>
      </c>
      <c r="AT2" s="215" t="str">
        <f>'Hours Per Job'!AT2</f>
        <v>Grease Machine at Assorted Lubrication Points</v>
      </c>
      <c r="AU2" s="215" t="str">
        <f>'Hours Per Job'!AU2</f>
        <v>Lubricate and Oil Throttle Cable</v>
      </c>
      <c r="AV2" s="215" t="str">
        <f>'Hours Per Job'!AV2</f>
        <v>Adjust Track Tension</v>
      </c>
      <c r="AW2" s="215" t="str">
        <f>'Hours Per Job'!AW2</f>
        <v>Check and Adjust Valve Clearance</v>
      </c>
      <c r="AX2" s="215">
        <f>'Hours Per Job'!AX2</f>
        <v>0</v>
      </c>
      <c r="AY2" s="215" t="str">
        <f>'Hours Per Job'!AY2</f>
        <v>Adjust Electonic Clutch</v>
      </c>
      <c r="AZ2" s="215" t="str">
        <f>'Hours Per Job'!AZ2</f>
        <v>Replace Fan/ Drive Belt</v>
      </c>
      <c r="BA2" s="215" t="str">
        <f>'Hours Per Job'!BA2</f>
        <v>Replace or Replenish Power Steering Fluid</v>
      </c>
      <c r="BB2" s="215" t="str">
        <f>'Hours Per Job'!BB2</f>
        <v>Replace Air Cleaner element</v>
      </c>
      <c r="BC2" s="215" t="str">
        <f>'Hours Per Job'!BC2</f>
        <v>Replace Inner Air Filter</v>
      </c>
      <c r="BD2" s="215" t="str">
        <f>'Hours Per Job'!BD2</f>
        <v>Replace Spark Plugs</v>
      </c>
      <c r="BE2" s="215" t="str">
        <f>'Hours Per Job'!BE2</f>
        <v>Check End Play of  Center Shaft and Make minor Adjustment</v>
      </c>
      <c r="BF2" s="215" t="str">
        <f>'Hours Per Job'!BF2</f>
        <v xml:space="preserve">Check PCV and EGR Valves and Check Fuel Injectors </v>
      </c>
      <c r="BG2" s="215" t="str">
        <f>'Hours Per Job'!BG2</f>
        <v xml:space="preserve">Check DEF Injector Tips and Line </v>
      </c>
      <c r="BH2" s="215" t="str">
        <f>'Hours Per Job'!BH2</f>
        <v>Perform Coolant System Flush</v>
      </c>
      <c r="BI2" s="215" t="str">
        <f>'Hours Per Job'!BI2</f>
        <v>Inspect and Sharpen Blades</v>
      </c>
      <c r="BJ2" s="215" t="str">
        <f>'Hours Per Job'!BJ2</f>
        <v>Conduct Multi Point Inpection and Make Minor Adjustments</v>
      </c>
      <c r="BK2" s="215" t="str">
        <f>'Hours Per Job'!BK2</f>
        <v>Change DEF Suction and Pump Filters</v>
      </c>
      <c r="BL2" s="215" t="str">
        <f>'Hours Per Job'!BL2</f>
        <v>Perform Brake Fluid Service</v>
      </c>
      <c r="BM2" s="215" t="str">
        <f>'Hours Per Job'!BM2</f>
        <v>Change Swing Drive Oil</v>
      </c>
      <c r="BN2" s="216" t="str">
        <f>'Hours Per Job'!BN2</f>
        <v>Perform Annual Oil and Filter Change</v>
      </c>
      <c r="BO2" s="216" t="str">
        <f>'Hours Per Job'!BO2</f>
        <v>Annually Grease Machine at Assorted Lubrication Points</v>
      </c>
      <c r="BP2" s="216" t="str">
        <f>'Hours Per Job'!BP2</f>
        <v>Conduct Annual Multi Point Inpection and Make Minor Adjustments</v>
      </c>
    </row>
    <row r="3" spans="1:68" x14ac:dyDescent="0.2">
      <c r="A3" s="217"/>
      <c r="B3" s="207" t="str">
        <f>'Hours Per Job'!B3</f>
        <v>Parts and Labor</v>
      </c>
      <c r="C3" s="218" t="str">
        <f>'Hours Per Job'!C3</f>
        <v>Labor Only</v>
      </c>
      <c r="D3" s="218" t="str">
        <f>'Hours Per Job'!D3</f>
        <v>Labor Only</v>
      </c>
      <c r="E3" s="218" t="str">
        <f>'Hours Per Job'!E3</f>
        <v>Parts and Labor</v>
      </c>
      <c r="F3" s="218" t="str">
        <f>'Hours Per Job'!F3</f>
        <v>Parts and Labor</v>
      </c>
      <c r="G3" s="218" t="str">
        <f>'Hours Per Job'!G3</f>
        <v>Parts and Labor</v>
      </c>
      <c r="H3" s="218" t="str">
        <f>'Hours Per Job'!H3</f>
        <v>Parts and Labor</v>
      </c>
      <c r="I3" s="218" t="str">
        <f>'Hours Per Job'!I3</f>
        <v>Labor Only</v>
      </c>
      <c r="J3" s="218" t="str">
        <f>'Hours Per Job'!J3</f>
        <v>Labor Only</v>
      </c>
      <c r="K3" s="218" t="str">
        <f>'Hours Per Job'!K3</f>
        <v>Parts and Labor</v>
      </c>
      <c r="L3" s="218" t="str">
        <f>'Hours Per Job'!L3</f>
        <v>Parts and Labor</v>
      </c>
      <c r="M3" s="218" t="str">
        <f>'Hours Per Job'!M3</f>
        <v>Parts and Labor</v>
      </c>
      <c r="N3" s="218" t="str">
        <f>'Hours Per Job'!N3</f>
        <v>Parts and Labor</v>
      </c>
      <c r="O3" s="218" t="str">
        <f>'Hours Per Job'!O3</f>
        <v>Parts and Labor</v>
      </c>
      <c r="P3" s="219" t="str">
        <f>'Hours Per Job'!P3</f>
        <v>Parts and Labor</v>
      </c>
      <c r="Q3" s="220" t="str">
        <f>'Hours Per Job'!Q3</f>
        <v>Parts and Labor</v>
      </c>
      <c r="R3" s="221" t="str">
        <f>'Hours Per Job'!R3</f>
        <v>Parts and Labor</v>
      </c>
      <c r="S3" s="221" t="str">
        <f>'Hours Per Job'!S3</f>
        <v>Parts and Labor</v>
      </c>
      <c r="T3" s="222" t="str">
        <f>'Hours Per Job'!T3</f>
        <v>Parts and Labor</v>
      </c>
      <c r="U3" s="223" t="str">
        <f>'Hours Per Job'!U3</f>
        <v>Parts and Labor</v>
      </c>
      <c r="V3" s="224" t="str">
        <f>'Hours Per Job'!V3</f>
        <v>Parts and Labor</v>
      </c>
      <c r="W3" s="224" t="str">
        <f>'Hours Per Job'!W3</f>
        <v>Labor Only</v>
      </c>
      <c r="X3" s="224" t="str">
        <f>'Hours Per Job'!X3</f>
        <v>Parts and Labor</v>
      </c>
      <c r="Y3" s="224" t="str">
        <f>'Hours Per Job'!Y3</f>
        <v>Labor Only</v>
      </c>
      <c r="Z3" s="224" t="str">
        <f>'Hours Per Job'!Z3</f>
        <v>Parts and Labor</v>
      </c>
      <c r="AA3" s="224" t="str">
        <f>'Hours Per Job'!AA3</f>
        <v>Parts and Labor</v>
      </c>
      <c r="AB3" s="224" t="str">
        <f>'Hours Per Job'!AB3</f>
        <v>Parts and Labor</v>
      </c>
      <c r="AC3" s="224" t="str">
        <f>'Hours Per Job'!AC3</f>
        <v>Parts and Labor</v>
      </c>
      <c r="AD3" s="224" t="str">
        <f>'Hours Per Job'!AD3</f>
        <v>Parts and Labor</v>
      </c>
      <c r="AE3" s="224" t="str">
        <f>'Hours Per Job'!AE3</f>
        <v>Parts and Labor</v>
      </c>
      <c r="AF3" s="224" t="str">
        <f>'Hours Per Job'!AF3</f>
        <v>Parts and Labor</v>
      </c>
      <c r="AG3" s="224" t="str">
        <f>'Hours Per Job'!AG3</f>
        <v>Parts and Labor</v>
      </c>
      <c r="AH3" s="224" t="str">
        <f>'Hours Per Job'!AH3</f>
        <v>Parts and Labor</v>
      </c>
      <c r="AI3" s="224" t="str">
        <f>'Hours Per Job'!AI3</f>
        <v>Parts and Labor</v>
      </c>
      <c r="AJ3" s="224" t="str">
        <f>'Hours Per Job'!AJ3</f>
        <v>Parts and Labor</v>
      </c>
      <c r="AK3" s="224" t="str">
        <f>'Hours Per Job'!AK3</f>
        <v>Parts and Labor</v>
      </c>
      <c r="AL3" s="224" t="str">
        <f>'Hours Per Job'!AL3</f>
        <v>Parts and Labor</v>
      </c>
      <c r="AM3" s="224" t="str">
        <f>'Hours Per Job'!AM3</f>
        <v>Parts and Labor</v>
      </c>
      <c r="AN3" s="224" t="str">
        <f>'Hours Per Job'!AN3</f>
        <v>Parts and Labor</v>
      </c>
      <c r="AO3" s="224" t="str">
        <f>'Hours Per Job'!AO3</f>
        <v>Parts and Labor</v>
      </c>
      <c r="AP3" s="224" t="str">
        <f>'Hours Per Job'!AP3</f>
        <v>Labor Only</v>
      </c>
      <c r="AQ3" s="224" t="str">
        <f>'Hours Per Job'!AQ3</f>
        <v>Labor Only</v>
      </c>
      <c r="AR3" s="224" t="str">
        <f>'Hours Per Job'!AR3</f>
        <v>Parts and Labor</v>
      </c>
      <c r="AS3" s="224" t="str">
        <f>'Hours Per Job'!AS3</f>
        <v>Parts and Labor</v>
      </c>
      <c r="AT3" s="224" t="str">
        <f>'Hours Per Job'!AT3</f>
        <v>Parts and Labor</v>
      </c>
      <c r="AU3" s="224" t="str">
        <f>'Hours Per Job'!AU3</f>
        <v>Parts and Labor</v>
      </c>
      <c r="AV3" s="224" t="str">
        <f>'Hours Per Job'!AV3</f>
        <v>Labor Only</v>
      </c>
      <c r="AW3" s="224" t="str">
        <f>'Hours Per Job'!AW3</f>
        <v>Parts and Labor</v>
      </c>
      <c r="AX3" s="224" t="str">
        <f>'Hours Per Job'!AX3</f>
        <v>Parts and Labor</v>
      </c>
      <c r="AY3" s="224" t="str">
        <f>'Hours Per Job'!AY3</f>
        <v>Labor Only</v>
      </c>
      <c r="AZ3" s="224" t="str">
        <f>'Hours Per Job'!AZ3</f>
        <v>Parts and Labor</v>
      </c>
      <c r="BA3" s="224" t="str">
        <f>'Hours Per Job'!BA3</f>
        <v>Parts and Labor</v>
      </c>
      <c r="BB3" s="224" t="str">
        <f>'Hours Per Job'!BB3</f>
        <v>Parts and Labor</v>
      </c>
      <c r="BC3" s="224" t="str">
        <f>'Hours Per Job'!BC3</f>
        <v>Parts and Labor</v>
      </c>
      <c r="BD3" s="224" t="str">
        <f>'Hours Per Job'!BD3</f>
        <v>Parts and Labor</v>
      </c>
      <c r="BE3" s="224" t="str">
        <f>'Hours Per Job'!BE3</f>
        <v>Labor Only</v>
      </c>
      <c r="BF3" s="224" t="str">
        <f>'Hours Per Job'!BF3</f>
        <v>Labor Only</v>
      </c>
      <c r="BG3" s="224" t="str">
        <f>'Hours Per Job'!BG3</f>
        <v>Labor Only</v>
      </c>
      <c r="BH3" s="224" t="str">
        <f>'Hours Per Job'!BH3</f>
        <v>Parts and Labor</v>
      </c>
      <c r="BI3" s="224" t="str">
        <f>'Hours Per Job'!BI3</f>
        <v>Labor Only</v>
      </c>
      <c r="BJ3" s="224" t="str">
        <f>'Hours Per Job'!BJ3</f>
        <v>Labor Only</v>
      </c>
      <c r="BK3" s="224" t="str">
        <f>'Hours Per Job'!BK3</f>
        <v>Parts and Labor</v>
      </c>
      <c r="BL3" s="224" t="str">
        <f>'Hours Per Job'!BL3</f>
        <v>Parts and Labor</v>
      </c>
      <c r="BM3" s="224" t="str">
        <f>'Hours Per Job'!BM3</f>
        <v>Parts and Labor</v>
      </c>
      <c r="BN3" s="225" t="str">
        <f>'Hours Per Job'!BN3</f>
        <v>Parts and Labor</v>
      </c>
      <c r="BO3" s="225" t="str">
        <f>'Hours Per Job'!BO3</f>
        <v>Parts and Labor</v>
      </c>
      <c r="BP3" s="225" t="str">
        <f>'Hours Per Job'!BP3</f>
        <v>Labor Only</v>
      </c>
    </row>
    <row r="4" spans="1:68" x14ac:dyDescent="0.2">
      <c r="A4" s="226" t="str">
        <f>'Scheduled Intervals'!A4</f>
        <v>RTV</v>
      </c>
      <c r="B4" s="227">
        <f>ROUND(('Hours Per Job'!B4*$B$36),2)+ROUND(('Parts Cost Per Job'!B4)*((1+$B$37)*$B$38),2)</f>
        <v>89.63</v>
      </c>
      <c r="C4" s="228">
        <f>ROUND(('Hours Per Job'!C4*$B$36),2)+ROUND(('Parts Cost Per Job'!C4)*((1+$B$37)*$B$38),2)</f>
        <v>0</v>
      </c>
      <c r="D4" s="228">
        <f>ROUND(('Hours Per Job'!D4*$B$36),2)+ROUND(('Parts Cost Per Job'!D4)*((1+$B$37)*$B$38),2)</f>
        <v>0</v>
      </c>
      <c r="E4" s="228">
        <f>ROUND(('Hours Per Job'!E4*$B$36),2)+ROUND(('Parts Cost Per Job'!E4)*((1+$B$37)*$B$38),2)</f>
        <v>0</v>
      </c>
      <c r="F4" s="228">
        <f>ROUND(('Hours Per Job'!F4*$B$36),2)+ROUND(('Parts Cost Per Job'!F4)*((1+$B$37)*$B$38),2)</f>
        <v>148.69</v>
      </c>
      <c r="G4" s="228">
        <f>ROUND(('Hours Per Job'!G4*$B$36),2)+ROUND(('Parts Cost Per Job'!G4)*((1+$B$37)*$B$38),2)</f>
        <v>0</v>
      </c>
      <c r="H4" s="229">
        <f>ROUND(('Hours Per Job'!H4*$B$36),2)+ROUND(('Parts Cost Per Job'!H4)*((1+$B$37)*$B$38),2)</f>
        <v>23.07</v>
      </c>
      <c r="I4" s="228">
        <f>ROUND(('Hours Per Job'!I4*$B$36),2)+ROUND(('Parts Cost Per Job'!I4)*((1+$B$37)*$B$38),2)</f>
        <v>30</v>
      </c>
      <c r="J4" s="228">
        <f>ROUND(('Hours Per Job'!J4*$B$36),2)+ROUND(('Parts Cost Per Job'!J4)*((1+$B$37)*$B$38),2)</f>
        <v>0</v>
      </c>
      <c r="K4" s="228">
        <f>ROUND(('Hours Per Job'!K4*$B$36),2)+ROUND(('Parts Cost Per Job'!K4)*((1+$B$37)*$B$38),2)</f>
        <v>0</v>
      </c>
      <c r="L4" s="228">
        <f>ROUND(('Hours Per Job'!L4*$B$36),2)+ROUND(('Parts Cost Per Job'!L4)*((1+$B$37)*$B$38),2)</f>
        <v>0</v>
      </c>
      <c r="M4" s="228">
        <f>ROUND(('Hours Per Job'!M4*$B$36),2)+ROUND(('Parts Cost Per Job'!M4)*((1+$B$37)*$B$38),2)</f>
        <v>0</v>
      </c>
      <c r="N4" s="228">
        <f>ROUND(('Hours Per Job'!N4*$B$36),2)+ROUND(('Parts Cost Per Job'!N4)*((1+$B$37)*$B$38),2)</f>
        <v>0</v>
      </c>
      <c r="O4" s="228">
        <f>ROUND(('Hours Per Job'!O4*$B$36),2)+ROUND(('Parts Cost Per Job'!O4)*((1+$B$37)*$B$38),2)</f>
        <v>0</v>
      </c>
      <c r="P4" s="230">
        <f>ROUND(('Hours Per Job'!P4*$B$36),2)+ROUND(('Parts Cost Per Job'!P4)*((1+$B$37)*$B$38),2)</f>
        <v>59.92</v>
      </c>
      <c r="Q4" s="231">
        <f>ROUND(('Hours Per Job'!Q4*$B$36),2)+ROUND(('Parts Cost Per Job'!Q4)*((1+$B$37)*$B$38),2)</f>
        <v>0</v>
      </c>
      <c r="R4" s="232">
        <f>ROUND(('Hours Per Job'!R4*$B$36),2)+ROUND(('Parts Cost Per Job'!R4)*((1+$B$37)*$B$38),2)</f>
        <v>0</v>
      </c>
      <c r="S4" s="232">
        <f>ROUND(('Hours Per Job'!S4*$B$36),2)+ROUND(('Parts Cost Per Job'!S4)*((1+$B$37)*$B$38),2)</f>
        <v>0</v>
      </c>
      <c r="T4" s="233">
        <f>ROUND(('Hours Per Job'!T4*$B$36),2)+ROUND(('Parts Cost Per Job'!T4)*((1+$B$37)*$B$38),2)</f>
        <v>0</v>
      </c>
      <c r="U4" s="234">
        <f>ROUND(('Hours Per Job'!U4*$B$36),2)+ROUND(('Parts Cost Per Job'!U4)*((1+$B$37)*$B$38),2)</f>
        <v>89.63</v>
      </c>
      <c r="V4" s="235">
        <f>ROUND(('Hours Per Job'!V4*$B$36),2)+ROUND(('Parts Cost Per Job'!V4)*((1+$B$37)*$B$38),2)</f>
        <v>0</v>
      </c>
      <c r="W4" s="235">
        <f>ROUND(('Hours Per Job'!W4*$B$36),2)+ROUND(('Parts Cost Per Job'!W4)*((1+$B$37)*$B$38),2)</f>
        <v>0</v>
      </c>
      <c r="X4" s="235">
        <f>ROUND(('Hours Per Job'!X4*$B$36),2)+ROUND(('Parts Cost Per Job'!X4)*((1+$B$37)*$B$38),2)</f>
        <v>0</v>
      </c>
      <c r="Y4" s="235">
        <f>ROUND(('Hours Per Job'!Y4*$B$36),2)+ROUND(('Parts Cost Per Job'!Y4)*((1+$B$37)*$B$38),2)</f>
        <v>12</v>
      </c>
      <c r="Z4" s="235">
        <f>ROUND(('Hours Per Job'!Z4*$B$36),2)+ROUND(('Parts Cost Per Job'!Z4)*((1+$B$37)*$B$38),2)</f>
        <v>45.58</v>
      </c>
      <c r="AA4" s="235">
        <f>ROUND(('Hours Per Job'!AA4*$B$36),2)+ROUND(('Parts Cost Per Job'!AA4)*((1+$B$37)*$B$38),2)</f>
        <v>0</v>
      </c>
      <c r="AB4" s="235">
        <f>ROUND(('Hours Per Job'!AB4*$B$36),2)+ROUND(('Parts Cost Per Job'!AB4)*((1+$B$37)*$B$38),2)</f>
        <v>123.83</v>
      </c>
      <c r="AC4" s="235">
        <f>ROUND(('Hours Per Job'!AC4*$B$36),2)+ROUND(('Parts Cost Per Job'!AC4)*((1+$B$37)*$B$38),2)</f>
        <v>51.07</v>
      </c>
      <c r="AD4" s="235">
        <f>ROUND(('Hours Per Job'!AD4*$B$36),2)+ROUND(('Parts Cost Per Job'!AD4)*((1+$B$37)*$B$38),2)</f>
        <v>0</v>
      </c>
      <c r="AE4" s="235">
        <f>ROUND(('Hours Per Job'!AE4*$B$36),2)+ROUND(('Parts Cost Per Job'!AE4)*((1+$B$37)*$B$38),2)</f>
        <v>76.69</v>
      </c>
      <c r="AF4" s="235">
        <f>ROUND(('Hours Per Job'!AF4*$B$36),2)+ROUND(('Parts Cost Per Job'!AF4)*((1+$B$37)*$B$38),2)</f>
        <v>0</v>
      </c>
      <c r="AG4" s="235">
        <f>ROUND(('Hours Per Job'!AG4*$B$36),2)+ROUND(('Parts Cost Per Job'!AG4)*((1+$B$37)*$B$38),2)</f>
        <v>0</v>
      </c>
      <c r="AH4" s="235">
        <f>ROUND(('Hours Per Job'!AH4*$B$36),2)+ROUND(('Parts Cost Per Job'!AH4)*((1+$B$37)*$B$38),2)</f>
        <v>0</v>
      </c>
      <c r="AI4" s="235">
        <f>ROUND(('Hours Per Job'!AI4*$B$36),2)+ROUND(('Parts Cost Per Job'!AI4)*((1+$B$37)*$B$38),2)</f>
        <v>231.1</v>
      </c>
      <c r="AJ4" s="235">
        <f>ROUND(('Hours Per Job'!AJ4*$B$36),2)+ROUND(('Parts Cost Per Job'!AJ4)*((1+$B$37)*$B$38),2)</f>
        <v>0</v>
      </c>
      <c r="AK4" s="235">
        <f>ROUND(('Hours Per Job'!AK4*$B$36),2)+ROUND(('Parts Cost Per Job'!AK4)*((1+$B$37)*$B$38),2)</f>
        <v>0</v>
      </c>
      <c r="AL4" s="235">
        <f>ROUND(('Hours Per Job'!AL4*$B$36),2)+ROUND(('Parts Cost Per Job'!AL4)*((1+$B$37)*$B$38),2)</f>
        <v>69.039999999999992</v>
      </c>
      <c r="AM4" s="235">
        <f>ROUND(('Hours Per Job'!AM4*$B$36),2)+ROUND(('Parts Cost Per Job'!AM4)*((1+$B$37)*$B$38),2)</f>
        <v>0</v>
      </c>
      <c r="AN4" s="235">
        <f>ROUND(('Hours Per Job'!AN4*$B$36),2)+ROUND(('Parts Cost Per Job'!AN4)*((1+$B$37)*$B$38),2)</f>
        <v>0</v>
      </c>
      <c r="AO4" s="235">
        <f>ROUND(('Hours Per Job'!AO4*$B$36),2)+ROUND(('Parts Cost Per Job'!AO4)*((1+$B$37)*$B$38),2)</f>
        <v>0</v>
      </c>
      <c r="AP4" s="235">
        <f>ROUND(('Hours Per Job'!AP4*$B$36),2)+ROUND(('Parts Cost Per Job'!AP4)*((1+$B$37)*$B$38),2)</f>
        <v>0</v>
      </c>
      <c r="AQ4" s="235">
        <f>ROUND(('Hours Per Job'!AQ4*$B$36),2)+ROUND(('Parts Cost Per Job'!AQ4)*((1+$B$37)*$B$38),2)</f>
        <v>0</v>
      </c>
      <c r="AR4" s="235">
        <f>ROUND(('Hours Per Job'!AR4*$B$36),2)+ROUND(('Parts Cost Per Job'!AR4)*((1+$B$37)*$B$38),2)</f>
        <v>0</v>
      </c>
      <c r="AS4" s="235">
        <f>ROUND(('Hours Per Job'!AS4*$B$36),2)+ROUND(('Parts Cost Per Job'!AS4)*((1+$B$37)*$B$38),2)</f>
        <v>0</v>
      </c>
      <c r="AT4" s="235">
        <f>ROUND(('Hours Per Job'!AT4*$B$36),2)+ROUND(('Parts Cost Per Job'!AT4)*((1+$B$37)*$B$38),2)</f>
        <v>23.07</v>
      </c>
      <c r="AU4" s="235">
        <f>ROUND(('Hours Per Job'!AU4*$B$36),2)+ROUND(('Parts Cost Per Job'!AU4)*((1+$B$37)*$B$38),2)</f>
        <v>0</v>
      </c>
      <c r="AV4" s="235">
        <f>ROUND(('Hours Per Job'!AV4*$B$36),2)+ROUND(('Parts Cost Per Job'!AV4)*((1+$B$37)*$B$38),2)</f>
        <v>0</v>
      </c>
      <c r="AW4" s="235">
        <f>ROUND(('Hours Per Job'!AW4*$B$36),2)+ROUND(('Parts Cost Per Job'!AW4)*((1+$B$37)*$B$38),2)</f>
        <v>303.82</v>
      </c>
      <c r="AX4" s="235">
        <f>ROUND(('Hours Per Job'!AX4*$B$36),2)+ROUND(('Parts Cost Per Job'!AX4)*((1+$B$37)*$B$38),2)</f>
        <v>0</v>
      </c>
      <c r="AY4" s="235">
        <f>ROUND(('Hours Per Job'!AY4*$B$36),2)+ROUND(('Parts Cost Per Job'!AY4)*((1+$B$37)*$B$38),2)</f>
        <v>0</v>
      </c>
      <c r="AZ4" s="235">
        <f>ROUND(('Hours Per Job'!AZ4*$B$36),2)+ROUND(('Parts Cost Per Job'!AZ4)*((1+$B$37)*$B$38),2)</f>
        <v>0</v>
      </c>
      <c r="BA4" s="235">
        <f>ROUND(('Hours Per Job'!BA4*$B$36),2)+ROUND(('Parts Cost Per Job'!BA4)*((1+$B$37)*$B$38),2)</f>
        <v>0</v>
      </c>
      <c r="BB4" s="235">
        <f>ROUND(('Hours Per Job'!BB4*$B$36),2)+ROUND(('Parts Cost Per Job'!BB4)*((1+$B$37)*$B$38),2)</f>
        <v>64.69</v>
      </c>
      <c r="BC4" s="235">
        <f>ROUND(('Hours Per Job'!BC4*$B$36),2)+ROUND(('Parts Cost Per Job'!BC4)*((1+$B$37)*$B$38),2)</f>
        <v>69.97999999999999</v>
      </c>
      <c r="BD4" s="235">
        <f>ROUND(('Hours Per Job'!BD4*$B$36),2)+ROUND(('Parts Cost Per Job'!BD4)*((1+$B$37)*$B$38),2)</f>
        <v>78.87</v>
      </c>
      <c r="BE4" s="235">
        <f>ROUND(('Hours Per Job'!BE4*$B$36),2)+ROUND(('Parts Cost Per Job'!BE4)*((1+$B$37)*$B$38),2)</f>
        <v>0</v>
      </c>
      <c r="BF4" s="235">
        <f>ROUND(('Hours Per Job'!BF4*$B$36),2)+ROUND(('Parts Cost Per Job'!BF4)*((1+$B$37)*$B$38),2)</f>
        <v>0</v>
      </c>
      <c r="BG4" s="235">
        <f>ROUND(('Hours Per Job'!BG4*$B$36),2)+ROUND(('Parts Cost Per Job'!BG4)*((1+$B$37)*$B$38),2)</f>
        <v>0</v>
      </c>
      <c r="BH4" s="235">
        <f>ROUND(('Hours Per Job'!BH4*$B$36),2)+ROUND(('Parts Cost Per Job'!BH4)*((1+$B$37)*$B$38),2)</f>
        <v>91.36</v>
      </c>
      <c r="BI4" s="235">
        <f>ROUND(('Hours Per Job'!BI4*$B$36),2)+ROUND(('Parts Cost Per Job'!BI4)*((1+$B$37)*$B$38),2)</f>
        <v>0</v>
      </c>
      <c r="BJ4" s="235">
        <f>ROUND(('Hours Per Job'!BJ4*$B$36),2)+ROUND(('Parts Cost Per Job'!BJ4)*((1+$B$37)*$B$38),2)</f>
        <v>30</v>
      </c>
      <c r="BK4" s="235">
        <f>ROUND(('Hours Per Job'!BK4*$B$36),2)+ROUND(('Parts Cost Per Job'!BK4)*((1+$B$37)*$B$38),2)</f>
        <v>0</v>
      </c>
      <c r="BL4" s="235">
        <f>ROUND(('Hours Per Job'!BL4*$B$36),2)+ROUND(('Parts Cost Per Job'!BL4)*((1+$B$37)*$B$38),2)</f>
        <v>0</v>
      </c>
      <c r="BM4" s="235">
        <f>ROUND(('Hours Per Job'!BM4*$B$36),2)+ROUND(('Parts Cost Per Job'!BM4)*((1+$B$37)*$B$38),2)</f>
        <v>0</v>
      </c>
      <c r="BN4" s="235">
        <f>ROUND(('Hours Per Job'!BN4*$B$36),2)+ROUND(('Parts Cost Per Job'!BN4)*((1+$B$37)*$B$38),2)</f>
        <v>89.63</v>
      </c>
      <c r="BO4" s="235">
        <f>ROUND(('Hours Per Job'!BO4*$B$36),2)+ROUND(('Parts Cost Per Job'!BO4)*((1+$B$37)*$B$38),2)</f>
        <v>23.07</v>
      </c>
      <c r="BP4" s="235">
        <f>ROUND(('Hours Per Job'!BP4*$B$36),2)+ROUND(('Parts Cost Per Job'!BP4)*((1+$B$37)*$B$38),2)</f>
        <v>126</v>
      </c>
    </row>
    <row r="5" spans="1:68" x14ac:dyDescent="0.2">
      <c r="A5" s="226" t="str">
        <f>'Scheduled Intervals'!A5</f>
        <v>Zero Turn Gas</v>
      </c>
      <c r="B5" s="236">
        <f>ROUND(('Hours Per Job'!B5*$B$36),2)+ROUND(('Parts Cost Per Job'!B5)*((1+$B$37)*$B$38),2)</f>
        <v>64.03</v>
      </c>
      <c r="C5" s="237">
        <f>ROUND(('Hours Per Job'!C5*$B$36),2)+ROUND(('Parts Cost Per Job'!C5)*((1+$B$37)*$B$38),2)</f>
        <v>0</v>
      </c>
      <c r="D5" s="237">
        <f>ROUND(('Hours Per Job'!D5*$B$36),2)+ROUND(('Parts Cost Per Job'!D5)*((1+$B$37)*$B$38),2)</f>
        <v>0</v>
      </c>
      <c r="E5" s="237">
        <f>ROUND(('Hours Per Job'!E5*$B$36),2)+ROUND(('Parts Cost Per Job'!E5)*((1+$B$37)*$B$38),2)</f>
        <v>0</v>
      </c>
      <c r="F5" s="237">
        <f>ROUND(('Hours Per Job'!F5*$B$36),2)+ROUND(('Parts Cost Per Job'!F5)*((1+$B$37)*$B$38),2)</f>
        <v>0</v>
      </c>
      <c r="G5" s="237">
        <f>ROUND(('Hours Per Job'!G5*$B$36),2)+ROUND(('Parts Cost Per Job'!G5)*((1+$B$37)*$B$38),2)</f>
        <v>0</v>
      </c>
      <c r="H5" s="238">
        <f>ROUND(('Hours Per Job'!H5*$B$36),2)+ROUND(('Parts Cost Per Job'!H5)*((1+$B$37)*$B$38),2)</f>
        <v>35.07</v>
      </c>
      <c r="I5" s="237">
        <f>ROUND(('Hours Per Job'!I5*$B$36),2)+ROUND(('Parts Cost Per Job'!I5)*((1+$B$37)*$B$38),2)</f>
        <v>30</v>
      </c>
      <c r="J5" s="237">
        <f>ROUND(('Hours Per Job'!J5*$B$36),2)+ROUND(('Parts Cost Per Job'!J5)*((1+$B$37)*$B$38),2)</f>
        <v>0</v>
      </c>
      <c r="K5" s="237">
        <f>ROUND(('Hours Per Job'!K5*$B$36),2)+ROUND(('Parts Cost Per Job'!K5)*((1+$B$37)*$B$38),2)</f>
        <v>0</v>
      </c>
      <c r="L5" s="237">
        <f>ROUND(('Hours Per Job'!L5*$B$36),2)+ROUND(('Parts Cost Per Job'!L5)*((1+$B$37)*$B$38),2)</f>
        <v>0</v>
      </c>
      <c r="M5" s="237">
        <f>ROUND(('Hours Per Job'!M5*$B$36),2)+ROUND(('Parts Cost Per Job'!M5)*((1+$B$37)*$B$38),2)</f>
        <v>0</v>
      </c>
      <c r="N5" s="237">
        <f>ROUND(('Hours Per Job'!N5*$B$36),2)+ROUND(('Parts Cost Per Job'!N5)*((1+$B$37)*$B$38),2)</f>
        <v>0</v>
      </c>
      <c r="O5" s="237">
        <f>ROUND(('Hours Per Job'!O5*$B$36),2)+ROUND(('Parts Cost Per Job'!O5)*((1+$B$37)*$B$38),2)</f>
        <v>0</v>
      </c>
      <c r="P5" s="239">
        <f>ROUND(('Hours Per Job'!P5*$B$36),2)+ROUND(('Parts Cost Per Job'!P5)*((1+$B$37)*$B$38),2)</f>
        <v>0</v>
      </c>
      <c r="Q5" s="240">
        <f>ROUND(('Hours Per Job'!Q5*$B$36),2)+ROUND(('Parts Cost Per Job'!Q5)*((1+$B$37)*$B$38),2)</f>
        <v>0</v>
      </c>
      <c r="R5" s="241">
        <f>ROUND(('Hours Per Job'!R5*$B$36),2)+ROUND(('Parts Cost Per Job'!R5)*((1+$B$37)*$B$38),2)</f>
        <v>0</v>
      </c>
      <c r="S5" s="241">
        <f>ROUND(('Hours Per Job'!S5*$B$36),2)+ROUND(('Parts Cost Per Job'!S5)*((1+$B$37)*$B$38),2)</f>
        <v>143.63999999999999</v>
      </c>
      <c r="T5" s="242">
        <f>ROUND(('Hours Per Job'!T5*$B$36),2)+ROUND(('Parts Cost Per Job'!T5)*((1+$B$37)*$B$38),2)</f>
        <v>0</v>
      </c>
      <c r="U5" s="234">
        <f>ROUND(('Hours Per Job'!U5*$B$36),2)+ROUND(('Parts Cost Per Job'!U5)*((1+$B$37)*$B$38),2)</f>
        <v>64.03</v>
      </c>
      <c r="V5" s="235">
        <f>ROUND(('Hours Per Job'!V5*$B$36),2)+ROUND(('Parts Cost Per Job'!V5)*((1+$B$37)*$B$38),2)</f>
        <v>0</v>
      </c>
      <c r="W5" s="235">
        <f>ROUND(('Hours Per Job'!W5*$B$36),2)+ROUND(('Parts Cost Per Job'!W5)*((1+$B$37)*$B$38),2)</f>
        <v>0</v>
      </c>
      <c r="X5" s="235">
        <f>ROUND(('Hours Per Job'!X5*$B$36),2)+ROUND(('Parts Cost Per Job'!X5)*((1+$B$37)*$B$38),2)</f>
        <v>0</v>
      </c>
      <c r="Y5" s="235">
        <f>ROUND(('Hours Per Job'!Y5*$B$36),2)+ROUND(('Parts Cost Per Job'!Y5)*((1+$B$37)*$B$38),2)</f>
        <v>0</v>
      </c>
      <c r="Z5" s="235">
        <f>ROUND(('Hours Per Job'!Z5*$B$36),2)+ROUND(('Parts Cost Per Job'!Z5)*((1+$B$37)*$B$38),2)</f>
        <v>39.14</v>
      </c>
      <c r="AA5" s="235">
        <f>ROUND(('Hours Per Job'!AA5*$B$36),2)+ROUND(('Parts Cost Per Job'!AA5)*((1+$B$37)*$B$38),2)</f>
        <v>0</v>
      </c>
      <c r="AB5" s="235">
        <f>ROUND(('Hours Per Job'!AB5*$B$36),2)+ROUND(('Parts Cost Per Job'!AB5)*((1+$B$37)*$B$38),2)</f>
        <v>103.44</v>
      </c>
      <c r="AC5" s="235">
        <f>ROUND(('Hours Per Job'!AC5*$B$36),2)+ROUND(('Parts Cost Per Job'!AC5)*((1+$B$37)*$B$38),2)</f>
        <v>40.21</v>
      </c>
      <c r="AD5" s="235">
        <f>ROUND(('Hours Per Job'!AD5*$B$36),2)+ROUND(('Parts Cost Per Job'!AD5)*((1+$B$37)*$B$38),2)</f>
        <v>0</v>
      </c>
      <c r="AE5" s="235">
        <f>ROUND(('Hours Per Job'!AE5*$B$36),2)+ROUND(('Parts Cost Per Job'!AE5)*((1+$B$37)*$B$38),2)</f>
        <v>0</v>
      </c>
      <c r="AF5" s="235">
        <f>ROUND(('Hours Per Job'!AF5*$B$36),2)+ROUND(('Parts Cost Per Job'!AF5)*((1+$B$37)*$B$38),2)</f>
        <v>0</v>
      </c>
      <c r="AG5" s="235">
        <f>ROUND(('Hours Per Job'!AG5*$B$36),2)+ROUND(('Parts Cost Per Job'!AG5)*((1+$B$37)*$B$38),2)</f>
        <v>0</v>
      </c>
      <c r="AH5" s="235">
        <f>ROUND(('Hours Per Job'!AH5*$B$36),2)+ROUND(('Parts Cost Per Job'!AH5)*((1+$B$37)*$B$38),2)</f>
        <v>0</v>
      </c>
      <c r="AI5" s="235">
        <f>ROUND(('Hours Per Job'!AI5*$B$36),2)+ROUND(('Parts Cost Per Job'!AI5)*((1+$B$37)*$B$38),2)</f>
        <v>0</v>
      </c>
      <c r="AJ5" s="235">
        <f>ROUND(('Hours Per Job'!AJ5*$B$36),2)+ROUND(('Parts Cost Per Job'!AJ5)*((1+$B$37)*$B$38),2)</f>
        <v>0</v>
      </c>
      <c r="AK5" s="235">
        <f>ROUND(('Hours Per Job'!AK5*$B$36),2)+ROUND(('Parts Cost Per Job'!AK5)*((1+$B$37)*$B$38),2)</f>
        <v>0</v>
      </c>
      <c r="AL5" s="235">
        <f>ROUND(('Hours Per Job'!AL5*$B$36),2)+ROUND(('Parts Cost Per Job'!AL5)*((1+$B$37)*$B$38),2)</f>
        <v>0</v>
      </c>
      <c r="AM5" s="235">
        <f>ROUND(('Hours Per Job'!AM5*$B$36),2)+ROUND(('Parts Cost Per Job'!AM5)*((1+$B$37)*$B$38),2)</f>
        <v>0</v>
      </c>
      <c r="AN5" s="235">
        <f>ROUND(('Hours Per Job'!AN5*$B$36),2)+ROUND(('Parts Cost Per Job'!AN5)*((1+$B$37)*$B$38),2)</f>
        <v>0</v>
      </c>
      <c r="AO5" s="235">
        <f>ROUND(('Hours Per Job'!AO5*$B$36),2)+ROUND(('Parts Cost Per Job'!AO5)*((1+$B$37)*$B$38),2)</f>
        <v>0</v>
      </c>
      <c r="AP5" s="235">
        <f>ROUND(('Hours Per Job'!AP5*$B$36),2)+ROUND(('Parts Cost Per Job'!AP5)*((1+$B$37)*$B$38),2)</f>
        <v>0</v>
      </c>
      <c r="AQ5" s="235">
        <f>ROUND(('Hours Per Job'!AQ5*$B$36),2)+ROUND(('Parts Cost Per Job'!AQ5)*((1+$B$37)*$B$38),2)</f>
        <v>0</v>
      </c>
      <c r="AR5" s="235">
        <f>ROUND(('Hours Per Job'!AR5*$B$36),2)+ROUND(('Parts Cost Per Job'!AR5)*((1+$B$37)*$B$38),2)</f>
        <v>0</v>
      </c>
      <c r="AS5" s="235">
        <f>ROUND(('Hours Per Job'!AS5*$B$36),2)+ROUND(('Parts Cost Per Job'!AS5)*((1+$B$37)*$B$38),2)</f>
        <v>0</v>
      </c>
      <c r="AT5" s="235">
        <f>ROUND(('Hours Per Job'!AT5*$B$36),2)+ROUND(('Parts Cost Per Job'!AT5)*((1+$B$37)*$B$38),2)</f>
        <v>35.07</v>
      </c>
      <c r="AU5" s="235">
        <f>ROUND(('Hours Per Job'!AU5*$B$36),2)+ROUND(('Parts Cost Per Job'!AU5)*((1+$B$37)*$B$38),2)</f>
        <v>0</v>
      </c>
      <c r="AV5" s="235">
        <f>ROUND(('Hours Per Job'!AV5*$B$36),2)+ROUND(('Parts Cost Per Job'!AV5)*((1+$B$37)*$B$38),2)</f>
        <v>0</v>
      </c>
      <c r="AW5" s="235">
        <f>ROUND(('Hours Per Job'!AW5*$B$36),2)+ROUND(('Parts Cost Per Job'!AW5)*((1+$B$37)*$B$38),2)</f>
        <v>0</v>
      </c>
      <c r="AX5" s="235">
        <f>ROUND(('Hours Per Job'!AX5*$B$36),2)+ROUND(('Parts Cost Per Job'!AX5)*((1+$B$37)*$B$38),2)</f>
        <v>0</v>
      </c>
      <c r="AY5" s="235">
        <f>ROUND(('Hours Per Job'!AY5*$B$36),2)+ROUND(('Parts Cost Per Job'!AY5)*((1+$B$37)*$B$38),2)</f>
        <v>0</v>
      </c>
      <c r="AZ5" s="235">
        <f>ROUND(('Hours Per Job'!AZ5*$B$36),2)+ROUND(('Parts Cost Per Job'!AZ5)*((1+$B$37)*$B$38),2)</f>
        <v>0</v>
      </c>
      <c r="BA5" s="235">
        <f>ROUND(('Hours Per Job'!BA5*$B$36),2)+ROUND(('Parts Cost Per Job'!BA5)*((1+$B$37)*$B$38),2)</f>
        <v>0</v>
      </c>
      <c r="BB5" s="235">
        <f>ROUND(('Hours Per Job'!BB5*$B$36),2)+ROUND(('Parts Cost Per Job'!BB5)*((1+$B$37)*$B$38),2)</f>
        <v>51.44</v>
      </c>
      <c r="BC5" s="235">
        <f>ROUND(('Hours Per Job'!BC5*$B$36),2)+ROUND(('Parts Cost Per Job'!BC5)*((1+$B$37)*$B$38),2)</f>
        <v>0</v>
      </c>
      <c r="BD5" s="235">
        <f>ROUND(('Hours Per Job'!BD5*$B$36),2)+ROUND(('Parts Cost Per Job'!BD5)*((1+$B$37)*$B$38),2)</f>
        <v>25.7</v>
      </c>
      <c r="BE5" s="235">
        <f>ROUND(('Hours Per Job'!BE5*$B$36),2)+ROUND(('Parts Cost Per Job'!BE5)*((1+$B$37)*$B$38),2)</f>
        <v>0</v>
      </c>
      <c r="BF5" s="235">
        <f>ROUND(('Hours Per Job'!BF5*$B$36),2)+ROUND(('Parts Cost Per Job'!BF5)*((1+$B$37)*$B$38),2)</f>
        <v>0</v>
      </c>
      <c r="BG5" s="235">
        <f>ROUND(('Hours Per Job'!BG5*$B$36),2)+ROUND(('Parts Cost Per Job'!BG5)*((1+$B$37)*$B$38),2)</f>
        <v>0</v>
      </c>
      <c r="BH5" s="235">
        <f>ROUND(('Hours Per Job'!BH5*$B$36),2)+ROUND(('Parts Cost Per Job'!BH5)*((1+$B$37)*$B$38),2)</f>
        <v>67.36</v>
      </c>
      <c r="BI5" s="235">
        <f>ROUND(('Hours Per Job'!BI5*$B$36),2)+ROUND(('Parts Cost Per Job'!BI5)*((1+$B$37)*$B$38),2)</f>
        <v>12</v>
      </c>
      <c r="BJ5" s="235">
        <f>ROUND(('Hours Per Job'!BJ5*$B$36),2)+ROUND(('Parts Cost Per Job'!BJ5)*((1+$B$37)*$B$38),2)</f>
        <v>30</v>
      </c>
      <c r="BK5" s="235">
        <f>ROUND(('Hours Per Job'!BK5*$B$36),2)+ROUND(('Parts Cost Per Job'!BK5)*((1+$B$37)*$B$38),2)</f>
        <v>0</v>
      </c>
      <c r="BL5" s="235">
        <f>ROUND(('Hours Per Job'!BL5*$B$36),2)+ROUND(('Parts Cost Per Job'!BL5)*((1+$B$37)*$B$38),2)</f>
        <v>0</v>
      </c>
      <c r="BM5" s="235">
        <f>ROUND(('Hours Per Job'!BM5*$B$36),2)+ROUND(('Parts Cost Per Job'!BM5)*((1+$B$37)*$B$38),2)</f>
        <v>0</v>
      </c>
      <c r="BN5" s="235">
        <f>ROUND(('Hours Per Job'!BN5*$B$36),2)+ROUND(('Parts Cost Per Job'!BN5)*((1+$B$37)*$B$38),2)</f>
        <v>64.03</v>
      </c>
      <c r="BO5" s="235">
        <f>ROUND(('Hours Per Job'!BO5*$B$36),2)+ROUND(('Parts Cost Per Job'!BO5)*((1+$B$37)*$B$38),2)</f>
        <v>35.07</v>
      </c>
      <c r="BP5" s="235">
        <f>ROUND(('Hours Per Job'!BP5*$B$36),2)+ROUND(('Parts Cost Per Job'!BP5)*((1+$B$37)*$B$38),2)</f>
        <v>126</v>
      </c>
    </row>
    <row r="6" spans="1:68" x14ac:dyDescent="0.2">
      <c r="A6" s="226" t="str">
        <f>'Scheduled Intervals'!A6</f>
        <v>Zero Turn Diesel</v>
      </c>
      <c r="B6" s="236">
        <f>ROUND(('Hours Per Job'!B6*$B$36),2)+ROUND(('Parts Cost Per Job'!B6)*((1+$B$37)*$B$38),2)</f>
        <v>80.92</v>
      </c>
      <c r="C6" s="237">
        <f>ROUND(('Hours Per Job'!C6*$B$36),2)+ROUND(('Parts Cost Per Job'!C6)*((1+$B$37)*$B$38),2)</f>
        <v>0</v>
      </c>
      <c r="D6" s="237">
        <f>ROUND(('Hours Per Job'!D6*$B$36),2)+ROUND(('Parts Cost Per Job'!D6)*((1+$B$37)*$B$38),2)</f>
        <v>0</v>
      </c>
      <c r="E6" s="237">
        <f>ROUND(('Hours Per Job'!E6*$B$36),2)+ROUND(('Parts Cost Per Job'!E6)*((1+$B$37)*$B$38),2)</f>
        <v>0</v>
      </c>
      <c r="F6" s="237">
        <f>ROUND(('Hours Per Job'!F6*$B$36),2)+ROUND(('Parts Cost Per Job'!F6)*((1+$B$37)*$B$38),2)</f>
        <v>75.069999999999993</v>
      </c>
      <c r="G6" s="237">
        <f>ROUND(('Hours Per Job'!G6*$B$36),2)+ROUND(('Parts Cost Per Job'!G6)*((1+$B$37)*$B$38),2)</f>
        <v>0</v>
      </c>
      <c r="H6" s="238">
        <f>ROUND(('Hours Per Job'!H6*$B$36),2)+ROUND(('Parts Cost Per Job'!H6)*((1+$B$37)*$B$38),2)</f>
        <v>35.07</v>
      </c>
      <c r="I6" s="237">
        <f>ROUND(('Hours Per Job'!I6*$B$36),2)+ROUND(('Parts Cost Per Job'!I6)*((1+$B$37)*$B$38),2)</f>
        <v>30</v>
      </c>
      <c r="J6" s="237">
        <f>ROUND(('Hours Per Job'!J6*$B$36),2)+ROUND(('Parts Cost Per Job'!J6)*((1+$B$37)*$B$38),2)</f>
        <v>0</v>
      </c>
      <c r="K6" s="237">
        <f>ROUND(('Hours Per Job'!K6*$B$36),2)+ROUND(('Parts Cost Per Job'!K6)*((1+$B$37)*$B$38),2)</f>
        <v>0</v>
      </c>
      <c r="L6" s="237">
        <f>ROUND(('Hours Per Job'!L6*$B$36),2)+ROUND(('Parts Cost Per Job'!L6)*((1+$B$37)*$B$38),2)</f>
        <v>0</v>
      </c>
      <c r="M6" s="237">
        <f>ROUND(('Hours Per Job'!M6*$B$36),2)+ROUND(('Parts Cost Per Job'!M6)*((1+$B$37)*$B$38),2)</f>
        <v>0</v>
      </c>
      <c r="N6" s="237">
        <f>ROUND(('Hours Per Job'!N6*$B$36),2)+ROUND(('Parts Cost Per Job'!N6)*((1+$B$37)*$B$38),2)</f>
        <v>0</v>
      </c>
      <c r="O6" s="237">
        <f>ROUND(('Hours Per Job'!O6*$B$36),2)+ROUND(('Parts Cost Per Job'!O6)*((1+$B$37)*$B$38),2)</f>
        <v>0</v>
      </c>
      <c r="P6" s="239">
        <f>ROUND(('Hours Per Job'!P6*$B$36),2)+ROUND(('Parts Cost Per Job'!P6)*((1+$B$37)*$B$38),2)</f>
        <v>0</v>
      </c>
      <c r="Q6" s="240">
        <f>ROUND(('Hours Per Job'!Q6*$B$36),2)+ROUND(('Parts Cost Per Job'!Q6)*((1+$B$37)*$B$38),2)</f>
        <v>0</v>
      </c>
      <c r="R6" s="241">
        <f>ROUND(('Hours Per Job'!R6*$B$36),2)+ROUND(('Parts Cost Per Job'!R6)*((1+$B$37)*$B$38),2)</f>
        <v>0</v>
      </c>
      <c r="S6" s="241">
        <f>ROUND(('Hours Per Job'!S6*$B$36),2)+ROUND(('Parts Cost Per Job'!S6)*((1+$B$37)*$B$38),2)</f>
        <v>0</v>
      </c>
      <c r="T6" s="242">
        <f>ROUND(('Hours Per Job'!T6*$B$36),2)+ROUND(('Parts Cost Per Job'!T6)*((1+$B$37)*$B$38),2)</f>
        <v>0</v>
      </c>
      <c r="U6" s="234">
        <f>ROUND(('Hours Per Job'!U6*$B$36),2)+ROUND(('Parts Cost Per Job'!U6)*((1+$B$37)*$B$38),2)</f>
        <v>80.92</v>
      </c>
      <c r="V6" s="235">
        <f>ROUND(('Hours Per Job'!V6*$B$36),2)+ROUND(('Parts Cost Per Job'!V6)*((1+$B$37)*$B$38),2)</f>
        <v>0</v>
      </c>
      <c r="W6" s="235">
        <f>ROUND(('Hours Per Job'!W6*$B$36),2)+ROUND(('Parts Cost Per Job'!W6)*((1+$B$37)*$B$38),2)</f>
        <v>0</v>
      </c>
      <c r="X6" s="235">
        <f>ROUND(('Hours Per Job'!X6*$B$36),2)+ROUND(('Parts Cost Per Job'!X6)*((1+$B$37)*$B$38),2)</f>
        <v>76.930000000000007</v>
      </c>
      <c r="Y6" s="235">
        <f>ROUND(('Hours Per Job'!Y6*$B$36),2)+ROUND(('Parts Cost Per Job'!Y6)*((1+$B$37)*$B$38),2)</f>
        <v>0</v>
      </c>
      <c r="Z6" s="235">
        <f>ROUND(('Hours Per Job'!Z6*$B$36),2)+ROUND(('Parts Cost Per Job'!Z6)*((1+$B$37)*$B$38),2)</f>
        <v>86.47</v>
      </c>
      <c r="AA6" s="235">
        <f>ROUND(('Hours Per Job'!AA6*$B$36),2)+ROUND(('Parts Cost Per Job'!AA6)*((1+$B$37)*$B$38),2)</f>
        <v>0</v>
      </c>
      <c r="AB6" s="235">
        <f>ROUND(('Hours Per Job'!AB6*$B$36),2)+ROUND(('Parts Cost Per Job'!AB6)*((1+$B$37)*$B$38),2)</f>
        <v>168.23000000000002</v>
      </c>
      <c r="AC6" s="235">
        <f>ROUND(('Hours Per Job'!AC6*$B$36),2)+ROUND(('Parts Cost Per Job'!AC6)*((1+$B$37)*$B$38),2)</f>
        <v>76.69</v>
      </c>
      <c r="AD6" s="235">
        <f>ROUND(('Hours Per Job'!AD6*$B$36),2)+ROUND(('Parts Cost Per Job'!AD6)*((1+$B$37)*$B$38),2)</f>
        <v>0</v>
      </c>
      <c r="AE6" s="235">
        <f>ROUND(('Hours Per Job'!AE6*$B$36),2)+ROUND(('Parts Cost Per Job'!AE6)*((1+$B$37)*$B$38),2)</f>
        <v>39.07</v>
      </c>
      <c r="AF6" s="235">
        <f>ROUND(('Hours Per Job'!AF6*$B$36),2)+ROUND(('Parts Cost Per Job'!AF6)*((1+$B$37)*$B$38),2)</f>
        <v>0</v>
      </c>
      <c r="AG6" s="235">
        <f>ROUND(('Hours Per Job'!AG6*$B$36),2)+ROUND(('Parts Cost Per Job'!AG6)*((1+$B$37)*$B$38),2)</f>
        <v>0</v>
      </c>
      <c r="AH6" s="235">
        <f>ROUND(('Hours Per Job'!AH6*$B$36),2)+ROUND(('Parts Cost Per Job'!AH6)*((1+$B$37)*$B$38),2)</f>
        <v>0</v>
      </c>
      <c r="AI6" s="235">
        <f>ROUND(('Hours Per Job'!AI6*$B$36),2)+ROUND(('Parts Cost Per Job'!AI6)*((1+$B$37)*$B$38),2)</f>
        <v>0</v>
      </c>
      <c r="AJ6" s="235">
        <f>ROUND(('Hours Per Job'!AJ6*$B$36),2)+ROUND(('Parts Cost Per Job'!AJ6)*((1+$B$37)*$B$38),2)</f>
        <v>0</v>
      </c>
      <c r="AK6" s="235">
        <f>ROUND(('Hours Per Job'!AK6*$B$36),2)+ROUND(('Parts Cost Per Job'!AK6)*((1+$B$37)*$B$38),2)</f>
        <v>0</v>
      </c>
      <c r="AL6" s="235">
        <f>ROUND(('Hours Per Job'!AL6*$B$36),2)+ROUND(('Parts Cost Per Job'!AL6)*((1+$B$37)*$B$38),2)</f>
        <v>0</v>
      </c>
      <c r="AM6" s="235">
        <f>ROUND(('Hours Per Job'!AM6*$B$36),2)+ROUND(('Parts Cost Per Job'!AM6)*((1+$B$37)*$B$38),2)</f>
        <v>0</v>
      </c>
      <c r="AN6" s="235">
        <f>ROUND(('Hours Per Job'!AN6*$B$36),2)+ROUND(('Parts Cost Per Job'!AN6)*((1+$B$37)*$B$38),2)</f>
        <v>0</v>
      </c>
      <c r="AO6" s="235">
        <f>ROUND(('Hours Per Job'!AO6*$B$36),2)+ROUND(('Parts Cost Per Job'!AO6)*((1+$B$37)*$B$38),2)</f>
        <v>0</v>
      </c>
      <c r="AP6" s="235">
        <f>ROUND(('Hours Per Job'!AP6*$B$36),2)+ROUND(('Parts Cost Per Job'!AP6)*((1+$B$37)*$B$38),2)</f>
        <v>0</v>
      </c>
      <c r="AQ6" s="235">
        <f>ROUND(('Hours Per Job'!AQ6*$B$36),2)+ROUND(('Parts Cost Per Job'!AQ6)*((1+$B$37)*$B$38),2)</f>
        <v>0</v>
      </c>
      <c r="AR6" s="235">
        <f>ROUND(('Hours Per Job'!AR6*$B$36),2)+ROUND(('Parts Cost Per Job'!AR6)*((1+$B$37)*$B$38),2)</f>
        <v>0</v>
      </c>
      <c r="AS6" s="235">
        <f>ROUND(('Hours Per Job'!AS6*$B$36),2)+ROUND(('Parts Cost Per Job'!AS6)*((1+$B$37)*$B$38),2)</f>
        <v>0</v>
      </c>
      <c r="AT6" s="235">
        <f>ROUND(('Hours Per Job'!AT6*$B$36),2)+ROUND(('Parts Cost Per Job'!AT6)*((1+$B$37)*$B$38),2)</f>
        <v>35.07</v>
      </c>
      <c r="AU6" s="235">
        <f>ROUND(('Hours Per Job'!AU6*$B$36),2)+ROUND(('Parts Cost Per Job'!AU6)*((1+$B$37)*$B$38),2)</f>
        <v>0</v>
      </c>
      <c r="AV6" s="235">
        <f>ROUND(('Hours Per Job'!AV6*$B$36),2)+ROUND(('Parts Cost Per Job'!AV6)*((1+$B$37)*$B$38),2)</f>
        <v>0</v>
      </c>
      <c r="AW6" s="235">
        <f>ROUND(('Hours Per Job'!AW6*$B$36),2)+ROUND(('Parts Cost Per Job'!AW6)*((1+$B$37)*$B$38),2)</f>
        <v>160.34</v>
      </c>
      <c r="AX6" s="235">
        <f>ROUND(('Hours Per Job'!AX6*$B$36),2)+ROUND(('Parts Cost Per Job'!AX6)*((1+$B$37)*$B$38),2)</f>
        <v>0</v>
      </c>
      <c r="AY6" s="235">
        <f>ROUND(('Hours Per Job'!AY6*$B$36),2)+ROUND(('Parts Cost Per Job'!AY6)*((1+$B$37)*$B$38),2)</f>
        <v>0</v>
      </c>
      <c r="AZ6" s="235">
        <f>ROUND(('Hours Per Job'!AZ6*$B$36),2)+ROUND(('Parts Cost Per Job'!AZ6)*((1+$B$37)*$B$38),2)</f>
        <v>0</v>
      </c>
      <c r="BA6" s="235">
        <f>ROUND(('Hours Per Job'!BA6*$B$36),2)+ROUND(('Parts Cost Per Job'!BA6)*((1+$B$37)*$B$38),2)</f>
        <v>0</v>
      </c>
      <c r="BB6" s="235">
        <f>ROUND(('Hours Per Job'!BB6*$B$36),2)+ROUND(('Parts Cost Per Job'!BB6)*((1+$B$37)*$B$38),2)</f>
        <v>42.84</v>
      </c>
      <c r="BC6" s="235">
        <f>ROUND(('Hours Per Job'!BC6*$B$36),2)+ROUND(('Parts Cost Per Job'!BC6)*((1+$B$37)*$B$38),2)</f>
        <v>35.659999999999997</v>
      </c>
      <c r="BD6" s="235">
        <f>ROUND(('Hours Per Job'!BD6*$B$36),2)+ROUND(('Parts Cost Per Job'!BD6)*((1+$B$37)*$B$38),2)</f>
        <v>0</v>
      </c>
      <c r="BE6" s="235">
        <f>ROUND(('Hours Per Job'!BE6*$B$36),2)+ROUND(('Parts Cost Per Job'!BE6)*((1+$B$37)*$B$38),2)</f>
        <v>0</v>
      </c>
      <c r="BF6" s="235">
        <f>ROUND(('Hours Per Job'!BF6*$B$36),2)+ROUND(('Parts Cost Per Job'!BF6)*((1+$B$37)*$B$38),2)</f>
        <v>0</v>
      </c>
      <c r="BG6" s="235">
        <f>ROUND(('Hours Per Job'!BG6*$B$36),2)+ROUND(('Parts Cost Per Job'!BG6)*((1+$B$37)*$B$38),2)</f>
        <v>0</v>
      </c>
      <c r="BH6" s="235">
        <f>ROUND(('Hours Per Job'!BH6*$B$36),2)+ROUND(('Parts Cost Per Job'!BH6)*((1+$B$37)*$B$38),2)</f>
        <v>67.36</v>
      </c>
      <c r="BI6" s="235">
        <f>ROUND(('Hours Per Job'!BI6*$B$36),2)+ROUND(('Parts Cost Per Job'!BI6)*((1+$B$37)*$B$38),2)</f>
        <v>12</v>
      </c>
      <c r="BJ6" s="235">
        <f>ROUND(('Hours Per Job'!BJ6*$B$36),2)+ROUND(('Parts Cost Per Job'!BJ6)*((1+$B$37)*$B$38),2)</f>
        <v>30</v>
      </c>
      <c r="BK6" s="235">
        <f>ROUND(('Hours Per Job'!BK6*$B$36),2)+ROUND(('Parts Cost Per Job'!BK6)*((1+$B$37)*$B$38),2)</f>
        <v>0</v>
      </c>
      <c r="BL6" s="235">
        <f>ROUND(('Hours Per Job'!BL6*$B$36),2)+ROUND(('Parts Cost Per Job'!BL6)*((1+$B$37)*$B$38),2)</f>
        <v>0</v>
      </c>
      <c r="BM6" s="235">
        <f>ROUND(('Hours Per Job'!BM6*$B$36),2)+ROUND(('Parts Cost Per Job'!BM6)*((1+$B$37)*$B$38),2)</f>
        <v>0</v>
      </c>
      <c r="BN6" s="235">
        <f>ROUND(('Hours Per Job'!BN6*$B$36),2)+ROUND(('Parts Cost Per Job'!BN6)*((1+$B$37)*$B$38),2)</f>
        <v>80.92</v>
      </c>
      <c r="BO6" s="235">
        <f>ROUND(('Hours Per Job'!BO6*$B$36),2)+ROUND(('Parts Cost Per Job'!BO6)*((1+$B$37)*$B$38),2)</f>
        <v>35.07</v>
      </c>
      <c r="BP6" s="235">
        <f>ROUND(('Hours Per Job'!BP6*$B$36),2)+ROUND(('Parts Cost Per Job'!BP6)*((1+$B$37)*$B$38),2)</f>
        <v>126</v>
      </c>
    </row>
    <row r="7" spans="1:68" x14ac:dyDescent="0.2">
      <c r="A7" s="226" t="str">
        <f>'Scheduled Intervals'!A7</f>
        <v>Compact L series</v>
      </c>
      <c r="B7" s="236">
        <f>ROUND(('Hours Per Job'!B7*$B$36),2)+ROUND(('Parts Cost Per Job'!B7)*((1+$B$37)*$B$38),2)</f>
        <v>93.92</v>
      </c>
      <c r="C7" s="237">
        <f>ROUND(('Hours Per Job'!C7*$B$36),2)+ROUND(('Parts Cost Per Job'!C7)*((1+$B$37)*$B$38),2)</f>
        <v>0</v>
      </c>
      <c r="D7" s="237">
        <f>ROUND(('Hours Per Job'!D7*$B$36),2)+ROUND(('Parts Cost Per Job'!D7)*((1+$B$37)*$B$38),2)</f>
        <v>0</v>
      </c>
      <c r="E7" s="237">
        <f>ROUND(('Hours Per Job'!E7*$B$36),2)+ROUND(('Parts Cost Per Job'!E7)*((1+$B$37)*$B$38),2)</f>
        <v>0</v>
      </c>
      <c r="F7" s="237">
        <f>ROUND(('Hours Per Job'!F7*$B$36),2)+ROUND(('Parts Cost Per Job'!F7)*((1+$B$37)*$B$38),2)</f>
        <v>87.07</v>
      </c>
      <c r="G7" s="237">
        <f>ROUND(('Hours Per Job'!G7*$B$36),2)+ROUND(('Parts Cost Per Job'!G7)*((1+$B$37)*$B$38),2)</f>
        <v>0</v>
      </c>
      <c r="H7" s="238">
        <f>ROUND(('Hours Per Job'!H7*$B$36),2)+ROUND(('Parts Cost Per Job'!H7)*((1+$B$37)*$B$38),2)</f>
        <v>35.07</v>
      </c>
      <c r="I7" s="237">
        <f>ROUND(('Hours Per Job'!I7*$B$36),2)+ROUND(('Parts Cost Per Job'!I7)*((1+$B$37)*$B$38),2)</f>
        <v>30</v>
      </c>
      <c r="J7" s="237">
        <f>ROUND(('Hours Per Job'!J7*$B$36),2)+ROUND(('Parts Cost Per Job'!J7)*((1+$B$37)*$B$38),2)</f>
        <v>0</v>
      </c>
      <c r="K7" s="237">
        <f>ROUND(('Hours Per Job'!K7*$B$36),2)+ROUND(('Parts Cost Per Job'!K7)*((1+$B$37)*$B$38),2)</f>
        <v>0</v>
      </c>
      <c r="L7" s="237">
        <f>ROUND(('Hours Per Job'!L7*$B$36),2)+ROUND(('Parts Cost Per Job'!L7)*((1+$B$37)*$B$38),2)</f>
        <v>0</v>
      </c>
      <c r="M7" s="237">
        <f>ROUND(('Hours Per Job'!M7*$B$36),2)+ROUND(('Parts Cost Per Job'!M7)*((1+$B$37)*$B$38),2)</f>
        <v>99.07</v>
      </c>
      <c r="N7" s="237">
        <f>ROUND(('Hours Per Job'!N7*$B$36),2)+ROUND(('Parts Cost Per Job'!N7)*((1+$B$37)*$B$38),2)</f>
        <v>0</v>
      </c>
      <c r="O7" s="237">
        <f>ROUND(('Hours Per Job'!O7*$B$36),2)+ROUND(('Parts Cost Per Job'!O7)*((1+$B$37)*$B$38),2)</f>
        <v>0</v>
      </c>
      <c r="P7" s="239">
        <f>ROUND(('Hours Per Job'!P7*$B$36),2)+ROUND(('Parts Cost Per Job'!P7)*((1+$B$37)*$B$38),2)</f>
        <v>0</v>
      </c>
      <c r="Q7" s="240">
        <f>ROUND(('Hours Per Job'!Q7*$B$36),2)+ROUND(('Parts Cost Per Job'!Q7)*((1+$B$37)*$B$38),2)</f>
        <v>0</v>
      </c>
      <c r="R7" s="241">
        <f>ROUND(('Hours Per Job'!R7*$B$36),2)+ROUND(('Parts Cost Per Job'!R7)*((1+$B$37)*$B$38),2)</f>
        <v>0</v>
      </c>
      <c r="S7" s="241">
        <f>ROUND(('Hours Per Job'!S7*$B$36),2)+ROUND(('Parts Cost Per Job'!S7)*((1+$B$37)*$B$38),2)</f>
        <v>0</v>
      </c>
      <c r="T7" s="242">
        <f>ROUND(('Hours Per Job'!T7*$B$36),2)+ROUND(('Parts Cost Per Job'!T7)*((1+$B$37)*$B$38),2)</f>
        <v>0</v>
      </c>
      <c r="U7" s="234">
        <f>ROUND(('Hours Per Job'!U7*$B$36),2)+ROUND(('Parts Cost Per Job'!U7)*((1+$B$37)*$B$38),2)</f>
        <v>93.92</v>
      </c>
      <c r="V7" s="235">
        <f>ROUND(('Hours Per Job'!V7*$B$36),2)+ROUND(('Parts Cost Per Job'!V7)*((1+$B$37)*$B$38),2)</f>
        <v>0</v>
      </c>
      <c r="W7" s="235">
        <f>ROUND(('Hours Per Job'!W7*$B$36),2)+ROUND(('Parts Cost Per Job'!W7)*((1+$B$37)*$B$38),2)</f>
        <v>0</v>
      </c>
      <c r="X7" s="235">
        <f>ROUND(('Hours Per Job'!X7*$B$36),2)+ROUND(('Parts Cost Per Job'!X7)*((1+$B$37)*$B$38),2)</f>
        <v>0</v>
      </c>
      <c r="Y7" s="235">
        <f>ROUND(('Hours Per Job'!Y7*$B$36),2)+ROUND(('Parts Cost Per Job'!Y7)*((1+$B$37)*$B$38),2)</f>
        <v>0</v>
      </c>
      <c r="Z7" s="235">
        <f>ROUND(('Hours Per Job'!Z7*$B$36),2)+ROUND(('Parts Cost Per Job'!Z7)*((1+$B$37)*$B$38),2)</f>
        <v>33.58</v>
      </c>
      <c r="AA7" s="235">
        <f>ROUND(('Hours Per Job'!AA7*$B$36),2)+ROUND(('Parts Cost Per Job'!AA7)*((1+$B$37)*$B$38),2)</f>
        <v>0</v>
      </c>
      <c r="AB7" s="235">
        <f>ROUND(('Hours Per Job'!AB7*$B$36),2)+ROUND(('Parts Cost Per Job'!AB7)*((1+$B$37)*$B$38),2)</f>
        <v>278.38</v>
      </c>
      <c r="AC7" s="235">
        <f>ROUND(('Hours Per Job'!AC7*$B$36),2)+ROUND(('Parts Cost Per Job'!AC7)*((1+$B$37)*$B$38),2)</f>
        <v>51.07</v>
      </c>
      <c r="AD7" s="235">
        <f>ROUND(('Hours Per Job'!AD7*$B$36),2)+ROUND(('Parts Cost Per Job'!AD7)*((1+$B$37)*$B$38),2)</f>
        <v>0</v>
      </c>
      <c r="AE7" s="235">
        <f>ROUND(('Hours Per Job'!AE7*$B$36),2)+ROUND(('Parts Cost Per Job'!AE7)*((1+$B$37)*$B$38),2)</f>
        <v>51.07</v>
      </c>
      <c r="AF7" s="235">
        <f>ROUND(('Hours Per Job'!AF7*$B$36),2)+ROUND(('Parts Cost Per Job'!AF7)*((1+$B$37)*$B$38),2)</f>
        <v>0</v>
      </c>
      <c r="AG7" s="235">
        <f>ROUND(('Hours Per Job'!AG7*$B$36),2)+ROUND(('Parts Cost Per Job'!AG7)*((1+$B$37)*$B$38),2)</f>
        <v>0</v>
      </c>
      <c r="AH7" s="235">
        <f>ROUND(('Hours Per Job'!AH7*$B$36),2)+ROUND(('Parts Cost Per Job'!AH7)*((1+$B$37)*$B$38),2)</f>
        <v>0</v>
      </c>
      <c r="AI7" s="235">
        <f>ROUND(('Hours Per Job'!AI7*$B$36),2)+ROUND(('Parts Cost Per Job'!AI7)*((1+$B$37)*$B$38),2)</f>
        <v>0</v>
      </c>
      <c r="AJ7" s="235">
        <f>ROUND(('Hours Per Job'!AJ7*$B$36),2)+ROUND(('Parts Cost Per Job'!AJ7)*((1+$B$37)*$B$38),2)</f>
        <v>0</v>
      </c>
      <c r="AK7" s="235">
        <f>ROUND(('Hours Per Job'!AK7*$B$36),2)+ROUND(('Parts Cost Per Job'!AK7)*((1+$B$37)*$B$38),2)</f>
        <v>0</v>
      </c>
      <c r="AL7" s="235">
        <f>ROUND(('Hours Per Job'!AL7*$B$36),2)+ROUND(('Parts Cost Per Job'!AL7)*((1+$B$37)*$B$38),2)</f>
        <v>165.21</v>
      </c>
      <c r="AM7" s="235">
        <f>ROUND(('Hours Per Job'!AM7*$B$36),2)+ROUND(('Parts Cost Per Job'!AM7)*((1+$B$37)*$B$38),2)</f>
        <v>0</v>
      </c>
      <c r="AN7" s="235">
        <f>ROUND(('Hours Per Job'!AN7*$B$36),2)+ROUND(('Parts Cost Per Job'!AN7)*((1+$B$37)*$B$38),2)</f>
        <v>0</v>
      </c>
      <c r="AO7" s="235">
        <f>ROUND(('Hours Per Job'!AO7*$B$36),2)+ROUND(('Parts Cost Per Job'!AO7)*((1+$B$37)*$B$38),2)</f>
        <v>0</v>
      </c>
      <c r="AP7" s="235">
        <f>ROUND(('Hours Per Job'!AP7*$B$36),2)+ROUND(('Parts Cost Per Job'!AP7)*((1+$B$37)*$B$38),2)</f>
        <v>36</v>
      </c>
      <c r="AQ7" s="235">
        <f>ROUND(('Hours Per Job'!AQ7*$B$36),2)+ROUND(('Parts Cost Per Job'!AQ7)*((1+$B$37)*$B$38),2)</f>
        <v>24</v>
      </c>
      <c r="AR7" s="235">
        <f>ROUND(('Hours Per Job'!AR7*$B$36),2)+ROUND(('Parts Cost Per Job'!AR7)*((1+$B$37)*$B$38),2)</f>
        <v>0</v>
      </c>
      <c r="AS7" s="235">
        <f>ROUND(('Hours Per Job'!AS7*$B$36),2)+ROUND(('Parts Cost Per Job'!AS7)*((1+$B$37)*$B$38),2)</f>
        <v>0</v>
      </c>
      <c r="AT7" s="235">
        <f>ROUND(('Hours Per Job'!AT7*$B$36),2)+ROUND(('Parts Cost Per Job'!AT7)*((1+$B$37)*$B$38),2)</f>
        <v>35.07</v>
      </c>
      <c r="AU7" s="235">
        <f>ROUND(('Hours Per Job'!AU7*$B$36),2)+ROUND(('Parts Cost Per Job'!AU7)*((1+$B$37)*$B$38),2)</f>
        <v>0</v>
      </c>
      <c r="AV7" s="235">
        <f>ROUND(('Hours Per Job'!AV7*$B$36),2)+ROUND(('Parts Cost Per Job'!AV7)*((1+$B$37)*$B$38),2)</f>
        <v>0</v>
      </c>
      <c r="AW7" s="235">
        <f>ROUND(('Hours Per Job'!AW7*$B$36),2)+ROUND(('Parts Cost Per Job'!AW7)*((1+$B$37)*$B$38),2)</f>
        <v>864.44</v>
      </c>
      <c r="AX7" s="235">
        <f>ROUND(('Hours Per Job'!AX7*$B$36),2)+ROUND(('Parts Cost Per Job'!AX7)*((1+$B$37)*$B$38),2)</f>
        <v>0</v>
      </c>
      <c r="AY7" s="235">
        <f>ROUND(('Hours Per Job'!AY7*$B$36),2)+ROUND(('Parts Cost Per Job'!AY7)*((1+$B$37)*$B$38),2)</f>
        <v>0</v>
      </c>
      <c r="AZ7" s="235">
        <f>ROUND(('Hours Per Job'!AZ7*$B$36),2)+ROUND(('Parts Cost Per Job'!AZ7)*((1+$B$37)*$B$38),2)</f>
        <v>0</v>
      </c>
      <c r="BA7" s="235">
        <f>ROUND(('Hours Per Job'!BA7*$B$36),2)+ROUND(('Parts Cost Per Job'!BA7)*((1+$B$37)*$B$38),2)</f>
        <v>0</v>
      </c>
      <c r="BB7" s="235">
        <f>ROUND(('Hours Per Job'!BB7*$B$36),2)+ROUND(('Parts Cost Per Job'!BB7)*((1+$B$37)*$B$38),2)</f>
        <v>52.84</v>
      </c>
      <c r="BC7" s="235">
        <f>ROUND(('Hours Per Job'!BC7*$B$36),2)+ROUND(('Parts Cost Per Job'!BC7)*((1+$B$37)*$B$38),2)</f>
        <v>0</v>
      </c>
      <c r="BD7" s="235">
        <f>ROUND(('Hours Per Job'!BD7*$B$36),2)+ROUND(('Parts Cost Per Job'!BD7)*((1+$B$37)*$B$38),2)</f>
        <v>0</v>
      </c>
      <c r="BE7" s="235">
        <f>ROUND(('Hours Per Job'!BE7*$B$36),2)+ROUND(('Parts Cost Per Job'!BE7)*((1+$B$37)*$B$38),2)</f>
        <v>0</v>
      </c>
      <c r="BF7" s="235">
        <f>ROUND(('Hours Per Job'!BF7*$B$36),2)+ROUND(('Parts Cost Per Job'!BF7)*((1+$B$37)*$B$38),2)</f>
        <v>0</v>
      </c>
      <c r="BG7" s="235">
        <f>ROUND(('Hours Per Job'!BG7*$B$36),2)+ROUND(('Parts Cost Per Job'!BG7)*((1+$B$37)*$B$38),2)</f>
        <v>0</v>
      </c>
      <c r="BH7" s="235">
        <f>ROUND(('Hours Per Job'!BH7*$B$36),2)+ROUND(('Parts Cost Per Job'!BH7)*((1+$B$37)*$B$38),2)</f>
        <v>79.36</v>
      </c>
      <c r="BI7" s="235">
        <f>ROUND(('Hours Per Job'!BI7*$B$36),2)+ROUND(('Parts Cost Per Job'!BI7)*((1+$B$37)*$B$38),2)</f>
        <v>0</v>
      </c>
      <c r="BJ7" s="235">
        <f>ROUND(('Hours Per Job'!BJ7*$B$36),2)+ROUND(('Parts Cost Per Job'!BJ7)*((1+$B$37)*$B$38),2)</f>
        <v>30</v>
      </c>
      <c r="BK7" s="235">
        <f>ROUND(('Hours Per Job'!BK7*$B$36),2)+ROUND(('Parts Cost Per Job'!BK7)*((1+$B$37)*$B$38),2)</f>
        <v>0</v>
      </c>
      <c r="BL7" s="235">
        <f>ROUND(('Hours Per Job'!BL7*$B$36),2)+ROUND(('Parts Cost Per Job'!BL7)*((1+$B$37)*$B$38),2)</f>
        <v>0</v>
      </c>
      <c r="BM7" s="235">
        <f>ROUND(('Hours Per Job'!BM7*$B$36),2)+ROUND(('Parts Cost Per Job'!BM7)*((1+$B$37)*$B$38),2)</f>
        <v>0</v>
      </c>
      <c r="BN7" s="235">
        <f>ROUND(('Hours Per Job'!BN7*$B$36),2)+ROUND(('Parts Cost Per Job'!BN7)*((1+$B$37)*$B$38),2)</f>
        <v>93.92</v>
      </c>
      <c r="BO7" s="235">
        <f>ROUND(('Hours Per Job'!BO7*$B$36),2)+ROUND(('Parts Cost Per Job'!BO7)*((1+$B$37)*$B$38),2)</f>
        <v>35.07</v>
      </c>
      <c r="BP7" s="235">
        <f>ROUND(('Hours Per Job'!BP7*$B$36),2)+ROUND(('Parts Cost Per Job'!BP7)*((1+$B$37)*$B$38),2)</f>
        <v>126</v>
      </c>
    </row>
    <row r="8" spans="1:68" x14ac:dyDescent="0.2">
      <c r="A8" s="226" t="str">
        <f>'Scheduled Intervals'!A8</f>
        <v>Utility under 75 MX&amp;M</v>
      </c>
      <c r="B8" s="236">
        <f>ROUND(('Hours Per Job'!B8*$B$36),2)+ROUND(('Parts Cost Per Job'!B8)*((1+$B$37)*$B$38),2)</f>
        <v>106.00999999999999</v>
      </c>
      <c r="C8" s="237">
        <f>ROUND(('Hours Per Job'!C8*$B$36),2)+ROUND(('Parts Cost Per Job'!C8)*((1+$B$37)*$B$38),2)</f>
        <v>0</v>
      </c>
      <c r="D8" s="237">
        <f>ROUND(('Hours Per Job'!D8*$B$36),2)+ROUND(('Parts Cost Per Job'!D8)*((1+$B$37)*$B$38),2)</f>
        <v>0</v>
      </c>
      <c r="E8" s="237">
        <f>ROUND(('Hours Per Job'!E8*$B$36),2)+ROUND(('Parts Cost Per Job'!E8)*((1+$B$37)*$B$38),2)</f>
        <v>0</v>
      </c>
      <c r="F8" s="237">
        <f>ROUND(('Hours Per Job'!F8*$B$36),2)+ROUND(('Parts Cost Per Job'!F8)*((1+$B$37)*$B$38),2)</f>
        <v>161.44</v>
      </c>
      <c r="G8" s="237">
        <f>ROUND(('Hours Per Job'!G8*$B$36),2)+ROUND(('Parts Cost Per Job'!G8)*((1+$B$37)*$B$38),2)</f>
        <v>0</v>
      </c>
      <c r="H8" s="238">
        <f>ROUND(('Hours Per Job'!H8*$B$36),2)+ROUND(('Parts Cost Per Job'!H8)*((1+$B$37)*$B$38),2)</f>
        <v>35.07</v>
      </c>
      <c r="I8" s="237">
        <f>ROUND(('Hours Per Job'!I8*$B$36),2)+ROUND(('Parts Cost Per Job'!I8)*((1+$B$37)*$B$38),2)</f>
        <v>30</v>
      </c>
      <c r="J8" s="237">
        <f>ROUND(('Hours Per Job'!J8*$B$36),2)+ROUND(('Parts Cost Per Job'!J8)*((1+$B$37)*$B$38),2)</f>
        <v>0</v>
      </c>
      <c r="K8" s="237">
        <f>ROUND(('Hours Per Job'!K8*$B$36),2)+ROUND(('Parts Cost Per Job'!K8)*((1+$B$37)*$B$38),2)</f>
        <v>0</v>
      </c>
      <c r="L8" s="237">
        <f>ROUND(('Hours Per Job'!L8*$B$36),2)+ROUND(('Parts Cost Per Job'!L8)*((1+$B$37)*$B$38),2)</f>
        <v>0</v>
      </c>
      <c r="M8" s="237">
        <f>ROUND(('Hours Per Job'!M8*$B$36),2)+ROUND(('Parts Cost Per Job'!M8)*((1+$B$37)*$B$38),2)</f>
        <v>0</v>
      </c>
      <c r="N8" s="237">
        <f>ROUND(('Hours Per Job'!N8*$B$36),2)+ROUND(('Parts Cost Per Job'!N8)*((1+$B$37)*$B$38),2)</f>
        <v>0</v>
      </c>
      <c r="O8" s="237">
        <f>ROUND(('Hours Per Job'!O8*$B$36),2)+ROUND(('Parts Cost Per Job'!O8)*((1+$B$37)*$B$38),2)</f>
        <v>0</v>
      </c>
      <c r="P8" s="239">
        <f>ROUND(('Hours Per Job'!P8*$B$36),2)+ROUND(('Parts Cost Per Job'!P8)*((1+$B$37)*$B$38),2)</f>
        <v>0</v>
      </c>
      <c r="Q8" s="240">
        <f>ROUND(('Hours Per Job'!Q8*$B$36),2)+ROUND(('Parts Cost Per Job'!Q8)*((1+$B$37)*$B$38),2)</f>
        <v>0</v>
      </c>
      <c r="R8" s="241">
        <f>ROUND(('Hours Per Job'!R8*$B$36),2)+ROUND(('Parts Cost Per Job'!R8)*((1+$B$37)*$B$38),2)</f>
        <v>0</v>
      </c>
      <c r="S8" s="241">
        <f>ROUND(('Hours Per Job'!S8*$B$36),2)+ROUND(('Parts Cost Per Job'!S8)*((1+$B$37)*$B$38),2)</f>
        <v>0</v>
      </c>
      <c r="T8" s="242">
        <f>ROUND(('Hours Per Job'!T8*$B$36),2)+ROUND(('Parts Cost Per Job'!T8)*((1+$B$37)*$B$38),2)</f>
        <v>0</v>
      </c>
      <c r="U8" s="234">
        <f>ROUND(('Hours Per Job'!U8*$B$36),2)+ROUND(('Parts Cost Per Job'!U8)*((1+$B$37)*$B$38),2)</f>
        <v>106.00999999999999</v>
      </c>
      <c r="V8" s="235">
        <f>ROUND(('Hours Per Job'!V8*$B$36),2)+ROUND(('Parts Cost Per Job'!V8)*((1+$B$37)*$B$38),2)</f>
        <v>118.86</v>
      </c>
      <c r="W8" s="235">
        <f>ROUND(('Hours Per Job'!W8*$B$36),2)+ROUND(('Parts Cost Per Job'!W8)*((1+$B$37)*$B$38),2)</f>
        <v>12</v>
      </c>
      <c r="X8" s="235">
        <f>ROUND(('Hours Per Job'!X8*$B$36),2)+ROUND(('Parts Cost Per Job'!X8)*((1+$B$37)*$B$38),2)</f>
        <v>0</v>
      </c>
      <c r="Y8" s="235">
        <f>ROUND(('Hours Per Job'!Y8*$B$36),2)+ROUND(('Parts Cost Per Job'!Y8)*((1+$B$37)*$B$38),2)</f>
        <v>12</v>
      </c>
      <c r="Z8" s="235">
        <f>ROUND(('Hours Per Job'!Z8*$B$36),2)+ROUND(('Parts Cost Per Job'!Z8)*((1+$B$37)*$B$38),2)</f>
        <v>44.51</v>
      </c>
      <c r="AA8" s="235">
        <f>ROUND(('Hours Per Job'!AA8*$B$36),2)+ROUND(('Parts Cost Per Job'!AA8)*((1+$B$37)*$B$38),2)</f>
        <v>0</v>
      </c>
      <c r="AB8" s="235">
        <f>ROUND(('Hours Per Job'!AB8*$B$36),2)+ROUND(('Parts Cost Per Job'!AB8)*((1+$B$37)*$B$38),2)</f>
        <v>418.04</v>
      </c>
      <c r="AC8" s="235">
        <f>ROUND(('Hours Per Job'!AC8*$B$36),2)+ROUND(('Parts Cost Per Job'!AC8)*((1+$B$37)*$B$38),2)</f>
        <v>0</v>
      </c>
      <c r="AD8" s="235">
        <f>ROUND(('Hours Per Job'!AD8*$B$36),2)+ROUND(('Parts Cost Per Job'!AD8)*((1+$B$37)*$B$38),2)</f>
        <v>0</v>
      </c>
      <c r="AE8" s="235">
        <f>ROUND(('Hours Per Job'!AE8*$B$36),2)+ROUND(('Parts Cost Per Job'!AE8)*((1+$B$37)*$B$38),2)</f>
        <v>185.44</v>
      </c>
      <c r="AF8" s="235">
        <f>ROUND(('Hours Per Job'!AF8*$B$36),2)+ROUND(('Parts Cost Per Job'!AF8)*((1+$B$37)*$B$38),2)</f>
        <v>0</v>
      </c>
      <c r="AG8" s="235">
        <f>ROUND(('Hours Per Job'!AG8*$B$36),2)+ROUND(('Parts Cost Per Job'!AG8)*((1+$B$37)*$B$38),2)</f>
        <v>0</v>
      </c>
      <c r="AH8" s="235">
        <f>ROUND(('Hours Per Job'!AH8*$B$36),2)+ROUND(('Parts Cost Per Job'!AH8)*((1+$B$37)*$B$38),2)</f>
        <v>0</v>
      </c>
      <c r="AI8" s="235">
        <f>ROUND(('Hours Per Job'!AI8*$B$36),2)+ROUND(('Parts Cost Per Job'!AI8)*((1+$B$37)*$B$38),2)</f>
        <v>0</v>
      </c>
      <c r="AJ8" s="235">
        <f>ROUND(('Hours Per Job'!AJ8*$B$36),2)+ROUND(('Parts Cost Per Job'!AJ8)*((1+$B$37)*$B$38),2)</f>
        <v>0</v>
      </c>
      <c r="AK8" s="235">
        <f>ROUND(('Hours Per Job'!AK8*$B$36),2)+ROUND(('Parts Cost Per Job'!AK8)*((1+$B$37)*$B$38),2)</f>
        <v>0</v>
      </c>
      <c r="AL8" s="235">
        <f>ROUND(('Hours Per Job'!AL8*$B$36),2)+ROUND(('Parts Cost Per Job'!AL8)*((1+$B$37)*$B$38),2)</f>
        <v>273.38</v>
      </c>
      <c r="AM8" s="235">
        <f>ROUND(('Hours Per Job'!AM8*$B$36),2)+ROUND(('Parts Cost Per Job'!AM8)*((1+$B$37)*$B$38),2)</f>
        <v>0</v>
      </c>
      <c r="AN8" s="235">
        <f>ROUND(('Hours Per Job'!AN8*$B$36),2)+ROUND(('Parts Cost Per Job'!AN8)*((1+$B$37)*$B$38),2)</f>
        <v>0</v>
      </c>
      <c r="AO8" s="235">
        <f>ROUND(('Hours Per Job'!AO8*$B$36),2)+ROUND(('Parts Cost Per Job'!AO8)*((1+$B$37)*$B$38),2)</f>
        <v>0</v>
      </c>
      <c r="AP8" s="235">
        <f>ROUND(('Hours Per Job'!AP8*$B$36),2)+ROUND(('Parts Cost Per Job'!AP8)*((1+$B$37)*$B$38),2)</f>
        <v>36</v>
      </c>
      <c r="AQ8" s="235">
        <f>ROUND(('Hours Per Job'!AQ8*$B$36),2)+ROUND(('Parts Cost Per Job'!AQ8)*((1+$B$37)*$B$38),2)</f>
        <v>24</v>
      </c>
      <c r="AR8" s="235">
        <f>ROUND(('Hours Per Job'!AR8*$B$36),2)+ROUND(('Parts Cost Per Job'!AR8)*((1+$B$37)*$B$38),2)</f>
        <v>0</v>
      </c>
      <c r="AS8" s="235">
        <f>ROUND(('Hours Per Job'!AS8*$B$36),2)+ROUND(('Parts Cost Per Job'!AS8)*((1+$B$37)*$B$38),2)</f>
        <v>74.099999999999994</v>
      </c>
      <c r="AT8" s="235">
        <f>ROUND(('Hours Per Job'!AT8*$B$36),2)+ROUND(('Parts Cost Per Job'!AT8)*((1+$B$37)*$B$38),2)</f>
        <v>35.07</v>
      </c>
      <c r="AU8" s="235">
        <f>ROUND(('Hours Per Job'!AU8*$B$36),2)+ROUND(('Parts Cost Per Job'!AU8)*((1+$B$37)*$B$38),2)</f>
        <v>0</v>
      </c>
      <c r="AV8" s="235">
        <f>ROUND(('Hours Per Job'!AV8*$B$36),2)+ROUND(('Parts Cost Per Job'!AV8)*((1+$B$37)*$B$38),2)</f>
        <v>0</v>
      </c>
      <c r="AW8" s="235">
        <f>ROUND(('Hours Per Job'!AW8*$B$36),2)+ROUND(('Parts Cost Per Job'!AW8)*((1+$B$37)*$B$38),2)</f>
        <v>0</v>
      </c>
      <c r="AX8" s="235">
        <f>ROUND(('Hours Per Job'!AX8*$B$36),2)+ROUND(('Parts Cost Per Job'!AX8)*((1+$B$37)*$B$38),2)</f>
        <v>0</v>
      </c>
      <c r="AY8" s="235">
        <f>ROUND(('Hours Per Job'!AY8*$B$36),2)+ROUND(('Parts Cost Per Job'!AY8)*((1+$B$37)*$B$38),2)</f>
        <v>0</v>
      </c>
      <c r="AZ8" s="235">
        <f>ROUND(('Hours Per Job'!AZ8*$B$36),2)+ROUND(('Parts Cost Per Job'!AZ8)*((1+$B$37)*$B$38),2)</f>
        <v>0</v>
      </c>
      <c r="BA8" s="235">
        <f>ROUND(('Hours Per Job'!BA8*$B$36),2)+ROUND(('Parts Cost Per Job'!BA8)*((1+$B$37)*$B$38),2)</f>
        <v>0</v>
      </c>
      <c r="BB8" s="235">
        <f>ROUND(('Hours Per Job'!BB8*$B$36),2)+ROUND(('Parts Cost Per Job'!BB8)*((1+$B$37)*$B$38),2)</f>
        <v>54.84</v>
      </c>
      <c r="BC8" s="235">
        <f>ROUND(('Hours Per Job'!BC8*$B$36),2)+ROUND(('Parts Cost Per Job'!BC8)*((1+$B$37)*$B$38),2)</f>
        <v>47.66</v>
      </c>
      <c r="BD8" s="235">
        <f>ROUND(('Hours Per Job'!BD8*$B$36),2)+ROUND(('Parts Cost Per Job'!BD8)*((1+$B$37)*$B$38),2)</f>
        <v>0</v>
      </c>
      <c r="BE8" s="235">
        <f>ROUND(('Hours Per Job'!BE8*$B$36),2)+ROUND(('Parts Cost Per Job'!BE8)*((1+$B$37)*$B$38),2)</f>
        <v>0</v>
      </c>
      <c r="BF8" s="235">
        <f>ROUND(('Hours Per Job'!BF8*$B$36),2)+ROUND(('Parts Cost Per Job'!BF8)*((1+$B$37)*$B$38),2)</f>
        <v>90</v>
      </c>
      <c r="BG8" s="235">
        <f>ROUND(('Hours Per Job'!BG8*$B$36),2)+ROUND(('Parts Cost Per Job'!BG8)*((1+$B$37)*$B$38),2)</f>
        <v>240</v>
      </c>
      <c r="BH8" s="235">
        <f>ROUND(('Hours Per Job'!BH8*$B$36),2)+ROUND(('Parts Cost Per Job'!BH8)*((1+$B$37)*$B$38),2)</f>
        <v>63.68</v>
      </c>
      <c r="BI8" s="235">
        <f>ROUND(('Hours Per Job'!BI8*$B$36),2)+ROUND(('Parts Cost Per Job'!BI8)*((1+$B$37)*$B$38),2)</f>
        <v>0</v>
      </c>
      <c r="BJ8" s="235">
        <f>ROUND(('Hours Per Job'!BJ8*$B$36),2)+ROUND(('Parts Cost Per Job'!BJ8)*((1+$B$37)*$B$38),2)</f>
        <v>30</v>
      </c>
      <c r="BK8" s="235">
        <f>ROUND(('Hours Per Job'!BK8*$B$36),2)+ROUND(('Parts Cost Per Job'!BK8)*((1+$B$37)*$B$38),2)</f>
        <v>0</v>
      </c>
      <c r="BL8" s="235">
        <f>ROUND(('Hours Per Job'!BL8*$B$36),2)+ROUND(('Parts Cost Per Job'!BL8)*((1+$B$37)*$B$38),2)</f>
        <v>0</v>
      </c>
      <c r="BM8" s="235">
        <f>ROUND(('Hours Per Job'!BM8*$B$36),2)+ROUND(('Parts Cost Per Job'!BM8)*((1+$B$37)*$B$38),2)</f>
        <v>0</v>
      </c>
      <c r="BN8" s="235">
        <f>ROUND(('Hours Per Job'!BN8*$B$36),2)+ROUND(('Parts Cost Per Job'!BN8)*((1+$B$37)*$B$38),2)</f>
        <v>106.00999999999999</v>
      </c>
      <c r="BO8" s="235">
        <f>ROUND(('Hours Per Job'!BO8*$B$36),2)+ROUND(('Parts Cost Per Job'!BO8)*((1+$B$37)*$B$38),2)</f>
        <v>35.07</v>
      </c>
      <c r="BP8" s="235">
        <f>ROUND(('Hours Per Job'!BP8*$B$36),2)+ROUND(('Parts Cost Per Job'!BP8)*((1+$B$37)*$B$38),2)</f>
        <v>126</v>
      </c>
    </row>
    <row r="9" spans="1:68" x14ac:dyDescent="0.2">
      <c r="A9" s="226" t="str">
        <f>'Scheduled Intervals'!A9</f>
        <v>Utility over 75 M4 class</v>
      </c>
      <c r="B9" s="236">
        <f>ROUND(('Hours Per Job'!B9*$B$36),2)+ROUND(('Parts Cost Per Job'!B9)*((1+$B$37)*$B$38),2)</f>
        <v>143.66</v>
      </c>
      <c r="C9" s="237">
        <f>ROUND(('Hours Per Job'!C9*$B$36),2)+ROUND(('Parts Cost Per Job'!C9)*((1+$B$37)*$B$38),2)</f>
        <v>0</v>
      </c>
      <c r="D9" s="237">
        <f>ROUND(('Hours Per Job'!D9*$B$36),2)+ROUND(('Parts Cost Per Job'!D9)*((1+$B$37)*$B$38),2)</f>
        <v>0</v>
      </c>
      <c r="E9" s="237">
        <f>ROUND(('Hours Per Job'!E9*$B$36),2)+ROUND(('Parts Cost Per Job'!E9)*((1+$B$37)*$B$38),2)</f>
        <v>0</v>
      </c>
      <c r="F9" s="237">
        <f>ROUND(('Hours Per Job'!F9*$B$36),2)+ROUND(('Parts Cost Per Job'!F9)*((1+$B$37)*$B$38),2)</f>
        <v>0</v>
      </c>
      <c r="G9" s="237">
        <f>ROUND(('Hours Per Job'!G9*$B$36),2)+ROUND(('Parts Cost Per Job'!G9)*((1+$B$37)*$B$38),2)</f>
        <v>0</v>
      </c>
      <c r="H9" s="238">
        <f>ROUND(('Hours Per Job'!H9*$B$36),2)+ROUND(('Parts Cost Per Job'!H9)*((1+$B$37)*$B$38),2)</f>
        <v>35.07</v>
      </c>
      <c r="I9" s="237">
        <f>ROUND(('Hours Per Job'!I9*$B$36),2)+ROUND(('Parts Cost Per Job'!I9)*((1+$B$37)*$B$38),2)</f>
        <v>30</v>
      </c>
      <c r="J9" s="237">
        <f>ROUND(('Hours Per Job'!J9*$B$36),2)+ROUND(('Parts Cost Per Job'!J9)*((1+$B$37)*$B$38),2)</f>
        <v>0</v>
      </c>
      <c r="K9" s="237">
        <f>ROUND(('Hours Per Job'!K9*$B$36),2)+ROUND(('Parts Cost Per Job'!K9)*((1+$B$37)*$B$38),2)</f>
        <v>0</v>
      </c>
      <c r="L9" s="237">
        <f>ROUND(('Hours Per Job'!L9*$B$36),2)+ROUND(('Parts Cost Per Job'!L9)*((1+$B$37)*$B$38),2)</f>
        <v>0</v>
      </c>
      <c r="M9" s="237">
        <f>ROUND(('Hours Per Job'!M9*$B$36),2)+ROUND(('Parts Cost Per Job'!M9)*((1+$B$37)*$B$38),2)</f>
        <v>0</v>
      </c>
      <c r="N9" s="237">
        <f>ROUND(('Hours Per Job'!N9*$B$36),2)+ROUND(('Parts Cost Per Job'!N9)*((1+$B$37)*$B$38),2)</f>
        <v>0</v>
      </c>
      <c r="O9" s="237">
        <f>ROUND(('Hours Per Job'!O9*$B$36),2)+ROUND(('Parts Cost Per Job'!O9)*((1+$B$37)*$B$38),2)</f>
        <v>0</v>
      </c>
      <c r="P9" s="239">
        <f>ROUND(('Hours Per Job'!P9*$B$36),2)+ROUND(('Parts Cost Per Job'!P9)*((1+$B$37)*$B$38),2)</f>
        <v>0</v>
      </c>
      <c r="Q9" s="240">
        <f>ROUND(('Hours Per Job'!Q9*$B$36),2)+ROUND(('Parts Cost Per Job'!Q9)*((1+$B$37)*$B$38),2)</f>
        <v>0</v>
      </c>
      <c r="R9" s="241">
        <f>ROUND(('Hours Per Job'!R9*$B$36),2)+ROUND(('Parts Cost Per Job'!R9)*((1+$B$37)*$B$38),2)</f>
        <v>0</v>
      </c>
      <c r="S9" s="241">
        <f>ROUND(('Hours Per Job'!S9*$B$36),2)+ROUND(('Parts Cost Per Job'!S9)*((1+$B$37)*$B$38),2)</f>
        <v>0</v>
      </c>
      <c r="T9" s="242">
        <f>ROUND(('Hours Per Job'!T9*$B$36),2)+ROUND(('Parts Cost Per Job'!T9)*((1+$B$37)*$B$38),2)</f>
        <v>0</v>
      </c>
      <c r="U9" s="234">
        <f>ROUND(('Hours Per Job'!U9*$B$36),2)+ROUND(('Parts Cost Per Job'!U9)*((1+$B$37)*$B$38),2)</f>
        <v>143.66</v>
      </c>
      <c r="V9" s="235">
        <f>ROUND(('Hours Per Job'!V9*$B$36),2)+ROUND(('Parts Cost Per Job'!V9)*((1+$B$37)*$B$38),2)</f>
        <v>46.480000000000004</v>
      </c>
      <c r="W9" s="235">
        <f>ROUND(('Hours Per Job'!W9*$B$36),2)+ROUND(('Parts Cost Per Job'!W9)*((1+$B$37)*$B$38),2)</f>
        <v>48</v>
      </c>
      <c r="X9" s="235">
        <f>ROUND(('Hours Per Job'!X9*$B$36),2)+ROUND(('Parts Cost Per Job'!X9)*((1+$B$37)*$B$38),2)</f>
        <v>0</v>
      </c>
      <c r="Y9" s="235">
        <f>ROUND(('Hours Per Job'!Y9*$B$36),2)+ROUND(('Parts Cost Per Job'!Y9)*((1+$B$37)*$B$38),2)</f>
        <v>24</v>
      </c>
      <c r="Z9" s="235">
        <f>ROUND(('Hours Per Job'!Z9*$B$36),2)+ROUND(('Parts Cost Per Job'!Z9)*((1+$B$37)*$B$38),2)</f>
        <v>55.09</v>
      </c>
      <c r="AA9" s="235">
        <f>ROUND(('Hours Per Job'!AA9*$B$36),2)+ROUND(('Parts Cost Per Job'!AA9)*((1+$B$37)*$B$38),2)</f>
        <v>0</v>
      </c>
      <c r="AB9" s="235">
        <f>ROUND(('Hours Per Job'!AB9*$B$36),2)+ROUND(('Parts Cost Per Job'!AB9)*((1+$B$37)*$B$38),2)</f>
        <v>455.96</v>
      </c>
      <c r="AC9" s="235">
        <f>ROUND(('Hours Per Job'!AC9*$B$36),2)+ROUND(('Parts Cost Per Job'!AC9)*((1+$B$37)*$B$38),2)</f>
        <v>0</v>
      </c>
      <c r="AD9" s="235">
        <f>ROUND(('Hours Per Job'!AD9*$B$36),2)+ROUND(('Parts Cost Per Job'!AD9)*((1+$B$37)*$B$38),2)</f>
        <v>0</v>
      </c>
      <c r="AE9" s="235">
        <f>ROUND(('Hours Per Job'!AE9*$B$36),2)+ROUND(('Parts Cost Per Job'!AE9)*((1+$B$37)*$B$38),2)</f>
        <v>194.51999999999998</v>
      </c>
      <c r="AF9" s="235">
        <f>ROUND(('Hours Per Job'!AF9*$B$36),2)+ROUND(('Parts Cost Per Job'!AF9)*((1+$B$37)*$B$38),2)</f>
        <v>0</v>
      </c>
      <c r="AG9" s="235">
        <f>ROUND(('Hours Per Job'!AG9*$B$36),2)+ROUND(('Parts Cost Per Job'!AG9)*((1+$B$37)*$B$38),2)</f>
        <v>0</v>
      </c>
      <c r="AH9" s="235">
        <f>ROUND(('Hours Per Job'!AH9*$B$36),2)+ROUND(('Parts Cost Per Job'!AH9)*((1+$B$37)*$B$38),2)</f>
        <v>0</v>
      </c>
      <c r="AI9" s="235">
        <f>ROUND(('Hours Per Job'!AI9*$B$36),2)+ROUND(('Parts Cost Per Job'!AI9)*((1+$B$37)*$B$38),2)</f>
        <v>0</v>
      </c>
      <c r="AJ9" s="235">
        <f>ROUND(('Hours Per Job'!AJ9*$B$36),2)+ROUND(('Parts Cost Per Job'!AJ9)*((1+$B$37)*$B$38),2)</f>
        <v>294.42</v>
      </c>
      <c r="AK9" s="235">
        <f>ROUND(('Hours Per Job'!AK9*$B$36),2)+ROUND(('Parts Cost Per Job'!AK9)*((1+$B$37)*$B$38),2)</f>
        <v>0</v>
      </c>
      <c r="AL9" s="235">
        <f>ROUND(('Hours Per Job'!AL9*$B$36),2)+ROUND(('Parts Cost Per Job'!AL9)*((1+$B$37)*$B$38),2)</f>
        <v>0</v>
      </c>
      <c r="AM9" s="235">
        <f>ROUND(('Hours Per Job'!AM9*$B$36),2)+ROUND(('Parts Cost Per Job'!AM9)*((1+$B$37)*$B$38),2)</f>
        <v>0</v>
      </c>
      <c r="AN9" s="235">
        <f>ROUND(('Hours Per Job'!AN9*$B$36),2)+ROUND(('Parts Cost Per Job'!AN9)*((1+$B$37)*$B$38),2)</f>
        <v>0</v>
      </c>
      <c r="AO9" s="235">
        <f>ROUND(('Hours Per Job'!AO9*$B$36),2)+ROUND(('Parts Cost Per Job'!AO9)*((1+$B$37)*$B$38),2)</f>
        <v>0</v>
      </c>
      <c r="AP9" s="235">
        <f>ROUND(('Hours Per Job'!AP9*$B$36),2)+ROUND(('Parts Cost Per Job'!AP9)*((1+$B$37)*$B$38),2)</f>
        <v>0</v>
      </c>
      <c r="AQ9" s="235">
        <f>ROUND(('Hours Per Job'!AQ9*$B$36),2)+ROUND(('Parts Cost Per Job'!AQ9)*((1+$B$37)*$B$38),2)</f>
        <v>0</v>
      </c>
      <c r="AR9" s="235">
        <f>ROUND(('Hours Per Job'!AR9*$B$36),2)+ROUND(('Parts Cost Per Job'!AR9)*((1+$B$37)*$B$38),2)</f>
        <v>0</v>
      </c>
      <c r="AS9" s="235">
        <f>ROUND(('Hours Per Job'!AS9*$B$36),2)+ROUND(('Parts Cost Per Job'!AS9)*((1+$B$37)*$B$38),2)</f>
        <v>74.099999999999994</v>
      </c>
      <c r="AT9" s="235">
        <f>ROUND(('Hours Per Job'!AT9*$B$36),2)+ROUND(('Parts Cost Per Job'!AT9)*((1+$B$37)*$B$38),2)</f>
        <v>35.07</v>
      </c>
      <c r="AU9" s="235">
        <f>ROUND(('Hours Per Job'!AU9*$B$36),2)+ROUND(('Parts Cost Per Job'!AU9)*((1+$B$37)*$B$38),2)</f>
        <v>0</v>
      </c>
      <c r="AV9" s="235">
        <f>ROUND(('Hours Per Job'!AV9*$B$36),2)+ROUND(('Parts Cost Per Job'!AV9)*((1+$B$37)*$B$38),2)</f>
        <v>0</v>
      </c>
      <c r="AW9" s="235">
        <f>ROUND(('Hours Per Job'!AW9*$B$36),2)+ROUND(('Parts Cost Per Job'!AW9)*((1+$B$37)*$B$38),2)</f>
        <v>996.47</v>
      </c>
      <c r="AX9" s="235">
        <f>ROUND(('Hours Per Job'!AX9*$B$36),2)+ROUND(('Parts Cost Per Job'!AX9)*((1+$B$37)*$B$38),2)</f>
        <v>0</v>
      </c>
      <c r="AY9" s="235">
        <f>ROUND(('Hours Per Job'!AY9*$B$36),2)+ROUND(('Parts Cost Per Job'!AY9)*((1+$B$37)*$B$38),2)</f>
        <v>0</v>
      </c>
      <c r="AZ9" s="235">
        <f>ROUND(('Hours Per Job'!AZ9*$B$36),2)+ROUND(('Parts Cost Per Job'!AZ9)*((1+$B$37)*$B$38),2)</f>
        <v>0</v>
      </c>
      <c r="BA9" s="235">
        <f>ROUND(('Hours Per Job'!BA9*$B$36),2)+ROUND(('Parts Cost Per Job'!BA9)*((1+$B$37)*$B$38),2)</f>
        <v>0</v>
      </c>
      <c r="BB9" s="235">
        <f>ROUND(('Hours Per Job'!BB9*$B$36),2)+ROUND(('Parts Cost Per Job'!BB9)*((1+$B$37)*$B$38),2)</f>
        <v>39.260000000000005</v>
      </c>
      <c r="BC9" s="235">
        <f>ROUND(('Hours Per Job'!BC9*$B$36),2)+ROUND(('Parts Cost Per Job'!BC9)*((1+$B$37)*$B$38),2)</f>
        <v>0</v>
      </c>
      <c r="BD9" s="235">
        <f>ROUND(('Hours Per Job'!BD9*$B$36),2)+ROUND(('Parts Cost Per Job'!BD9)*((1+$B$37)*$B$38),2)</f>
        <v>0</v>
      </c>
      <c r="BE9" s="235">
        <f>ROUND(('Hours Per Job'!BE9*$B$36),2)+ROUND(('Parts Cost Per Job'!BE9)*((1+$B$37)*$B$38),2)</f>
        <v>0</v>
      </c>
      <c r="BF9" s="235">
        <f>ROUND(('Hours Per Job'!BF9*$B$36),2)+ROUND(('Parts Cost Per Job'!BF9)*((1+$B$37)*$B$38),2)</f>
        <v>90</v>
      </c>
      <c r="BG9" s="235">
        <f>ROUND(('Hours Per Job'!BG9*$B$36),2)+ROUND(('Parts Cost Per Job'!BG9)*((1+$B$37)*$B$38),2)</f>
        <v>240</v>
      </c>
      <c r="BH9" s="235">
        <f>ROUND(('Hours Per Job'!BH9*$B$36),2)+ROUND(('Parts Cost Per Job'!BH9)*((1+$B$37)*$B$38),2)</f>
        <v>107.03999999999999</v>
      </c>
      <c r="BI9" s="235">
        <f>ROUND(('Hours Per Job'!BI9*$B$36),2)+ROUND(('Parts Cost Per Job'!BI9)*((1+$B$37)*$B$38),2)</f>
        <v>0</v>
      </c>
      <c r="BJ9" s="235">
        <f>ROUND(('Hours Per Job'!BJ9*$B$36),2)+ROUND(('Parts Cost Per Job'!BJ9)*((1+$B$37)*$B$38),2)</f>
        <v>30</v>
      </c>
      <c r="BK9" s="235">
        <f>ROUND(('Hours Per Job'!BK9*$B$36),2)+ROUND(('Parts Cost Per Job'!BK9)*((1+$B$37)*$B$38),2)</f>
        <v>0</v>
      </c>
      <c r="BL9" s="235">
        <f>ROUND(('Hours Per Job'!BL9*$B$36),2)+ROUND(('Parts Cost Per Job'!BL9)*((1+$B$37)*$B$38),2)</f>
        <v>0</v>
      </c>
      <c r="BM9" s="235">
        <f>ROUND(('Hours Per Job'!BM9*$B$36),2)+ROUND(('Parts Cost Per Job'!BM9)*((1+$B$37)*$B$38),2)</f>
        <v>0</v>
      </c>
      <c r="BN9" s="235">
        <f>ROUND(('Hours Per Job'!BN9*$B$36),2)+ROUND(('Parts Cost Per Job'!BN9)*((1+$B$37)*$B$38),2)</f>
        <v>143.66</v>
      </c>
      <c r="BO9" s="235">
        <f>ROUND(('Hours Per Job'!BO9*$B$36),2)+ROUND(('Parts Cost Per Job'!BO9)*((1+$B$37)*$B$38),2)</f>
        <v>35.07</v>
      </c>
      <c r="BP9" s="235">
        <f>ROUND(('Hours Per Job'!BP9*$B$36),2)+ROUND(('Parts Cost Per Job'!BP9)*((1+$B$37)*$B$38),2)</f>
        <v>126</v>
      </c>
    </row>
    <row r="10" spans="1:68" x14ac:dyDescent="0.2">
      <c r="A10" s="226" t="str">
        <f>'Scheduled Intervals'!A10</f>
        <v>Large Ag M6</v>
      </c>
      <c r="B10" s="236">
        <f>ROUND(('Hours Per Job'!B10*$B$36),2)+ROUND(('Parts Cost Per Job'!B10)*((1+$B$37)*$B$38),2)</f>
        <v>238.46</v>
      </c>
      <c r="C10" s="237">
        <f>ROUND(('Hours Per Job'!C10*$B$36),2)+ROUND(('Parts Cost Per Job'!C10)*((1+$B$37)*$B$38),2)</f>
        <v>48</v>
      </c>
      <c r="D10" s="237">
        <f>ROUND(('Hours Per Job'!D10*$B$36),2)+ROUND(('Parts Cost Per Job'!D10)*((1+$B$37)*$B$38),2)</f>
        <v>0</v>
      </c>
      <c r="E10" s="237">
        <f>ROUND(('Hours Per Job'!E10*$B$36),2)+ROUND(('Parts Cost Per Job'!E10)*((1+$B$37)*$B$38),2)</f>
        <v>0</v>
      </c>
      <c r="F10" s="237">
        <f>ROUND(('Hours Per Job'!F10*$B$36),2)+ROUND(('Parts Cost Per Job'!F10)*((1+$B$37)*$B$38),2)</f>
        <v>160.49</v>
      </c>
      <c r="G10" s="237">
        <f>ROUND(('Hours Per Job'!G10*$B$36),2)+ROUND(('Parts Cost Per Job'!G10)*((1+$B$37)*$B$38),2)</f>
        <v>0</v>
      </c>
      <c r="H10" s="238">
        <f>ROUND(('Hours Per Job'!H10*$B$36),2)+ROUND(('Parts Cost Per Job'!H10)*((1+$B$37)*$B$38),2)</f>
        <v>71.069999999999993</v>
      </c>
      <c r="I10" s="237">
        <f>ROUND(('Hours Per Job'!I10*$B$36),2)+ROUND(('Parts Cost Per Job'!I10)*((1+$B$37)*$B$38),2)</f>
        <v>30</v>
      </c>
      <c r="J10" s="237">
        <f>ROUND(('Hours Per Job'!J10*$B$36),2)+ROUND(('Parts Cost Per Job'!J10)*((1+$B$37)*$B$38),2)</f>
        <v>0</v>
      </c>
      <c r="K10" s="237">
        <f>ROUND(('Hours Per Job'!K10*$B$36),2)+ROUND(('Parts Cost Per Job'!K10)*((1+$B$37)*$B$38),2)</f>
        <v>0</v>
      </c>
      <c r="L10" s="237">
        <f>ROUND(('Hours Per Job'!L10*$B$36),2)+ROUND(('Parts Cost Per Job'!L10)*((1+$B$37)*$B$38),2)</f>
        <v>0</v>
      </c>
      <c r="M10" s="237">
        <f>ROUND(('Hours Per Job'!M10*$B$36),2)+ROUND(('Parts Cost Per Job'!M10)*((1+$B$37)*$B$38),2)</f>
        <v>0</v>
      </c>
      <c r="N10" s="237">
        <f>ROUND(('Hours Per Job'!N10*$B$36),2)+ROUND(('Parts Cost Per Job'!N10)*((1+$B$37)*$B$38),2)</f>
        <v>0</v>
      </c>
      <c r="O10" s="237">
        <f>ROUND(('Hours Per Job'!O10*$B$36),2)+ROUND(('Parts Cost Per Job'!O10)*((1+$B$37)*$B$38),2)</f>
        <v>0</v>
      </c>
      <c r="P10" s="239">
        <f>ROUND(('Hours Per Job'!P10*$B$36),2)+ROUND(('Parts Cost Per Job'!P10)*((1+$B$37)*$B$38),2)</f>
        <v>0</v>
      </c>
      <c r="Q10" s="240">
        <f>ROUND(('Hours Per Job'!Q10*$B$36),2)+ROUND(('Parts Cost Per Job'!Q10)*((1+$B$37)*$B$38),2)</f>
        <v>0</v>
      </c>
      <c r="R10" s="241">
        <f>ROUND(('Hours Per Job'!R10*$B$36),2)+ROUND(('Parts Cost Per Job'!R10)*((1+$B$37)*$B$38),2)</f>
        <v>0</v>
      </c>
      <c r="S10" s="241">
        <f>ROUND(('Hours Per Job'!S10*$B$36),2)+ROUND(('Parts Cost Per Job'!S10)*((1+$B$37)*$B$38),2)</f>
        <v>0</v>
      </c>
      <c r="T10" s="242">
        <f>ROUND(('Hours Per Job'!T10*$B$36),2)+ROUND(('Parts Cost Per Job'!T10)*((1+$B$37)*$B$38),2)</f>
        <v>0</v>
      </c>
      <c r="U10" s="234">
        <f>ROUND(('Hours Per Job'!U10*$B$36),2)+ROUND(('Parts Cost Per Job'!U10)*((1+$B$37)*$B$38),2)</f>
        <v>238.46</v>
      </c>
      <c r="V10" s="235">
        <f>ROUND(('Hours Per Job'!V10*$B$36),2)+ROUND(('Parts Cost Per Job'!V10)*((1+$B$37)*$B$38),2)</f>
        <v>127.04</v>
      </c>
      <c r="W10" s="235">
        <f>ROUND(('Hours Per Job'!W10*$B$36),2)+ROUND(('Parts Cost Per Job'!W10)*((1+$B$37)*$B$38),2)</f>
        <v>0</v>
      </c>
      <c r="X10" s="235">
        <f>ROUND(('Hours Per Job'!X10*$B$36),2)+ROUND(('Parts Cost Per Job'!X10)*((1+$B$37)*$B$38),2)</f>
        <v>85.59</v>
      </c>
      <c r="Y10" s="235">
        <f>ROUND(('Hours Per Job'!Y10*$B$36),2)+ROUND(('Parts Cost Per Job'!Y10)*((1+$B$37)*$B$38),2)</f>
        <v>36</v>
      </c>
      <c r="Z10" s="235">
        <f>ROUND(('Hours Per Job'!Z10*$B$36),2)+ROUND(('Parts Cost Per Job'!Z10)*((1+$B$37)*$B$38),2)</f>
        <v>73.59</v>
      </c>
      <c r="AA10" s="235">
        <f>ROUND(('Hours Per Job'!AA10*$B$36),2)+ROUND(('Parts Cost Per Job'!AA10)*((1+$B$37)*$B$38),2)</f>
        <v>0</v>
      </c>
      <c r="AB10" s="235">
        <f>ROUND(('Hours Per Job'!AB10*$B$36),2)+ROUND(('Parts Cost Per Job'!AB10)*((1+$B$37)*$B$38),2)</f>
        <v>1063.1300000000001</v>
      </c>
      <c r="AC10" s="235">
        <f>ROUND(('Hours Per Job'!AC10*$B$36),2)+ROUND(('Parts Cost Per Job'!AC10)*((1+$B$37)*$B$38),2)</f>
        <v>444.08000000000004</v>
      </c>
      <c r="AD10" s="235">
        <f>ROUND(('Hours Per Job'!AD10*$B$36),2)+ROUND(('Parts Cost Per Job'!AD10)*((1+$B$37)*$B$38),2)</f>
        <v>0</v>
      </c>
      <c r="AE10" s="235">
        <f>ROUND(('Hours Per Job'!AE10*$B$36),2)+ROUND(('Parts Cost Per Job'!AE10)*((1+$B$37)*$B$38),2)</f>
        <v>0</v>
      </c>
      <c r="AF10" s="235">
        <f>ROUND(('Hours Per Job'!AF10*$B$36),2)+ROUND(('Parts Cost Per Job'!AF10)*((1+$B$37)*$B$38),2)</f>
        <v>0</v>
      </c>
      <c r="AG10" s="235">
        <f>ROUND(('Hours Per Job'!AG10*$B$36),2)+ROUND(('Parts Cost Per Job'!AG10)*((1+$B$37)*$B$38),2)</f>
        <v>210.01</v>
      </c>
      <c r="AH10" s="235">
        <f>ROUND(('Hours Per Job'!AH10*$B$36),2)+ROUND(('Parts Cost Per Job'!AH10)*((1+$B$37)*$B$38),2)</f>
        <v>0</v>
      </c>
      <c r="AI10" s="235">
        <f>ROUND(('Hours Per Job'!AI10*$B$36),2)+ROUND(('Parts Cost Per Job'!AI10)*((1+$B$37)*$B$38),2)</f>
        <v>349.14</v>
      </c>
      <c r="AJ10" s="235">
        <f>ROUND(('Hours Per Job'!AJ10*$B$36),2)+ROUND(('Parts Cost Per Job'!AJ10)*((1+$B$37)*$B$38),2)</f>
        <v>0</v>
      </c>
      <c r="AK10" s="235">
        <f>ROUND(('Hours Per Job'!AK10*$B$36),2)+ROUND(('Parts Cost Per Job'!AK10)*((1+$B$37)*$B$38),2)</f>
        <v>399.46</v>
      </c>
      <c r="AL10" s="235">
        <f>ROUND(('Hours Per Job'!AL10*$B$36),2)+ROUND(('Parts Cost Per Job'!AL10)*((1+$B$37)*$B$38),2)</f>
        <v>408.5</v>
      </c>
      <c r="AM10" s="235">
        <f>ROUND(('Hours Per Job'!AM10*$B$36),2)+ROUND(('Parts Cost Per Job'!AM10)*((1+$B$37)*$B$38),2)</f>
        <v>0</v>
      </c>
      <c r="AN10" s="235">
        <f>ROUND(('Hours Per Job'!AN10*$B$36),2)+ROUND(('Parts Cost Per Job'!AN10)*((1+$B$37)*$B$38),2)</f>
        <v>0</v>
      </c>
      <c r="AO10" s="235">
        <f>ROUND(('Hours Per Job'!AO10*$B$36),2)+ROUND(('Parts Cost Per Job'!AO10)*((1+$B$37)*$B$38),2)</f>
        <v>0</v>
      </c>
      <c r="AP10" s="235">
        <f>ROUND(('Hours Per Job'!AP10*$B$36),2)+ROUND(('Parts Cost Per Job'!AP10)*((1+$B$37)*$B$38),2)</f>
        <v>0</v>
      </c>
      <c r="AQ10" s="235">
        <f>ROUND(('Hours Per Job'!AQ10*$B$36),2)+ROUND(('Parts Cost Per Job'!AQ10)*((1+$B$37)*$B$38),2)</f>
        <v>0</v>
      </c>
      <c r="AR10" s="235">
        <f>ROUND(('Hours Per Job'!AR10*$B$36),2)+ROUND(('Parts Cost Per Job'!AR10)*((1+$B$37)*$B$38),2)</f>
        <v>0</v>
      </c>
      <c r="AS10" s="235">
        <f>ROUND(('Hours Per Job'!AS10*$B$36),2)+ROUND(('Parts Cost Per Job'!AS10)*((1+$B$37)*$B$38),2)</f>
        <v>0</v>
      </c>
      <c r="AT10" s="235">
        <f>ROUND(('Hours Per Job'!AT10*$B$36),2)+ROUND(('Parts Cost Per Job'!AT10)*((1+$B$37)*$B$38),2)</f>
        <v>71.069999999999993</v>
      </c>
      <c r="AU10" s="235">
        <f>ROUND(('Hours Per Job'!AU10*$B$36),2)+ROUND(('Parts Cost Per Job'!AU10)*((1+$B$37)*$B$38),2)</f>
        <v>0</v>
      </c>
      <c r="AV10" s="235">
        <f>ROUND(('Hours Per Job'!AV10*$B$36),2)+ROUND(('Parts Cost Per Job'!AV10)*((1+$B$37)*$B$38),2)</f>
        <v>0</v>
      </c>
      <c r="AW10" s="235">
        <f>ROUND(('Hours Per Job'!AW10*$B$36),2)+ROUND(('Parts Cost Per Job'!AW10)*((1+$B$37)*$B$38),2)</f>
        <v>776.54</v>
      </c>
      <c r="AX10" s="235">
        <f>ROUND(('Hours Per Job'!AX10*$B$36),2)+ROUND(('Parts Cost Per Job'!AX10)*((1+$B$37)*$B$38),2)</f>
        <v>0</v>
      </c>
      <c r="AY10" s="235">
        <f>ROUND(('Hours Per Job'!AY10*$B$36),2)+ROUND(('Parts Cost Per Job'!AY10)*((1+$B$37)*$B$38),2)</f>
        <v>0</v>
      </c>
      <c r="AZ10" s="235">
        <f>ROUND(('Hours Per Job'!AZ10*$B$36),2)+ROUND(('Parts Cost Per Job'!AZ10)*((1+$B$37)*$B$38),2)</f>
        <v>0</v>
      </c>
      <c r="BA10" s="235">
        <f>ROUND(('Hours Per Job'!BA10*$B$36),2)+ROUND(('Parts Cost Per Job'!BA10)*((1+$B$37)*$B$38),2)</f>
        <v>258.33000000000004</v>
      </c>
      <c r="BB10" s="235">
        <f>ROUND(('Hours Per Job'!BB10*$B$36),2)+ROUND(('Parts Cost Per Job'!BB10)*((1+$B$37)*$B$38),2)</f>
        <v>173.25</v>
      </c>
      <c r="BC10" s="235">
        <f>ROUND(('Hours Per Job'!BC10*$B$36),2)+ROUND(('Parts Cost Per Job'!BC10)*((1+$B$37)*$B$38),2)</f>
        <v>0</v>
      </c>
      <c r="BD10" s="235">
        <f>ROUND(('Hours Per Job'!BD10*$B$36),2)+ROUND(('Parts Cost Per Job'!BD10)*((1+$B$37)*$B$38),2)</f>
        <v>0</v>
      </c>
      <c r="BE10" s="235">
        <f>ROUND(('Hours Per Job'!BE10*$B$36),2)+ROUND(('Parts Cost Per Job'!BE10)*((1+$B$37)*$B$38),2)</f>
        <v>0</v>
      </c>
      <c r="BF10" s="235">
        <f>ROUND(('Hours Per Job'!BF10*$B$36),2)+ROUND(('Parts Cost Per Job'!BF10)*((1+$B$37)*$B$38),2)</f>
        <v>90</v>
      </c>
      <c r="BG10" s="235">
        <f>ROUND(('Hours Per Job'!BG10*$B$36),2)+ROUND(('Parts Cost Per Job'!BG10)*((1+$B$37)*$B$38),2)</f>
        <v>240</v>
      </c>
      <c r="BH10" s="235">
        <f>ROUND(('Hours Per Job'!BH10*$B$36),2)+ROUND(('Parts Cost Per Job'!BH10)*((1+$B$37)*$B$38),2)</f>
        <v>301.77</v>
      </c>
      <c r="BI10" s="235">
        <f>ROUND(('Hours Per Job'!BI10*$B$36),2)+ROUND(('Parts Cost Per Job'!BI10)*((1+$B$37)*$B$38),2)</f>
        <v>0</v>
      </c>
      <c r="BJ10" s="235">
        <f>ROUND(('Hours Per Job'!BJ10*$B$36),2)+ROUND(('Parts Cost Per Job'!BJ10)*((1+$B$37)*$B$38),2)</f>
        <v>30</v>
      </c>
      <c r="BK10" s="235">
        <f>ROUND(('Hours Per Job'!BK10*$B$36),2)+ROUND(('Parts Cost Per Job'!BK10)*((1+$B$37)*$B$38),2)</f>
        <v>635.23</v>
      </c>
      <c r="BL10" s="235">
        <f>ROUND(('Hours Per Job'!BL10*$B$36),2)+ROUND(('Parts Cost Per Job'!BL10)*((1+$B$37)*$B$38),2)</f>
        <v>0</v>
      </c>
      <c r="BM10" s="235">
        <f>ROUND(('Hours Per Job'!BM10*$B$36),2)+ROUND(('Parts Cost Per Job'!BM10)*((1+$B$37)*$B$38),2)</f>
        <v>0</v>
      </c>
      <c r="BN10" s="235">
        <f>ROUND(('Hours Per Job'!BN10*$B$36),2)+ROUND(('Parts Cost Per Job'!BN10)*((1+$B$37)*$B$38),2)</f>
        <v>238.46</v>
      </c>
      <c r="BO10" s="235">
        <f>ROUND(('Hours Per Job'!BO10*$B$36),2)+ROUND(('Parts Cost Per Job'!BO10)*((1+$B$37)*$B$38),2)</f>
        <v>71.069999999999993</v>
      </c>
      <c r="BP10" s="235">
        <f>ROUND(('Hours Per Job'!BP10*$B$36),2)+ROUND(('Parts Cost Per Job'!BP10)*((1+$B$37)*$B$38),2)</f>
        <v>126</v>
      </c>
    </row>
    <row r="11" spans="1:68" x14ac:dyDescent="0.2">
      <c r="A11" s="226" t="str">
        <f>'Scheduled Intervals'!A11</f>
        <v>Skid Steer</v>
      </c>
      <c r="B11" s="236">
        <f>ROUND(('Hours Per Job'!B11*$B$36),2)+ROUND(('Parts Cost Per Job'!B11)*((1+$B$37)*$B$38),2)</f>
        <v>182.54000000000002</v>
      </c>
      <c r="C11" s="237">
        <f>ROUND(('Hours Per Job'!C11*$B$36),2)+ROUND(('Parts Cost Per Job'!C11)*((1+$B$37)*$B$38),2)</f>
        <v>0</v>
      </c>
      <c r="D11" s="237">
        <f>ROUND(('Hours Per Job'!D11*$B$36),2)+ROUND(('Parts Cost Per Job'!D11)*((1+$B$37)*$B$38),2)</f>
        <v>36</v>
      </c>
      <c r="E11" s="237">
        <f>ROUND(('Hours Per Job'!E11*$B$36),2)+ROUND(('Parts Cost Per Job'!E11)*((1+$B$37)*$B$38),2)</f>
        <v>0</v>
      </c>
      <c r="F11" s="237">
        <f>ROUND(('Hours Per Job'!F11*$B$36),2)+ROUND(('Parts Cost Per Job'!F11)*((1+$B$37)*$B$38),2)</f>
        <v>137.44</v>
      </c>
      <c r="G11" s="237">
        <f>ROUND(('Hours Per Job'!G11*$B$36),2)+ROUND(('Parts Cost Per Job'!G11)*((1+$B$37)*$B$38),2)</f>
        <v>0</v>
      </c>
      <c r="H11" s="238">
        <f>ROUND(('Hours Per Job'!H11*$B$36),2)+ROUND(('Parts Cost Per Job'!H11)*((1+$B$37)*$B$38),2)</f>
        <v>71.069999999999993</v>
      </c>
      <c r="I11" s="237">
        <f>ROUND(('Hours Per Job'!I11*$B$36),2)+ROUND(('Parts Cost Per Job'!I11)*((1+$B$37)*$B$38),2)</f>
        <v>30</v>
      </c>
      <c r="J11" s="237">
        <f>ROUND(('Hours Per Job'!J11*$B$36),2)+ROUND(('Parts Cost Per Job'!J11)*((1+$B$37)*$B$38),2)</f>
        <v>60</v>
      </c>
      <c r="K11" s="237">
        <f>ROUND(('Hours Per Job'!K11*$B$36),2)+ROUND(('Parts Cost Per Job'!K11)*((1+$B$37)*$B$38),2)</f>
        <v>0</v>
      </c>
      <c r="L11" s="237">
        <f>ROUND(('Hours Per Job'!L11*$B$36),2)+ROUND(('Parts Cost Per Job'!L11)*((1+$B$37)*$B$38),2)</f>
        <v>0</v>
      </c>
      <c r="M11" s="237">
        <f>ROUND(('Hours Per Job'!M11*$B$36),2)+ROUND(('Parts Cost Per Job'!M11)*((1+$B$37)*$B$38),2)</f>
        <v>0</v>
      </c>
      <c r="N11" s="237">
        <f>ROUND(('Hours Per Job'!N11*$B$36),2)+ROUND(('Parts Cost Per Job'!N11)*((1+$B$37)*$B$38),2)</f>
        <v>0</v>
      </c>
      <c r="O11" s="237">
        <f>ROUND(('Hours Per Job'!O11*$B$36),2)+ROUND(('Parts Cost Per Job'!O11)*((1+$B$37)*$B$38),2)</f>
        <v>0</v>
      </c>
      <c r="P11" s="239">
        <f>ROUND(('Hours Per Job'!P11*$B$36),2)+ROUND(('Parts Cost Per Job'!P11)*((1+$B$37)*$B$38),2)</f>
        <v>0</v>
      </c>
      <c r="Q11" s="240">
        <f>ROUND(('Hours Per Job'!Q11*$B$36),2)+ROUND(('Parts Cost Per Job'!Q11)*((1+$B$37)*$B$38),2)</f>
        <v>238.3</v>
      </c>
      <c r="R11" s="241">
        <f>ROUND(('Hours Per Job'!R11*$B$36),2)+ROUND(('Parts Cost Per Job'!R11)*((1+$B$37)*$B$38),2)</f>
        <v>0</v>
      </c>
      <c r="S11" s="241">
        <f>ROUND(('Hours Per Job'!S11*$B$36),2)+ROUND(('Parts Cost Per Job'!S11)*((1+$B$37)*$B$38),2)</f>
        <v>0</v>
      </c>
      <c r="T11" s="242">
        <f>ROUND(('Hours Per Job'!T11*$B$36),2)+ROUND(('Parts Cost Per Job'!T11)*((1+$B$37)*$B$38),2)</f>
        <v>0</v>
      </c>
      <c r="U11" s="234">
        <f>ROUND(('Hours Per Job'!U11*$B$36),2)+ROUND(('Parts Cost Per Job'!U11)*((1+$B$37)*$B$38),2)</f>
        <v>182.56</v>
      </c>
      <c r="V11" s="235">
        <f>ROUND(('Hours Per Job'!V11*$B$36),2)+ROUND(('Parts Cost Per Job'!V11)*((1+$B$37)*$B$38),2)</f>
        <v>118.86</v>
      </c>
      <c r="W11" s="235">
        <f>ROUND(('Hours Per Job'!W11*$B$36),2)+ROUND(('Parts Cost Per Job'!W11)*((1+$B$37)*$B$38),2)</f>
        <v>0</v>
      </c>
      <c r="X11" s="235">
        <f>ROUND(('Hours Per Job'!X11*$B$36),2)+ROUND(('Parts Cost Per Job'!X11)*((1+$B$37)*$B$38),2)</f>
        <v>0</v>
      </c>
      <c r="Y11" s="235">
        <f>ROUND(('Hours Per Job'!Y11*$B$36),2)+ROUND(('Parts Cost Per Job'!Y11)*((1+$B$37)*$B$38),2)</f>
        <v>36</v>
      </c>
      <c r="Z11" s="235">
        <f>ROUND(('Hours Per Job'!Z11*$B$36),2)+ROUND(('Parts Cost Per Job'!Z11)*((1+$B$37)*$B$38),2)</f>
        <v>70.17</v>
      </c>
      <c r="AA11" s="235">
        <f>ROUND(('Hours Per Job'!AA11*$B$36),2)+ROUND(('Parts Cost Per Job'!AA11)*((1+$B$37)*$B$38),2)</f>
        <v>0</v>
      </c>
      <c r="AB11" s="235">
        <f>ROUND(('Hours Per Job'!AB11*$B$36),2)+ROUND(('Parts Cost Per Job'!AB11)*((1+$B$37)*$B$38),2)</f>
        <v>314.38</v>
      </c>
      <c r="AC11" s="235">
        <f>ROUND(('Hours Per Job'!AC11*$B$36),2)+ROUND(('Parts Cost Per Job'!AC11)*((1+$B$37)*$B$38),2)</f>
        <v>0</v>
      </c>
      <c r="AD11" s="235">
        <f>ROUND(('Hours Per Job'!AD11*$B$36),2)+ROUND(('Parts Cost Per Job'!AD11)*((1+$B$37)*$B$38),2)</f>
        <v>0</v>
      </c>
      <c r="AE11" s="235">
        <f>ROUND(('Hours Per Job'!AE11*$B$36),2)+ROUND(('Parts Cost Per Job'!AE11)*((1+$B$37)*$B$38),2)</f>
        <v>137.44</v>
      </c>
      <c r="AF11" s="235">
        <f>ROUND(('Hours Per Job'!AF11*$B$36),2)+ROUND(('Parts Cost Per Job'!AF11)*((1+$B$37)*$B$38),2)</f>
        <v>81.010000000000005</v>
      </c>
      <c r="AG11" s="235">
        <f>ROUND(('Hours Per Job'!AG11*$B$36),2)+ROUND(('Parts Cost Per Job'!AG11)*((1+$B$37)*$B$38),2)</f>
        <v>178.3</v>
      </c>
      <c r="AH11" s="235">
        <f>ROUND(('Hours Per Job'!AH11*$B$36),2)+ROUND(('Parts Cost Per Job'!AH11)*((1+$B$37)*$B$38),2)</f>
        <v>0</v>
      </c>
      <c r="AI11" s="235">
        <f>ROUND(('Hours Per Job'!AI11*$B$36),2)+ROUND(('Parts Cost Per Job'!AI11)*((1+$B$37)*$B$38),2)</f>
        <v>293.75</v>
      </c>
      <c r="AJ11" s="235">
        <f>ROUND(('Hours Per Job'!AJ11*$B$36),2)+ROUND(('Parts Cost Per Job'!AJ11)*((1+$B$37)*$B$38),2)</f>
        <v>0</v>
      </c>
      <c r="AK11" s="235">
        <f>ROUND(('Hours Per Job'!AK11*$B$36),2)+ROUND(('Parts Cost Per Job'!AK11)*((1+$B$37)*$B$38),2)</f>
        <v>0</v>
      </c>
      <c r="AL11" s="235">
        <f>ROUND(('Hours Per Job'!AL11*$B$36),2)+ROUND(('Parts Cost Per Job'!AL11)*((1+$B$37)*$B$38),2)</f>
        <v>0</v>
      </c>
      <c r="AM11" s="235">
        <f>ROUND(('Hours Per Job'!AM11*$B$36),2)+ROUND(('Parts Cost Per Job'!AM11)*((1+$B$37)*$B$38),2)</f>
        <v>0</v>
      </c>
      <c r="AN11" s="235">
        <f>ROUND(('Hours Per Job'!AN11*$B$36),2)+ROUND(('Parts Cost Per Job'!AN11)*((1+$B$37)*$B$38),2)</f>
        <v>0</v>
      </c>
      <c r="AO11" s="235">
        <f>ROUND(('Hours Per Job'!AO11*$B$36),2)+ROUND(('Parts Cost Per Job'!AO11)*((1+$B$37)*$B$38),2)</f>
        <v>0</v>
      </c>
      <c r="AP11" s="235">
        <f>ROUND(('Hours Per Job'!AP11*$B$36),2)+ROUND(('Parts Cost Per Job'!AP11)*((1+$B$37)*$B$38),2)</f>
        <v>0</v>
      </c>
      <c r="AQ11" s="235">
        <f>ROUND(('Hours Per Job'!AQ11*$B$36),2)+ROUND(('Parts Cost Per Job'!AQ11)*((1+$B$37)*$B$38),2)</f>
        <v>0</v>
      </c>
      <c r="AR11" s="235">
        <f>ROUND(('Hours Per Job'!AR11*$B$36),2)+ROUND(('Parts Cost Per Job'!AR11)*((1+$B$37)*$B$38),2)</f>
        <v>0</v>
      </c>
      <c r="AS11" s="235">
        <f>ROUND(('Hours Per Job'!AS11*$B$36),2)+ROUND(('Parts Cost Per Job'!AS11)*((1+$B$37)*$B$38),2)</f>
        <v>179.4</v>
      </c>
      <c r="AT11" s="235">
        <f>ROUND(('Hours Per Job'!AT11*$B$36),2)+ROUND(('Parts Cost Per Job'!AT11)*((1+$B$37)*$B$38),2)</f>
        <v>71.069999999999993</v>
      </c>
      <c r="AU11" s="235">
        <f>ROUND(('Hours Per Job'!AU11*$B$36),2)+ROUND(('Parts Cost Per Job'!AU11)*((1+$B$37)*$B$38),2)</f>
        <v>0</v>
      </c>
      <c r="AV11" s="235">
        <f>ROUND(('Hours Per Job'!AV11*$B$36),2)+ROUND(('Parts Cost Per Job'!AV11)*((1+$B$37)*$B$38),2)</f>
        <v>0</v>
      </c>
      <c r="AW11" s="235">
        <f>ROUND(('Hours Per Job'!AW11*$B$36),2)+ROUND(('Parts Cost Per Job'!AW11)*((1+$B$37)*$B$38),2)</f>
        <v>1004.54</v>
      </c>
      <c r="AX11" s="235">
        <f>ROUND(('Hours Per Job'!AX11*$B$36),2)+ROUND(('Parts Cost Per Job'!AX11)*((1+$B$37)*$B$38),2)</f>
        <v>0</v>
      </c>
      <c r="AY11" s="235">
        <f>ROUND(('Hours Per Job'!AY11*$B$36),2)+ROUND(('Parts Cost Per Job'!AY11)*((1+$B$37)*$B$38),2)</f>
        <v>0</v>
      </c>
      <c r="AZ11" s="235">
        <f>ROUND(('Hours Per Job'!AZ11*$B$36),2)+ROUND(('Parts Cost Per Job'!AZ11)*((1+$B$37)*$B$38),2)</f>
        <v>0</v>
      </c>
      <c r="BA11" s="235">
        <f>ROUND(('Hours Per Job'!BA11*$B$36),2)+ROUND(('Parts Cost Per Job'!BA11)*((1+$B$37)*$B$38),2)</f>
        <v>0</v>
      </c>
      <c r="BB11" s="235">
        <f>ROUND(('Hours Per Job'!BB11*$B$36),2)+ROUND(('Parts Cost Per Job'!BB11)*((1+$B$37)*$B$38),2)</f>
        <v>69.63</v>
      </c>
      <c r="BC11" s="235">
        <f>ROUND(('Hours Per Job'!BC11*$B$36),2)+ROUND(('Parts Cost Per Job'!BC11)*((1+$B$37)*$B$38),2)</f>
        <v>0</v>
      </c>
      <c r="BD11" s="235">
        <f>ROUND(('Hours Per Job'!BD11*$B$36),2)+ROUND(('Parts Cost Per Job'!BD11)*((1+$B$37)*$B$38),2)</f>
        <v>0</v>
      </c>
      <c r="BE11" s="235">
        <f>ROUND(('Hours Per Job'!BE11*$B$36),2)+ROUND(('Parts Cost Per Job'!BE11)*((1+$B$37)*$B$38),2)</f>
        <v>0</v>
      </c>
      <c r="BF11" s="235">
        <f>ROUND(('Hours Per Job'!BF11*$B$36),2)+ROUND(('Parts Cost Per Job'!BF11)*((1+$B$37)*$B$38),2)</f>
        <v>90</v>
      </c>
      <c r="BG11" s="235">
        <f>ROUND(('Hours Per Job'!BG11*$B$36),2)+ROUND(('Parts Cost Per Job'!BG11)*((1+$B$37)*$B$38),2)</f>
        <v>240</v>
      </c>
      <c r="BH11" s="235">
        <f>ROUND(('Hours Per Job'!BH11*$B$36),2)+ROUND(('Parts Cost Per Job'!BH11)*((1+$B$37)*$B$38),2)</f>
        <v>119.03999999999999</v>
      </c>
      <c r="BI11" s="235">
        <f>ROUND(('Hours Per Job'!BI11*$B$36),2)+ROUND(('Parts Cost Per Job'!BI11)*((1+$B$37)*$B$38),2)</f>
        <v>0</v>
      </c>
      <c r="BJ11" s="235">
        <f>ROUND(('Hours Per Job'!BJ11*$B$36),2)+ROUND(('Parts Cost Per Job'!BJ11)*((1+$B$37)*$B$38),2)</f>
        <v>30</v>
      </c>
      <c r="BK11" s="235">
        <f>ROUND(('Hours Per Job'!BK11*$B$36),2)+ROUND(('Parts Cost Per Job'!BK11)*((1+$B$37)*$B$38),2)</f>
        <v>0</v>
      </c>
      <c r="BL11" s="235">
        <f>ROUND(('Hours Per Job'!BL11*$B$36),2)+ROUND(('Parts Cost Per Job'!BL11)*((1+$B$37)*$B$38),2)</f>
        <v>0</v>
      </c>
      <c r="BM11" s="235">
        <f>ROUND(('Hours Per Job'!BM11*$B$36),2)+ROUND(('Parts Cost Per Job'!BM11)*((1+$B$37)*$B$38),2)</f>
        <v>0</v>
      </c>
      <c r="BN11" s="235">
        <f>ROUND(('Hours Per Job'!BN11*$B$36),2)+ROUND(('Parts Cost Per Job'!BN11)*((1+$B$37)*$B$38),2)</f>
        <v>182.56</v>
      </c>
      <c r="BO11" s="235">
        <f>ROUND(('Hours Per Job'!BO11*$B$36),2)+ROUND(('Parts Cost Per Job'!BO11)*((1+$B$37)*$B$38),2)</f>
        <v>71.069999999999993</v>
      </c>
      <c r="BP11" s="235">
        <f>ROUND(('Hours Per Job'!BP11*$B$36),2)+ROUND(('Parts Cost Per Job'!BP11)*((1+$B$37)*$B$38),2)</f>
        <v>126</v>
      </c>
    </row>
    <row r="12" spans="1:68" x14ac:dyDescent="0.2">
      <c r="A12" s="226" t="str">
        <f>'Scheduled Intervals'!A12</f>
        <v>Excavator - under 3.5 ton</v>
      </c>
      <c r="B12" s="236">
        <f>ROUND(('Hours Per Job'!B12*$B$36),2)+ROUND(('Parts Cost Per Job'!B12)*((1+$B$37)*$B$38),2)</f>
        <v>166.18</v>
      </c>
      <c r="C12" s="237">
        <f>ROUND(('Hours Per Job'!C12*$B$36),2)+ROUND(('Parts Cost Per Job'!C12)*((1+$B$37)*$B$38),2)</f>
        <v>36</v>
      </c>
      <c r="D12" s="237">
        <f>ROUND(('Hours Per Job'!D12*$B$36),2)+ROUND(('Parts Cost Per Job'!D12)*((1+$B$37)*$B$38),2)</f>
        <v>12</v>
      </c>
      <c r="E12" s="237">
        <f>ROUND(('Hours Per Job'!E12*$B$36),2)+ROUND(('Parts Cost Per Job'!E12)*((1+$B$37)*$B$38),2)</f>
        <v>0</v>
      </c>
      <c r="F12" s="237">
        <f>ROUND(('Hours Per Job'!F12*$B$36),2)+ROUND(('Parts Cost Per Job'!F12)*((1+$B$37)*$B$38),2)</f>
        <v>0</v>
      </c>
      <c r="G12" s="237">
        <f>ROUND(('Hours Per Job'!G12*$B$36),2)+ROUND(('Parts Cost Per Job'!G12)*((1+$B$37)*$B$38),2)</f>
        <v>0</v>
      </c>
      <c r="H12" s="238">
        <f>ROUND(('Hours Per Job'!H12*$B$36),2)+ROUND(('Parts Cost Per Job'!H12)*((1+$B$37)*$B$38),2)</f>
        <v>71.069999999999993</v>
      </c>
      <c r="I12" s="237">
        <f>ROUND(('Hours Per Job'!I12*$B$36),2)+ROUND(('Parts Cost Per Job'!I12)*((1+$B$37)*$B$38),2)</f>
        <v>30</v>
      </c>
      <c r="J12" s="237">
        <f>ROUND(('Hours Per Job'!J12*$B$36),2)+ROUND(('Parts Cost Per Job'!J12)*((1+$B$37)*$B$38),2)</f>
        <v>0</v>
      </c>
      <c r="K12" s="237">
        <f>ROUND(('Hours Per Job'!K12*$B$36),2)+ROUND(('Parts Cost Per Job'!K12)*((1+$B$37)*$B$38),2)</f>
        <v>0</v>
      </c>
      <c r="L12" s="237">
        <f>ROUND(('Hours Per Job'!L12*$B$36),2)+ROUND(('Parts Cost Per Job'!L12)*((1+$B$37)*$B$38),2)</f>
        <v>0</v>
      </c>
      <c r="M12" s="237">
        <f>ROUND(('Hours Per Job'!M12*$B$36),2)+ROUND(('Parts Cost Per Job'!M12)*((1+$B$37)*$B$38),2)</f>
        <v>0</v>
      </c>
      <c r="N12" s="237">
        <f>ROUND(('Hours Per Job'!N12*$B$36),2)+ROUND(('Parts Cost Per Job'!N12)*((1+$B$37)*$B$38),2)</f>
        <v>0</v>
      </c>
      <c r="O12" s="237">
        <f>ROUND(('Hours Per Job'!O12*$B$36),2)+ROUND(('Parts Cost Per Job'!O12)*((1+$B$37)*$B$38),2)</f>
        <v>0</v>
      </c>
      <c r="P12" s="239">
        <f>ROUND(('Hours Per Job'!P12*$B$36),2)+ROUND(('Parts Cost Per Job'!P12)*((1+$B$37)*$B$38),2)</f>
        <v>0</v>
      </c>
      <c r="Q12" s="240">
        <f>ROUND(('Hours Per Job'!Q12*$B$36),2)+ROUND(('Parts Cost Per Job'!Q12)*((1+$B$37)*$B$38),2)</f>
        <v>236.73000000000002</v>
      </c>
      <c r="R12" s="241">
        <f>ROUND(('Hours Per Job'!R12*$B$36),2)+ROUND(('Parts Cost Per Job'!R12)*((1+$B$37)*$B$38),2)</f>
        <v>0</v>
      </c>
      <c r="S12" s="241">
        <f>ROUND(('Hours Per Job'!S12*$B$36),2)+ROUND(('Parts Cost Per Job'!S12)*((1+$B$37)*$B$38),2)</f>
        <v>0</v>
      </c>
      <c r="T12" s="242">
        <f>ROUND(('Hours Per Job'!T12*$B$36),2)+ROUND(('Parts Cost Per Job'!T12)*((1+$B$37)*$B$38),2)</f>
        <v>0</v>
      </c>
      <c r="U12" s="234">
        <f>ROUND(('Hours Per Job'!U12*$B$36),2)+ROUND(('Parts Cost Per Job'!U12)*((1+$B$37)*$B$38),2)</f>
        <v>166.18</v>
      </c>
      <c r="V12" s="235">
        <f>ROUND(('Hours Per Job'!V12*$B$36),2)+ROUND(('Parts Cost Per Job'!V12)*((1+$B$37)*$B$38),2)</f>
        <v>148.74</v>
      </c>
      <c r="W12" s="235">
        <f>ROUND(('Hours Per Job'!W12*$B$36),2)+ROUND(('Parts Cost Per Job'!W12)*((1+$B$37)*$B$38),2)</f>
        <v>0</v>
      </c>
      <c r="X12" s="235">
        <f>ROUND(('Hours Per Job'!X12*$B$36),2)+ROUND(('Parts Cost Per Job'!X12)*((1+$B$37)*$B$38),2)</f>
        <v>112.6</v>
      </c>
      <c r="Y12" s="235">
        <f>ROUND(('Hours Per Job'!Y12*$B$36),2)+ROUND(('Parts Cost Per Job'!Y12)*((1+$B$37)*$B$38),2)</f>
        <v>0</v>
      </c>
      <c r="Z12" s="235">
        <f>ROUND(('Hours Per Job'!Z12*$B$36),2)+ROUND(('Parts Cost Per Job'!Z12)*((1+$B$37)*$B$38),2)</f>
        <v>61.06</v>
      </c>
      <c r="AA12" s="235">
        <f>ROUND(('Hours Per Job'!AA12*$B$36),2)+ROUND(('Parts Cost Per Job'!AA12)*((1+$B$37)*$B$38),2)</f>
        <v>0</v>
      </c>
      <c r="AB12" s="235">
        <f>ROUND(('Hours Per Job'!AB12*$B$36),2)+ROUND(('Parts Cost Per Job'!AB12)*((1+$B$37)*$B$38),2)</f>
        <v>0</v>
      </c>
      <c r="AC12" s="235">
        <f>ROUND(('Hours Per Job'!AC12*$B$36),2)+ROUND(('Parts Cost Per Job'!AC12)*((1+$B$37)*$B$38),2)</f>
        <v>0</v>
      </c>
      <c r="AD12" s="235">
        <f>ROUND(('Hours Per Job'!AD12*$B$36),2)+ROUND(('Parts Cost Per Job'!AD12)*((1+$B$37)*$B$38),2)</f>
        <v>0</v>
      </c>
      <c r="AE12" s="235">
        <f>ROUND(('Hours Per Job'!AE12*$B$36),2)+ROUND(('Parts Cost Per Job'!AE12)*((1+$B$37)*$B$38),2)</f>
        <v>0</v>
      </c>
      <c r="AF12" s="235">
        <f>ROUND(('Hours Per Job'!AF12*$B$36),2)+ROUND(('Parts Cost Per Job'!AF12)*((1+$B$37)*$B$38),2)</f>
        <v>35.510000000000005</v>
      </c>
      <c r="AG12" s="235">
        <f>ROUND(('Hours Per Job'!AG12*$B$36),2)+ROUND(('Parts Cost Per Job'!AG12)*((1+$B$37)*$B$38),2)</f>
        <v>141.26999999999998</v>
      </c>
      <c r="AH12" s="235">
        <f>ROUND(('Hours Per Job'!AH12*$B$36),2)+ROUND(('Parts Cost Per Job'!AH12)*((1+$B$37)*$B$38),2)</f>
        <v>107.45</v>
      </c>
      <c r="AI12" s="235">
        <f>ROUND(('Hours Per Job'!AI12*$B$36),2)+ROUND(('Parts Cost Per Job'!AI12)*((1+$B$37)*$B$38),2)</f>
        <v>195.45999999999998</v>
      </c>
      <c r="AJ12" s="235">
        <f>ROUND(('Hours Per Job'!AJ12*$B$36),2)+ROUND(('Parts Cost Per Job'!AJ12)*((1+$B$37)*$B$38),2)</f>
        <v>0</v>
      </c>
      <c r="AK12" s="235">
        <f>ROUND(('Hours Per Job'!AK12*$B$36),2)+ROUND(('Parts Cost Per Job'!AK12)*((1+$B$37)*$B$38),2)</f>
        <v>0</v>
      </c>
      <c r="AL12" s="235">
        <f>ROUND(('Hours Per Job'!AL12*$B$36),2)+ROUND(('Parts Cost Per Job'!AL12)*((1+$B$37)*$B$38),2)</f>
        <v>198.07999999999998</v>
      </c>
      <c r="AM12" s="235">
        <f>ROUND(('Hours Per Job'!AM12*$B$36),2)+ROUND(('Parts Cost Per Job'!AM12)*((1+$B$37)*$B$38),2)</f>
        <v>0</v>
      </c>
      <c r="AN12" s="235">
        <f>ROUND(('Hours Per Job'!AN12*$B$36),2)+ROUND(('Parts Cost Per Job'!AN12)*((1+$B$37)*$B$38),2)</f>
        <v>0</v>
      </c>
      <c r="AO12" s="235">
        <f>ROUND(('Hours Per Job'!AO12*$B$36),2)+ROUND(('Parts Cost Per Job'!AO12)*((1+$B$37)*$B$38),2)</f>
        <v>0</v>
      </c>
      <c r="AP12" s="235">
        <f>ROUND(('Hours Per Job'!AP12*$B$36),2)+ROUND(('Parts Cost Per Job'!AP12)*((1+$B$37)*$B$38),2)</f>
        <v>30</v>
      </c>
      <c r="AQ12" s="235">
        <f>ROUND(('Hours Per Job'!AQ12*$B$36),2)+ROUND(('Parts Cost Per Job'!AQ12)*((1+$B$37)*$B$38),2)</f>
        <v>24</v>
      </c>
      <c r="AR12" s="235">
        <f>ROUND(('Hours Per Job'!AR12*$B$36),2)+ROUND(('Parts Cost Per Job'!AR12)*((1+$B$37)*$B$38),2)</f>
        <v>0</v>
      </c>
      <c r="AS12" s="235">
        <f>ROUND(('Hours Per Job'!AS12*$B$36),2)+ROUND(('Parts Cost Per Job'!AS12)*((1+$B$37)*$B$38),2)</f>
        <v>162.28</v>
      </c>
      <c r="AT12" s="235">
        <f>ROUND(('Hours Per Job'!AT12*$B$36),2)+ROUND(('Parts Cost Per Job'!AT12)*((1+$B$37)*$B$38),2)</f>
        <v>71.069999999999993</v>
      </c>
      <c r="AU12" s="235">
        <f>ROUND(('Hours Per Job'!AU12*$B$36),2)+ROUND(('Parts Cost Per Job'!AU12)*((1+$B$37)*$B$38),2)</f>
        <v>0</v>
      </c>
      <c r="AV12" s="235">
        <f>ROUND(('Hours Per Job'!AV12*$B$36),2)+ROUND(('Parts Cost Per Job'!AV12)*((1+$B$37)*$B$38),2)</f>
        <v>0</v>
      </c>
      <c r="AW12" s="235">
        <f>ROUND(('Hours Per Job'!AW12*$B$36),2)+ROUND(('Parts Cost Per Job'!AW12)*((1+$B$37)*$B$38),2)</f>
        <v>264.09000000000003</v>
      </c>
      <c r="AX12" s="235">
        <f>ROUND(('Hours Per Job'!AX12*$B$36),2)+ROUND(('Parts Cost Per Job'!AX12)*((1+$B$37)*$B$38),2)</f>
        <v>0</v>
      </c>
      <c r="AY12" s="235">
        <f>ROUND(('Hours Per Job'!AY12*$B$36),2)+ROUND(('Parts Cost Per Job'!AY12)*((1+$B$37)*$B$38),2)</f>
        <v>0</v>
      </c>
      <c r="AZ12" s="235">
        <f>ROUND(('Hours Per Job'!AZ12*$B$36),2)+ROUND(('Parts Cost Per Job'!AZ12)*((1+$B$37)*$B$38),2)</f>
        <v>211.9</v>
      </c>
      <c r="BA12" s="235">
        <f>ROUND(('Hours Per Job'!BA12*$B$36),2)+ROUND(('Parts Cost Per Job'!BA12)*((1+$B$37)*$B$38),2)</f>
        <v>0</v>
      </c>
      <c r="BB12" s="235">
        <f>ROUND(('Hours Per Job'!BB12*$B$36),2)+ROUND(('Parts Cost Per Job'!BB12)*((1+$B$37)*$B$38),2)</f>
        <v>91.21</v>
      </c>
      <c r="BC12" s="235">
        <f>ROUND(('Hours Per Job'!BC12*$B$36),2)+ROUND(('Parts Cost Per Job'!BC12)*((1+$B$37)*$B$38),2)</f>
        <v>0</v>
      </c>
      <c r="BD12" s="235">
        <f>ROUND(('Hours Per Job'!BD12*$B$36),2)+ROUND(('Parts Cost Per Job'!BD12)*((1+$B$37)*$B$38),2)</f>
        <v>0</v>
      </c>
      <c r="BE12" s="235">
        <f>ROUND(('Hours Per Job'!BE12*$B$36),2)+ROUND(('Parts Cost Per Job'!BE12)*((1+$B$37)*$B$38),2)</f>
        <v>0</v>
      </c>
      <c r="BF12" s="235">
        <f>ROUND(('Hours Per Job'!BF12*$B$36),2)+ROUND(('Parts Cost Per Job'!BF12)*((1+$B$37)*$B$38),2)</f>
        <v>0</v>
      </c>
      <c r="BG12" s="235">
        <f>ROUND(('Hours Per Job'!BG12*$B$36),2)+ROUND(('Parts Cost Per Job'!BG12)*((1+$B$37)*$B$38),2)</f>
        <v>0</v>
      </c>
      <c r="BH12" s="235">
        <f>ROUND(('Hours Per Job'!BH12*$B$36),2)+ROUND(('Parts Cost Per Job'!BH12)*((1+$B$37)*$B$38),2)</f>
        <v>95.039999999999992</v>
      </c>
      <c r="BI12" s="235">
        <f>ROUND(('Hours Per Job'!BI12*$B$36),2)+ROUND(('Parts Cost Per Job'!BI12)*((1+$B$37)*$B$38),2)</f>
        <v>0</v>
      </c>
      <c r="BJ12" s="235">
        <f>ROUND(('Hours Per Job'!BJ12*$B$36),2)+ROUND(('Parts Cost Per Job'!BJ12)*((1+$B$37)*$B$38),2)</f>
        <v>30</v>
      </c>
      <c r="BK12" s="235">
        <f>ROUND(('Hours Per Job'!BK12*$B$36),2)+ROUND(('Parts Cost Per Job'!BK12)*((1+$B$37)*$B$38),2)</f>
        <v>0</v>
      </c>
      <c r="BL12" s="235">
        <f>ROUND(('Hours Per Job'!BL12*$B$36),2)+ROUND(('Parts Cost Per Job'!BL12)*((1+$B$37)*$B$38),2)</f>
        <v>0</v>
      </c>
      <c r="BM12" s="235">
        <f>ROUND(('Hours Per Job'!BM12*$B$36),2)+ROUND(('Parts Cost Per Job'!BM12)*((1+$B$37)*$B$38),2)</f>
        <v>0</v>
      </c>
      <c r="BN12" s="235">
        <f>ROUND(('Hours Per Job'!BN12*$B$36),2)+ROUND(('Parts Cost Per Job'!BN12)*((1+$B$37)*$B$38),2)</f>
        <v>166.18</v>
      </c>
      <c r="BO12" s="235">
        <f>ROUND(('Hours Per Job'!BO12*$B$36),2)+ROUND(('Parts Cost Per Job'!BO12)*((1+$B$37)*$B$38),2)</f>
        <v>71.069999999999993</v>
      </c>
      <c r="BP12" s="235">
        <f>ROUND(('Hours Per Job'!BP12*$B$36),2)+ROUND(('Parts Cost Per Job'!BP12)*((1+$B$37)*$B$38),2)</f>
        <v>126</v>
      </c>
    </row>
    <row r="13" spans="1:68" x14ac:dyDescent="0.2">
      <c r="A13" s="226" t="str">
        <f>'Scheduled Intervals'!A13</f>
        <v>Excavator - over 3.5 ton</v>
      </c>
      <c r="B13" s="236">
        <f>ROUND(('Hours Per Job'!B13*$B$36),2)+ROUND(('Parts Cost Per Job'!B13)*((1+$B$37)*$B$38),2)</f>
        <v>202.18</v>
      </c>
      <c r="C13" s="237">
        <f>ROUND(('Hours Per Job'!C13*$B$36),2)+ROUND(('Parts Cost Per Job'!C13)*((1+$B$37)*$B$38),2)</f>
        <v>36</v>
      </c>
      <c r="D13" s="237">
        <f>ROUND(('Hours Per Job'!D13*$B$36),2)+ROUND(('Parts Cost Per Job'!D13)*((1+$B$37)*$B$38),2)</f>
        <v>12</v>
      </c>
      <c r="E13" s="237">
        <f>ROUND(('Hours Per Job'!E13*$B$36),2)+ROUND(('Parts Cost Per Job'!E13)*((1+$B$37)*$B$38),2)</f>
        <v>0</v>
      </c>
      <c r="F13" s="237">
        <f>ROUND(('Hours Per Job'!F13*$B$36),2)+ROUND(('Parts Cost Per Job'!F13)*((1+$B$37)*$B$38),2)</f>
        <v>0</v>
      </c>
      <c r="G13" s="237">
        <f>ROUND(('Hours Per Job'!G13*$B$36),2)+ROUND(('Parts Cost Per Job'!G13)*((1+$B$37)*$B$38),2)</f>
        <v>0</v>
      </c>
      <c r="H13" s="238">
        <f>ROUND(('Hours Per Job'!H13*$B$36),2)+ROUND(('Parts Cost Per Job'!H13)*((1+$B$37)*$B$38),2)</f>
        <v>71.069999999999993</v>
      </c>
      <c r="I13" s="237">
        <f>ROUND(('Hours Per Job'!I13*$B$36),2)+ROUND(('Parts Cost Per Job'!I13)*((1+$B$37)*$B$38),2)</f>
        <v>30</v>
      </c>
      <c r="J13" s="237">
        <f>ROUND(('Hours Per Job'!J13*$B$36),2)+ROUND(('Parts Cost Per Job'!J13)*((1+$B$37)*$B$38),2)</f>
        <v>0</v>
      </c>
      <c r="K13" s="237">
        <f>ROUND(('Hours Per Job'!K13*$B$36),2)+ROUND(('Parts Cost Per Job'!K13)*((1+$B$37)*$B$38),2)</f>
        <v>0</v>
      </c>
      <c r="L13" s="237">
        <f>ROUND(('Hours Per Job'!L13*$B$36),2)+ROUND(('Parts Cost Per Job'!L13)*((1+$B$37)*$B$38),2)</f>
        <v>0</v>
      </c>
      <c r="M13" s="237">
        <f>ROUND(('Hours Per Job'!M13*$B$36),2)+ROUND(('Parts Cost Per Job'!M13)*((1+$B$37)*$B$38),2)</f>
        <v>0</v>
      </c>
      <c r="N13" s="237">
        <f>ROUND(('Hours Per Job'!N13*$B$36),2)+ROUND(('Parts Cost Per Job'!N13)*((1+$B$37)*$B$38),2)</f>
        <v>0</v>
      </c>
      <c r="O13" s="237">
        <f>ROUND(('Hours Per Job'!O13*$B$36),2)+ROUND(('Parts Cost Per Job'!O13)*((1+$B$37)*$B$38),2)</f>
        <v>0</v>
      </c>
      <c r="P13" s="239">
        <f>ROUND(('Hours Per Job'!P13*$B$36),2)+ROUND(('Parts Cost Per Job'!P13)*((1+$B$37)*$B$38),2)</f>
        <v>0</v>
      </c>
      <c r="Q13" s="240">
        <f>ROUND(('Hours Per Job'!Q13*$B$36),2)+ROUND(('Parts Cost Per Job'!Q13)*((1+$B$37)*$B$38),2)</f>
        <v>236.73000000000002</v>
      </c>
      <c r="R13" s="241">
        <f>ROUND(('Hours Per Job'!R13*$B$36),2)+ROUND(('Parts Cost Per Job'!R13)*((1+$B$37)*$B$38),2)</f>
        <v>0</v>
      </c>
      <c r="S13" s="241">
        <f>ROUND(('Hours Per Job'!S13*$B$36),2)+ROUND(('Parts Cost Per Job'!S13)*((1+$B$37)*$B$38),2)</f>
        <v>0</v>
      </c>
      <c r="T13" s="242">
        <f>ROUND(('Hours Per Job'!T13*$B$36),2)+ROUND(('Parts Cost Per Job'!T13)*((1+$B$37)*$B$38),2)</f>
        <v>0</v>
      </c>
      <c r="U13" s="234">
        <f>ROUND(('Hours Per Job'!U13*$B$36),2)+ROUND(('Parts Cost Per Job'!U13)*((1+$B$37)*$B$38),2)</f>
        <v>202.18</v>
      </c>
      <c r="V13" s="235">
        <f>ROUND(('Hours Per Job'!V13*$B$36),2)+ROUND(('Parts Cost Per Job'!V13)*((1+$B$37)*$B$38),2)</f>
        <v>148.74</v>
      </c>
      <c r="W13" s="235">
        <f>ROUND(('Hours Per Job'!W13*$B$36),2)+ROUND(('Parts Cost Per Job'!W13)*((1+$B$37)*$B$38),2)</f>
        <v>0</v>
      </c>
      <c r="X13" s="235">
        <f>ROUND(('Hours Per Job'!X13*$B$36),2)+ROUND(('Parts Cost Per Job'!X13)*((1+$B$37)*$B$38),2)</f>
        <v>112.6</v>
      </c>
      <c r="Y13" s="235">
        <f>ROUND(('Hours Per Job'!Y13*$B$36),2)+ROUND(('Parts Cost Per Job'!Y13)*((1+$B$37)*$B$38),2)</f>
        <v>0</v>
      </c>
      <c r="Z13" s="235">
        <f>ROUND(('Hours Per Job'!Z13*$B$36),2)+ROUND(('Parts Cost Per Job'!Z13)*((1+$B$37)*$B$38),2)</f>
        <v>73.06</v>
      </c>
      <c r="AA13" s="235">
        <f>ROUND(('Hours Per Job'!AA13*$B$36),2)+ROUND(('Parts Cost Per Job'!AA13)*((1+$B$37)*$B$38),2)</f>
        <v>0</v>
      </c>
      <c r="AB13" s="235">
        <f>ROUND(('Hours Per Job'!AB13*$B$36),2)+ROUND(('Parts Cost Per Job'!AB13)*((1+$B$37)*$B$38),2)</f>
        <v>0</v>
      </c>
      <c r="AC13" s="235">
        <f>ROUND(('Hours Per Job'!AC13*$B$36),2)+ROUND(('Parts Cost Per Job'!AC13)*((1+$B$37)*$B$38),2)</f>
        <v>0</v>
      </c>
      <c r="AD13" s="235">
        <f>ROUND(('Hours Per Job'!AD13*$B$36),2)+ROUND(('Parts Cost Per Job'!AD13)*((1+$B$37)*$B$38),2)</f>
        <v>0</v>
      </c>
      <c r="AE13" s="235">
        <f>ROUND(('Hours Per Job'!AE13*$B$36),2)+ROUND(('Parts Cost Per Job'!AE13)*((1+$B$37)*$B$38),2)</f>
        <v>0</v>
      </c>
      <c r="AF13" s="235">
        <f>ROUND(('Hours Per Job'!AF13*$B$36),2)+ROUND(('Parts Cost Per Job'!AF13)*((1+$B$37)*$B$38),2)</f>
        <v>35.510000000000005</v>
      </c>
      <c r="AG13" s="235">
        <f>ROUND(('Hours Per Job'!AG13*$B$36),2)+ROUND(('Parts Cost Per Job'!AG13)*((1+$B$37)*$B$38),2)</f>
        <v>153.26999999999998</v>
      </c>
      <c r="AH13" s="235">
        <f>ROUND(('Hours Per Job'!AH13*$B$36),2)+ROUND(('Parts Cost Per Job'!AH13)*((1+$B$37)*$B$38),2)</f>
        <v>107.45</v>
      </c>
      <c r="AI13" s="235">
        <f>ROUND(('Hours Per Job'!AI13*$B$36),2)+ROUND(('Parts Cost Per Job'!AI13)*((1+$B$37)*$B$38),2)</f>
        <v>488.87</v>
      </c>
      <c r="AJ13" s="235">
        <f>ROUND(('Hours Per Job'!AJ13*$B$36),2)+ROUND(('Parts Cost Per Job'!AJ13)*((1+$B$37)*$B$38),2)</f>
        <v>0</v>
      </c>
      <c r="AK13" s="235">
        <f>ROUND(('Hours Per Job'!AK13*$B$36),2)+ROUND(('Parts Cost Per Job'!AK13)*((1+$B$37)*$B$38),2)</f>
        <v>0</v>
      </c>
      <c r="AL13" s="235">
        <f>ROUND(('Hours Per Job'!AL13*$B$36),2)+ROUND(('Parts Cost Per Job'!AL13)*((1+$B$37)*$B$38),2)</f>
        <v>198.07999999999998</v>
      </c>
      <c r="AM13" s="235">
        <f>ROUND(('Hours Per Job'!AM13*$B$36),2)+ROUND(('Parts Cost Per Job'!AM13)*((1+$B$37)*$B$38),2)</f>
        <v>0</v>
      </c>
      <c r="AN13" s="235">
        <f>ROUND(('Hours Per Job'!AN13*$B$36),2)+ROUND(('Parts Cost Per Job'!AN13)*((1+$B$37)*$B$38),2)</f>
        <v>0</v>
      </c>
      <c r="AO13" s="235">
        <f>ROUND(('Hours Per Job'!AO13*$B$36),2)+ROUND(('Parts Cost Per Job'!AO13)*((1+$B$37)*$B$38),2)</f>
        <v>0</v>
      </c>
      <c r="AP13" s="235">
        <f>ROUND(('Hours Per Job'!AP13*$B$36),2)+ROUND(('Parts Cost Per Job'!AP13)*((1+$B$37)*$B$38),2)</f>
        <v>84</v>
      </c>
      <c r="AQ13" s="235">
        <f>ROUND(('Hours Per Job'!AQ13*$B$36),2)+ROUND(('Parts Cost Per Job'!AQ13)*((1+$B$37)*$B$38),2)</f>
        <v>24</v>
      </c>
      <c r="AR13" s="235">
        <f>ROUND(('Hours Per Job'!AR13*$B$36),2)+ROUND(('Parts Cost Per Job'!AR13)*((1+$B$37)*$B$38),2)</f>
        <v>0</v>
      </c>
      <c r="AS13" s="235">
        <f>ROUND(('Hours Per Job'!AS13*$B$36),2)+ROUND(('Parts Cost Per Job'!AS13)*((1+$B$37)*$B$38),2)</f>
        <v>80.64</v>
      </c>
      <c r="AT13" s="235">
        <f>ROUND(('Hours Per Job'!AT13*$B$36),2)+ROUND(('Parts Cost Per Job'!AT13)*((1+$B$37)*$B$38),2)</f>
        <v>71.069999999999993</v>
      </c>
      <c r="AU13" s="235">
        <f>ROUND(('Hours Per Job'!AU13*$B$36),2)+ROUND(('Parts Cost Per Job'!AU13)*((1+$B$37)*$B$38),2)</f>
        <v>0</v>
      </c>
      <c r="AV13" s="235">
        <f>ROUND(('Hours Per Job'!AV13*$B$36),2)+ROUND(('Parts Cost Per Job'!AV13)*((1+$B$37)*$B$38),2)</f>
        <v>0</v>
      </c>
      <c r="AW13" s="235">
        <f>ROUND(('Hours Per Job'!AW13*$B$36),2)+ROUND(('Parts Cost Per Job'!AW13)*((1+$B$37)*$B$38),2)</f>
        <v>408.44</v>
      </c>
      <c r="AX13" s="235">
        <f>ROUND(('Hours Per Job'!AX13*$B$36),2)+ROUND(('Parts Cost Per Job'!AX13)*((1+$B$37)*$B$38),2)</f>
        <v>0</v>
      </c>
      <c r="AY13" s="235">
        <f>ROUND(('Hours Per Job'!AY13*$B$36),2)+ROUND(('Parts Cost Per Job'!AY13)*((1+$B$37)*$B$38),2)</f>
        <v>0</v>
      </c>
      <c r="AZ13" s="235">
        <f>ROUND(('Hours Per Job'!AZ13*$B$36),2)+ROUND(('Parts Cost Per Job'!AZ13)*((1+$B$37)*$B$38),2)</f>
        <v>211.9</v>
      </c>
      <c r="BA13" s="235">
        <f>ROUND(('Hours Per Job'!BA13*$B$36),2)+ROUND(('Parts Cost Per Job'!BA13)*((1+$B$37)*$B$38),2)</f>
        <v>0</v>
      </c>
      <c r="BB13" s="235">
        <f>ROUND(('Hours Per Job'!BB13*$B$36),2)+ROUND(('Parts Cost Per Job'!BB13)*((1+$B$37)*$B$38),2)</f>
        <v>91.21</v>
      </c>
      <c r="BC13" s="235">
        <f>ROUND(('Hours Per Job'!BC13*$B$36),2)+ROUND(('Parts Cost Per Job'!BC13)*((1+$B$37)*$B$38),2)</f>
        <v>0</v>
      </c>
      <c r="BD13" s="235">
        <f>ROUND(('Hours Per Job'!BD13*$B$36),2)+ROUND(('Parts Cost Per Job'!BD13)*((1+$B$37)*$B$38),2)</f>
        <v>0</v>
      </c>
      <c r="BE13" s="235">
        <f>ROUND(('Hours Per Job'!BE13*$B$36),2)+ROUND(('Parts Cost Per Job'!BE13)*((1+$B$37)*$B$38),2)</f>
        <v>0</v>
      </c>
      <c r="BF13" s="235">
        <f>ROUND(('Hours Per Job'!BF13*$B$36),2)+ROUND(('Parts Cost Per Job'!BF13)*((1+$B$37)*$B$38),2)</f>
        <v>0</v>
      </c>
      <c r="BG13" s="235">
        <f>ROUND(('Hours Per Job'!BG13*$B$36),2)+ROUND(('Parts Cost Per Job'!BG13)*((1+$B$37)*$B$38),2)</f>
        <v>0</v>
      </c>
      <c r="BH13" s="235">
        <f>ROUND(('Hours Per Job'!BH13*$B$36),2)+ROUND(('Parts Cost Per Job'!BH13)*((1+$B$37)*$B$38),2)</f>
        <v>131.04</v>
      </c>
      <c r="BI13" s="235">
        <f>ROUND(('Hours Per Job'!BI13*$B$36),2)+ROUND(('Parts Cost Per Job'!BI13)*((1+$B$37)*$B$38),2)</f>
        <v>0</v>
      </c>
      <c r="BJ13" s="235">
        <f>ROUND(('Hours Per Job'!BJ13*$B$36),2)+ROUND(('Parts Cost Per Job'!BJ13)*((1+$B$37)*$B$38),2)</f>
        <v>30</v>
      </c>
      <c r="BK13" s="235">
        <f>ROUND(('Hours Per Job'!BK13*$B$36),2)+ROUND(('Parts Cost Per Job'!BK13)*((1+$B$37)*$B$38),2)</f>
        <v>0</v>
      </c>
      <c r="BL13" s="235">
        <f>ROUND(('Hours Per Job'!BL13*$B$36),2)+ROUND(('Parts Cost Per Job'!BL13)*((1+$B$37)*$B$38),2)</f>
        <v>0</v>
      </c>
      <c r="BM13" s="235">
        <f>ROUND(('Hours Per Job'!BM13*$B$36),2)+ROUND(('Parts Cost Per Job'!BM13)*((1+$B$37)*$B$38),2)</f>
        <v>0</v>
      </c>
      <c r="BN13" s="235">
        <f>ROUND(('Hours Per Job'!BN13*$B$36),2)+ROUND(('Parts Cost Per Job'!BN13)*((1+$B$37)*$B$38),2)</f>
        <v>202.18</v>
      </c>
      <c r="BO13" s="235">
        <f>ROUND(('Hours Per Job'!BO13*$B$36),2)+ROUND(('Parts Cost Per Job'!BO13)*((1+$B$37)*$B$38),2)</f>
        <v>71.069999999999993</v>
      </c>
      <c r="BP13" s="235">
        <f>ROUND(('Hours Per Job'!BP13*$B$36),2)+ROUND(('Parts Cost Per Job'!BP13)*((1+$B$37)*$B$38),2)</f>
        <v>126</v>
      </c>
    </row>
    <row r="14" spans="1:68" x14ac:dyDescent="0.2">
      <c r="A14" s="226" t="str">
        <f>'Scheduled Intervals'!A14</f>
        <v>Wheel Loader</v>
      </c>
      <c r="B14" s="227">
        <f>ROUND(('Hours Per Job'!B14*$B$36),2)+ROUND(('Parts Cost Per Job'!B14)*((1+$B$37)*$B$38),2)</f>
        <v>200.51999999999998</v>
      </c>
      <c r="C14" s="237">
        <f>ROUND(('Hours Per Job'!C14*$B$36),2)+ROUND(('Parts Cost Per Job'!C14)*((1+$B$37)*$B$38),2)</f>
        <v>36</v>
      </c>
      <c r="D14" s="237">
        <f>ROUND(('Hours Per Job'!D14*$B$36),2)+ROUND(('Parts Cost Per Job'!D14)*((1+$B$37)*$B$38),2)</f>
        <v>12</v>
      </c>
      <c r="E14" s="237">
        <f>ROUND(('Hours Per Job'!E14*$B$36),2)+ROUND(('Parts Cost Per Job'!E14)*((1+$B$37)*$B$38),2)</f>
        <v>0</v>
      </c>
      <c r="F14" s="237">
        <f>ROUND(('Hours Per Job'!F14*$B$36),2)+ROUND(('Parts Cost Per Job'!F14)*((1+$B$37)*$B$38),2)</f>
        <v>0</v>
      </c>
      <c r="G14" s="237">
        <f>ROUND(('Hours Per Job'!G14*$B$36),2)+ROUND(('Parts Cost Per Job'!G14)*((1+$B$37)*$B$38),2)</f>
        <v>0</v>
      </c>
      <c r="H14" s="238">
        <f>ROUND(('Hours Per Job'!H14*$B$36),2)+ROUND(('Parts Cost Per Job'!H14)*((1+$B$37)*$B$38),2)</f>
        <v>59.07</v>
      </c>
      <c r="I14" s="237">
        <f>ROUND(('Hours Per Job'!I14*$B$36),2)+ROUND(('Parts Cost Per Job'!I14)*((1+$B$37)*$B$38),2)</f>
        <v>30</v>
      </c>
      <c r="J14" s="237">
        <f>ROUND(('Hours Per Job'!J14*$B$36),2)+ROUND(('Parts Cost Per Job'!J14)*((1+$B$37)*$B$38),2)</f>
        <v>0</v>
      </c>
      <c r="K14" s="237">
        <f>ROUND(('Hours Per Job'!K14*$B$36),2)+ROUND(('Parts Cost Per Job'!K14)*((1+$B$37)*$B$38),2)</f>
        <v>0</v>
      </c>
      <c r="L14" s="237">
        <f>ROUND(('Hours Per Job'!L14*$B$36),2)+ROUND(('Parts Cost Per Job'!L14)*((1+$B$37)*$B$38),2)</f>
        <v>0</v>
      </c>
      <c r="M14" s="237">
        <f>ROUND(('Hours Per Job'!M14*$B$36),2)+ROUND(('Parts Cost Per Job'!M14)*((1+$B$37)*$B$38),2)</f>
        <v>0</v>
      </c>
      <c r="N14" s="237">
        <f>ROUND(('Hours Per Job'!N14*$B$36),2)+ROUND(('Parts Cost Per Job'!N14)*((1+$B$37)*$B$38),2)</f>
        <v>0</v>
      </c>
      <c r="O14" s="237">
        <f>ROUND(('Hours Per Job'!O14*$B$36),2)+ROUND(('Parts Cost Per Job'!O14)*((1+$B$37)*$B$38),2)</f>
        <v>0</v>
      </c>
      <c r="P14" s="239">
        <f>ROUND(('Hours Per Job'!P14*$B$36),2)+ROUND(('Parts Cost Per Job'!P14)*((1+$B$37)*$B$38),2)</f>
        <v>0</v>
      </c>
      <c r="Q14" s="240">
        <f>ROUND(('Hours Per Job'!Q14*$B$36),2)+ROUND(('Parts Cost Per Job'!Q14)*((1+$B$37)*$B$38),2)</f>
        <v>0</v>
      </c>
      <c r="R14" s="241">
        <f>ROUND(('Hours Per Job'!R14*$B$36),2)+ROUND(('Parts Cost Per Job'!R14)*((1+$B$37)*$B$38),2)</f>
        <v>312.33</v>
      </c>
      <c r="S14" s="241">
        <f>ROUND(('Hours Per Job'!S14*$B$36),2)+ROUND(('Parts Cost Per Job'!S14)*((1+$B$37)*$B$38),2)</f>
        <v>0</v>
      </c>
      <c r="T14" s="242">
        <f>ROUND(('Hours Per Job'!T14*$B$36),2)+ROUND(('Parts Cost Per Job'!T14)*((1+$B$37)*$B$38),2)</f>
        <v>0</v>
      </c>
      <c r="U14" s="234">
        <f>ROUND(('Hours Per Job'!U14*$B$36),2)+ROUND(('Parts Cost Per Job'!U14)*((1+$B$37)*$B$38),2)</f>
        <v>200.51999999999998</v>
      </c>
      <c r="V14" s="235">
        <f>ROUND(('Hours Per Job'!V14*$B$36),2)+ROUND(('Parts Cost Per Job'!V14)*((1+$B$37)*$B$38),2)</f>
        <v>113.38</v>
      </c>
      <c r="W14" s="235">
        <f>ROUND(('Hours Per Job'!W14*$B$36),2)+ROUND(('Parts Cost Per Job'!W14)*((1+$B$37)*$B$38),2)</f>
        <v>0</v>
      </c>
      <c r="X14" s="235">
        <f>ROUND(('Hours Per Job'!X14*$B$36),2)+ROUND(('Parts Cost Per Job'!X14)*((1+$B$37)*$B$38),2)</f>
        <v>83.33</v>
      </c>
      <c r="Y14" s="235">
        <f>ROUND(('Hours Per Job'!Y14*$B$36),2)+ROUND(('Parts Cost Per Job'!Y14)*((1+$B$37)*$B$38),2)</f>
        <v>0</v>
      </c>
      <c r="Z14" s="235">
        <f>ROUND(('Hours Per Job'!Z14*$B$36),2)+ROUND(('Parts Cost Per Job'!Z14)*((1+$B$37)*$B$38),2)</f>
        <v>127.69</v>
      </c>
      <c r="AA14" s="235">
        <f>ROUND(('Hours Per Job'!AA14*$B$36),2)+ROUND(('Parts Cost Per Job'!AA14)*((1+$B$37)*$B$38),2)</f>
        <v>0</v>
      </c>
      <c r="AB14" s="235">
        <f>ROUND(('Hours Per Job'!AB14*$B$36),2)+ROUND(('Parts Cost Per Job'!AB14)*((1+$B$37)*$B$38),2)</f>
        <v>0</v>
      </c>
      <c r="AC14" s="235">
        <f>ROUND(('Hours Per Job'!AC14*$B$36),2)+ROUND(('Parts Cost Per Job'!AC14)*((1+$B$37)*$B$38),2)</f>
        <v>0</v>
      </c>
      <c r="AD14" s="235">
        <f>ROUND(('Hours Per Job'!AD14*$B$36),2)+ROUND(('Parts Cost Per Job'!AD14)*((1+$B$37)*$B$38),2)</f>
        <v>0</v>
      </c>
      <c r="AE14" s="235">
        <f>ROUND(('Hours Per Job'!AE14*$B$36),2)+ROUND(('Parts Cost Per Job'!AE14)*((1+$B$37)*$B$38),2)</f>
        <v>0</v>
      </c>
      <c r="AF14" s="235">
        <f>ROUND(('Hours Per Job'!AF14*$B$36),2)+ROUND(('Parts Cost Per Job'!AF14)*((1+$B$37)*$B$38),2)</f>
        <v>0</v>
      </c>
      <c r="AG14" s="235">
        <f>ROUND(('Hours Per Job'!AG14*$B$36),2)+ROUND(('Parts Cost Per Job'!AG14)*((1+$B$37)*$B$38),2)</f>
        <v>154.35</v>
      </c>
      <c r="AH14" s="235">
        <f>ROUND(('Hours Per Job'!AH14*$B$36),2)+ROUND(('Parts Cost Per Job'!AH14)*((1+$B$37)*$B$38),2)</f>
        <v>0</v>
      </c>
      <c r="AI14" s="235">
        <f>ROUND(('Hours Per Job'!AI14*$B$36),2)+ROUND(('Parts Cost Per Job'!AI14)*((1+$B$37)*$B$38),2)</f>
        <v>715.81</v>
      </c>
      <c r="AJ14" s="235">
        <f>ROUND(('Hours Per Job'!AJ14*$B$36),2)+ROUND(('Parts Cost Per Job'!AJ14)*((1+$B$37)*$B$38),2)</f>
        <v>192.32999999999998</v>
      </c>
      <c r="AK14" s="235">
        <f>ROUND(('Hours Per Job'!AK14*$B$36),2)+ROUND(('Parts Cost Per Job'!AK14)*((1+$B$37)*$B$38),2)</f>
        <v>0</v>
      </c>
      <c r="AL14" s="235">
        <f>ROUND(('Hours Per Job'!AL14*$B$36),2)+ROUND(('Parts Cost Per Job'!AL14)*((1+$B$37)*$B$38),2)</f>
        <v>0</v>
      </c>
      <c r="AM14" s="235">
        <f>ROUND(('Hours Per Job'!AM14*$B$36),2)+ROUND(('Parts Cost Per Job'!AM14)*((1+$B$37)*$B$38),2)</f>
        <v>0</v>
      </c>
      <c r="AN14" s="235">
        <f>ROUND(('Hours Per Job'!AN14*$B$36),2)+ROUND(('Parts Cost Per Job'!AN14)*((1+$B$37)*$B$38),2)</f>
        <v>0</v>
      </c>
      <c r="AO14" s="235">
        <f>ROUND(('Hours Per Job'!AO14*$B$36),2)+ROUND(('Parts Cost Per Job'!AO14)*((1+$B$37)*$B$38),2)</f>
        <v>0</v>
      </c>
      <c r="AP14" s="235">
        <f>ROUND(('Hours Per Job'!AP14*$B$36),2)+ROUND(('Parts Cost Per Job'!AP14)*((1+$B$37)*$B$38),2)</f>
        <v>36</v>
      </c>
      <c r="AQ14" s="235">
        <f>ROUND(('Hours Per Job'!AQ14*$B$36),2)+ROUND(('Parts Cost Per Job'!AQ14)*((1+$B$37)*$B$38),2)</f>
        <v>0</v>
      </c>
      <c r="AR14" s="235">
        <f>ROUND(('Hours Per Job'!AR14*$B$36),2)+ROUND(('Parts Cost Per Job'!AR14)*((1+$B$37)*$B$38),2)</f>
        <v>0</v>
      </c>
      <c r="AS14" s="235">
        <f>ROUND(('Hours Per Job'!AS14*$B$36),2)+ROUND(('Parts Cost Per Job'!AS14)*((1+$B$37)*$B$38),2)</f>
        <v>134.48000000000002</v>
      </c>
      <c r="AT14" s="235">
        <f>ROUND(('Hours Per Job'!AT14*$B$36),2)+ROUND(('Parts Cost Per Job'!AT14)*((1+$B$37)*$B$38),2)</f>
        <v>59.07</v>
      </c>
      <c r="AU14" s="235">
        <f>ROUND(('Hours Per Job'!AU14*$B$36),2)+ROUND(('Parts Cost Per Job'!AU14)*((1+$B$37)*$B$38),2)</f>
        <v>0</v>
      </c>
      <c r="AV14" s="235">
        <f>ROUND(('Hours Per Job'!AV14*$B$36),2)+ROUND(('Parts Cost Per Job'!AV14)*((1+$B$37)*$B$38),2)</f>
        <v>0</v>
      </c>
      <c r="AW14" s="235">
        <f>ROUND(('Hours Per Job'!AW14*$B$36),2)+ROUND(('Parts Cost Per Job'!AW14)*((1+$B$37)*$B$38),2)</f>
        <v>687.41</v>
      </c>
      <c r="AX14" s="235">
        <f>ROUND(('Hours Per Job'!AX14*$B$36),2)+ROUND(('Parts Cost Per Job'!AX14)*((1+$B$37)*$B$38),2)</f>
        <v>0</v>
      </c>
      <c r="AY14" s="235">
        <f>ROUND(('Hours Per Job'!AY14*$B$36),2)+ROUND(('Parts Cost Per Job'!AY14)*((1+$B$37)*$B$38),2)</f>
        <v>0</v>
      </c>
      <c r="AZ14" s="235">
        <f>ROUND(('Hours Per Job'!AZ14*$B$36),2)+ROUND(('Parts Cost Per Job'!AZ14)*((1+$B$37)*$B$38),2)</f>
        <v>0</v>
      </c>
      <c r="BA14" s="235">
        <f>ROUND(('Hours Per Job'!BA14*$B$36),2)+ROUND(('Parts Cost Per Job'!BA14)*((1+$B$37)*$B$38),2)</f>
        <v>0</v>
      </c>
      <c r="BB14" s="235">
        <f>ROUND(('Hours Per Job'!BB14*$B$36),2)+ROUND(('Parts Cost Per Job'!BB14)*((1+$B$37)*$B$38),2)</f>
        <v>181.1</v>
      </c>
      <c r="BC14" s="235">
        <f>ROUND(('Hours Per Job'!BC14*$B$36),2)+ROUND(('Parts Cost Per Job'!BC14)*((1+$B$37)*$B$38),2)</f>
        <v>0</v>
      </c>
      <c r="BD14" s="235">
        <f>ROUND(('Hours Per Job'!BD14*$B$36),2)+ROUND(('Parts Cost Per Job'!BD14)*((1+$B$37)*$B$38),2)</f>
        <v>0</v>
      </c>
      <c r="BE14" s="235">
        <f>ROUND(('Hours Per Job'!BE14*$B$36),2)+ROUND(('Parts Cost Per Job'!BE14)*((1+$B$37)*$B$38),2)</f>
        <v>24</v>
      </c>
      <c r="BF14" s="235">
        <f>ROUND(('Hours Per Job'!BF14*$B$36),2)+ROUND(('Parts Cost Per Job'!BF14)*((1+$B$37)*$B$38),2)</f>
        <v>0</v>
      </c>
      <c r="BG14" s="235">
        <f>ROUND(('Hours Per Job'!BG14*$B$36),2)+ROUND(('Parts Cost Per Job'!BG14)*((1+$B$37)*$B$38),2)</f>
        <v>0</v>
      </c>
      <c r="BH14" s="235">
        <f>ROUND(('Hours Per Job'!BH14*$B$36),2)+ROUND(('Parts Cost Per Job'!BH14)*((1+$B$37)*$B$38),2)</f>
        <v>143.04</v>
      </c>
      <c r="BI14" s="235">
        <f>ROUND(('Hours Per Job'!BI14*$B$36),2)+ROUND(('Parts Cost Per Job'!BI14)*((1+$B$37)*$B$38),2)</f>
        <v>0</v>
      </c>
      <c r="BJ14" s="235">
        <f>ROUND(('Hours Per Job'!BJ14*$B$36),2)+ROUND(('Parts Cost Per Job'!BJ14)*((1+$B$37)*$B$38),2)</f>
        <v>30</v>
      </c>
      <c r="BK14" s="235">
        <f>ROUND(('Hours Per Job'!BK14*$B$36),2)+ROUND(('Parts Cost Per Job'!BK14)*((1+$B$37)*$B$38),2)</f>
        <v>0</v>
      </c>
      <c r="BL14" s="235">
        <f>ROUND(('Hours Per Job'!BL14*$B$36),2)+ROUND(('Parts Cost Per Job'!BL14)*((1+$B$37)*$B$38),2)</f>
        <v>0</v>
      </c>
      <c r="BM14" s="235">
        <f>ROUND(('Hours Per Job'!BM14*$B$36),2)+ROUND(('Parts Cost Per Job'!BM14)*((1+$B$37)*$B$38),2)</f>
        <v>0</v>
      </c>
      <c r="BN14" s="235">
        <f>ROUND(('Hours Per Job'!BN14*$B$36),2)+ROUND(('Parts Cost Per Job'!BN14)*((1+$B$37)*$B$38),2)</f>
        <v>200.51999999999998</v>
      </c>
      <c r="BO14" s="235">
        <f>ROUND(('Hours Per Job'!BO14*$B$36),2)+ROUND(('Parts Cost Per Job'!BO14)*((1+$B$37)*$B$38),2)</f>
        <v>59.07</v>
      </c>
      <c r="BP14" s="235">
        <f>ROUND(('Hours Per Job'!BP14*$B$36),2)+ROUND(('Parts Cost Per Job'!BP14)*((1+$B$37)*$B$38),2)</f>
        <v>126</v>
      </c>
    </row>
    <row r="15" spans="1:68" x14ac:dyDescent="0.2">
      <c r="A15" s="226" t="str">
        <f>'Scheduled Intervals'!A15</f>
        <v>Telehandler</v>
      </c>
      <c r="B15" s="227">
        <f>ROUND(('Hours Per Job'!B15*$B$36),2)+ROUND(('Parts Cost Per Job'!B15)*((1+$B$37)*$B$38),2)</f>
        <v>279.43</v>
      </c>
      <c r="C15" s="237">
        <f>ROUND(('Hours Per Job'!C15*$B$36),2)+ROUND(('Parts Cost Per Job'!C15)*((1+$B$37)*$B$38),2)</f>
        <v>36</v>
      </c>
      <c r="D15" s="237">
        <f>ROUND(('Hours Per Job'!D15*$B$36),2)+ROUND(('Parts Cost Per Job'!D15)*((1+$B$37)*$B$38),2)</f>
        <v>12</v>
      </c>
      <c r="E15" s="237">
        <f>ROUND(('Hours Per Job'!E15*$B$36),2)+ROUND(('Parts Cost Per Job'!E15)*((1+$B$37)*$B$38),2)</f>
        <v>0</v>
      </c>
      <c r="F15" s="237">
        <f>ROUND(('Hours Per Job'!F15*$B$36),2)+ROUND(('Parts Cost Per Job'!F15)*((1+$B$37)*$B$38),2)</f>
        <v>0</v>
      </c>
      <c r="G15" s="237">
        <f>ROUND(('Hours Per Job'!G15*$B$36),2)+ROUND(('Parts Cost Per Job'!G15)*((1+$B$37)*$B$38),2)</f>
        <v>0</v>
      </c>
      <c r="H15" s="238">
        <f>ROUND(('Hours Per Job'!H15*$B$36),2)+ROUND(('Parts Cost Per Job'!H15)*((1+$B$37)*$B$38),2)</f>
        <v>59.07</v>
      </c>
      <c r="I15" s="237">
        <f>ROUND(('Hours Per Job'!I15*$B$36),2)+ROUND(('Parts Cost Per Job'!I15)*((1+$B$37)*$B$38),2)</f>
        <v>30</v>
      </c>
      <c r="J15" s="237">
        <f>ROUND(('Hours Per Job'!J15*$B$36),2)+ROUND(('Parts Cost Per Job'!J15)*((1+$B$37)*$B$38),2)</f>
        <v>0</v>
      </c>
      <c r="K15" s="237">
        <f>ROUND(('Hours Per Job'!K15*$B$36),2)+ROUND(('Parts Cost Per Job'!K15)*((1+$B$37)*$B$38),2)</f>
        <v>0</v>
      </c>
      <c r="L15" s="237">
        <f>ROUND(('Hours Per Job'!L15*$B$36),2)+ROUND(('Parts Cost Per Job'!L15)*((1+$B$37)*$B$38),2)</f>
        <v>0</v>
      </c>
      <c r="M15" s="237">
        <f>ROUND(('Hours Per Job'!M15*$B$36),2)+ROUND(('Parts Cost Per Job'!M15)*((1+$B$37)*$B$38),2)</f>
        <v>0</v>
      </c>
      <c r="N15" s="237">
        <f>ROUND(('Hours Per Job'!N15*$B$36),2)+ROUND(('Parts Cost Per Job'!N15)*((1+$B$37)*$B$38),2)</f>
        <v>0</v>
      </c>
      <c r="O15" s="237">
        <f>ROUND(('Hours Per Job'!O15*$B$36),2)+ROUND(('Parts Cost Per Job'!O15)*((1+$B$37)*$B$38),2)</f>
        <v>0</v>
      </c>
      <c r="P15" s="239">
        <f>ROUND(('Hours Per Job'!P15*$B$36),2)+ROUND(('Parts Cost Per Job'!P15)*((1+$B$37)*$B$38),2)</f>
        <v>0</v>
      </c>
      <c r="Q15" s="240">
        <f>ROUND(('Hours Per Job'!Q15*$B$36),2)+ROUND(('Parts Cost Per Job'!Q15)*((1+$B$37)*$B$38),2)</f>
        <v>0</v>
      </c>
      <c r="R15" s="241">
        <f>ROUND(('Hours Per Job'!R15*$B$36),2)+ROUND(('Parts Cost Per Job'!R15)*((1+$B$37)*$B$38),2)</f>
        <v>196.51</v>
      </c>
      <c r="S15" s="241">
        <f>ROUND(('Hours Per Job'!S15*$B$36),2)+ROUND(('Parts Cost Per Job'!S15)*((1+$B$37)*$B$38),2)</f>
        <v>0</v>
      </c>
      <c r="T15" s="242">
        <f>ROUND(('Hours Per Job'!T15*$B$36),2)+ROUND(('Parts Cost Per Job'!T15)*((1+$B$37)*$B$38),2)</f>
        <v>0</v>
      </c>
      <c r="U15" s="234">
        <f>ROUND(('Hours Per Job'!U15*$B$36),2)+ROUND(('Parts Cost Per Job'!U15)*((1+$B$37)*$B$38),2)</f>
        <v>279.43</v>
      </c>
      <c r="V15" s="235">
        <f>ROUND(('Hours Per Job'!V15*$B$36),2)+ROUND(('Parts Cost Per Job'!V15)*((1+$B$37)*$B$38),2)</f>
        <v>0</v>
      </c>
      <c r="W15" s="235">
        <f>ROUND(('Hours Per Job'!W15*$B$36),2)+ROUND(('Parts Cost Per Job'!W15)*((1+$B$37)*$B$38),2)</f>
        <v>36</v>
      </c>
      <c r="X15" s="235">
        <f>ROUND(('Hours Per Job'!X15*$B$36),2)+ROUND(('Parts Cost Per Job'!X15)*((1+$B$37)*$B$38),2)</f>
        <v>83.84</v>
      </c>
      <c r="Y15" s="235">
        <f>ROUND(('Hours Per Job'!Y15*$B$36),2)+ROUND(('Parts Cost Per Job'!Y15)*((1+$B$37)*$B$38),2)</f>
        <v>12</v>
      </c>
      <c r="Z15" s="235">
        <f>ROUND(('Hours Per Job'!Z15*$B$36),2)+ROUND(('Parts Cost Per Job'!Z15)*((1+$B$37)*$B$38),2)</f>
        <v>81.52</v>
      </c>
      <c r="AA15" s="235">
        <f>ROUND(('Hours Per Job'!AA15*$B$36),2)+ROUND(('Parts Cost Per Job'!AA15)*((1+$B$37)*$B$38),2)</f>
        <v>0</v>
      </c>
      <c r="AB15" s="235">
        <f>ROUND(('Hours Per Job'!AB15*$B$36),2)+ROUND(('Parts Cost Per Job'!AB15)*((1+$B$37)*$B$38),2)</f>
        <v>0</v>
      </c>
      <c r="AC15" s="235">
        <f>ROUND(('Hours Per Job'!AC15*$B$36),2)+ROUND(('Parts Cost Per Job'!AC15)*((1+$B$37)*$B$38),2)</f>
        <v>0</v>
      </c>
      <c r="AD15" s="235">
        <f>ROUND(('Hours Per Job'!AD15*$B$36),2)+ROUND(('Parts Cost Per Job'!AD15)*((1+$B$37)*$B$38),2)</f>
        <v>0</v>
      </c>
      <c r="AE15" s="235">
        <f>ROUND(('Hours Per Job'!AE15*$B$36),2)+ROUND(('Parts Cost Per Job'!AE15)*((1+$B$37)*$B$38),2)</f>
        <v>0</v>
      </c>
      <c r="AF15" s="235">
        <f>ROUND(('Hours Per Job'!AF15*$B$36),2)+ROUND(('Parts Cost Per Job'!AF15)*((1+$B$37)*$B$38),2)</f>
        <v>0</v>
      </c>
      <c r="AG15" s="235">
        <f>ROUND(('Hours Per Job'!AG15*$B$36),2)+ROUND(('Parts Cost Per Job'!AG15)*((1+$B$37)*$B$38),2)</f>
        <v>178.42000000000002</v>
      </c>
      <c r="AH15" s="235">
        <f>ROUND(('Hours Per Job'!AH15*$B$36),2)+ROUND(('Parts Cost Per Job'!AH15)*((1+$B$37)*$B$38),2)</f>
        <v>0</v>
      </c>
      <c r="AI15" s="235">
        <f>ROUND(('Hours Per Job'!AI15*$B$36),2)+ROUND(('Parts Cost Per Job'!AI15)*((1+$B$37)*$B$38),2)</f>
        <v>737.56999999999994</v>
      </c>
      <c r="AJ15" s="235">
        <f>ROUND(('Hours Per Job'!AJ15*$B$36),2)+ROUND(('Parts Cost Per Job'!AJ15)*((1+$B$37)*$B$38),2)</f>
        <v>0</v>
      </c>
      <c r="AK15" s="235">
        <f>ROUND(('Hours Per Job'!AK15*$B$36),2)+ROUND(('Parts Cost Per Job'!AK15)*((1+$B$37)*$B$38),2)</f>
        <v>0</v>
      </c>
      <c r="AL15" s="235">
        <f>ROUND(('Hours Per Job'!AL15*$B$36),2)+ROUND(('Parts Cost Per Job'!AL15)*((1+$B$37)*$B$38),2)</f>
        <v>0</v>
      </c>
      <c r="AM15" s="235">
        <f>ROUND(('Hours Per Job'!AM15*$B$36),2)+ROUND(('Parts Cost Per Job'!AM15)*((1+$B$37)*$B$38),2)</f>
        <v>0</v>
      </c>
      <c r="AN15" s="235">
        <f>ROUND(('Hours Per Job'!AN15*$B$36),2)+ROUND(('Parts Cost Per Job'!AN15)*((1+$B$37)*$B$38),2)</f>
        <v>0</v>
      </c>
      <c r="AO15" s="235">
        <f>ROUND(('Hours Per Job'!AO15*$B$36),2)+ROUND(('Parts Cost Per Job'!AO15)*((1+$B$37)*$B$38),2)</f>
        <v>0</v>
      </c>
      <c r="AP15" s="235">
        <f>ROUND(('Hours Per Job'!AP15*$B$36),2)+ROUND(('Parts Cost Per Job'!AP15)*((1+$B$37)*$B$38),2)</f>
        <v>36</v>
      </c>
      <c r="AQ15" s="235">
        <f>ROUND(('Hours Per Job'!AQ15*$B$36),2)+ROUND(('Parts Cost Per Job'!AQ15)*((1+$B$37)*$B$38),2)</f>
        <v>0</v>
      </c>
      <c r="AR15" s="235">
        <f>ROUND(('Hours Per Job'!AR15*$B$36),2)+ROUND(('Parts Cost Per Job'!AR15)*((1+$B$37)*$B$38),2)</f>
        <v>0</v>
      </c>
      <c r="AS15" s="235">
        <f>ROUND(('Hours Per Job'!AS15*$B$36),2)+ROUND(('Parts Cost Per Job'!AS15)*((1+$B$37)*$B$38),2)</f>
        <v>121.15</v>
      </c>
      <c r="AT15" s="235">
        <f>ROUND(('Hours Per Job'!AT15*$B$36),2)+ROUND(('Parts Cost Per Job'!AT15)*((1+$B$37)*$B$38),2)</f>
        <v>59.07</v>
      </c>
      <c r="AU15" s="235">
        <f>ROUND(('Hours Per Job'!AU15*$B$36),2)+ROUND(('Parts Cost Per Job'!AU15)*((1+$B$37)*$B$38),2)</f>
        <v>0</v>
      </c>
      <c r="AV15" s="235">
        <f>ROUND(('Hours Per Job'!AV15*$B$36),2)+ROUND(('Parts Cost Per Job'!AV15)*((1+$B$37)*$B$38),2)</f>
        <v>0</v>
      </c>
      <c r="AW15" s="235">
        <f>ROUND(('Hours Per Job'!AW15*$B$36),2)+ROUND(('Parts Cost Per Job'!AW15)*((1+$B$37)*$B$38),2)</f>
        <v>697.97</v>
      </c>
      <c r="AX15" s="235">
        <f>ROUND(('Hours Per Job'!AX15*$B$36),2)+ROUND(('Parts Cost Per Job'!AX15)*((1+$B$37)*$B$38),2)</f>
        <v>0</v>
      </c>
      <c r="AY15" s="235">
        <f>ROUND(('Hours Per Job'!AY15*$B$36),2)+ROUND(('Parts Cost Per Job'!AY15)*((1+$B$37)*$B$38),2)</f>
        <v>0</v>
      </c>
      <c r="AZ15" s="235">
        <f>ROUND(('Hours Per Job'!AZ15*$B$36),2)+ROUND(('Parts Cost Per Job'!AZ15)*((1+$B$37)*$B$38),2)</f>
        <v>0</v>
      </c>
      <c r="BA15" s="235">
        <f>ROUND(('Hours Per Job'!BA15*$B$36),2)+ROUND(('Parts Cost Per Job'!BA15)*((1+$B$37)*$B$38),2)</f>
        <v>0</v>
      </c>
      <c r="BB15" s="235">
        <f>ROUND(('Hours Per Job'!BB15*$B$36),2)+ROUND(('Parts Cost Per Job'!BB15)*((1+$B$37)*$B$38),2)</f>
        <v>56.77</v>
      </c>
      <c r="BC15" s="235">
        <f>ROUND(('Hours Per Job'!BC15*$B$36),2)+ROUND(('Parts Cost Per Job'!BC15)*((1+$B$37)*$B$38),2)</f>
        <v>0</v>
      </c>
      <c r="BD15" s="235">
        <f>ROUND(('Hours Per Job'!BD15*$B$36),2)+ROUND(('Parts Cost Per Job'!BD15)*((1+$B$37)*$B$38),2)</f>
        <v>0</v>
      </c>
      <c r="BE15" s="235">
        <f>ROUND(('Hours Per Job'!BE15*$B$36),2)+ROUND(('Parts Cost Per Job'!BE15)*((1+$B$37)*$B$38),2)</f>
        <v>24</v>
      </c>
      <c r="BF15" s="235">
        <f>ROUND(('Hours Per Job'!BF15*$B$36),2)+ROUND(('Parts Cost Per Job'!BF15)*((1+$B$37)*$B$38),2)</f>
        <v>0</v>
      </c>
      <c r="BG15" s="235">
        <f>ROUND(('Hours Per Job'!BG15*$B$36),2)+ROUND(('Parts Cost Per Job'!BG15)*((1+$B$37)*$B$38),2)</f>
        <v>0</v>
      </c>
      <c r="BH15" s="235">
        <f>ROUND(('Hours Per Job'!BH15*$B$36),2)+ROUND(('Parts Cost Per Job'!BH15)*((1+$B$37)*$B$38),2)</f>
        <v>143.04</v>
      </c>
      <c r="BI15" s="235">
        <f>ROUND(('Hours Per Job'!BI15*$B$36),2)+ROUND(('Parts Cost Per Job'!BI15)*((1+$B$37)*$B$38),2)</f>
        <v>0</v>
      </c>
      <c r="BJ15" s="235">
        <f>ROUND(('Hours Per Job'!BJ15*$B$36),2)+ROUND(('Parts Cost Per Job'!BJ15)*((1+$B$37)*$B$38),2)</f>
        <v>30</v>
      </c>
      <c r="BK15" s="235">
        <f>ROUND(('Hours Per Job'!BK15*$B$36),2)+ROUND(('Parts Cost Per Job'!BK15)*((1+$B$37)*$B$38),2)</f>
        <v>0</v>
      </c>
      <c r="BL15" s="235">
        <f>ROUND(('Hours Per Job'!BL15*$B$36),2)+ROUND(('Parts Cost Per Job'!BL15)*((1+$B$37)*$B$38),2)</f>
        <v>0</v>
      </c>
      <c r="BM15" s="235">
        <f>ROUND(('Hours Per Job'!BM15*$B$36),2)+ROUND(('Parts Cost Per Job'!BM15)*((1+$B$37)*$B$38),2)</f>
        <v>0</v>
      </c>
      <c r="BN15" s="235">
        <f>ROUND(('Hours Per Job'!BN15*$B$36),2)+ROUND(('Parts Cost Per Job'!BN15)*((1+$B$37)*$B$38),2)</f>
        <v>279.43</v>
      </c>
      <c r="BO15" s="235">
        <f>ROUND(('Hours Per Job'!BO15*$B$36),2)+ROUND(('Parts Cost Per Job'!BO15)*((1+$B$37)*$B$38),2)</f>
        <v>59.07</v>
      </c>
      <c r="BP15" s="235">
        <f>ROUND(('Hours Per Job'!BP15*$B$36),2)+ROUND(('Parts Cost Per Job'!BP15)*((1+$B$37)*$B$38),2)</f>
        <v>126</v>
      </c>
    </row>
    <row r="16" spans="1:68" x14ac:dyDescent="0.2">
      <c r="A16" s="226" t="str">
        <f>'Scheduled Intervals'!A16</f>
        <v>Mahindra Emax</v>
      </c>
      <c r="B16" s="227">
        <f>ROUND(('Hours Per Job'!B16*$B$36),2)+ROUND(('Parts Cost Per Job'!B16)*((1+$B$37)*$B$38),2)</f>
        <v>85.460000000000008</v>
      </c>
      <c r="C16" s="237">
        <f>ROUND(('Hours Per Job'!C16*$B$36),2)+ROUND(('Parts Cost Per Job'!C16)*((1+$B$37)*$B$38),2)</f>
        <v>0</v>
      </c>
      <c r="D16" s="237">
        <f>ROUND(('Hours Per Job'!D16*$B$36),2)+ROUND(('Parts Cost Per Job'!D16)*((1+$B$37)*$B$38),2)</f>
        <v>0</v>
      </c>
      <c r="E16" s="238">
        <f>ROUND(('Hours Per Job'!E16*$B$36),2)+ROUND(('Parts Cost Per Job'!E16)*((1+$B$37)*$B$38),2)</f>
        <v>269.02</v>
      </c>
      <c r="F16" s="237">
        <f>ROUND(('Hours Per Job'!F16*$B$36),2)+ROUND(('Parts Cost Per Job'!F16)*((1+$B$37)*$B$38),2)</f>
        <v>90.98</v>
      </c>
      <c r="G16" s="237">
        <f>ROUND(('Hours Per Job'!G16*$B$36),2)+ROUND(('Parts Cost Per Job'!G16)*((1+$B$37)*$B$38),2)</f>
        <v>0</v>
      </c>
      <c r="H16" s="238">
        <f>ROUND(('Hours Per Job'!H16*$B$36),2)+ROUND(('Parts Cost Per Job'!H16)*((1+$B$37)*$B$38),2)</f>
        <v>35.07</v>
      </c>
      <c r="I16" s="237">
        <f>ROUND(('Hours Per Job'!I16*$B$36),2)+ROUND(('Parts Cost Per Job'!I16)*((1+$B$37)*$B$38),2)</f>
        <v>30</v>
      </c>
      <c r="J16" s="237">
        <f>ROUND(('Hours Per Job'!J16*$B$36),2)+ROUND(('Parts Cost Per Job'!J16)*((1+$B$37)*$B$38),2)</f>
        <v>0</v>
      </c>
      <c r="K16" s="237">
        <f>ROUND(('Hours Per Job'!K16*$B$36),2)+ROUND(('Parts Cost Per Job'!K16)*((1+$B$37)*$B$38),2)</f>
        <v>0</v>
      </c>
      <c r="L16" s="237">
        <f>ROUND(('Hours Per Job'!L16*$B$36),2)+ROUND(('Parts Cost Per Job'!L16)*((1+$B$37)*$B$38),2)</f>
        <v>156.17000000000002</v>
      </c>
      <c r="M16" s="237">
        <f>ROUND(('Hours Per Job'!M16*$B$36),2)+ROUND(('Parts Cost Per Job'!M16)*((1+$B$37)*$B$38),2)</f>
        <v>0</v>
      </c>
      <c r="N16" s="237">
        <f>ROUND(('Hours Per Job'!N16*$B$36),2)+ROUND(('Parts Cost Per Job'!N16)*((1+$B$37)*$B$38),2)</f>
        <v>0</v>
      </c>
      <c r="O16" s="237">
        <f>ROUND(('Hours Per Job'!O16*$B$36),2)+ROUND(('Parts Cost Per Job'!O16)*((1+$B$37)*$B$38),2)</f>
        <v>0</v>
      </c>
      <c r="P16" s="239">
        <f>ROUND(('Hours Per Job'!P16*$B$36),2)+ROUND(('Parts Cost Per Job'!P16)*((1+$B$37)*$B$38),2)</f>
        <v>0</v>
      </c>
      <c r="Q16" s="240">
        <f>ROUND(('Hours Per Job'!Q16*$B$36),2)+ROUND(('Parts Cost Per Job'!Q16)*((1+$B$37)*$B$38),2)</f>
        <v>0</v>
      </c>
      <c r="R16" s="241">
        <f>ROUND(('Hours Per Job'!R16*$B$36),2)+ROUND(('Parts Cost Per Job'!R16)*((1+$B$37)*$B$38),2)</f>
        <v>0</v>
      </c>
      <c r="S16" s="241">
        <f>ROUND(('Hours Per Job'!S16*$B$36),2)+ROUND(('Parts Cost Per Job'!S16)*((1+$B$37)*$B$38),2)</f>
        <v>0</v>
      </c>
      <c r="T16" s="242">
        <f>ROUND(('Hours Per Job'!T16*$B$36),2)+ROUND(('Parts Cost Per Job'!T16)*((1+$B$37)*$B$38),2)</f>
        <v>0</v>
      </c>
      <c r="U16" s="234">
        <f>ROUND(('Hours Per Job'!U16*$B$36),2)+ROUND(('Parts Cost Per Job'!U16)*((1+$B$37)*$B$38),2)</f>
        <v>85.460000000000008</v>
      </c>
      <c r="V16" s="235">
        <f>ROUND(('Hours Per Job'!V16*$B$36),2)+ROUND(('Parts Cost Per Job'!V16)*((1+$B$37)*$B$38),2)</f>
        <v>0</v>
      </c>
      <c r="W16" s="235">
        <f>ROUND(('Hours Per Job'!W16*$B$36),2)+ROUND(('Parts Cost Per Job'!W16)*((1+$B$37)*$B$38),2)</f>
        <v>0</v>
      </c>
      <c r="X16" s="235">
        <f>ROUND(('Hours Per Job'!X16*$B$36),2)+ROUND(('Parts Cost Per Job'!X16)*((1+$B$37)*$B$38),2)</f>
        <v>0</v>
      </c>
      <c r="Y16" s="235">
        <f>ROUND(('Hours Per Job'!Y16*$B$36),2)+ROUND(('Parts Cost Per Job'!Y16)*((1+$B$37)*$B$38),2)</f>
        <v>0</v>
      </c>
      <c r="Z16" s="235">
        <f>ROUND(('Hours Per Job'!Z16*$B$36),2)+ROUND(('Parts Cost Per Job'!Z16)*((1+$B$37)*$B$38),2)</f>
        <v>72.289999999999992</v>
      </c>
      <c r="AA16" s="235">
        <f>ROUND(('Hours Per Job'!AA16*$B$36),2)+ROUND(('Parts Cost Per Job'!AA16)*((1+$B$37)*$B$38),2)</f>
        <v>0</v>
      </c>
      <c r="AB16" s="235">
        <f>ROUND(('Hours Per Job'!AB16*$B$36),2)+ROUND(('Parts Cost Per Job'!AB16)*((1+$B$37)*$B$38),2)</f>
        <v>269.02</v>
      </c>
      <c r="AC16" s="235">
        <f>ROUND(('Hours Per Job'!AC16*$B$36),2)+ROUND(('Parts Cost Per Job'!AC16)*((1+$B$37)*$B$38),2)</f>
        <v>0</v>
      </c>
      <c r="AD16" s="235">
        <f>ROUND(('Hours Per Job'!AD16*$B$36),2)+ROUND(('Parts Cost Per Job'!AD16)*((1+$B$37)*$B$38),2)</f>
        <v>0</v>
      </c>
      <c r="AE16" s="235">
        <f>ROUND(('Hours Per Job'!AE16*$B$36),2)+ROUND(('Parts Cost Per Job'!AE16)*((1+$B$37)*$B$38),2)</f>
        <v>90.98</v>
      </c>
      <c r="AF16" s="235">
        <f>ROUND(('Hours Per Job'!AF16*$B$36),2)+ROUND(('Parts Cost Per Job'!AF16)*((1+$B$37)*$B$38),2)</f>
        <v>0</v>
      </c>
      <c r="AG16" s="235">
        <f>ROUND(('Hours Per Job'!AG16*$B$36),2)+ROUND(('Parts Cost Per Job'!AG16)*((1+$B$37)*$B$38),2)</f>
        <v>0</v>
      </c>
      <c r="AH16" s="235">
        <f>ROUND(('Hours Per Job'!AH16*$B$36),2)+ROUND(('Parts Cost Per Job'!AH16)*((1+$B$37)*$B$38),2)</f>
        <v>0</v>
      </c>
      <c r="AI16" s="235">
        <f>ROUND(('Hours Per Job'!AI16*$B$36),2)+ROUND(('Parts Cost Per Job'!AI16)*((1+$B$37)*$B$38),2)</f>
        <v>0</v>
      </c>
      <c r="AJ16" s="235">
        <f>ROUND(('Hours Per Job'!AJ16*$B$36),2)+ROUND(('Parts Cost Per Job'!AJ16)*((1+$B$37)*$B$38),2)</f>
        <v>0</v>
      </c>
      <c r="AK16" s="235">
        <f>ROUND(('Hours Per Job'!AK16*$B$36),2)+ROUND(('Parts Cost Per Job'!AK16)*((1+$B$37)*$B$38),2)</f>
        <v>0</v>
      </c>
      <c r="AL16" s="235">
        <f>ROUND(('Hours Per Job'!AL16*$B$36),2)+ROUND(('Parts Cost Per Job'!AL16)*((1+$B$37)*$B$38),2)</f>
        <v>156.17000000000002</v>
      </c>
      <c r="AM16" s="235">
        <f>ROUND(('Hours Per Job'!AM16*$B$36),2)+ROUND(('Parts Cost Per Job'!AM16)*((1+$B$37)*$B$38),2)</f>
        <v>0</v>
      </c>
      <c r="AN16" s="235">
        <f>ROUND(('Hours Per Job'!AN16*$B$36),2)+ROUND(('Parts Cost Per Job'!AN16)*((1+$B$37)*$B$38),2)</f>
        <v>0</v>
      </c>
      <c r="AO16" s="235">
        <f>ROUND(('Hours Per Job'!AO16*$B$36),2)+ROUND(('Parts Cost Per Job'!AO16)*((1+$B$37)*$B$38),2)</f>
        <v>0</v>
      </c>
      <c r="AP16" s="235">
        <f>ROUND(('Hours Per Job'!AP16*$B$36),2)+ROUND(('Parts Cost Per Job'!AP16)*((1+$B$37)*$B$38),2)</f>
        <v>0</v>
      </c>
      <c r="AQ16" s="235">
        <f>ROUND(('Hours Per Job'!AQ16*$B$36),2)+ROUND(('Parts Cost Per Job'!AQ16)*((1+$B$37)*$B$38),2)</f>
        <v>0</v>
      </c>
      <c r="AR16" s="235">
        <f>ROUND(('Hours Per Job'!AR16*$B$36),2)+ROUND(('Parts Cost Per Job'!AR16)*((1+$B$37)*$B$38),2)</f>
        <v>0</v>
      </c>
      <c r="AS16" s="235">
        <f>ROUND(('Hours Per Job'!AS16*$B$36),2)+ROUND(('Parts Cost Per Job'!AS16)*((1+$B$37)*$B$38),2)</f>
        <v>0</v>
      </c>
      <c r="AT16" s="235">
        <f>ROUND(('Hours Per Job'!AT16*$B$36),2)+ROUND(('Parts Cost Per Job'!AT16)*((1+$B$37)*$B$38),2)</f>
        <v>35.07</v>
      </c>
      <c r="AU16" s="235">
        <f>ROUND(('Hours Per Job'!AU16*$B$36),2)+ROUND(('Parts Cost Per Job'!AU16)*((1+$B$37)*$B$38),2)</f>
        <v>0</v>
      </c>
      <c r="AV16" s="235">
        <f>ROUND(('Hours Per Job'!AV16*$B$36),2)+ROUND(('Parts Cost Per Job'!AV16)*((1+$B$37)*$B$38),2)</f>
        <v>0</v>
      </c>
      <c r="AW16" s="235">
        <f>ROUND(('Hours Per Job'!AW16*$B$36),2)+ROUND(('Parts Cost Per Job'!AW16)*((1+$B$37)*$B$38),2)</f>
        <v>0</v>
      </c>
      <c r="AX16" s="235">
        <f>ROUND(('Hours Per Job'!AX16*$B$36),2)+ROUND(('Parts Cost Per Job'!AX16)*((1+$B$37)*$B$38),2)</f>
        <v>0</v>
      </c>
      <c r="AY16" s="235">
        <f>ROUND(('Hours Per Job'!AY16*$B$36),2)+ROUND(('Parts Cost Per Job'!AY16)*((1+$B$37)*$B$38),2)</f>
        <v>0</v>
      </c>
      <c r="AZ16" s="235">
        <f>ROUND(('Hours Per Job'!AZ16*$B$36),2)+ROUND(('Parts Cost Per Job'!AZ16)*((1+$B$37)*$B$38),2)</f>
        <v>0</v>
      </c>
      <c r="BA16" s="235">
        <f>ROUND(('Hours Per Job'!BA16*$B$36),2)+ROUND(('Parts Cost Per Job'!BA16)*((1+$B$37)*$B$38),2)</f>
        <v>0</v>
      </c>
      <c r="BB16" s="235">
        <f>ROUND(('Hours Per Job'!BB16*$B$36),2)+ROUND(('Parts Cost Per Job'!BB16)*((1+$B$37)*$B$38),2)</f>
        <v>55.39</v>
      </c>
      <c r="BC16" s="235">
        <f>ROUND(('Hours Per Job'!BC16*$B$36),2)+ROUND(('Parts Cost Per Job'!BC16)*((1+$B$37)*$B$38),2)</f>
        <v>0</v>
      </c>
      <c r="BD16" s="235">
        <f>ROUND(('Hours Per Job'!BD16*$B$36),2)+ROUND(('Parts Cost Per Job'!BD16)*((1+$B$37)*$B$38),2)</f>
        <v>0</v>
      </c>
      <c r="BE16" s="235">
        <f>ROUND(('Hours Per Job'!BE16*$B$36),2)+ROUND(('Parts Cost Per Job'!BE16)*((1+$B$37)*$B$38),2)</f>
        <v>0</v>
      </c>
      <c r="BF16" s="235">
        <f>ROUND(('Hours Per Job'!BF16*$B$36),2)+ROUND(('Parts Cost Per Job'!BF16)*((1+$B$37)*$B$38),2)</f>
        <v>0</v>
      </c>
      <c r="BG16" s="235">
        <f>ROUND(('Hours Per Job'!BG16*$B$36),2)+ROUND(('Parts Cost Per Job'!BG16)*((1+$B$37)*$B$38),2)</f>
        <v>0</v>
      </c>
      <c r="BH16" s="235">
        <f>ROUND(('Hours Per Job'!BH16*$B$36),2)+ROUND(('Parts Cost Per Job'!BH16)*((1+$B$37)*$B$38),2)</f>
        <v>151.36000000000001</v>
      </c>
      <c r="BI16" s="235">
        <f>ROUND(('Hours Per Job'!BI16*$B$36),2)+ROUND(('Parts Cost Per Job'!BI16)*((1+$B$37)*$B$38),2)</f>
        <v>0</v>
      </c>
      <c r="BJ16" s="235">
        <f>ROUND(('Hours Per Job'!BJ16*$B$36),2)+ROUND(('Parts Cost Per Job'!BJ16)*((1+$B$37)*$B$38),2)</f>
        <v>30</v>
      </c>
      <c r="BK16" s="235">
        <f>ROUND(('Hours Per Job'!BK16*$B$36),2)+ROUND(('Parts Cost Per Job'!BK16)*((1+$B$37)*$B$38),2)</f>
        <v>0</v>
      </c>
      <c r="BL16" s="235">
        <f>ROUND(('Hours Per Job'!BL16*$B$36),2)+ROUND(('Parts Cost Per Job'!BL16)*((1+$B$37)*$B$38),2)</f>
        <v>0</v>
      </c>
      <c r="BM16" s="235">
        <f>ROUND(('Hours Per Job'!BM16*$B$36),2)+ROUND(('Parts Cost Per Job'!BM16)*((1+$B$37)*$B$38),2)</f>
        <v>0</v>
      </c>
      <c r="BN16" s="235">
        <f>ROUND(('Hours Per Job'!BN16*$B$36),2)+ROUND(('Parts Cost Per Job'!BN16)*((1+$B$37)*$B$38),2)</f>
        <v>85.460000000000008</v>
      </c>
      <c r="BO16" s="235">
        <f>ROUND(('Hours Per Job'!BO16*$B$36),2)+ROUND(('Parts Cost Per Job'!BO16)*((1+$B$37)*$B$38),2)</f>
        <v>35.07</v>
      </c>
      <c r="BP16" s="235">
        <f>ROUND(('Hours Per Job'!BP16*$B$36),2)+ROUND(('Parts Cost Per Job'!BP16)*((1+$B$37)*$B$38),2)</f>
        <v>126</v>
      </c>
    </row>
    <row r="17" spans="1:68" x14ac:dyDescent="0.2">
      <c r="A17" s="226" t="str">
        <f>'Scheduled Intervals'!A17</f>
        <v>Mahindra 1600 Series</v>
      </c>
      <c r="B17" s="227">
        <f>ROUND(('Hours Per Job'!B17*$B$36),2)+ROUND(('Parts Cost Per Job'!B17)*((1+$B$37)*$B$38),2)</f>
        <v>86.77000000000001</v>
      </c>
      <c r="C17" s="237">
        <f>ROUND(('Hours Per Job'!C17*$B$36),2)+ROUND(('Parts Cost Per Job'!C17)*((1+$B$37)*$B$38),2)</f>
        <v>12</v>
      </c>
      <c r="D17" s="237">
        <f>ROUND(('Hours Per Job'!D17*$B$36),2)+ROUND(('Parts Cost Per Job'!D17)*((1+$B$37)*$B$38),2)</f>
        <v>0</v>
      </c>
      <c r="E17" s="237">
        <f>ROUND(('Hours Per Job'!E17*$B$36),2)+ROUND(('Parts Cost Per Job'!E17)*((1+$B$37)*$B$38),2)</f>
        <v>400.37</v>
      </c>
      <c r="F17" s="237">
        <f>ROUND(('Hours Per Job'!F17*$B$36),2)+ROUND(('Parts Cost Per Job'!F17)*((1+$B$37)*$B$38),2)</f>
        <v>103.99000000000001</v>
      </c>
      <c r="G17" s="237">
        <f>ROUND(('Hours Per Job'!G17*$B$36),2)+ROUND(('Parts Cost Per Job'!G17)*((1+$B$37)*$B$38),2)</f>
        <v>0</v>
      </c>
      <c r="H17" s="238">
        <f>ROUND(('Hours Per Job'!H17*$B$36),2)+ROUND(('Parts Cost Per Job'!H17)*((1+$B$37)*$B$38),2)</f>
        <v>35.07</v>
      </c>
      <c r="I17" s="237">
        <f>ROUND(('Hours Per Job'!I17*$B$36),2)+ROUND(('Parts Cost Per Job'!I17)*((1+$B$37)*$B$38),2)</f>
        <v>30</v>
      </c>
      <c r="J17" s="237">
        <f>ROUND(('Hours Per Job'!J17*$B$36),2)+ROUND(('Parts Cost Per Job'!J17)*((1+$B$37)*$B$38),2)</f>
        <v>0</v>
      </c>
      <c r="K17" s="237">
        <f>ROUND(('Hours Per Job'!K17*$B$36),2)+ROUND(('Parts Cost Per Job'!K17)*((1+$B$37)*$B$38),2)</f>
        <v>109.93</v>
      </c>
      <c r="L17" s="237">
        <f>ROUND(('Hours Per Job'!L17*$B$36),2)+ROUND(('Parts Cost Per Job'!L17)*((1+$B$37)*$B$38),2)</f>
        <v>165.21</v>
      </c>
      <c r="M17" s="237">
        <f>ROUND(('Hours Per Job'!M17*$B$36),2)+ROUND(('Parts Cost Per Job'!M17)*((1+$B$37)*$B$38),2)</f>
        <v>0</v>
      </c>
      <c r="N17" s="237">
        <f>ROUND(('Hours Per Job'!N17*$B$36),2)+ROUND(('Parts Cost Per Job'!N17)*((1+$B$37)*$B$38),2)</f>
        <v>0</v>
      </c>
      <c r="O17" s="237">
        <f>ROUND(('Hours Per Job'!O17*$B$36),2)+ROUND(('Parts Cost Per Job'!O17)*((1+$B$37)*$B$38),2)</f>
        <v>0</v>
      </c>
      <c r="P17" s="239">
        <f>ROUND(('Hours Per Job'!P17*$B$36),2)+ROUND(('Parts Cost Per Job'!P17)*((1+$B$37)*$B$38),2)</f>
        <v>0</v>
      </c>
      <c r="Q17" s="240">
        <f>ROUND(('Hours Per Job'!Q17*$B$36),2)+ROUND(('Parts Cost Per Job'!Q17)*((1+$B$37)*$B$38),2)</f>
        <v>0</v>
      </c>
      <c r="R17" s="241">
        <f>ROUND(('Hours Per Job'!R17*$B$36),2)+ROUND(('Parts Cost Per Job'!R17)*((1+$B$37)*$B$38),2)</f>
        <v>0</v>
      </c>
      <c r="S17" s="241">
        <f>ROUND(('Hours Per Job'!S17*$B$36),2)+ROUND(('Parts Cost Per Job'!S17)*((1+$B$37)*$B$38),2)</f>
        <v>0</v>
      </c>
      <c r="T17" s="242">
        <f>ROUND(('Hours Per Job'!T17*$B$36),2)+ROUND(('Parts Cost Per Job'!T17)*((1+$B$37)*$B$38),2)</f>
        <v>0</v>
      </c>
      <c r="U17" s="234">
        <f>ROUND(('Hours Per Job'!U17*$B$36),2)+ROUND(('Parts Cost Per Job'!U17)*((1+$B$37)*$B$38),2)</f>
        <v>86.77000000000001</v>
      </c>
      <c r="V17" s="235">
        <f>ROUND(('Hours Per Job'!V17*$B$36),2)+ROUND(('Parts Cost Per Job'!V17)*((1+$B$37)*$B$38),2)</f>
        <v>0</v>
      </c>
      <c r="W17" s="235">
        <f>ROUND(('Hours Per Job'!W17*$B$36),2)+ROUND(('Parts Cost Per Job'!W17)*((1+$B$37)*$B$38),2)</f>
        <v>12</v>
      </c>
      <c r="X17" s="235">
        <f>ROUND(('Hours Per Job'!X17*$B$36),2)+ROUND(('Parts Cost Per Job'!X17)*((1+$B$37)*$B$38),2)</f>
        <v>0</v>
      </c>
      <c r="Y17" s="235">
        <f>ROUND(('Hours Per Job'!Y17*$B$36),2)+ROUND(('Parts Cost Per Job'!Y17)*((1+$B$37)*$B$38),2)</f>
        <v>0</v>
      </c>
      <c r="Z17" s="235">
        <f>ROUND(('Hours Per Job'!Z17*$B$36),2)+ROUND(('Parts Cost Per Job'!Z17)*((1+$B$37)*$B$38),2)</f>
        <v>109.93</v>
      </c>
      <c r="AA17" s="235">
        <f>ROUND(('Hours Per Job'!AA17*$B$36),2)+ROUND(('Parts Cost Per Job'!AA17)*((1+$B$37)*$B$38),2)</f>
        <v>0</v>
      </c>
      <c r="AB17" s="235">
        <f>ROUND(('Hours Per Job'!AB17*$B$36),2)+ROUND(('Parts Cost Per Job'!AB17)*((1+$B$37)*$B$38),2)</f>
        <v>400.37</v>
      </c>
      <c r="AC17" s="235">
        <f>ROUND(('Hours Per Job'!AC17*$B$36),2)+ROUND(('Parts Cost Per Job'!AC17)*((1+$B$37)*$B$38),2)</f>
        <v>0</v>
      </c>
      <c r="AD17" s="235">
        <f>ROUND(('Hours Per Job'!AD17*$B$36),2)+ROUND(('Parts Cost Per Job'!AD17)*((1+$B$37)*$B$38),2)</f>
        <v>0</v>
      </c>
      <c r="AE17" s="235">
        <f>ROUND(('Hours Per Job'!AE17*$B$36),2)+ROUND(('Parts Cost Per Job'!AE17)*((1+$B$37)*$B$38),2)</f>
        <v>103.99000000000001</v>
      </c>
      <c r="AF17" s="235">
        <f>ROUND(('Hours Per Job'!AF17*$B$36),2)+ROUND(('Parts Cost Per Job'!AF17)*((1+$B$37)*$B$38),2)</f>
        <v>0</v>
      </c>
      <c r="AG17" s="235">
        <f>ROUND(('Hours Per Job'!AG17*$B$36),2)+ROUND(('Parts Cost Per Job'!AG17)*((1+$B$37)*$B$38),2)</f>
        <v>0</v>
      </c>
      <c r="AH17" s="235">
        <f>ROUND(('Hours Per Job'!AH17*$B$36),2)+ROUND(('Parts Cost Per Job'!AH17)*((1+$B$37)*$B$38),2)</f>
        <v>0</v>
      </c>
      <c r="AI17" s="235">
        <f>ROUND(('Hours Per Job'!AI17*$B$36),2)+ROUND(('Parts Cost Per Job'!AI17)*((1+$B$37)*$B$38),2)</f>
        <v>0</v>
      </c>
      <c r="AJ17" s="235">
        <f>ROUND(('Hours Per Job'!AJ17*$B$36),2)+ROUND(('Parts Cost Per Job'!AJ17)*((1+$B$37)*$B$38),2)</f>
        <v>0</v>
      </c>
      <c r="AK17" s="235">
        <f>ROUND(('Hours Per Job'!AK17*$B$36),2)+ROUND(('Parts Cost Per Job'!AK17)*((1+$B$37)*$B$38),2)</f>
        <v>0</v>
      </c>
      <c r="AL17" s="235">
        <f>ROUND(('Hours Per Job'!AL17*$B$36),2)+ROUND(('Parts Cost Per Job'!AL17)*((1+$B$37)*$B$38),2)</f>
        <v>165.21</v>
      </c>
      <c r="AM17" s="235">
        <f>ROUND(('Hours Per Job'!AM17*$B$36),2)+ROUND(('Parts Cost Per Job'!AM17)*((1+$B$37)*$B$38),2)</f>
        <v>0</v>
      </c>
      <c r="AN17" s="235">
        <f>ROUND(('Hours Per Job'!AN17*$B$36),2)+ROUND(('Parts Cost Per Job'!AN17)*((1+$B$37)*$B$38),2)</f>
        <v>0</v>
      </c>
      <c r="AO17" s="235">
        <f>ROUND(('Hours Per Job'!AO17*$B$36),2)+ROUND(('Parts Cost Per Job'!AO17)*((1+$B$37)*$B$38),2)</f>
        <v>0</v>
      </c>
      <c r="AP17" s="235">
        <f>ROUND(('Hours Per Job'!AP17*$B$36),2)+ROUND(('Parts Cost Per Job'!AP17)*((1+$B$37)*$B$38),2)</f>
        <v>0</v>
      </c>
      <c r="AQ17" s="235">
        <f>ROUND(('Hours Per Job'!AQ17*$B$36),2)+ROUND(('Parts Cost Per Job'!AQ17)*((1+$B$37)*$B$38),2)</f>
        <v>0</v>
      </c>
      <c r="AR17" s="235">
        <f>ROUND(('Hours Per Job'!AR17*$B$36),2)+ROUND(('Parts Cost Per Job'!AR17)*((1+$B$37)*$B$38),2)</f>
        <v>0</v>
      </c>
      <c r="AS17" s="235">
        <f>ROUND(('Hours Per Job'!AS17*$B$36),2)+ROUND(('Parts Cost Per Job'!AS17)*((1+$B$37)*$B$38),2)</f>
        <v>0</v>
      </c>
      <c r="AT17" s="235">
        <f>ROUND(('Hours Per Job'!AT17*$B$36),2)+ROUND(('Parts Cost Per Job'!AT17)*((1+$B$37)*$B$38),2)</f>
        <v>35.07</v>
      </c>
      <c r="AU17" s="235">
        <f>ROUND(('Hours Per Job'!AU17*$B$36),2)+ROUND(('Parts Cost Per Job'!AU17)*((1+$B$37)*$B$38),2)</f>
        <v>0</v>
      </c>
      <c r="AV17" s="235">
        <f>ROUND(('Hours Per Job'!AV17*$B$36),2)+ROUND(('Parts Cost Per Job'!AV17)*((1+$B$37)*$B$38),2)</f>
        <v>0</v>
      </c>
      <c r="AW17" s="235">
        <f>ROUND(('Hours Per Job'!AW17*$B$36),2)+ROUND(('Parts Cost Per Job'!AW17)*((1+$B$37)*$B$38),2)</f>
        <v>353.57</v>
      </c>
      <c r="AX17" s="235">
        <f>ROUND(('Hours Per Job'!AX17*$B$36),2)+ROUND(('Parts Cost Per Job'!AX17)*((1+$B$37)*$B$38),2)</f>
        <v>0</v>
      </c>
      <c r="AY17" s="235">
        <f>ROUND(('Hours Per Job'!AY17*$B$36),2)+ROUND(('Parts Cost Per Job'!AY17)*((1+$B$37)*$B$38),2)</f>
        <v>0</v>
      </c>
      <c r="AZ17" s="235">
        <f>ROUND(('Hours Per Job'!AZ17*$B$36),2)+ROUND(('Parts Cost Per Job'!AZ17)*((1+$B$37)*$B$38),2)</f>
        <v>0</v>
      </c>
      <c r="BA17" s="235">
        <f>ROUND(('Hours Per Job'!BA17*$B$36),2)+ROUND(('Parts Cost Per Job'!BA17)*((1+$B$37)*$B$38),2)</f>
        <v>0</v>
      </c>
      <c r="BB17" s="235">
        <f>ROUND(('Hours Per Job'!BB17*$B$36),2)+ROUND(('Parts Cost Per Job'!BB17)*((1+$B$37)*$B$38),2)</f>
        <v>62.96</v>
      </c>
      <c r="BC17" s="235">
        <f>ROUND(('Hours Per Job'!BC17*$B$36),2)+ROUND(('Parts Cost Per Job'!BC17)*((1+$B$37)*$B$38),2)</f>
        <v>0</v>
      </c>
      <c r="BD17" s="235">
        <f>ROUND(('Hours Per Job'!BD17*$B$36),2)+ROUND(('Parts Cost Per Job'!BD17)*((1+$B$37)*$B$38),2)</f>
        <v>0</v>
      </c>
      <c r="BE17" s="235">
        <f>ROUND(('Hours Per Job'!BE17*$B$36),2)+ROUND(('Parts Cost Per Job'!BE17)*((1+$B$37)*$B$38),2)</f>
        <v>0</v>
      </c>
      <c r="BF17" s="235">
        <f>ROUND(('Hours Per Job'!BF17*$B$36),2)+ROUND(('Parts Cost Per Job'!BF17)*((1+$B$37)*$B$38),2)</f>
        <v>0</v>
      </c>
      <c r="BG17" s="235">
        <f>ROUND(('Hours Per Job'!BG17*$B$36),2)+ROUND(('Parts Cost Per Job'!BG17)*((1+$B$37)*$B$38),2)</f>
        <v>0</v>
      </c>
      <c r="BH17" s="235">
        <f>ROUND(('Hours Per Job'!BH17*$B$36),2)+ROUND(('Parts Cost Per Job'!BH17)*((1+$B$37)*$B$38),2)</f>
        <v>151.36000000000001</v>
      </c>
      <c r="BI17" s="235">
        <f>ROUND(('Hours Per Job'!BI17*$B$36),2)+ROUND(('Parts Cost Per Job'!BI17)*((1+$B$37)*$B$38),2)</f>
        <v>0</v>
      </c>
      <c r="BJ17" s="235">
        <f>ROUND(('Hours Per Job'!BJ17*$B$36),2)+ROUND(('Parts Cost Per Job'!BJ17)*((1+$B$37)*$B$38),2)</f>
        <v>30</v>
      </c>
      <c r="BK17" s="235">
        <f>ROUND(('Hours Per Job'!BK17*$B$36),2)+ROUND(('Parts Cost Per Job'!BK17)*((1+$B$37)*$B$38),2)</f>
        <v>0</v>
      </c>
      <c r="BL17" s="235">
        <f>ROUND(('Hours Per Job'!BL17*$B$36),2)+ROUND(('Parts Cost Per Job'!BL17)*((1+$B$37)*$B$38),2)</f>
        <v>0</v>
      </c>
      <c r="BM17" s="235">
        <f>ROUND(('Hours Per Job'!BM17*$B$36),2)+ROUND(('Parts Cost Per Job'!BM17)*((1+$B$37)*$B$38),2)</f>
        <v>0</v>
      </c>
      <c r="BN17" s="235">
        <f>ROUND(('Hours Per Job'!BN17*$B$36),2)+ROUND(('Parts Cost Per Job'!BN17)*((1+$B$37)*$B$38),2)</f>
        <v>86.77000000000001</v>
      </c>
      <c r="BO17" s="235">
        <f>ROUND(('Hours Per Job'!BO17*$B$36),2)+ROUND(('Parts Cost Per Job'!BO17)*((1+$B$37)*$B$38),2)</f>
        <v>35.07</v>
      </c>
      <c r="BP17" s="235">
        <f>ROUND(('Hours Per Job'!BP17*$B$36),2)+ROUND(('Parts Cost Per Job'!BP17)*((1+$B$37)*$B$38),2)</f>
        <v>126</v>
      </c>
    </row>
    <row r="18" spans="1:68" x14ac:dyDescent="0.2">
      <c r="A18" s="226" t="str">
        <f>'Scheduled Intervals'!A18</f>
        <v>Mahindra 4500</v>
      </c>
      <c r="B18" s="227">
        <f>ROUND(('Hours Per Job'!B18*$B$36),2)+ROUND(('Parts Cost Per Job'!B18)*((1+$B$37)*$B$38),2)</f>
        <v>133.79000000000002</v>
      </c>
      <c r="C18" s="237">
        <f>ROUND(('Hours Per Job'!C18*$B$36),2)+ROUND(('Parts Cost Per Job'!C18)*((1+$B$37)*$B$38),2)</f>
        <v>0</v>
      </c>
      <c r="D18" s="237">
        <f>ROUND(('Hours Per Job'!D18*$B$36),2)+ROUND(('Parts Cost Per Job'!D18)*((1+$B$37)*$B$38),2)</f>
        <v>0</v>
      </c>
      <c r="E18" s="237">
        <f>ROUND(('Hours Per Job'!E18*$B$36),2)+ROUND(('Parts Cost Per Job'!E18)*((1+$B$37)*$B$38),2)</f>
        <v>0</v>
      </c>
      <c r="F18" s="237">
        <f>ROUND(('Hours Per Job'!F18*$B$36),2)+ROUND(('Parts Cost Per Job'!F18)*((1+$B$37)*$B$38),2)</f>
        <v>86.47</v>
      </c>
      <c r="G18" s="237">
        <f>ROUND(('Hours Per Job'!G18*$B$36),2)+ROUND(('Parts Cost Per Job'!G18)*((1+$B$37)*$B$38),2)</f>
        <v>0</v>
      </c>
      <c r="H18" s="238">
        <f>ROUND(('Hours Per Job'!H18*$B$36),2)+ROUND(('Parts Cost Per Job'!H18)*((1+$B$37)*$B$38),2)</f>
        <v>35.07</v>
      </c>
      <c r="I18" s="237">
        <f>ROUND(('Hours Per Job'!I18*$B$36),2)+ROUND(('Parts Cost Per Job'!I18)*((1+$B$37)*$B$38),2)</f>
        <v>30</v>
      </c>
      <c r="J18" s="237">
        <f>ROUND(('Hours Per Job'!J18*$B$36),2)+ROUND(('Parts Cost Per Job'!J18)*((1+$B$37)*$B$38),2)</f>
        <v>0</v>
      </c>
      <c r="K18" s="237">
        <f>ROUND(('Hours Per Job'!K18*$B$36),2)+ROUND(('Parts Cost Per Job'!K18)*((1+$B$37)*$B$38),2)</f>
        <v>0</v>
      </c>
      <c r="L18" s="237">
        <f>ROUND(('Hours Per Job'!L18*$B$36),2)+ROUND(('Parts Cost Per Job'!L18)*((1+$B$37)*$B$38),2)</f>
        <v>0</v>
      </c>
      <c r="M18" s="237">
        <f>ROUND(('Hours Per Job'!M18*$B$36),2)+ROUND(('Parts Cost Per Job'!M18)*((1+$B$37)*$B$38),2)</f>
        <v>0</v>
      </c>
      <c r="N18" s="237">
        <f>ROUND(('Hours Per Job'!N18*$B$36),2)+ROUND(('Parts Cost Per Job'!N18)*((1+$B$37)*$B$38),2)</f>
        <v>0</v>
      </c>
      <c r="O18" s="237">
        <f>ROUND(('Hours Per Job'!O18*$B$36),2)+ROUND(('Parts Cost Per Job'!O18)*((1+$B$37)*$B$38),2)</f>
        <v>0</v>
      </c>
      <c r="P18" s="239">
        <f>ROUND(('Hours Per Job'!P18*$B$36),2)+ROUND(('Parts Cost Per Job'!P18)*((1+$B$37)*$B$38),2)</f>
        <v>0</v>
      </c>
      <c r="Q18" s="240">
        <f>ROUND(('Hours Per Job'!Q18*$B$36),2)+ROUND(('Parts Cost Per Job'!Q18)*((1+$B$37)*$B$38),2)</f>
        <v>0</v>
      </c>
      <c r="R18" s="241">
        <f>ROUND(('Hours Per Job'!R18*$B$36),2)+ROUND(('Parts Cost Per Job'!R18)*((1+$B$37)*$B$38),2)</f>
        <v>0</v>
      </c>
      <c r="S18" s="241">
        <f>ROUND(('Hours Per Job'!S18*$B$36),2)+ROUND(('Parts Cost Per Job'!S18)*((1+$B$37)*$B$38),2)</f>
        <v>0</v>
      </c>
      <c r="T18" s="242">
        <f>ROUND(('Hours Per Job'!T18*$B$36),2)+ROUND(('Parts Cost Per Job'!T18)*((1+$B$37)*$B$38),2)</f>
        <v>0</v>
      </c>
      <c r="U18" s="234">
        <f>ROUND(('Hours Per Job'!U18*$B$36),2)+ROUND(('Parts Cost Per Job'!U18)*((1+$B$37)*$B$38),2)</f>
        <v>133.79000000000002</v>
      </c>
      <c r="V18" s="235">
        <f>ROUND(('Hours Per Job'!V18*$B$36),2)+ROUND(('Parts Cost Per Job'!V18)*((1+$B$37)*$B$38),2)</f>
        <v>0</v>
      </c>
      <c r="W18" s="235">
        <f>ROUND(('Hours Per Job'!W18*$B$36),2)+ROUND(('Parts Cost Per Job'!W18)*((1+$B$37)*$B$38),2)</f>
        <v>0</v>
      </c>
      <c r="X18" s="235">
        <f>ROUND(('Hours Per Job'!X18*$B$36),2)+ROUND(('Parts Cost Per Job'!X18)*((1+$B$37)*$B$38),2)</f>
        <v>0</v>
      </c>
      <c r="Y18" s="235">
        <f>ROUND(('Hours Per Job'!Y18*$B$36),2)+ROUND(('Parts Cost Per Job'!Y18)*((1+$B$37)*$B$38),2)</f>
        <v>0</v>
      </c>
      <c r="Z18" s="235">
        <f>ROUND(('Hours Per Job'!Z18*$B$36),2)+ROUND(('Parts Cost Per Job'!Z18)*((1+$B$37)*$B$38),2)</f>
        <v>76.009999999999991</v>
      </c>
      <c r="AA18" s="235">
        <f>ROUND(('Hours Per Job'!AA18*$B$36),2)+ROUND(('Parts Cost Per Job'!AA18)*((1+$B$37)*$B$38),2)</f>
        <v>0</v>
      </c>
      <c r="AB18" s="235">
        <f>ROUND(('Hours Per Job'!AB18*$B$36),2)+ROUND(('Parts Cost Per Job'!AB18)*((1+$B$37)*$B$38),2)</f>
        <v>379.17</v>
      </c>
      <c r="AC18" s="235">
        <f>ROUND(('Hours Per Job'!AC18*$B$36),2)+ROUND(('Parts Cost Per Job'!AC18)*((1+$B$37)*$B$38),2)</f>
        <v>141.88999999999999</v>
      </c>
      <c r="AD18" s="235">
        <f>ROUND(('Hours Per Job'!AD18*$B$36),2)+ROUND(('Parts Cost Per Job'!AD18)*((1+$B$37)*$B$38),2)</f>
        <v>0</v>
      </c>
      <c r="AE18" s="235">
        <f>ROUND(('Hours Per Job'!AE18*$B$36),2)+ROUND(('Parts Cost Per Job'!AE18)*((1+$B$37)*$B$38),2)</f>
        <v>86.47</v>
      </c>
      <c r="AF18" s="235">
        <f>ROUND(('Hours Per Job'!AF18*$B$36),2)+ROUND(('Parts Cost Per Job'!AF18)*((1+$B$37)*$B$38),2)</f>
        <v>0</v>
      </c>
      <c r="AG18" s="235">
        <f>ROUND(('Hours Per Job'!AG18*$B$36),2)+ROUND(('Parts Cost Per Job'!AG18)*((1+$B$37)*$B$38),2)</f>
        <v>0</v>
      </c>
      <c r="AH18" s="235">
        <f>ROUND(('Hours Per Job'!AH18*$B$36),2)+ROUND(('Parts Cost Per Job'!AH18)*((1+$B$37)*$B$38),2)</f>
        <v>0</v>
      </c>
      <c r="AI18" s="235">
        <f>ROUND(('Hours Per Job'!AI18*$B$36),2)+ROUND(('Parts Cost Per Job'!AI18)*((1+$B$37)*$B$38),2)</f>
        <v>0</v>
      </c>
      <c r="AJ18" s="235">
        <f>ROUND(('Hours Per Job'!AJ18*$B$36),2)+ROUND(('Parts Cost Per Job'!AJ18)*((1+$B$37)*$B$38),2)</f>
        <v>0</v>
      </c>
      <c r="AK18" s="235">
        <f>ROUND(('Hours Per Job'!AK18*$B$36),2)+ROUND(('Parts Cost Per Job'!AK18)*((1+$B$37)*$B$38),2)</f>
        <v>0</v>
      </c>
      <c r="AL18" s="235">
        <f>ROUND(('Hours Per Job'!AL18*$B$36),2)+ROUND(('Parts Cost Per Job'!AL18)*((1+$B$37)*$B$38),2)</f>
        <v>201.51</v>
      </c>
      <c r="AM18" s="235">
        <f>ROUND(('Hours Per Job'!AM18*$B$36),2)+ROUND(('Parts Cost Per Job'!AM18)*((1+$B$37)*$B$38),2)</f>
        <v>0</v>
      </c>
      <c r="AN18" s="235">
        <f>ROUND(('Hours Per Job'!AN18*$B$36),2)+ROUND(('Parts Cost Per Job'!AN18)*((1+$B$37)*$B$38),2)</f>
        <v>0</v>
      </c>
      <c r="AO18" s="235">
        <f>ROUND(('Hours Per Job'!AO18*$B$36),2)+ROUND(('Parts Cost Per Job'!AO18)*((1+$B$37)*$B$38),2)</f>
        <v>0</v>
      </c>
      <c r="AP18" s="235">
        <f>ROUND(('Hours Per Job'!AP18*$B$36),2)+ROUND(('Parts Cost Per Job'!AP18)*((1+$B$37)*$B$38),2)</f>
        <v>0</v>
      </c>
      <c r="AQ18" s="235">
        <f>ROUND(('Hours Per Job'!AQ18*$B$36),2)+ROUND(('Parts Cost Per Job'!AQ18)*((1+$B$37)*$B$38),2)</f>
        <v>0</v>
      </c>
      <c r="AR18" s="235">
        <f>ROUND(('Hours Per Job'!AR18*$B$36),2)+ROUND(('Parts Cost Per Job'!AR18)*((1+$B$37)*$B$38),2)</f>
        <v>0</v>
      </c>
      <c r="AS18" s="235">
        <f>ROUND(('Hours Per Job'!AS18*$B$36),2)+ROUND(('Parts Cost Per Job'!AS18)*((1+$B$37)*$B$38),2)</f>
        <v>0</v>
      </c>
      <c r="AT18" s="235">
        <f>ROUND(('Hours Per Job'!AT18*$B$36),2)+ROUND(('Parts Cost Per Job'!AT18)*((1+$B$37)*$B$38),2)</f>
        <v>35.07</v>
      </c>
      <c r="AU18" s="235">
        <f>ROUND(('Hours Per Job'!AU18*$B$36),2)+ROUND(('Parts Cost Per Job'!AU18)*((1+$B$37)*$B$38),2)</f>
        <v>0</v>
      </c>
      <c r="AV18" s="235">
        <f>ROUND(('Hours Per Job'!AV18*$B$36),2)+ROUND(('Parts Cost Per Job'!AV18)*((1+$B$37)*$B$38),2)</f>
        <v>0</v>
      </c>
      <c r="AW18" s="235">
        <f>ROUND(('Hours Per Job'!AW18*$B$36),2)+ROUND(('Parts Cost Per Job'!AW18)*((1+$B$37)*$B$38),2)</f>
        <v>415.69</v>
      </c>
      <c r="AX18" s="235">
        <f>ROUND(('Hours Per Job'!AX18*$B$36),2)+ROUND(('Parts Cost Per Job'!AX18)*((1+$B$37)*$B$38),2)</f>
        <v>0</v>
      </c>
      <c r="AY18" s="235">
        <f>ROUND(('Hours Per Job'!AY18*$B$36),2)+ROUND(('Parts Cost Per Job'!AY18)*((1+$B$37)*$B$38),2)</f>
        <v>0</v>
      </c>
      <c r="AZ18" s="235">
        <f>ROUND(('Hours Per Job'!AZ18*$B$36),2)+ROUND(('Parts Cost Per Job'!AZ18)*((1+$B$37)*$B$38),2)</f>
        <v>0</v>
      </c>
      <c r="BA18" s="235">
        <f>ROUND(('Hours Per Job'!BA18*$B$36),2)+ROUND(('Parts Cost Per Job'!BA18)*((1+$B$37)*$B$38),2)</f>
        <v>0</v>
      </c>
      <c r="BB18" s="235">
        <f>ROUND(('Hours Per Job'!BB18*$B$36),2)+ROUND(('Parts Cost Per Job'!BB18)*((1+$B$37)*$B$38),2)</f>
        <v>67.33</v>
      </c>
      <c r="BC18" s="235">
        <f>ROUND(('Hours Per Job'!BC18*$B$36),2)+ROUND(('Parts Cost Per Job'!BC18)*((1+$B$37)*$B$38),2)</f>
        <v>77.87</v>
      </c>
      <c r="BD18" s="235">
        <f>ROUND(('Hours Per Job'!BD18*$B$36),2)+ROUND(('Parts Cost Per Job'!BD18)*((1+$B$37)*$B$38),2)</f>
        <v>0</v>
      </c>
      <c r="BE18" s="235">
        <f>ROUND(('Hours Per Job'!BE18*$B$36),2)+ROUND(('Parts Cost Per Job'!BE18)*((1+$B$37)*$B$38),2)</f>
        <v>0</v>
      </c>
      <c r="BF18" s="235">
        <f>ROUND(('Hours Per Job'!BF18*$B$36),2)+ROUND(('Parts Cost Per Job'!BF18)*((1+$B$37)*$B$38),2)</f>
        <v>90</v>
      </c>
      <c r="BG18" s="235">
        <f>ROUND(('Hours Per Job'!BG18*$B$36),2)+ROUND(('Parts Cost Per Job'!BG18)*((1+$B$37)*$B$38),2)</f>
        <v>0</v>
      </c>
      <c r="BH18" s="235">
        <f>ROUND(('Hours Per Job'!BH18*$B$36),2)+ROUND(('Parts Cost Per Job'!BH18)*((1+$B$37)*$B$38),2)</f>
        <v>168.7</v>
      </c>
      <c r="BI18" s="235">
        <f>ROUND(('Hours Per Job'!BI18*$B$36),2)+ROUND(('Parts Cost Per Job'!BI18)*((1+$B$37)*$B$38),2)</f>
        <v>0</v>
      </c>
      <c r="BJ18" s="235">
        <f>ROUND(('Hours Per Job'!BJ18*$B$36),2)+ROUND(('Parts Cost Per Job'!BJ18)*((1+$B$37)*$B$38),2)</f>
        <v>30</v>
      </c>
      <c r="BK18" s="235">
        <f>ROUND(('Hours Per Job'!BK18*$B$36),2)+ROUND(('Parts Cost Per Job'!BK18)*((1+$B$37)*$B$38),2)</f>
        <v>0</v>
      </c>
      <c r="BL18" s="235">
        <f>ROUND(('Hours Per Job'!BL18*$B$36),2)+ROUND(('Parts Cost Per Job'!BL18)*((1+$B$37)*$B$38),2)</f>
        <v>0</v>
      </c>
      <c r="BM18" s="235">
        <f>ROUND(('Hours Per Job'!BM18*$B$36),2)+ROUND(('Parts Cost Per Job'!BM18)*((1+$B$37)*$B$38),2)</f>
        <v>0</v>
      </c>
      <c r="BN18" s="235">
        <f>ROUND(('Hours Per Job'!BN18*$B$36),2)+ROUND(('Parts Cost Per Job'!BN18)*((1+$B$37)*$B$38),2)</f>
        <v>133.79000000000002</v>
      </c>
      <c r="BO18" s="235">
        <f>ROUND(('Hours Per Job'!BO18*$B$36),2)+ROUND(('Parts Cost Per Job'!BO18)*((1+$B$37)*$B$38),2)</f>
        <v>35.07</v>
      </c>
      <c r="BP18" s="235">
        <f>ROUND(('Hours Per Job'!BP18*$B$36),2)+ROUND(('Parts Cost Per Job'!BP18)*((1+$B$37)*$B$38),2)</f>
        <v>126</v>
      </c>
    </row>
    <row r="19" spans="1:68" x14ac:dyDescent="0.2">
      <c r="A19" s="226" t="str">
        <f>'Scheduled Intervals'!A19</f>
        <v>Mahindra 5500</v>
      </c>
      <c r="B19" s="236">
        <f>ROUND(('Hours Per Job'!B19*$B$36),2)+ROUND(('Parts Cost Per Job'!B19)*((1+$B$37)*$B$38),2)</f>
        <v>133.79000000000002</v>
      </c>
      <c r="C19" s="237">
        <f>ROUND(('Hours Per Job'!C19*$B$36),2)+ROUND(('Parts Cost Per Job'!C19)*((1+$B$37)*$B$38),2)</f>
        <v>0</v>
      </c>
      <c r="D19" s="237">
        <f>ROUND(('Hours Per Job'!D19*$B$36),2)+ROUND(('Parts Cost Per Job'!D19)*((1+$B$37)*$B$38),2)</f>
        <v>0</v>
      </c>
      <c r="E19" s="237">
        <f>ROUND(('Hours Per Job'!E19*$B$36),2)+ROUND(('Parts Cost Per Job'!E19)*((1+$B$37)*$B$38),2)</f>
        <v>0</v>
      </c>
      <c r="F19" s="237">
        <f>ROUND(('Hours Per Job'!F19*$B$36),2)+ROUND(('Parts Cost Per Job'!F19)*((1+$B$37)*$B$38),2)</f>
        <v>118.46000000000001</v>
      </c>
      <c r="G19" s="237">
        <f>ROUND(('Hours Per Job'!G19*$B$36),2)+ROUND(('Parts Cost Per Job'!G19)*((1+$B$37)*$B$38),2)</f>
        <v>0</v>
      </c>
      <c r="H19" s="238">
        <f>ROUND(('Hours Per Job'!H19*$B$36),2)+ROUND(('Parts Cost Per Job'!H19)*((1+$B$37)*$B$38),2)</f>
        <v>35.07</v>
      </c>
      <c r="I19" s="237">
        <f>ROUND(('Hours Per Job'!I19*$B$36),2)+ROUND(('Parts Cost Per Job'!I19)*((1+$B$37)*$B$38),2)</f>
        <v>30</v>
      </c>
      <c r="J19" s="237">
        <f>ROUND(('Hours Per Job'!J19*$B$36),2)+ROUND(('Parts Cost Per Job'!J19)*((1+$B$37)*$B$38),2)</f>
        <v>0</v>
      </c>
      <c r="K19" s="237">
        <f>ROUND(('Hours Per Job'!K19*$B$36),2)+ROUND(('Parts Cost Per Job'!K19)*((1+$B$37)*$B$38),2)</f>
        <v>0</v>
      </c>
      <c r="L19" s="237">
        <f>ROUND(('Hours Per Job'!L19*$B$36),2)+ROUND(('Parts Cost Per Job'!L19)*((1+$B$37)*$B$38),2)</f>
        <v>0</v>
      </c>
      <c r="M19" s="237">
        <f>ROUND(('Hours Per Job'!M19*$B$36),2)+ROUND(('Parts Cost Per Job'!M19)*((1+$B$37)*$B$38),2)</f>
        <v>0</v>
      </c>
      <c r="N19" s="237">
        <f>ROUND(('Hours Per Job'!N19*$B$36),2)+ROUND(('Parts Cost Per Job'!N19)*((1+$B$37)*$B$38),2)</f>
        <v>0</v>
      </c>
      <c r="O19" s="237">
        <f>ROUND(('Hours Per Job'!O19*$B$36),2)+ROUND(('Parts Cost Per Job'!O19)*((1+$B$37)*$B$38),2)</f>
        <v>0</v>
      </c>
      <c r="P19" s="239">
        <f>ROUND(('Hours Per Job'!P19*$B$36),2)+ROUND(('Parts Cost Per Job'!P19)*((1+$B$37)*$B$38),2)</f>
        <v>0</v>
      </c>
      <c r="Q19" s="240">
        <f>ROUND(('Hours Per Job'!Q19*$B$36),2)+ROUND(('Parts Cost Per Job'!Q19)*((1+$B$37)*$B$38),2)</f>
        <v>0</v>
      </c>
      <c r="R19" s="241">
        <f>ROUND(('Hours Per Job'!R19*$B$36),2)+ROUND(('Parts Cost Per Job'!R19)*((1+$B$37)*$B$38),2)</f>
        <v>0</v>
      </c>
      <c r="S19" s="241">
        <f>ROUND(('Hours Per Job'!S19*$B$36),2)+ROUND(('Parts Cost Per Job'!S19)*((1+$B$37)*$B$38),2)</f>
        <v>0</v>
      </c>
      <c r="T19" s="242">
        <f>ROUND(('Hours Per Job'!T19*$B$36),2)+ROUND(('Parts Cost Per Job'!T19)*((1+$B$37)*$B$38),2)</f>
        <v>0</v>
      </c>
      <c r="U19" s="234">
        <f>ROUND(('Hours Per Job'!U19*$B$36),2)+ROUND(('Parts Cost Per Job'!U19)*((1+$B$37)*$B$38),2)</f>
        <v>133.79000000000002</v>
      </c>
      <c r="V19" s="235">
        <f>ROUND(('Hours Per Job'!V19*$B$36),2)+ROUND(('Parts Cost Per Job'!V19)*((1+$B$37)*$B$38),2)</f>
        <v>0</v>
      </c>
      <c r="W19" s="235">
        <f>ROUND(('Hours Per Job'!W19*$B$36),2)+ROUND(('Parts Cost Per Job'!W19)*((1+$B$37)*$B$38),2)</f>
        <v>0</v>
      </c>
      <c r="X19" s="235">
        <f>ROUND(('Hours Per Job'!X19*$B$36),2)+ROUND(('Parts Cost Per Job'!X19)*((1+$B$37)*$B$38),2)</f>
        <v>0</v>
      </c>
      <c r="Y19" s="235">
        <f>ROUND(('Hours Per Job'!Y19*$B$36),2)+ROUND(('Parts Cost Per Job'!Y19)*((1+$B$37)*$B$38),2)</f>
        <v>0</v>
      </c>
      <c r="Z19" s="235">
        <f>ROUND(('Hours Per Job'!Z19*$B$36),2)+ROUND(('Parts Cost Per Job'!Z19)*((1+$B$37)*$B$38),2)</f>
        <v>121.35</v>
      </c>
      <c r="AA19" s="235">
        <f>ROUND(('Hours Per Job'!AA19*$B$36),2)+ROUND(('Parts Cost Per Job'!AA19)*((1+$B$37)*$B$38),2)</f>
        <v>0</v>
      </c>
      <c r="AB19" s="235">
        <f>ROUND(('Hours Per Job'!AB19*$B$36),2)+ROUND(('Parts Cost Per Job'!AB19)*((1+$B$37)*$B$38),2)</f>
        <v>443.96</v>
      </c>
      <c r="AC19" s="235">
        <f>ROUND(('Hours Per Job'!AC19*$B$36),2)+ROUND(('Parts Cost Per Job'!AC19)*((1+$B$37)*$B$38),2)</f>
        <v>94.460000000000008</v>
      </c>
      <c r="AD19" s="235">
        <f>ROUND(('Hours Per Job'!AD19*$B$36),2)+ROUND(('Parts Cost Per Job'!AD19)*((1+$B$37)*$B$38),2)</f>
        <v>0</v>
      </c>
      <c r="AE19" s="235">
        <f>ROUND(('Hours Per Job'!AE19*$B$36),2)+ROUND(('Parts Cost Per Job'!AE19)*((1+$B$37)*$B$38),2)</f>
        <v>0</v>
      </c>
      <c r="AF19" s="235">
        <f>ROUND(('Hours Per Job'!AF19*$B$36),2)+ROUND(('Parts Cost Per Job'!AF19)*((1+$B$37)*$B$38),2)</f>
        <v>0</v>
      </c>
      <c r="AG19" s="235">
        <f>ROUND(('Hours Per Job'!AG19*$B$36),2)+ROUND(('Parts Cost Per Job'!AG19)*((1+$B$37)*$B$38),2)</f>
        <v>0</v>
      </c>
      <c r="AH19" s="235">
        <f>ROUND(('Hours Per Job'!AH19*$B$36),2)+ROUND(('Parts Cost Per Job'!AH19)*((1+$B$37)*$B$38),2)</f>
        <v>0</v>
      </c>
      <c r="AI19" s="235">
        <f>ROUND(('Hours Per Job'!AI19*$B$36),2)+ROUND(('Parts Cost Per Job'!AI19)*((1+$B$37)*$B$38),2)</f>
        <v>502.42</v>
      </c>
      <c r="AJ19" s="235">
        <f>ROUND(('Hours Per Job'!AJ19*$B$36),2)+ROUND(('Parts Cost Per Job'!AJ19)*((1+$B$37)*$B$38),2)</f>
        <v>0</v>
      </c>
      <c r="AK19" s="235">
        <f>ROUND(('Hours Per Job'!AK19*$B$36),2)+ROUND(('Parts Cost Per Job'!AK19)*((1+$B$37)*$B$38),2)</f>
        <v>0</v>
      </c>
      <c r="AL19" s="235">
        <f>ROUND(('Hours Per Job'!AL19*$B$36),2)+ROUND(('Parts Cost Per Job'!AL19)*((1+$B$37)*$B$38),2)</f>
        <v>201.51</v>
      </c>
      <c r="AM19" s="235">
        <f>ROUND(('Hours Per Job'!AM19*$B$36),2)+ROUND(('Parts Cost Per Job'!AM19)*((1+$B$37)*$B$38),2)</f>
        <v>0</v>
      </c>
      <c r="AN19" s="235">
        <f>ROUND(('Hours Per Job'!AN19*$B$36),2)+ROUND(('Parts Cost Per Job'!AN19)*((1+$B$37)*$B$38),2)</f>
        <v>0</v>
      </c>
      <c r="AO19" s="235">
        <f>ROUND(('Hours Per Job'!AO19*$B$36),2)+ROUND(('Parts Cost Per Job'!AO19)*((1+$B$37)*$B$38),2)</f>
        <v>0</v>
      </c>
      <c r="AP19" s="235">
        <f>ROUND(('Hours Per Job'!AP19*$B$36),2)+ROUND(('Parts Cost Per Job'!AP19)*((1+$B$37)*$B$38),2)</f>
        <v>0</v>
      </c>
      <c r="AQ19" s="235">
        <f>ROUND(('Hours Per Job'!AQ19*$B$36),2)+ROUND(('Parts Cost Per Job'!AQ19)*((1+$B$37)*$B$38),2)</f>
        <v>0</v>
      </c>
      <c r="AR19" s="235">
        <f>ROUND(('Hours Per Job'!AR19*$B$36),2)+ROUND(('Parts Cost Per Job'!AR19)*((1+$B$37)*$B$38),2)</f>
        <v>0</v>
      </c>
      <c r="AS19" s="235">
        <f>ROUND(('Hours Per Job'!AS19*$B$36),2)+ROUND(('Parts Cost Per Job'!AS19)*((1+$B$37)*$B$38),2)</f>
        <v>0</v>
      </c>
      <c r="AT19" s="235">
        <f>ROUND(('Hours Per Job'!AT19*$B$36),2)+ROUND(('Parts Cost Per Job'!AT19)*((1+$B$37)*$B$38),2)</f>
        <v>35.07</v>
      </c>
      <c r="AU19" s="235">
        <f>ROUND(('Hours Per Job'!AU19*$B$36),2)+ROUND(('Parts Cost Per Job'!AU19)*((1+$B$37)*$B$38),2)</f>
        <v>0</v>
      </c>
      <c r="AV19" s="235">
        <f>ROUND(('Hours Per Job'!AV19*$B$36),2)+ROUND(('Parts Cost Per Job'!AV19)*((1+$B$37)*$B$38),2)</f>
        <v>0</v>
      </c>
      <c r="AW19" s="235">
        <f>ROUND(('Hours Per Job'!AW19*$B$36),2)+ROUND(('Parts Cost Per Job'!AW19)*((1+$B$37)*$B$38),2)</f>
        <v>0</v>
      </c>
      <c r="AX19" s="235">
        <f>ROUND(('Hours Per Job'!AX19*$B$36),2)+ROUND(('Parts Cost Per Job'!AX19)*((1+$B$37)*$B$38),2)</f>
        <v>0</v>
      </c>
      <c r="AY19" s="235">
        <f>ROUND(('Hours Per Job'!AY19*$B$36),2)+ROUND(('Parts Cost Per Job'!AY19)*((1+$B$37)*$B$38),2)</f>
        <v>0</v>
      </c>
      <c r="AZ19" s="235">
        <f>ROUND(('Hours Per Job'!AZ19*$B$36),2)+ROUND(('Parts Cost Per Job'!AZ19)*((1+$B$37)*$B$38),2)</f>
        <v>0</v>
      </c>
      <c r="BA19" s="235">
        <f>ROUND(('Hours Per Job'!BA19*$B$36),2)+ROUND(('Parts Cost Per Job'!BA19)*((1+$B$37)*$B$38),2)</f>
        <v>0</v>
      </c>
      <c r="BB19" s="235">
        <f>ROUND(('Hours Per Job'!BB19*$B$36),2)+ROUND(('Parts Cost Per Job'!BB19)*((1+$B$37)*$B$38),2)</f>
        <v>104.75</v>
      </c>
      <c r="BC19" s="235">
        <f>ROUND(('Hours Per Job'!BC19*$B$36),2)+ROUND(('Parts Cost Per Job'!BC19)*((1+$B$37)*$B$38),2)</f>
        <v>66.650000000000006</v>
      </c>
      <c r="BD19" s="235">
        <f>ROUND(('Hours Per Job'!BD19*$B$36),2)+ROUND(('Parts Cost Per Job'!BD19)*((1+$B$37)*$B$38),2)</f>
        <v>0</v>
      </c>
      <c r="BE19" s="235">
        <f>ROUND(('Hours Per Job'!BE19*$B$36),2)+ROUND(('Parts Cost Per Job'!BE19)*((1+$B$37)*$B$38),2)</f>
        <v>0</v>
      </c>
      <c r="BF19" s="235">
        <f>ROUND(('Hours Per Job'!BF19*$B$36),2)+ROUND(('Parts Cost Per Job'!BF19)*((1+$B$37)*$B$38),2)</f>
        <v>90</v>
      </c>
      <c r="BG19" s="235">
        <f>ROUND(('Hours Per Job'!BG19*$B$36),2)+ROUND(('Parts Cost Per Job'!BG19)*((1+$B$37)*$B$38),2)</f>
        <v>0</v>
      </c>
      <c r="BH19" s="235">
        <f>ROUND(('Hours Per Job'!BH19*$B$36),2)+ROUND(('Parts Cost Per Job'!BH19)*((1+$B$37)*$B$38),2)</f>
        <v>168.7</v>
      </c>
      <c r="BI19" s="235">
        <f>ROUND(('Hours Per Job'!BI19*$B$36),2)+ROUND(('Parts Cost Per Job'!BI19)*((1+$B$37)*$B$38),2)</f>
        <v>0</v>
      </c>
      <c r="BJ19" s="235">
        <f>ROUND(('Hours Per Job'!BJ19*$B$36),2)+ROUND(('Parts Cost Per Job'!BJ19)*((1+$B$37)*$B$38),2)</f>
        <v>30</v>
      </c>
      <c r="BK19" s="235">
        <f>ROUND(('Hours Per Job'!BK19*$B$36),2)+ROUND(('Parts Cost Per Job'!BK19)*((1+$B$37)*$B$38),2)</f>
        <v>0</v>
      </c>
      <c r="BL19" s="235">
        <f>ROUND(('Hours Per Job'!BL19*$B$36),2)+ROUND(('Parts Cost Per Job'!BL19)*((1+$B$37)*$B$38),2)</f>
        <v>0</v>
      </c>
      <c r="BM19" s="235">
        <f>ROUND(('Hours Per Job'!BM19*$B$36),2)+ROUND(('Parts Cost Per Job'!BM19)*((1+$B$37)*$B$38),2)</f>
        <v>0</v>
      </c>
      <c r="BN19" s="235">
        <f>ROUND(('Hours Per Job'!BN19*$B$36),2)+ROUND(('Parts Cost Per Job'!BN19)*((1+$B$37)*$B$38),2)</f>
        <v>133.79000000000002</v>
      </c>
      <c r="BO19" s="235">
        <f>ROUND(('Hours Per Job'!BO19*$B$36),2)+ROUND(('Parts Cost Per Job'!BO19)*((1+$B$37)*$B$38),2)</f>
        <v>35.07</v>
      </c>
      <c r="BP19" s="235">
        <f>ROUND(('Hours Per Job'!BP19*$B$36),2)+ROUND(('Parts Cost Per Job'!BP19)*((1+$B$37)*$B$38),2)</f>
        <v>126</v>
      </c>
    </row>
    <row r="20" spans="1:68" x14ac:dyDescent="0.2">
      <c r="A20" s="226" t="str">
        <f>'Scheduled Intervals'!A20</f>
        <v>Mahindra 6000</v>
      </c>
      <c r="B20" s="227">
        <f>ROUND(('Hours Per Job'!B20*$B$36),2)+ROUND(('Parts Cost Per Job'!B20)*((1+$B$37)*$B$38),2)</f>
        <v>133.79000000000002</v>
      </c>
      <c r="C20" s="237">
        <f>ROUND(('Hours Per Job'!C20*$B$36),2)+ROUND(('Parts Cost Per Job'!C20)*((1+$B$37)*$B$38),2)</f>
        <v>0</v>
      </c>
      <c r="D20" s="237">
        <f>ROUND(('Hours Per Job'!D20*$B$36),2)+ROUND(('Parts Cost Per Job'!D20)*((1+$B$37)*$B$38),2)</f>
        <v>0</v>
      </c>
      <c r="E20" s="237">
        <f>ROUND(('Hours Per Job'!E20*$B$36),2)+ROUND(('Parts Cost Per Job'!E20)*((1+$B$37)*$B$38),2)</f>
        <v>0</v>
      </c>
      <c r="F20" s="237">
        <f>ROUND(('Hours Per Job'!F20*$B$36),2)+ROUND(('Parts Cost Per Job'!F20)*((1+$B$37)*$B$38),2)</f>
        <v>162.94999999999999</v>
      </c>
      <c r="G20" s="237">
        <f>ROUND(('Hours Per Job'!G20*$B$36),2)+ROUND(('Parts Cost Per Job'!G20)*((1+$B$37)*$B$38),2)</f>
        <v>0</v>
      </c>
      <c r="H20" s="238">
        <f>ROUND(('Hours Per Job'!H20*$B$36),2)+ROUND(('Parts Cost Per Job'!H20)*((1+$B$37)*$B$38),2)</f>
        <v>35.07</v>
      </c>
      <c r="I20" s="237">
        <f>ROUND(('Hours Per Job'!I20*$B$36),2)+ROUND(('Parts Cost Per Job'!I20)*((1+$B$37)*$B$38),2)</f>
        <v>30</v>
      </c>
      <c r="J20" s="237">
        <f>ROUND(('Hours Per Job'!J20*$B$36),2)+ROUND(('Parts Cost Per Job'!J20)*((1+$B$37)*$B$38),2)</f>
        <v>0</v>
      </c>
      <c r="K20" s="237">
        <f>ROUND(('Hours Per Job'!K20*$B$36),2)+ROUND(('Parts Cost Per Job'!K20)*((1+$B$37)*$B$38),2)</f>
        <v>0</v>
      </c>
      <c r="L20" s="237">
        <f>ROUND(('Hours Per Job'!L20*$B$36),2)+ROUND(('Parts Cost Per Job'!L20)*((1+$B$37)*$B$38),2)</f>
        <v>0</v>
      </c>
      <c r="M20" s="237">
        <f>ROUND(('Hours Per Job'!M20*$B$36),2)+ROUND(('Parts Cost Per Job'!M20)*((1+$B$37)*$B$38),2)</f>
        <v>0</v>
      </c>
      <c r="N20" s="237">
        <f>ROUND(('Hours Per Job'!N20*$B$36),2)+ROUND(('Parts Cost Per Job'!N20)*((1+$B$37)*$B$38),2)</f>
        <v>0</v>
      </c>
      <c r="O20" s="237">
        <f>ROUND(('Hours Per Job'!O20*$B$36),2)+ROUND(('Parts Cost Per Job'!O20)*((1+$B$37)*$B$38),2)</f>
        <v>0</v>
      </c>
      <c r="P20" s="239">
        <f>ROUND(('Hours Per Job'!P20*$B$36),2)+ROUND(('Parts Cost Per Job'!P20)*((1+$B$37)*$B$38),2)</f>
        <v>0</v>
      </c>
      <c r="Q20" s="240">
        <f>ROUND(('Hours Per Job'!Q20*$B$36),2)+ROUND(('Parts Cost Per Job'!Q20)*((1+$B$37)*$B$38),2)</f>
        <v>0</v>
      </c>
      <c r="R20" s="241">
        <f>ROUND(('Hours Per Job'!R20*$B$36),2)+ROUND(('Parts Cost Per Job'!R20)*((1+$B$37)*$B$38),2)</f>
        <v>0</v>
      </c>
      <c r="S20" s="241">
        <f>ROUND(('Hours Per Job'!S20*$B$36),2)+ROUND(('Parts Cost Per Job'!S20)*((1+$B$37)*$B$38),2)</f>
        <v>0</v>
      </c>
      <c r="T20" s="242">
        <f>ROUND(('Hours Per Job'!T20*$B$36),2)+ROUND(('Parts Cost Per Job'!T20)*((1+$B$37)*$B$38),2)</f>
        <v>0</v>
      </c>
      <c r="U20" s="234">
        <f>ROUND(('Hours Per Job'!U20*$B$36),2)+ROUND(('Parts Cost Per Job'!U20)*((1+$B$37)*$B$38),2)</f>
        <v>133.79000000000002</v>
      </c>
      <c r="V20" s="235">
        <f>ROUND(('Hours Per Job'!V20*$B$36),2)+ROUND(('Parts Cost Per Job'!V20)*((1+$B$37)*$B$38),2)</f>
        <v>0</v>
      </c>
      <c r="W20" s="235">
        <f>ROUND(('Hours Per Job'!W20*$B$36),2)+ROUND(('Parts Cost Per Job'!W20)*((1+$B$37)*$B$38),2)</f>
        <v>0</v>
      </c>
      <c r="X20" s="235">
        <f>ROUND(('Hours Per Job'!X20*$B$36),2)+ROUND(('Parts Cost Per Job'!X20)*((1+$B$37)*$B$38),2)</f>
        <v>0</v>
      </c>
      <c r="Y20" s="235">
        <f>ROUND(('Hours Per Job'!Y20*$B$36),2)+ROUND(('Parts Cost Per Job'!Y20)*((1+$B$37)*$B$38),2)</f>
        <v>0</v>
      </c>
      <c r="Z20" s="235">
        <f>ROUND(('Hours Per Job'!Z20*$B$36),2)+ROUND(('Parts Cost Per Job'!Z20)*((1+$B$37)*$B$38),2)</f>
        <v>76.009999999999991</v>
      </c>
      <c r="AA20" s="235">
        <f>ROUND(('Hours Per Job'!AA20*$B$36),2)+ROUND(('Parts Cost Per Job'!AA20)*((1+$B$37)*$B$38),2)</f>
        <v>0</v>
      </c>
      <c r="AB20" s="235">
        <f>ROUND(('Hours Per Job'!AB20*$B$36),2)+ROUND(('Parts Cost Per Job'!AB20)*((1+$B$37)*$B$38),2)</f>
        <v>502.27</v>
      </c>
      <c r="AC20" s="235">
        <f>ROUND(('Hours Per Job'!AC20*$B$36),2)+ROUND(('Parts Cost Per Job'!AC20)*((1+$B$37)*$B$38),2)</f>
        <v>138.94999999999999</v>
      </c>
      <c r="AD20" s="235">
        <f>ROUND(('Hours Per Job'!AD20*$B$36),2)+ROUND(('Parts Cost Per Job'!AD20)*((1+$B$37)*$B$38),2)</f>
        <v>0</v>
      </c>
      <c r="AE20" s="235">
        <f>ROUND(('Hours Per Job'!AE20*$B$36),2)+ROUND(('Parts Cost Per Job'!AE20)*((1+$B$37)*$B$38),2)</f>
        <v>0</v>
      </c>
      <c r="AF20" s="235">
        <f>ROUND(('Hours Per Job'!AF20*$B$36),2)+ROUND(('Parts Cost Per Job'!AF20)*((1+$B$37)*$B$38),2)</f>
        <v>0</v>
      </c>
      <c r="AG20" s="235">
        <f>ROUND(('Hours Per Job'!AG20*$B$36),2)+ROUND(('Parts Cost Per Job'!AG20)*((1+$B$37)*$B$38),2)</f>
        <v>0</v>
      </c>
      <c r="AH20" s="235">
        <f>ROUND(('Hours Per Job'!AH20*$B$36),2)+ROUND(('Parts Cost Per Job'!AH20)*((1+$B$37)*$B$38),2)</f>
        <v>0</v>
      </c>
      <c r="AI20" s="235">
        <f>ROUND(('Hours Per Job'!AI20*$B$36),2)+ROUND(('Parts Cost Per Job'!AI20)*((1+$B$37)*$B$38),2)</f>
        <v>572.82999999999993</v>
      </c>
      <c r="AJ20" s="235">
        <f>ROUND(('Hours Per Job'!AJ20*$B$36),2)+ROUND(('Parts Cost Per Job'!AJ20)*((1+$B$37)*$B$38),2)</f>
        <v>0</v>
      </c>
      <c r="AK20" s="235">
        <f>ROUND(('Hours Per Job'!AK20*$B$36),2)+ROUND(('Parts Cost Per Job'!AK20)*((1+$B$37)*$B$38),2)</f>
        <v>0</v>
      </c>
      <c r="AL20" s="235">
        <f>ROUND(('Hours Per Job'!AL20*$B$36),2)+ROUND(('Parts Cost Per Job'!AL20)*((1+$B$37)*$B$38),2)</f>
        <v>201.51</v>
      </c>
      <c r="AM20" s="235">
        <f>ROUND(('Hours Per Job'!AM20*$B$36),2)+ROUND(('Parts Cost Per Job'!AM20)*((1+$B$37)*$B$38),2)</f>
        <v>0</v>
      </c>
      <c r="AN20" s="235">
        <f>ROUND(('Hours Per Job'!AN20*$B$36),2)+ROUND(('Parts Cost Per Job'!AN20)*((1+$B$37)*$B$38),2)</f>
        <v>0</v>
      </c>
      <c r="AO20" s="235">
        <f>ROUND(('Hours Per Job'!AO20*$B$36),2)+ROUND(('Parts Cost Per Job'!AO20)*((1+$B$37)*$B$38),2)</f>
        <v>0</v>
      </c>
      <c r="AP20" s="235">
        <f>ROUND(('Hours Per Job'!AP20*$B$36),2)+ROUND(('Parts Cost Per Job'!AP20)*((1+$B$37)*$B$38),2)</f>
        <v>0</v>
      </c>
      <c r="AQ20" s="235">
        <f>ROUND(('Hours Per Job'!AQ20*$B$36),2)+ROUND(('Parts Cost Per Job'!AQ20)*((1+$B$37)*$B$38),2)</f>
        <v>0</v>
      </c>
      <c r="AR20" s="235">
        <f>ROUND(('Hours Per Job'!AR20*$B$36),2)+ROUND(('Parts Cost Per Job'!AR20)*((1+$B$37)*$B$38),2)</f>
        <v>0</v>
      </c>
      <c r="AS20" s="235">
        <f>ROUND(('Hours Per Job'!AS20*$B$36),2)+ROUND(('Parts Cost Per Job'!AS20)*((1+$B$37)*$B$38),2)</f>
        <v>0</v>
      </c>
      <c r="AT20" s="235">
        <f>ROUND(('Hours Per Job'!AT20*$B$36),2)+ROUND(('Parts Cost Per Job'!AT20)*((1+$B$37)*$B$38),2)</f>
        <v>35.07</v>
      </c>
      <c r="AU20" s="235">
        <f>ROUND(('Hours Per Job'!AU20*$B$36),2)+ROUND(('Parts Cost Per Job'!AU20)*((1+$B$37)*$B$38),2)</f>
        <v>0</v>
      </c>
      <c r="AV20" s="235">
        <f>ROUND(('Hours Per Job'!AV20*$B$36),2)+ROUND(('Parts Cost Per Job'!AV20)*((1+$B$37)*$B$38),2)</f>
        <v>0</v>
      </c>
      <c r="AW20" s="235">
        <f>ROUND(('Hours Per Job'!AW20*$B$36),2)+ROUND(('Parts Cost Per Job'!AW20)*((1+$B$37)*$B$38),2)</f>
        <v>827.14</v>
      </c>
      <c r="AX20" s="235">
        <f>ROUND(('Hours Per Job'!AX20*$B$36),2)+ROUND(('Parts Cost Per Job'!AX20)*((1+$B$37)*$B$38),2)</f>
        <v>0</v>
      </c>
      <c r="AY20" s="235">
        <f>ROUND(('Hours Per Job'!AY20*$B$36),2)+ROUND(('Parts Cost Per Job'!AY20)*((1+$B$37)*$B$38),2)</f>
        <v>0</v>
      </c>
      <c r="AZ20" s="235">
        <f>ROUND(('Hours Per Job'!AZ20*$B$36),2)+ROUND(('Parts Cost Per Job'!AZ20)*((1+$B$37)*$B$38),2)</f>
        <v>0</v>
      </c>
      <c r="BA20" s="235">
        <f>ROUND(('Hours Per Job'!BA20*$B$36),2)+ROUND(('Parts Cost Per Job'!BA20)*((1+$B$37)*$B$38),2)</f>
        <v>0</v>
      </c>
      <c r="BB20" s="235">
        <f>ROUND(('Hours Per Job'!BB20*$B$36),2)+ROUND(('Parts Cost Per Job'!BB20)*((1+$B$37)*$B$38),2)</f>
        <v>82.59</v>
      </c>
      <c r="BC20" s="235">
        <f>ROUND(('Hours Per Job'!BC20*$B$36),2)+ROUND(('Parts Cost Per Job'!BC20)*((1+$B$37)*$B$38),2)</f>
        <v>74</v>
      </c>
      <c r="BD20" s="235">
        <f>ROUND(('Hours Per Job'!BD20*$B$36),2)+ROUND(('Parts Cost Per Job'!BD20)*((1+$B$37)*$B$38),2)</f>
        <v>0</v>
      </c>
      <c r="BE20" s="235">
        <f>ROUND(('Hours Per Job'!BE20*$B$36),2)+ROUND(('Parts Cost Per Job'!BE20)*((1+$B$37)*$B$38),2)</f>
        <v>0</v>
      </c>
      <c r="BF20" s="235">
        <f>ROUND(('Hours Per Job'!BF20*$B$36),2)+ROUND(('Parts Cost Per Job'!BF20)*((1+$B$37)*$B$38),2)</f>
        <v>90</v>
      </c>
      <c r="BG20" s="235">
        <f>ROUND(('Hours Per Job'!BG20*$B$36),2)+ROUND(('Parts Cost Per Job'!BG20)*((1+$B$37)*$B$38),2)</f>
        <v>0</v>
      </c>
      <c r="BH20" s="235">
        <f>ROUND(('Hours Per Job'!BH20*$B$36),2)+ROUND(('Parts Cost Per Job'!BH20)*((1+$B$37)*$B$38),2)</f>
        <v>168.7</v>
      </c>
      <c r="BI20" s="235">
        <f>ROUND(('Hours Per Job'!BI20*$B$36),2)+ROUND(('Parts Cost Per Job'!BI20)*((1+$B$37)*$B$38),2)</f>
        <v>0</v>
      </c>
      <c r="BJ20" s="235">
        <f>ROUND(('Hours Per Job'!BJ20*$B$36),2)+ROUND(('Parts Cost Per Job'!BJ20)*((1+$B$37)*$B$38),2)</f>
        <v>30</v>
      </c>
      <c r="BK20" s="235">
        <f>ROUND(('Hours Per Job'!BK20*$B$36),2)+ROUND(('Parts Cost Per Job'!BK20)*((1+$B$37)*$B$38),2)</f>
        <v>0</v>
      </c>
      <c r="BL20" s="235">
        <f>ROUND(('Hours Per Job'!BL20*$B$36),2)+ROUND(('Parts Cost Per Job'!BL20)*((1+$B$37)*$B$38),2)</f>
        <v>0</v>
      </c>
      <c r="BM20" s="235">
        <f>ROUND(('Hours Per Job'!BM20*$B$36),2)+ROUND(('Parts Cost Per Job'!BM20)*((1+$B$37)*$B$38),2)</f>
        <v>0</v>
      </c>
      <c r="BN20" s="235">
        <f>ROUND(('Hours Per Job'!BN20*$B$36),2)+ROUND(('Parts Cost Per Job'!BN20)*((1+$B$37)*$B$38),2)</f>
        <v>133.79000000000002</v>
      </c>
      <c r="BO20" s="235">
        <f>ROUND(('Hours Per Job'!BO20*$B$36),2)+ROUND(('Parts Cost Per Job'!BO20)*((1+$B$37)*$B$38),2)</f>
        <v>35.07</v>
      </c>
      <c r="BP20" s="235">
        <f>ROUND(('Hours Per Job'!BP20*$B$36),2)+ROUND(('Parts Cost Per Job'!BP20)*((1+$B$37)*$B$38),2)</f>
        <v>126</v>
      </c>
    </row>
    <row r="21" spans="1:68" x14ac:dyDescent="0.2">
      <c r="A21" s="226" t="str">
        <f>'Scheduled Intervals'!A21</f>
        <v>Takeuchi TL 8/10/12</v>
      </c>
      <c r="B21" s="227">
        <f>ROUND(('Hours Per Job'!B21*$B$36),2)+ROUND(('Parts Cost Per Job'!B21)*((1+$B$37)*$B$38),2)</f>
        <v>196.28</v>
      </c>
      <c r="C21" s="237">
        <f>ROUND(('Hours Per Job'!C21*$B$36),2)+ROUND(('Parts Cost Per Job'!C21)*((1+$B$37)*$B$38),2)</f>
        <v>12</v>
      </c>
      <c r="D21" s="237">
        <f>ROUND(('Hours Per Job'!D21*$B$36),2)+ROUND(('Parts Cost Per Job'!D21)*((1+$B$37)*$B$38),2)</f>
        <v>12</v>
      </c>
      <c r="E21" s="237">
        <f>ROUND(('Hours Per Job'!E21*$B$36),2)+ROUND(('Parts Cost Per Job'!E21)*((1+$B$37)*$B$38),2)</f>
        <v>0</v>
      </c>
      <c r="F21" s="237">
        <f>ROUND(('Hours Per Job'!F21*$B$36),2)+ROUND(('Parts Cost Per Job'!F21)*((1+$B$37)*$B$38),2)</f>
        <v>165.26999999999998</v>
      </c>
      <c r="G21" s="237">
        <f>ROUND(('Hours Per Job'!G21*$B$36),2)+ROUND(('Parts Cost Per Job'!G21)*((1+$B$37)*$B$38),2)</f>
        <v>0</v>
      </c>
      <c r="H21" s="238">
        <f>ROUND(('Hours Per Job'!H21*$B$36),2)+ROUND(('Parts Cost Per Job'!H21)*((1+$B$37)*$B$38),2)</f>
        <v>71.069999999999993</v>
      </c>
      <c r="I21" s="237">
        <f>ROUND(('Hours Per Job'!I21*$B$36),2)+ROUND(('Parts Cost Per Job'!I21)*((1+$B$37)*$B$38),2)</f>
        <v>30</v>
      </c>
      <c r="J21" s="237">
        <f>ROUND(('Hours Per Job'!J21*$B$36),2)+ROUND(('Parts Cost Per Job'!J21)*((1+$B$37)*$B$38),2)</f>
        <v>0</v>
      </c>
      <c r="K21" s="237">
        <f>ROUND(('Hours Per Job'!K21*$B$36),2)+ROUND(('Parts Cost Per Job'!K21)*((1+$B$37)*$B$38),2)</f>
        <v>0</v>
      </c>
      <c r="L21" s="237">
        <f>ROUND(('Hours Per Job'!L21*$B$36),2)+ROUND(('Parts Cost Per Job'!L21)*((1+$B$37)*$B$38),2)</f>
        <v>0</v>
      </c>
      <c r="M21" s="237">
        <f>ROUND(('Hours Per Job'!M21*$B$36),2)+ROUND(('Parts Cost Per Job'!M21)*((1+$B$37)*$B$38),2)</f>
        <v>153.26999999999998</v>
      </c>
      <c r="N21" s="237">
        <f>ROUND(('Hours Per Job'!N21*$B$36),2)+ROUND(('Parts Cost Per Job'!N21)*((1+$B$37)*$B$38),2)</f>
        <v>0</v>
      </c>
      <c r="O21" s="237">
        <f>ROUND(('Hours Per Job'!O21*$B$36),2)+ROUND(('Parts Cost Per Job'!O21)*((1+$B$37)*$B$38),2)</f>
        <v>0</v>
      </c>
      <c r="P21" s="239">
        <f>ROUND(('Hours Per Job'!P21*$B$36),2)+ROUND(('Parts Cost Per Job'!P21)*((1+$B$37)*$B$38),2)</f>
        <v>104.32</v>
      </c>
      <c r="Q21" s="240">
        <f>ROUND(('Hours Per Job'!Q21*$B$36),2)+ROUND(('Parts Cost Per Job'!Q21)*((1+$B$37)*$B$38),2)</f>
        <v>0</v>
      </c>
      <c r="R21" s="241">
        <f>ROUND(('Hours Per Job'!R21*$B$36),2)+ROUND(('Parts Cost Per Job'!R21)*((1+$B$37)*$B$38),2)</f>
        <v>0</v>
      </c>
      <c r="S21" s="241">
        <f>ROUND(('Hours Per Job'!S21*$B$36),2)+ROUND(('Parts Cost Per Job'!S21)*((1+$B$37)*$B$38),2)</f>
        <v>0</v>
      </c>
      <c r="T21" s="242">
        <f>ROUND(('Hours Per Job'!T21*$B$36),2)+ROUND(('Parts Cost Per Job'!T21)*((1+$B$37)*$B$38),2)</f>
        <v>0</v>
      </c>
      <c r="U21" s="234">
        <f>ROUND(('Hours Per Job'!U21*$B$36),2)+ROUND(('Parts Cost Per Job'!U21)*((1+$B$37)*$B$38),2)</f>
        <v>196.28</v>
      </c>
      <c r="V21" s="235">
        <f>ROUND(('Hours Per Job'!V21*$B$36),2)+ROUND(('Parts Cost Per Job'!V21)*((1+$B$37)*$B$38),2)</f>
        <v>120.31</v>
      </c>
      <c r="W21" s="235">
        <f>ROUND(('Hours Per Job'!W21*$B$36),2)+ROUND(('Parts Cost Per Job'!W21)*((1+$B$37)*$B$38),2)</f>
        <v>12</v>
      </c>
      <c r="X21" s="235">
        <f>ROUND(('Hours Per Job'!X21*$B$36),2)+ROUND(('Parts Cost Per Job'!X21)*((1+$B$37)*$B$38),2)</f>
        <v>54.489999999999995</v>
      </c>
      <c r="Y21" s="235">
        <f>ROUND(('Hours Per Job'!Y21*$B$36),2)+ROUND(('Parts Cost Per Job'!Y21)*((1+$B$37)*$B$38),2)</f>
        <v>0</v>
      </c>
      <c r="Z21" s="235">
        <f>ROUND(('Hours Per Job'!Z21*$B$36),2)+ROUND(('Parts Cost Per Job'!Z21)*((1+$B$37)*$B$38),2)</f>
        <v>71.63</v>
      </c>
      <c r="AA21" s="235">
        <f>ROUND(('Hours Per Job'!AA21*$B$36),2)+ROUND(('Parts Cost Per Job'!AA21)*((1+$B$37)*$B$38),2)</f>
        <v>0</v>
      </c>
      <c r="AB21" s="235">
        <f>ROUND(('Hours Per Job'!AB21*$B$36),2)+ROUND(('Parts Cost Per Job'!AB21)*((1+$B$37)*$B$38),2)</f>
        <v>0</v>
      </c>
      <c r="AC21" s="235">
        <f>ROUND(('Hours Per Job'!AC21*$B$36),2)+ROUND(('Parts Cost Per Job'!AC21)*((1+$B$37)*$B$38),2)</f>
        <v>0</v>
      </c>
      <c r="AD21" s="235">
        <f>ROUND(('Hours Per Job'!AD21*$B$36),2)+ROUND(('Parts Cost Per Job'!AD21)*((1+$B$37)*$B$38),2)</f>
        <v>0</v>
      </c>
      <c r="AE21" s="235">
        <f>ROUND(('Hours Per Job'!AE21*$B$36),2)+ROUND(('Parts Cost Per Job'!AE21)*((1+$B$37)*$B$38),2)</f>
        <v>0</v>
      </c>
      <c r="AF21" s="235">
        <f>ROUND(('Hours Per Job'!AF21*$B$36),2)+ROUND(('Parts Cost Per Job'!AF21)*((1+$B$37)*$B$38),2)</f>
        <v>0</v>
      </c>
      <c r="AG21" s="235">
        <f>ROUND(('Hours Per Job'!AG21*$B$36),2)+ROUND(('Parts Cost Per Job'!AG21)*((1+$B$37)*$B$38),2)</f>
        <v>146.07999999999998</v>
      </c>
      <c r="AH21" s="235">
        <f>ROUND(('Hours Per Job'!AH21*$B$36),2)+ROUND(('Parts Cost Per Job'!AH21)*((1+$B$37)*$B$38),2)</f>
        <v>95.45</v>
      </c>
      <c r="AI21" s="235">
        <f>ROUND(('Hours Per Job'!AI21*$B$36),2)+ROUND(('Parts Cost Per Job'!AI21)*((1+$B$37)*$B$38),2)</f>
        <v>906.68</v>
      </c>
      <c r="AJ21" s="235">
        <f>ROUND(('Hours Per Job'!AJ21*$B$36),2)+ROUND(('Parts Cost Per Job'!AJ21)*((1+$B$37)*$B$38),2)</f>
        <v>0</v>
      </c>
      <c r="AK21" s="235">
        <f>ROUND(('Hours Per Job'!AK21*$B$36),2)+ROUND(('Parts Cost Per Job'!AK21)*((1+$B$37)*$B$38),2)</f>
        <v>0</v>
      </c>
      <c r="AL21" s="235">
        <f>ROUND(('Hours Per Job'!AL21*$B$36),2)+ROUND(('Parts Cost Per Job'!AL21)*((1+$B$37)*$B$38),2)</f>
        <v>156.17000000000002</v>
      </c>
      <c r="AM21" s="235">
        <f>ROUND(('Hours Per Job'!AM21*$B$36),2)+ROUND(('Parts Cost Per Job'!AM21)*((1+$B$37)*$B$38),2)</f>
        <v>0</v>
      </c>
      <c r="AN21" s="235">
        <f>ROUND(('Hours Per Job'!AN21*$B$36),2)+ROUND(('Parts Cost Per Job'!AN21)*((1+$B$37)*$B$38),2)</f>
        <v>0</v>
      </c>
      <c r="AO21" s="235">
        <f>ROUND(('Hours Per Job'!AO21*$B$36),2)+ROUND(('Parts Cost Per Job'!AO21)*((1+$B$37)*$B$38),2)</f>
        <v>0</v>
      </c>
      <c r="AP21" s="235">
        <f>ROUND(('Hours Per Job'!AP21*$B$36),2)+ROUND(('Parts Cost Per Job'!AP21)*((1+$B$37)*$B$38),2)</f>
        <v>84</v>
      </c>
      <c r="AQ21" s="235">
        <f>ROUND(('Hours Per Job'!AQ21*$B$36),2)+ROUND(('Parts Cost Per Job'!AQ21)*((1+$B$37)*$B$38),2)</f>
        <v>24</v>
      </c>
      <c r="AR21" s="235">
        <f>ROUND(('Hours Per Job'!AR21*$B$36),2)+ROUND(('Parts Cost Per Job'!AR21)*((1+$B$37)*$B$38),2)</f>
        <v>0</v>
      </c>
      <c r="AS21" s="235">
        <f>ROUND(('Hours Per Job'!AS21*$B$36),2)+ROUND(('Parts Cost Per Job'!AS21)*((1+$B$37)*$B$38),2)</f>
        <v>0</v>
      </c>
      <c r="AT21" s="235">
        <f>ROUND(('Hours Per Job'!AT21*$B$36),2)+ROUND(('Parts Cost Per Job'!AT21)*((1+$B$37)*$B$38),2)</f>
        <v>71.069999999999993</v>
      </c>
      <c r="AU21" s="235">
        <f>ROUND(('Hours Per Job'!AU21*$B$36),2)+ROUND(('Parts Cost Per Job'!AU21)*((1+$B$37)*$B$38),2)</f>
        <v>0</v>
      </c>
      <c r="AV21" s="235">
        <f>ROUND(('Hours Per Job'!AV21*$B$36),2)+ROUND(('Parts Cost Per Job'!AV21)*((1+$B$37)*$B$38),2)</f>
        <v>0</v>
      </c>
      <c r="AW21" s="235">
        <f>ROUND(('Hours Per Job'!AW21*$B$36),2)+ROUND(('Parts Cost Per Job'!AW21)*((1+$B$37)*$B$38),2)</f>
        <v>757.58</v>
      </c>
      <c r="AX21" s="235">
        <f>ROUND(('Hours Per Job'!AX21*$B$36),2)+ROUND(('Parts Cost Per Job'!AX21)*((1+$B$37)*$B$38),2)</f>
        <v>0</v>
      </c>
      <c r="AY21" s="235">
        <f>ROUND(('Hours Per Job'!AY21*$B$36),2)+ROUND(('Parts Cost Per Job'!AY21)*((1+$B$37)*$B$38),2)</f>
        <v>0</v>
      </c>
      <c r="AZ21" s="235">
        <f>ROUND(('Hours Per Job'!AZ21*$B$36),2)+ROUND(('Parts Cost Per Job'!AZ21)*((1+$B$37)*$B$38),2)</f>
        <v>0</v>
      </c>
      <c r="BA21" s="235">
        <f>ROUND(('Hours Per Job'!BA21*$B$36),2)+ROUND(('Parts Cost Per Job'!BA21)*((1+$B$37)*$B$38),2)</f>
        <v>0</v>
      </c>
      <c r="BB21" s="235">
        <f>ROUND(('Hours Per Job'!BB21*$B$36),2)+ROUND(('Parts Cost Per Job'!BB21)*((1+$B$37)*$B$38),2)</f>
        <v>105.42</v>
      </c>
      <c r="BC21" s="235">
        <f>ROUND(('Hours Per Job'!BC21*$B$36),2)+ROUND(('Parts Cost Per Job'!BC21)*((1+$B$37)*$B$38),2)</f>
        <v>0</v>
      </c>
      <c r="BD21" s="235">
        <f>ROUND(('Hours Per Job'!BD21*$B$36),2)+ROUND(('Parts Cost Per Job'!BD21)*((1+$B$37)*$B$38),2)</f>
        <v>0</v>
      </c>
      <c r="BE21" s="235">
        <f>ROUND(('Hours Per Job'!BE21*$B$36),2)+ROUND(('Parts Cost Per Job'!BE21)*((1+$B$37)*$B$38),2)</f>
        <v>0</v>
      </c>
      <c r="BF21" s="235">
        <f>ROUND(('Hours Per Job'!BF21*$B$36),2)+ROUND(('Parts Cost Per Job'!BF21)*((1+$B$37)*$B$38),2)</f>
        <v>90</v>
      </c>
      <c r="BG21" s="235">
        <f>ROUND(('Hours Per Job'!BG21*$B$36),2)+ROUND(('Parts Cost Per Job'!BG21)*((1+$B$37)*$B$38),2)</f>
        <v>90</v>
      </c>
      <c r="BH21" s="235">
        <f>ROUND(('Hours Per Job'!BH21*$B$36),2)+ROUND(('Parts Cost Per Job'!BH21)*((1+$B$37)*$B$38),2)</f>
        <v>182.72</v>
      </c>
      <c r="BI21" s="235">
        <f>ROUND(('Hours Per Job'!BI21*$B$36),2)+ROUND(('Parts Cost Per Job'!BI21)*((1+$B$37)*$B$38),2)</f>
        <v>0</v>
      </c>
      <c r="BJ21" s="235">
        <f>ROUND(('Hours Per Job'!BJ21*$B$36),2)+ROUND(('Parts Cost Per Job'!BJ21)*((1+$B$37)*$B$38),2)</f>
        <v>30</v>
      </c>
      <c r="BK21" s="235">
        <f>ROUND(('Hours Per Job'!BK21*$B$36),2)+ROUND(('Parts Cost Per Job'!BK21)*((1+$B$37)*$B$38),2)</f>
        <v>0</v>
      </c>
      <c r="BL21" s="235">
        <f>ROUND(('Hours Per Job'!BL21*$B$36),2)+ROUND(('Parts Cost Per Job'!BL21)*((1+$B$37)*$B$38),2)</f>
        <v>0</v>
      </c>
      <c r="BM21" s="235">
        <f>ROUND(('Hours Per Job'!BM21*$B$36),2)+ROUND(('Parts Cost Per Job'!BM21)*((1+$B$37)*$B$38),2)</f>
        <v>0</v>
      </c>
      <c r="BN21" s="235">
        <f>ROUND(('Hours Per Job'!BN21*$B$36),2)+ROUND(('Parts Cost Per Job'!BN21)*((1+$B$37)*$B$38),2)</f>
        <v>196.28</v>
      </c>
      <c r="BO21" s="235">
        <f>ROUND(('Hours Per Job'!BO21*$B$36),2)+ROUND(('Parts Cost Per Job'!BO21)*((1+$B$37)*$B$38),2)</f>
        <v>71.069999999999993</v>
      </c>
      <c r="BP21" s="235">
        <f>ROUND(('Hours Per Job'!BP21*$B$36),2)+ROUND(('Parts Cost Per Job'!BP21)*((1+$B$37)*$B$38),2)</f>
        <v>126</v>
      </c>
    </row>
    <row r="22" spans="1:68" x14ac:dyDescent="0.2">
      <c r="A22" s="226" t="str">
        <f>'Scheduled Intervals'!A22</f>
        <v>Takeuchi 228-235-250</v>
      </c>
      <c r="B22" s="227">
        <f>ROUND(('Hours Per Job'!B22*$B$36),2)+ROUND(('Parts Cost Per Job'!B22)*((1+$B$37)*$B$38),2)</f>
        <v>196.26999999999998</v>
      </c>
      <c r="C22" s="237">
        <f>ROUND(('Hours Per Job'!C22*$B$36),2)+ROUND(('Parts Cost Per Job'!C22)*((1+$B$37)*$B$38),2)</f>
        <v>12</v>
      </c>
      <c r="D22" s="237">
        <f>ROUND(('Hours Per Job'!D22*$B$36),2)+ROUND(('Parts Cost Per Job'!D22)*((1+$B$37)*$B$38),2)</f>
        <v>0</v>
      </c>
      <c r="E22" s="237">
        <f>ROUND(('Hours Per Job'!E22*$B$36),2)+ROUND(('Parts Cost Per Job'!E22)*((1+$B$37)*$B$38),2)</f>
        <v>0</v>
      </c>
      <c r="F22" s="237">
        <f>ROUND(('Hours Per Job'!F22*$B$36),2)+ROUND(('Parts Cost Per Job'!F22)*((1+$B$37)*$B$38),2)</f>
        <v>0</v>
      </c>
      <c r="G22" s="237">
        <f>ROUND(('Hours Per Job'!G22*$B$36),2)+ROUND(('Parts Cost Per Job'!G22)*((1+$B$37)*$B$38),2)</f>
        <v>0</v>
      </c>
      <c r="H22" s="238">
        <f>ROUND(('Hours Per Job'!H22*$B$36),2)+ROUND(('Parts Cost Per Job'!H22)*((1+$B$37)*$B$38),2)</f>
        <v>71.069999999999993</v>
      </c>
      <c r="I22" s="237">
        <f>ROUND(('Hours Per Job'!I22*$B$36),2)+ROUND(('Parts Cost Per Job'!I22)*((1+$B$37)*$B$38),2)</f>
        <v>30</v>
      </c>
      <c r="J22" s="237">
        <f>ROUND(('Hours Per Job'!J22*$B$36),2)+ROUND(('Parts Cost Per Job'!J22)*((1+$B$37)*$B$38),2)</f>
        <v>0</v>
      </c>
      <c r="K22" s="237">
        <f>ROUND(('Hours Per Job'!K22*$B$36),2)+ROUND(('Parts Cost Per Job'!K22)*((1+$B$37)*$B$38),2)</f>
        <v>0</v>
      </c>
      <c r="L22" s="237">
        <f>ROUND(('Hours Per Job'!L22*$B$36),2)+ROUND(('Parts Cost Per Job'!L22)*((1+$B$37)*$B$38),2)</f>
        <v>0</v>
      </c>
      <c r="M22" s="237">
        <f>ROUND(('Hours Per Job'!M22*$B$36),2)+ROUND(('Parts Cost Per Job'!M22)*((1+$B$37)*$B$38),2)</f>
        <v>0</v>
      </c>
      <c r="N22" s="237">
        <f>ROUND(('Hours Per Job'!N22*$B$36),2)+ROUND(('Parts Cost Per Job'!N22)*((1+$B$37)*$B$38),2)</f>
        <v>0</v>
      </c>
      <c r="O22" s="237">
        <f>ROUND(('Hours Per Job'!O22*$B$36),2)+ROUND(('Parts Cost Per Job'!O22)*((1+$B$37)*$B$38),2)</f>
        <v>0</v>
      </c>
      <c r="P22" s="239">
        <f>ROUND(('Hours Per Job'!P22*$B$36),2)+ROUND(('Parts Cost Per Job'!P22)*((1+$B$37)*$B$38),2)</f>
        <v>0</v>
      </c>
      <c r="Q22" s="240">
        <f>ROUND(('Hours Per Job'!Q22*$B$36),2)+ROUND(('Parts Cost Per Job'!Q22)*((1+$B$37)*$B$38),2)</f>
        <v>205.53</v>
      </c>
      <c r="R22" s="241">
        <f>ROUND(('Hours Per Job'!R22*$B$36),2)+ROUND(('Parts Cost Per Job'!R22)*((1+$B$37)*$B$38),2)</f>
        <v>138.07999999999998</v>
      </c>
      <c r="S22" s="241">
        <f>ROUND(('Hours Per Job'!S22*$B$36),2)+ROUND(('Parts Cost Per Job'!S22)*((1+$B$37)*$B$38),2)</f>
        <v>0</v>
      </c>
      <c r="T22" s="242">
        <f>ROUND(('Hours Per Job'!T22*$B$36),2)+ROUND(('Parts Cost Per Job'!T22)*((1+$B$37)*$B$38),2)</f>
        <v>0</v>
      </c>
      <c r="U22" s="234">
        <f>ROUND(('Hours Per Job'!U22*$B$36),2)+ROUND(('Parts Cost Per Job'!U22)*((1+$B$37)*$B$38),2)</f>
        <v>143.56</v>
      </c>
      <c r="V22" s="235">
        <f>ROUND(('Hours Per Job'!V22*$B$36),2)+ROUND(('Parts Cost Per Job'!V22)*((1+$B$37)*$B$38),2)</f>
        <v>0</v>
      </c>
      <c r="W22" s="235">
        <f>ROUND(('Hours Per Job'!W22*$B$36),2)+ROUND(('Parts Cost Per Job'!W22)*((1+$B$37)*$B$38),2)</f>
        <v>0</v>
      </c>
      <c r="X22" s="235">
        <f>ROUND(('Hours Per Job'!X22*$B$36),2)+ROUND(('Parts Cost Per Job'!X22)*((1+$B$37)*$B$38),2)</f>
        <v>48.5</v>
      </c>
      <c r="Y22" s="235">
        <f>ROUND(('Hours Per Job'!Y22*$B$36),2)+ROUND(('Parts Cost Per Job'!Y22)*((1+$B$37)*$B$38),2)</f>
        <v>0</v>
      </c>
      <c r="Z22" s="235">
        <f>ROUND(('Hours Per Job'!Z22*$B$36),2)+ROUND(('Parts Cost Per Job'!Z22)*((1+$B$37)*$B$38),2)</f>
        <v>87.59</v>
      </c>
      <c r="AA22" s="235">
        <f>ROUND(('Hours Per Job'!AA22*$B$36),2)+ROUND(('Parts Cost Per Job'!AA22)*((1+$B$37)*$B$38),2)</f>
        <v>0</v>
      </c>
      <c r="AB22" s="235">
        <f>ROUND(('Hours Per Job'!AB22*$B$36),2)+ROUND(('Parts Cost Per Job'!AB22)*((1+$B$37)*$B$38),2)</f>
        <v>774.4</v>
      </c>
      <c r="AC22" s="235">
        <f>ROUND(('Hours Per Job'!AC22*$B$36),2)+ROUND(('Parts Cost Per Job'!AC22)*((1+$B$37)*$B$38),2)</f>
        <v>0</v>
      </c>
      <c r="AD22" s="235">
        <f>ROUND(('Hours Per Job'!AD22*$B$36),2)+ROUND(('Parts Cost Per Job'!AD22)*((1+$B$37)*$B$38),2)</f>
        <v>0</v>
      </c>
      <c r="AE22" s="235">
        <f>ROUND(('Hours Per Job'!AE22*$B$36),2)+ROUND(('Parts Cost Per Job'!AE22)*((1+$B$37)*$B$38),2)</f>
        <v>0</v>
      </c>
      <c r="AF22" s="235">
        <f>ROUND(('Hours Per Job'!AF22*$B$36),2)+ROUND(('Parts Cost Per Job'!AF22)*((1+$B$37)*$B$38),2)</f>
        <v>31.99</v>
      </c>
      <c r="AG22" s="235">
        <f>ROUND(('Hours Per Job'!AG22*$B$36),2)+ROUND(('Parts Cost Per Job'!AG22)*((1+$B$37)*$B$38),2)</f>
        <v>146.07999999999998</v>
      </c>
      <c r="AH22" s="235">
        <f>ROUND(('Hours Per Job'!AH22*$B$36),2)+ROUND(('Parts Cost Per Job'!AH22)*((1+$B$37)*$B$38),2)</f>
        <v>95.45</v>
      </c>
      <c r="AI22" s="235">
        <f>ROUND(('Hours Per Job'!AI22*$B$36),2)+ROUND(('Parts Cost Per Job'!AI22)*((1+$B$37)*$B$38),2)</f>
        <v>0</v>
      </c>
      <c r="AJ22" s="235">
        <f>ROUND(('Hours Per Job'!AJ22*$B$36),2)+ROUND(('Parts Cost Per Job'!AJ22)*((1+$B$37)*$B$38),2)</f>
        <v>138.07999999999998</v>
      </c>
      <c r="AK22" s="235">
        <f>ROUND(('Hours Per Job'!AK22*$B$36),2)+ROUND(('Parts Cost Per Job'!AK22)*((1+$B$37)*$B$38),2)</f>
        <v>0</v>
      </c>
      <c r="AL22" s="235">
        <f>ROUND(('Hours Per Job'!AL22*$B$36),2)+ROUND(('Parts Cost Per Job'!AL22)*((1+$B$37)*$B$38),2)</f>
        <v>0</v>
      </c>
      <c r="AM22" s="235">
        <f>ROUND(('Hours Per Job'!AM22*$B$36),2)+ROUND(('Parts Cost Per Job'!AM22)*((1+$B$37)*$B$38),2)</f>
        <v>0</v>
      </c>
      <c r="AN22" s="235">
        <f>ROUND(('Hours Per Job'!AN22*$B$36),2)+ROUND(('Parts Cost Per Job'!AN22)*((1+$B$37)*$B$38),2)</f>
        <v>0</v>
      </c>
      <c r="AO22" s="235">
        <f>ROUND(('Hours Per Job'!AO22*$B$36),2)+ROUND(('Parts Cost Per Job'!AO22)*((1+$B$37)*$B$38),2)</f>
        <v>0</v>
      </c>
      <c r="AP22" s="235">
        <f>ROUND(('Hours Per Job'!AP22*$B$36),2)+ROUND(('Parts Cost Per Job'!AP22)*((1+$B$37)*$B$38),2)</f>
        <v>84</v>
      </c>
      <c r="AQ22" s="235">
        <f>ROUND(('Hours Per Job'!AQ22*$B$36),2)+ROUND(('Parts Cost Per Job'!AQ22)*((1+$B$37)*$B$38),2)</f>
        <v>0</v>
      </c>
      <c r="AR22" s="235">
        <f>ROUND(('Hours Per Job'!AR22*$B$36),2)+ROUND(('Parts Cost Per Job'!AR22)*((1+$B$37)*$B$38),2)</f>
        <v>0</v>
      </c>
      <c r="AS22" s="235">
        <f>ROUND(('Hours Per Job'!AS22*$B$36),2)+ROUND(('Parts Cost Per Job'!AS22)*((1+$B$37)*$B$38),2)</f>
        <v>0</v>
      </c>
      <c r="AT22" s="235">
        <f>ROUND(('Hours Per Job'!AT22*$B$36),2)+ROUND(('Parts Cost Per Job'!AT22)*((1+$B$37)*$B$38),2)</f>
        <v>71.069999999999993</v>
      </c>
      <c r="AU22" s="235">
        <f>ROUND(('Hours Per Job'!AU22*$B$36),2)+ROUND(('Parts Cost Per Job'!AU22)*((1+$B$37)*$B$38),2)</f>
        <v>0</v>
      </c>
      <c r="AV22" s="235">
        <f>ROUND(('Hours Per Job'!AV22*$B$36),2)+ROUND(('Parts Cost Per Job'!AV22)*((1+$B$37)*$B$38),2)</f>
        <v>0</v>
      </c>
      <c r="AW22" s="235">
        <f>ROUND(('Hours Per Job'!AW22*$B$36),2)+ROUND(('Parts Cost Per Job'!AW22)*((1+$B$37)*$B$38),2)</f>
        <v>757.58</v>
      </c>
      <c r="AX22" s="235">
        <f>ROUND(('Hours Per Job'!AX22*$B$36),2)+ROUND(('Parts Cost Per Job'!AX22)*((1+$B$37)*$B$38),2)</f>
        <v>0</v>
      </c>
      <c r="AY22" s="235">
        <f>ROUND(('Hours Per Job'!AY22*$B$36),2)+ROUND(('Parts Cost Per Job'!AY22)*((1+$B$37)*$B$38),2)</f>
        <v>0</v>
      </c>
      <c r="AZ22" s="235">
        <f>ROUND(('Hours Per Job'!AZ22*$B$36),2)+ROUND(('Parts Cost Per Job'!AZ22)*((1+$B$37)*$B$38),2)</f>
        <v>0</v>
      </c>
      <c r="BA22" s="235">
        <f>ROUND(('Hours Per Job'!BA22*$B$36),2)+ROUND(('Parts Cost Per Job'!BA22)*((1+$B$37)*$B$38),2)</f>
        <v>0</v>
      </c>
      <c r="BB22" s="235">
        <f>ROUND(('Hours Per Job'!BB22*$B$36),2)+ROUND(('Parts Cost Per Job'!BB22)*((1+$B$37)*$B$38),2)</f>
        <v>28.34</v>
      </c>
      <c r="BC22" s="235">
        <f>ROUND(('Hours Per Job'!BC22*$B$36),2)+ROUND(('Parts Cost Per Job'!BC22)*((1+$B$37)*$B$38),2)</f>
        <v>39.51</v>
      </c>
      <c r="BD22" s="235">
        <f>ROUND(('Hours Per Job'!BD22*$B$36),2)+ROUND(('Parts Cost Per Job'!BD22)*((1+$B$37)*$B$38),2)</f>
        <v>0</v>
      </c>
      <c r="BE22" s="235">
        <f>ROUND(('Hours Per Job'!BE22*$B$36),2)+ROUND(('Parts Cost Per Job'!BE22)*((1+$B$37)*$B$38),2)</f>
        <v>0</v>
      </c>
      <c r="BF22" s="235">
        <f>ROUND(('Hours Per Job'!BF22*$B$36),2)+ROUND(('Parts Cost Per Job'!BF22)*((1+$B$37)*$B$38),2)</f>
        <v>90</v>
      </c>
      <c r="BG22" s="235">
        <f>ROUND(('Hours Per Job'!BG22*$B$36),2)+ROUND(('Parts Cost Per Job'!BG22)*((1+$B$37)*$B$38),2)</f>
        <v>90</v>
      </c>
      <c r="BH22" s="235">
        <f>ROUND(('Hours Per Job'!BH22*$B$36),2)+ROUND(('Parts Cost Per Job'!BH22)*((1+$B$37)*$B$38),2)</f>
        <v>151.36000000000001</v>
      </c>
      <c r="BI22" s="235">
        <f>ROUND(('Hours Per Job'!BI22*$B$36),2)+ROUND(('Parts Cost Per Job'!BI22)*((1+$B$37)*$B$38),2)</f>
        <v>0</v>
      </c>
      <c r="BJ22" s="235">
        <f>ROUND(('Hours Per Job'!BJ22*$B$36),2)+ROUND(('Parts Cost Per Job'!BJ22)*((1+$B$37)*$B$38),2)</f>
        <v>30</v>
      </c>
      <c r="BK22" s="235">
        <f>ROUND(('Hours Per Job'!BK22*$B$36),2)+ROUND(('Parts Cost Per Job'!BK22)*((1+$B$37)*$B$38),2)</f>
        <v>0</v>
      </c>
      <c r="BL22" s="235">
        <f>ROUND(('Hours Per Job'!BL22*$B$36),2)+ROUND(('Parts Cost Per Job'!BL22)*((1+$B$37)*$B$38),2)</f>
        <v>0</v>
      </c>
      <c r="BM22" s="235">
        <f>ROUND(('Hours Per Job'!BM22*$B$36),2)+ROUND(('Parts Cost Per Job'!BM22)*((1+$B$37)*$B$38),2)</f>
        <v>0</v>
      </c>
      <c r="BN22" s="235">
        <f>ROUND(('Hours Per Job'!BN22*$B$36),2)+ROUND(('Parts Cost Per Job'!BN22)*((1+$B$37)*$B$38),2)</f>
        <v>143.56</v>
      </c>
      <c r="BO22" s="235">
        <f>ROUND(('Hours Per Job'!BO22*$B$36),2)+ROUND(('Parts Cost Per Job'!BO22)*((1+$B$37)*$B$38),2)</f>
        <v>71.069999999999993</v>
      </c>
      <c r="BP22" s="235">
        <f>ROUND(('Hours Per Job'!BP22*$B$36),2)+ROUND(('Parts Cost Per Job'!BP22)*((1+$B$37)*$B$38),2)</f>
        <v>126</v>
      </c>
    </row>
    <row r="23" spans="1:68" x14ac:dyDescent="0.2">
      <c r="A23" s="226" t="str">
        <f>'Scheduled Intervals'!A23</f>
        <v>Takeuchi 260</v>
      </c>
      <c r="B23" s="227">
        <f>ROUND(('Hours Per Job'!B23*$B$36),2)+ROUND(('Parts Cost Per Job'!B23)*((1+$B$37)*$B$38),2)</f>
        <v>196.26999999999998</v>
      </c>
      <c r="C23" s="237">
        <f>ROUND(('Hours Per Job'!C23*$B$36),2)+ROUND(('Parts Cost Per Job'!C23)*((1+$B$37)*$B$38),2)</f>
        <v>0</v>
      </c>
      <c r="D23" s="237">
        <f>ROUND(('Hours Per Job'!D23*$B$36),2)+ROUND(('Parts Cost Per Job'!D23)*((1+$B$37)*$B$38),2)</f>
        <v>12</v>
      </c>
      <c r="E23" s="237">
        <f>ROUND(('Hours Per Job'!E23*$B$36),2)+ROUND(('Parts Cost Per Job'!E23)*((1+$B$37)*$B$38),2)</f>
        <v>0</v>
      </c>
      <c r="F23" s="237">
        <f>ROUND(('Hours Per Job'!F23*$B$36),2)+ROUND(('Parts Cost Per Job'!F23)*((1+$B$37)*$B$38),2)</f>
        <v>0</v>
      </c>
      <c r="G23" s="237">
        <f>ROUND(('Hours Per Job'!G23*$B$36),2)+ROUND(('Parts Cost Per Job'!G23)*((1+$B$37)*$B$38),2)</f>
        <v>0</v>
      </c>
      <c r="H23" s="238">
        <f>ROUND(('Hours Per Job'!H23*$B$36),2)+ROUND(('Parts Cost Per Job'!H23)*((1+$B$37)*$B$38),2)</f>
        <v>71.069999999999993</v>
      </c>
      <c r="I23" s="237">
        <f>ROUND(('Hours Per Job'!I23*$B$36),2)+ROUND(('Parts Cost Per Job'!I23)*((1+$B$37)*$B$38),2)</f>
        <v>30</v>
      </c>
      <c r="J23" s="237">
        <f>ROUND(('Hours Per Job'!J23*$B$36),2)+ROUND(('Parts Cost Per Job'!J23)*((1+$B$37)*$B$38),2)</f>
        <v>0</v>
      </c>
      <c r="K23" s="237">
        <f>ROUND(('Hours Per Job'!K23*$B$36),2)+ROUND(('Parts Cost Per Job'!K23)*((1+$B$37)*$B$38),2)</f>
        <v>0</v>
      </c>
      <c r="L23" s="237">
        <f>ROUND(('Hours Per Job'!L23*$B$36),2)+ROUND(('Parts Cost Per Job'!L23)*((1+$B$37)*$B$38),2)</f>
        <v>0</v>
      </c>
      <c r="M23" s="237">
        <f>ROUND(('Hours Per Job'!M23*$B$36),2)+ROUND(('Parts Cost Per Job'!M23)*((1+$B$37)*$B$38),2)</f>
        <v>0</v>
      </c>
      <c r="N23" s="237">
        <f>ROUND(('Hours Per Job'!N23*$B$36),2)+ROUND(('Parts Cost Per Job'!N23)*((1+$B$37)*$B$38),2)</f>
        <v>0</v>
      </c>
      <c r="O23" s="237">
        <f>ROUND(('Hours Per Job'!O23*$B$36),2)+ROUND(('Parts Cost Per Job'!O23)*((1+$B$37)*$B$38),2)</f>
        <v>0</v>
      </c>
      <c r="P23" s="239">
        <f>ROUND(('Hours Per Job'!P23*$B$36),2)+ROUND(('Parts Cost Per Job'!P23)*((1+$B$37)*$B$38),2)</f>
        <v>0</v>
      </c>
      <c r="Q23" s="240">
        <f>ROUND(('Hours Per Job'!Q23*$B$36),2)+ROUND(('Parts Cost Per Job'!Q23)*((1+$B$37)*$B$38),2)</f>
        <v>197.59</v>
      </c>
      <c r="R23" s="241">
        <f>ROUND(('Hours Per Job'!R23*$B$36),2)+ROUND(('Parts Cost Per Job'!R23)*((1+$B$37)*$B$38),2)</f>
        <v>138.07999999999998</v>
      </c>
      <c r="S23" s="241">
        <f>ROUND(('Hours Per Job'!S23*$B$36),2)+ROUND(('Parts Cost Per Job'!S23)*((1+$B$37)*$B$38),2)</f>
        <v>0</v>
      </c>
      <c r="T23" s="242">
        <f>ROUND(('Hours Per Job'!T23*$B$36),2)+ROUND(('Parts Cost Per Job'!T23)*((1+$B$37)*$B$38),2)</f>
        <v>0</v>
      </c>
      <c r="U23" s="234">
        <f>ROUND(('Hours Per Job'!U23*$B$36),2)+ROUND(('Parts Cost Per Job'!U23)*((1+$B$37)*$B$38),2)</f>
        <v>142.87</v>
      </c>
      <c r="V23" s="235">
        <f>ROUND(('Hours Per Job'!V23*$B$36),2)+ROUND(('Parts Cost Per Job'!V23)*((1+$B$37)*$B$38),2)</f>
        <v>0</v>
      </c>
      <c r="W23" s="235">
        <f>ROUND(('Hours Per Job'!W23*$B$36),2)+ROUND(('Parts Cost Per Job'!W23)*((1+$B$37)*$B$38),2)</f>
        <v>0</v>
      </c>
      <c r="X23" s="235">
        <f>ROUND(('Hours Per Job'!X23*$B$36),2)+ROUND(('Parts Cost Per Job'!X23)*((1+$B$37)*$B$38),2)</f>
        <v>78.63</v>
      </c>
      <c r="Y23" s="235">
        <f>ROUND(('Hours Per Job'!Y23*$B$36),2)+ROUND(('Parts Cost Per Job'!Y23)*((1+$B$37)*$B$38),2)</f>
        <v>0</v>
      </c>
      <c r="Z23" s="235">
        <f>ROUND(('Hours Per Job'!Z23*$B$36),2)+ROUND(('Parts Cost Per Job'!Z23)*((1+$B$37)*$B$38),2)</f>
        <v>91.210000000000008</v>
      </c>
      <c r="AA23" s="235">
        <f>ROUND(('Hours Per Job'!AA23*$B$36),2)+ROUND(('Parts Cost Per Job'!AA23)*((1+$B$37)*$B$38),2)</f>
        <v>0</v>
      </c>
      <c r="AB23" s="235">
        <f>ROUND(('Hours Per Job'!AB23*$B$36),2)+ROUND(('Parts Cost Per Job'!AB23)*((1+$B$37)*$B$38),2)</f>
        <v>742</v>
      </c>
      <c r="AC23" s="235">
        <f>ROUND(('Hours Per Job'!AC23*$B$36),2)+ROUND(('Parts Cost Per Job'!AC23)*((1+$B$37)*$B$38),2)</f>
        <v>0</v>
      </c>
      <c r="AD23" s="235">
        <f>ROUND(('Hours Per Job'!AD23*$B$36),2)+ROUND(('Parts Cost Per Job'!AD23)*((1+$B$37)*$B$38),2)</f>
        <v>0</v>
      </c>
      <c r="AE23" s="235">
        <f>ROUND(('Hours Per Job'!AE23*$B$36),2)+ROUND(('Parts Cost Per Job'!AE23)*((1+$B$37)*$B$38),2)</f>
        <v>0</v>
      </c>
      <c r="AF23" s="235">
        <f>ROUND(('Hours Per Job'!AF23*$B$36),2)+ROUND(('Parts Cost Per Job'!AF23)*((1+$B$37)*$B$38),2)</f>
        <v>35.510000000000005</v>
      </c>
      <c r="AG23" s="235">
        <f>ROUND(('Hours Per Job'!AG23*$B$36),2)+ROUND(('Parts Cost Per Job'!AG23)*((1+$B$37)*$B$38),2)</f>
        <v>141.26999999999998</v>
      </c>
      <c r="AH23" s="235">
        <f>ROUND(('Hours Per Job'!AH23*$B$36),2)+ROUND(('Parts Cost Per Job'!AH23)*((1+$B$37)*$B$38),2)</f>
        <v>104.32</v>
      </c>
      <c r="AI23" s="235">
        <f>ROUND(('Hours Per Job'!AI23*$B$36),2)+ROUND(('Parts Cost Per Job'!AI23)*((1+$B$37)*$B$38),2)</f>
        <v>0</v>
      </c>
      <c r="AJ23" s="235">
        <f>ROUND(('Hours Per Job'!AJ23*$B$36),2)+ROUND(('Parts Cost Per Job'!AJ23)*((1+$B$37)*$B$38),2)</f>
        <v>0</v>
      </c>
      <c r="AK23" s="235">
        <f>ROUND(('Hours Per Job'!AK23*$B$36),2)+ROUND(('Parts Cost Per Job'!AK23)*((1+$B$37)*$B$38),2)</f>
        <v>0</v>
      </c>
      <c r="AL23" s="235">
        <f>ROUND(('Hours Per Job'!AL23*$B$36),2)+ROUND(('Parts Cost Per Job'!AL23)*((1+$B$37)*$B$38),2)</f>
        <v>138.07999999999998</v>
      </c>
      <c r="AM23" s="235">
        <f>ROUND(('Hours Per Job'!AM23*$B$36),2)+ROUND(('Parts Cost Per Job'!AM23)*((1+$B$37)*$B$38),2)</f>
        <v>0</v>
      </c>
      <c r="AN23" s="235">
        <f>ROUND(('Hours Per Job'!AN23*$B$36),2)+ROUND(('Parts Cost Per Job'!AN23)*((1+$B$37)*$B$38),2)</f>
        <v>0</v>
      </c>
      <c r="AO23" s="235">
        <f>ROUND(('Hours Per Job'!AO23*$B$36),2)+ROUND(('Parts Cost Per Job'!AO23)*((1+$B$37)*$B$38),2)</f>
        <v>0</v>
      </c>
      <c r="AP23" s="235">
        <f>ROUND(('Hours Per Job'!AP23*$B$36),2)+ROUND(('Parts Cost Per Job'!AP23)*((1+$B$37)*$B$38),2)</f>
        <v>84</v>
      </c>
      <c r="AQ23" s="235">
        <f>ROUND(('Hours Per Job'!AQ23*$B$36),2)+ROUND(('Parts Cost Per Job'!AQ23)*((1+$B$37)*$B$38),2)</f>
        <v>0</v>
      </c>
      <c r="AR23" s="235">
        <f>ROUND(('Hours Per Job'!AR23*$B$36),2)+ROUND(('Parts Cost Per Job'!AR23)*((1+$B$37)*$B$38),2)</f>
        <v>0</v>
      </c>
      <c r="AS23" s="235">
        <f>ROUND(('Hours Per Job'!AS23*$B$36),2)+ROUND(('Parts Cost Per Job'!AS23)*((1+$B$37)*$B$38),2)</f>
        <v>0</v>
      </c>
      <c r="AT23" s="235">
        <f>ROUND(('Hours Per Job'!AT23*$B$36),2)+ROUND(('Parts Cost Per Job'!AT23)*((1+$B$37)*$B$38),2)</f>
        <v>71.069999999999993</v>
      </c>
      <c r="AU23" s="235">
        <f>ROUND(('Hours Per Job'!AU23*$B$36),2)+ROUND(('Parts Cost Per Job'!AU23)*((1+$B$37)*$B$38),2)</f>
        <v>0</v>
      </c>
      <c r="AV23" s="235">
        <f>ROUND(('Hours Per Job'!AV23*$B$36),2)+ROUND(('Parts Cost Per Job'!AV23)*((1+$B$37)*$B$38),2)</f>
        <v>0</v>
      </c>
      <c r="AW23" s="235">
        <f>ROUND(('Hours Per Job'!AW23*$B$36),2)+ROUND(('Parts Cost Per Job'!AW23)*((1+$B$37)*$B$38),2)</f>
        <v>636.85</v>
      </c>
      <c r="AX23" s="235">
        <f>ROUND(('Hours Per Job'!AX23*$B$36),2)+ROUND(('Parts Cost Per Job'!AX23)*((1+$B$37)*$B$38),2)</f>
        <v>0</v>
      </c>
      <c r="AY23" s="235">
        <f>ROUND(('Hours Per Job'!AY23*$B$36),2)+ROUND(('Parts Cost Per Job'!AY23)*((1+$B$37)*$B$38),2)</f>
        <v>0</v>
      </c>
      <c r="AZ23" s="235">
        <f>ROUND(('Hours Per Job'!AZ23*$B$36),2)+ROUND(('Parts Cost Per Job'!AZ23)*((1+$B$37)*$B$38),2)</f>
        <v>0</v>
      </c>
      <c r="BA23" s="235">
        <f>ROUND(('Hours Per Job'!BA23*$B$36),2)+ROUND(('Parts Cost Per Job'!BA23)*((1+$B$37)*$B$38),2)</f>
        <v>0</v>
      </c>
      <c r="BB23" s="235">
        <f>ROUND(('Hours Per Job'!BB23*$B$36),2)+ROUND(('Parts Cost Per Job'!BB23)*((1+$B$37)*$B$38),2)</f>
        <v>38.56</v>
      </c>
      <c r="BC23" s="235">
        <f>ROUND(('Hours Per Job'!BC23*$B$36),2)+ROUND(('Parts Cost Per Job'!BC23)*((1+$B$37)*$B$38),2)</f>
        <v>129.41</v>
      </c>
      <c r="BD23" s="235">
        <f>ROUND(('Hours Per Job'!BD23*$B$36),2)+ROUND(('Parts Cost Per Job'!BD23)*((1+$B$37)*$B$38),2)</f>
        <v>0</v>
      </c>
      <c r="BE23" s="235">
        <f>ROUND(('Hours Per Job'!BE23*$B$36),2)+ROUND(('Parts Cost Per Job'!BE23)*((1+$B$37)*$B$38),2)</f>
        <v>0</v>
      </c>
      <c r="BF23" s="235">
        <f>ROUND(('Hours Per Job'!BF23*$B$36),2)+ROUND(('Parts Cost Per Job'!BF23)*((1+$B$37)*$B$38),2)</f>
        <v>90</v>
      </c>
      <c r="BG23" s="235">
        <f>ROUND(('Hours Per Job'!BG23*$B$36),2)+ROUND(('Parts Cost Per Job'!BG23)*((1+$B$37)*$B$38),2)</f>
        <v>0</v>
      </c>
      <c r="BH23" s="235">
        <f>ROUND(('Hours Per Job'!BH23*$B$36),2)+ROUND(('Parts Cost Per Job'!BH23)*((1+$B$37)*$B$38),2)</f>
        <v>167.04</v>
      </c>
      <c r="BI23" s="235">
        <f>ROUND(('Hours Per Job'!BI23*$B$36),2)+ROUND(('Parts Cost Per Job'!BI23)*((1+$B$37)*$B$38),2)</f>
        <v>0</v>
      </c>
      <c r="BJ23" s="235">
        <f>ROUND(('Hours Per Job'!BJ23*$B$36),2)+ROUND(('Parts Cost Per Job'!BJ23)*((1+$B$37)*$B$38),2)</f>
        <v>30</v>
      </c>
      <c r="BK23" s="235">
        <f>ROUND(('Hours Per Job'!BK23*$B$36),2)+ROUND(('Parts Cost Per Job'!BK23)*((1+$B$37)*$B$38),2)</f>
        <v>0</v>
      </c>
      <c r="BL23" s="235">
        <f>ROUND(('Hours Per Job'!BL23*$B$36),2)+ROUND(('Parts Cost Per Job'!BL23)*((1+$B$37)*$B$38),2)</f>
        <v>0</v>
      </c>
      <c r="BM23" s="235">
        <f>ROUND(('Hours Per Job'!BM23*$B$36),2)+ROUND(('Parts Cost Per Job'!BM23)*((1+$B$37)*$B$38),2)</f>
        <v>0</v>
      </c>
      <c r="BN23" s="235">
        <f>ROUND(('Hours Per Job'!BN23*$B$36),2)+ROUND(('Parts Cost Per Job'!BN23)*((1+$B$37)*$B$38),2)</f>
        <v>142.87</v>
      </c>
      <c r="BO23" s="235">
        <f>ROUND(('Hours Per Job'!BO23*$B$36),2)+ROUND(('Parts Cost Per Job'!BO23)*((1+$B$37)*$B$38),2)</f>
        <v>71.069999999999993</v>
      </c>
      <c r="BP23" s="235">
        <f>ROUND(('Hours Per Job'!BP23*$B$36),2)+ROUND(('Parts Cost Per Job'!BP23)*((1+$B$37)*$B$38),2)</f>
        <v>126</v>
      </c>
    </row>
    <row r="24" spans="1:68" x14ac:dyDescent="0.2">
      <c r="A24" s="226" t="str">
        <f>'Scheduled Intervals'!A24</f>
        <v>Takeuchi 335</v>
      </c>
      <c r="B24" s="227">
        <f>ROUND(('Hours Per Job'!B24*$B$36),2)+ROUND(('Parts Cost Per Job'!B24)*((1+$B$37)*$B$38),2)</f>
        <v>196.26999999999998</v>
      </c>
      <c r="C24" s="237">
        <f>ROUND(('Hours Per Job'!C24*$B$36),2)+ROUND(('Parts Cost Per Job'!C24)*((1+$B$37)*$B$38),2)</f>
        <v>0</v>
      </c>
      <c r="D24" s="237">
        <f>ROUND(('Hours Per Job'!D24*$B$36),2)+ROUND(('Parts Cost Per Job'!D24)*((1+$B$37)*$B$38),2)</f>
        <v>0</v>
      </c>
      <c r="E24" s="237">
        <f>ROUND(('Hours Per Job'!E24*$B$36),2)+ROUND(('Parts Cost Per Job'!E24)*((1+$B$37)*$B$38),2)</f>
        <v>0</v>
      </c>
      <c r="F24" s="237">
        <f>ROUND(('Hours Per Job'!F24*$B$36),2)+ROUND(('Parts Cost Per Job'!F24)*((1+$B$37)*$B$38),2)</f>
        <v>0</v>
      </c>
      <c r="G24" s="237">
        <f>ROUND(('Hours Per Job'!G24*$B$36),2)+ROUND(('Parts Cost Per Job'!G24)*((1+$B$37)*$B$38),2)</f>
        <v>0</v>
      </c>
      <c r="H24" s="238">
        <f>ROUND(('Hours Per Job'!H24*$B$36),2)+ROUND(('Parts Cost Per Job'!H24)*((1+$B$37)*$B$38),2)</f>
        <v>71.069999999999993</v>
      </c>
      <c r="I24" s="237">
        <f>ROUND(('Hours Per Job'!I24*$B$36),2)+ROUND(('Parts Cost Per Job'!I24)*((1+$B$37)*$B$38),2)</f>
        <v>30</v>
      </c>
      <c r="J24" s="237">
        <f>ROUND(('Hours Per Job'!J24*$B$36),2)+ROUND(('Parts Cost Per Job'!J24)*((1+$B$37)*$B$38),2)</f>
        <v>0</v>
      </c>
      <c r="K24" s="237">
        <f>ROUND(('Hours Per Job'!K24*$B$36),2)+ROUND(('Parts Cost Per Job'!K24)*((1+$B$37)*$B$38),2)</f>
        <v>0</v>
      </c>
      <c r="L24" s="237">
        <f>ROUND(('Hours Per Job'!L24*$B$36),2)+ROUND(('Parts Cost Per Job'!L24)*((1+$B$37)*$B$38),2)</f>
        <v>0</v>
      </c>
      <c r="M24" s="237">
        <f>ROUND(('Hours Per Job'!M24*$B$36),2)+ROUND(('Parts Cost Per Job'!M24)*((1+$B$37)*$B$38),2)</f>
        <v>0</v>
      </c>
      <c r="N24" s="237">
        <f>ROUND(('Hours Per Job'!N24*$B$36),2)+ROUND(('Parts Cost Per Job'!N24)*((1+$B$37)*$B$38),2)</f>
        <v>0</v>
      </c>
      <c r="O24" s="237">
        <f>ROUND(('Hours Per Job'!O24*$B$36),2)+ROUND(('Parts Cost Per Job'!O24)*((1+$B$37)*$B$38),2)</f>
        <v>0</v>
      </c>
      <c r="P24" s="239">
        <f>ROUND(('Hours Per Job'!P24*$B$36),2)+ROUND(('Parts Cost Per Job'!P24)*((1+$B$37)*$B$38),2)</f>
        <v>0</v>
      </c>
      <c r="Q24" s="240">
        <f>ROUND(('Hours Per Job'!Q24*$B$36),2)+ROUND(('Parts Cost Per Job'!Q24)*((1+$B$37)*$B$38),2)</f>
        <v>205.53</v>
      </c>
      <c r="R24" s="241">
        <f>ROUND(('Hours Per Job'!R24*$B$36),2)+ROUND(('Parts Cost Per Job'!R24)*((1+$B$37)*$B$38),2)</f>
        <v>0</v>
      </c>
      <c r="S24" s="241">
        <f>ROUND(('Hours Per Job'!S24*$B$36),2)+ROUND(('Parts Cost Per Job'!S24)*((1+$B$37)*$B$38),2)</f>
        <v>0</v>
      </c>
      <c r="T24" s="242">
        <f>ROUND(('Hours Per Job'!T24*$B$36),2)+ROUND(('Parts Cost Per Job'!T24)*((1+$B$37)*$B$38),2)</f>
        <v>0</v>
      </c>
      <c r="U24" s="234">
        <f>ROUND(('Hours Per Job'!U24*$B$36),2)+ROUND(('Parts Cost Per Job'!U24)*((1+$B$37)*$B$38),2)</f>
        <v>196.26999999999998</v>
      </c>
      <c r="V24" s="235">
        <f>ROUND(('Hours Per Job'!V24*$B$36),2)+ROUND(('Parts Cost Per Job'!V24)*((1+$B$37)*$B$38),2)</f>
        <v>0</v>
      </c>
      <c r="W24" s="235">
        <f>ROUND(('Hours Per Job'!W24*$B$36),2)+ROUND(('Parts Cost Per Job'!W24)*((1+$B$37)*$B$38),2)</f>
        <v>0</v>
      </c>
      <c r="X24" s="235">
        <f>ROUND(('Hours Per Job'!X24*$B$36),2)+ROUND(('Parts Cost Per Job'!X24)*((1+$B$37)*$B$38),2)</f>
        <v>49.870000000000005</v>
      </c>
      <c r="Y24" s="235">
        <f>ROUND(('Hours Per Job'!Y24*$B$36),2)+ROUND(('Parts Cost Per Job'!Y24)*((1+$B$37)*$B$38),2)</f>
        <v>0</v>
      </c>
      <c r="Z24" s="235">
        <f>ROUND(('Hours Per Job'!Z24*$B$36),2)+ROUND(('Parts Cost Per Job'!Z24)*((1+$B$37)*$B$38),2)</f>
        <v>56.18</v>
      </c>
      <c r="AA24" s="235">
        <f>ROUND(('Hours Per Job'!AA24*$B$36),2)+ROUND(('Parts Cost Per Job'!AA24)*((1+$B$37)*$B$38),2)</f>
        <v>0</v>
      </c>
      <c r="AB24" s="235">
        <f>ROUND(('Hours Per Job'!AB24*$B$36),2)+ROUND(('Parts Cost Per Job'!AB24)*((1+$B$37)*$B$38),2)</f>
        <v>547.63</v>
      </c>
      <c r="AC24" s="235">
        <f>ROUND(('Hours Per Job'!AC24*$B$36),2)+ROUND(('Parts Cost Per Job'!AC24)*((1+$B$37)*$B$38),2)</f>
        <v>0</v>
      </c>
      <c r="AD24" s="235">
        <f>ROUND(('Hours Per Job'!AD24*$B$36),2)+ROUND(('Parts Cost Per Job'!AD24)*((1+$B$37)*$B$38),2)</f>
        <v>0</v>
      </c>
      <c r="AE24" s="235">
        <f>ROUND(('Hours Per Job'!AE24*$B$36),2)+ROUND(('Parts Cost Per Job'!AE24)*((1+$B$37)*$B$38),2)</f>
        <v>0</v>
      </c>
      <c r="AF24" s="235">
        <f>ROUND(('Hours Per Job'!AF24*$B$36),2)+ROUND(('Parts Cost Per Job'!AF24)*((1+$B$37)*$B$38),2)</f>
        <v>35.510000000000005</v>
      </c>
      <c r="AG24" s="235">
        <f>ROUND(('Hours Per Job'!AG24*$B$36),2)+ROUND(('Parts Cost Per Job'!AG24)*((1+$B$37)*$B$38),2)</f>
        <v>140.47</v>
      </c>
      <c r="AH24" s="235">
        <f>ROUND(('Hours Per Job'!AH24*$B$36),2)+ROUND(('Parts Cost Per Job'!AH24)*((1+$B$37)*$B$38),2)</f>
        <v>95.45</v>
      </c>
      <c r="AI24" s="235">
        <f>ROUND(('Hours Per Job'!AI24*$B$36),2)+ROUND(('Parts Cost Per Job'!AI24)*((1+$B$37)*$B$38),2)</f>
        <v>0</v>
      </c>
      <c r="AJ24" s="235">
        <f>ROUND(('Hours Per Job'!AJ24*$B$36),2)+ROUND(('Parts Cost Per Job'!AJ24)*((1+$B$37)*$B$38),2)</f>
        <v>0</v>
      </c>
      <c r="AK24" s="235">
        <f>ROUND(('Hours Per Job'!AK24*$B$36),2)+ROUND(('Parts Cost Per Job'!AK24)*((1+$B$37)*$B$38),2)</f>
        <v>0</v>
      </c>
      <c r="AL24" s="235">
        <f>ROUND(('Hours Per Job'!AL24*$B$36),2)+ROUND(('Parts Cost Per Job'!AL24)*((1+$B$37)*$B$38),2)</f>
        <v>0</v>
      </c>
      <c r="AM24" s="235">
        <f>ROUND(('Hours Per Job'!AM24*$B$36),2)+ROUND(('Parts Cost Per Job'!AM24)*((1+$B$37)*$B$38),2)</f>
        <v>0</v>
      </c>
      <c r="AN24" s="235">
        <f>ROUND(('Hours Per Job'!AN24*$B$36),2)+ROUND(('Parts Cost Per Job'!AN24)*((1+$B$37)*$B$38),2)</f>
        <v>0</v>
      </c>
      <c r="AO24" s="235">
        <f>ROUND(('Hours Per Job'!AO24*$B$36),2)+ROUND(('Parts Cost Per Job'!AO24)*((1+$B$37)*$B$38),2)</f>
        <v>0</v>
      </c>
      <c r="AP24" s="235">
        <f>ROUND(('Hours Per Job'!AP24*$B$36),2)+ROUND(('Parts Cost Per Job'!AP24)*((1+$B$37)*$B$38),2)</f>
        <v>84</v>
      </c>
      <c r="AQ24" s="235">
        <f>ROUND(('Hours Per Job'!AQ24*$B$36),2)+ROUND(('Parts Cost Per Job'!AQ24)*((1+$B$37)*$B$38),2)</f>
        <v>0</v>
      </c>
      <c r="AR24" s="235">
        <f>ROUND(('Hours Per Job'!AR24*$B$36),2)+ROUND(('Parts Cost Per Job'!AR24)*((1+$B$37)*$B$38),2)</f>
        <v>0</v>
      </c>
      <c r="AS24" s="235">
        <f>ROUND(('Hours Per Job'!AS24*$B$36),2)+ROUND(('Parts Cost Per Job'!AS24)*((1+$B$37)*$B$38),2)</f>
        <v>0</v>
      </c>
      <c r="AT24" s="235">
        <f>ROUND(('Hours Per Job'!AT24*$B$36),2)+ROUND(('Parts Cost Per Job'!AT24)*((1+$B$37)*$B$38),2)</f>
        <v>71.069999999999993</v>
      </c>
      <c r="AU24" s="235">
        <f>ROUND(('Hours Per Job'!AU24*$B$36),2)+ROUND(('Parts Cost Per Job'!AU24)*((1+$B$37)*$B$38),2)</f>
        <v>0</v>
      </c>
      <c r="AV24" s="235">
        <f>ROUND(('Hours Per Job'!AV24*$B$36),2)+ROUND(('Parts Cost Per Job'!AV24)*((1+$B$37)*$B$38),2)</f>
        <v>0</v>
      </c>
      <c r="AW24" s="235">
        <f>ROUND(('Hours Per Job'!AW24*$B$36),2)+ROUND(('Parts Cost Per Job'!AW24)*((1+$B$37)*$B$38),2)</f>
        <v>757.58</v>
      </c>
      <c r="AX24" s="235">
        <f>ROUND(('Hours Per Job'!AX24*$B$36),2)+ROUND(('Parts Cost Per Job'!AX24)*((1+$B$37)*$B$38),2)</f>
        <v>0</v>
      </c>
      <c r="AY24" s="235">
        <f>ROUND(('Hours Per Job'!AY24*$B$36),2)+ROUND(('Parts Cost Per Job'!AY24)*((1+$B$37)*$B$38),2)</f>
        <v>0</v>
      </c>
      <c r="AZ24" s="235">
        <f>ROUND(('Hours Per Job'!AZ24*$B$36),2)+ROUND(('Parts Cost Per Job'!AZ24)*((1+$B$37)*$B$38),2)</f>
        <v>153.66</v>
      </c>
      <c r="BA24" s="235">
        <f>ROUND(('Hours Per Job'!BA24*$B$36),2)+ROUND(('Parts Cost Per Job'!BA24)*((1+$B$37)*$B$38),2)</f>
        <v>0</v>
      </c>
      <c r="BB24" s="235">
        <f>ROUND(('Hours Per Job'!BB24*$B$36),2)+ROUND(('Parts Cost Per Job'!BB24)*((1+$B$37)*$B$38),2)</f>
        <v>38.370000000000005</v>
      </c>
      <c r="BC24" s="235">
        <f>ROUND(('Hours Per Job'!BC24*$B$36),2)+ROUND(('Parts Cost Per Job'!BC24)*((1+$B$37)*$B$38),2)</f>
        <v>73.75</v>
      </c>
      <c r="BD24" s="235">
        <f>ROUND(('Hours Per Job'!BD24*$B$36),2)+ROUND(('Parts Cost Per Job'!BD24)*((1+$B$37)*$B$38),2)</f>
        <v>0</v>
      </c>
      <c r="BE24" s="235">
        <f>ROUND(('Hours Per Job'!BE24*$B$36),2)+ROUND(('Parts Cost Per Job'!BE24)*((1+$B$37)*$B$38),2)</f>
        <v>0</v>
      </c>
      <c r="BF24" s="235">
        <f>ROUND(('Hours Per Job'!BF24*$B$36),2)+ROUND(('Parts Cost Per Job'!BF24)*((1+$B$37)*$B$38),2)</f>
        <v>90</v>
      </c>
      <c r="BG24" s="235">
        <f>ROUND(('Hours Per Job'!BG24*$B$36),2)+ROUND(('Parts Cost Per Job'!BG24)*((1+$B$37)*$B$38),2)</f>
        <v>0</v>
      </c>
      <c r="BH24" s="235">
        <f>ROUND(('Hours Per Job'!BH24*$B$36),2)+ROUND(('Parts Cost Per Job'!BH24)*((1+$B$37)*$B$38),2)</f>
        <v>167.04</v>
      </c>
      <c r="BI24" s="235">
        <f>ROUND(('Hours Per Job'!BI24*$B$36),2)+ROUND(('Parts Cost Per Job'!BI24)*((1+$B$37)*$B$38),2)</f>
        <v>0</v>
      </c>
      <c r="BJ24" s="235">
        <f>ROUND(('Hours Per Job'!BJ24*$B$36),2)+ROUND(('Parts Cost Per Job'!BJ24)*((1+$B$37)*$B$38),2)</f>
        <v>30</v>
      </c>
      <c r="BK24" s="235">
        <f>ROUND(('Hours Per Job'!BK24*$B$36),2)+ROUND(('Parts Cost Per Job'!BK24)*((1+$B$37)*$B$38),2)</f>
        <v>0</v>
      </c>
      <c r="BL24" s="235">
        <f>ROUND(('Hours Per Job'!BL24*$B$36),2)+ROUND(('Parts Cost Per Job'!BL24)*((1+$B$37)*$B$38),2)</f>
        <v>0</v>
      </c>
      <c r="BM24" s="235">
        <f>ROUND(('Hours Per Job'!BM24*$B$36),2)+ROUND(('Parts Cost Per Job'!BM24)*((1+$B$37)*$B$38),2)</f>
        <v>0</v>
      </c>
      <c r="BN24" s="235">
        <f>ROUND(('Hours Per Job'!BN24*$B$36),2)+ROUND(('Parts Cost Per Job'!BN24)*((1+$B$37)*$B$38),2)</f>
        <v>196.26999999999998</v>
      </c>
      <c r="BO24" s="235">
        <f>ROUND(('Hours Per Job'!BO24*$B$36),2)+ROUND(('Parts Cost Per Job'!BO24)*((1+$B$37)*$B$38),2)</f>
        <v>71.069999999999993</v>
      </c>
      <c r="BP24" s="235">
        <f>ROUND(('Hours Per Job'!BP24*$B$36),2)+ROUND(('Parts Cost Per Job'!BP24)*((1+$B$37)*$B$38),2)</f>
        <v>126</v>
      </c>
    </row>
    <row r="25" spans="1:68" x14ac:dyDescent="0.2">
      <c r="A25" s="226" t="str">
        <f>'Scheduled Intervals'!A25</f>
        <v>Sany SY up to 35</v>
      </c>
      <c r="B25" s="227">
        <f>ROUND(('Hours Per Job'!B25*$B$36),2)+ROUND(('Parts Cost Per Job'!B25)*((1+$B$37)*$B$38),2)</f>
        <v>152.5</v>
      </c>
      <c r="C25" s="237">
        <f>ROUND(('Hours Per Job'!C25*$B$36),2)+ROUND(('Parts Cost Per Job'!C25)*((1+$B$37)*$B$38),2)</f>
        <v>0</v>
      </c>
      <c r="D25" s="237">
        <f>ROUND(('Hours Per Job'!D25*$B$36),2)+ROUND(('Parts Cost Per Job'!D25)*((1+$B$37)*$B$38),2)</f>
        <v>12</v>
      </c>
      <c r="E25" s="237">
        <f>ROUND(('Hours Per Job'!E25*$B$36),2)+ROUND(('Parts Cost Per Job'!E25)*((1+$B$37)*$B$38),2)</f>
        <v>0</v>
      </c>
      <c r="F25" s="237">
        <f>ROUND(('Hours Per Job'!F25*$B$36),2)+ROUND(('Parts Cost Per Job'!F25)*((1+$B$37)*$B$38),2)</f>
        <v>0</v>
      </c>
      <c r="G25" s="237">
        <f>ROUND(('Hours Per Job'!G25*$B$36),2)+ROUND(('Parts Cost Per Job'!G25)*((1+$B$37)*$B$38),2)</f>
        <v>0</v>
      </c>
      <c r="H25" s="238">
        <f>ROUND(('Hours Per Job'!H25*$B$36),2)+ROUND(('Parts Cost Per Job'!H25)*((1+$B$37)*$B$38),2)</f>
        <v>71.069999999999993</v>
      </c>
      <c r="I25" s="237">
        <f>ROUND(('Hours Per Job'!I25*$B$36),2)+ROUND(('Parts Cost Per Job'!I25)*((1+$B$37)*$B$38),2)</f>
        <v>30</v>
      </c>
      <c r="J25" s="237">
        <f>ROUND(('Hours Per Job'!J25*$B$36),2)+ROUND(('Parts Cost Per Job'!J25)*((1+$B$37)*$B$38),2)</f>
        <v>0</v>
      </c>
      <c r="K25" s="237">
        <f>ROUND(('Hours Per Job'!K25*$B$36),2)+ROUND(('Parts Cost Per Job'!K25)*((1+$B$37)*$B$38),2)</f>
        <v>0</v>
      </c>
      <c r="L25" s="237">
        <f>ROUND(('Hours Per Job'!L25*$B$36),2)+ROUND(('Parts Cost Per Job'!L25)*((1+$B$37)*$B$38),2)</f>
        <v>0</v>
      </c>
      <c r="M25" s="237">
        <f>ROUND(('Hours Per Job'!M25*$B$36),2)+ROUND(('Parts Cost Per Job'!M25)*((1+$B$37)*$B$38),2)</f>
        <v>0</v>
      </c>
      <c r="N25" s="237">
        <f>ROUND(('Hours Per Job'!N25*$B$36),2)+ROUND(('Parts Cost Per Job'!N25)*((1+$B$37)*$B$38),2)</f>
        <v>0</v>
      </c>
      <c r="O25" s="237">
        <f>ROUND(('Hours Per Job'!O25*$B$36),2)+ROUND(('Parts Cost Per Job'!O25)*((1+$B$37)*$B$38),2)</f>
        <v>0</v>
      </c>
      <c r="P25" s="239">
        <f>ROUND(('Hours Per Job'!P25*$B$36),2)+ROUND(('Parts Cost Per Job'!P25)*((1+$B$37)*$B$38),2)</f>
        <v>0</v>
      </c>
      <c r="Q25" s="240">
        <f>ROUND(('Hours Per Job'!Q25*$B$36),2)+ROUND(('Parts Cost Per Job'!Q25)*((1+$B$37)*$B$38),2)</f>
        <v>170.28</v>
      </c>
      <c r="R25" s="241">
        <f>ROUND(('Hours Per Job'!R25*$B$36),2)+ROUND(('Parts Cost Per Job'!R25)*((1+$B$37)*$B$38),2)</f>
        <v>138.07999999999998</v>
      </c>
      <c r="S25" s="241">
        <f>ROUND(('Hours Per Job'!S25*$B$36),2)+ROUND(('Parts Cost Per Job'!S25)*((1+$B$37)*$B$38),2)</f>
        <v>0</v>
      </c>
      <c r="T25" s="242">
        <f>ROUND(('Hours Per Job'!T25*$B$36),2)+ROUND(('Parts Cost Per Job'!T25)*((1+$B$37)*$B$38),2)</f>
        <v>0</v>
      </c>
      <c r="U25" s="234">
        <f>ROUND(('Hours Per Job'!U25*$B$36),2)+ROUND(('Parts Cost Per Job'!U25)*((1+$B$37)*$B$38),2)</f>
        <v>152.5</v>
      </c>
      <c r="V25" s="235">
        <f>ROUND(('Hours Per Job'!V25*$B$36),2)+ROUND(('Parts Cost Per Job'!V25)*((1+$B$37)*$B$38),2)</f>
        <v>0</v>
      </c>
      <c r="W25" s="235">
        <f>ROUND(('Hours Per Job'!W25*$B$36),2)+ROUND(('Parts Cost Per Job'!W25)*((1+$B$37)*$B$38),2)</f>
        <v>0</v>
      </c>
      <c r="X25" s="235">
        <f>ROUND(('Hours Per Job'!X25*$B$36),2)+ROUND(('Parts Cost Per Job'!X25)*((1+$B$37)*$B$38),2)</f>
        <v>48.96</v>
      </c>
      <c r="Y25" s="235">
        <f>ROUND(('Hours Per Job'!Y25*$B$36),2)+ROUND(('Parts Cost Per Job'!Y25)*((1+$B$37)*$B$38),2)</f>
        <v>0</v>
      </c>
      <c r="Z25" s="235">
        <f>ROUND(('Hours Per Job'!Z25*$B$36),2)+ROUND(('Parts Cost Per Job'!Z25)*((1+$B$37)*$B$38),2)</f>
        <v>64.760000000000005</v>
      </c>
      <c r="AA25" s="235">
        <f>ROUND(('Hours Per Job'!AA25*$B$36),2)+ROUND(('Parts Cost Per Job'!AA25)*((1+$B$37)*$B$38),2)</f>
        <v>0</v>
      </c>
      <c r="AB25" s="235">
        <f>ROUND(('Hours Per Job'!AB25*$B$36),2)+ROUND(('Parts Cost Per Job'!AB25)*((1+$B$37)*$B$38),2)</f>
        <v>0</v>
      </c>
      <c r="AC25" s="235">
        <f>ROUND(('Hours Per Job'!AC25*$B$36),2)+ROUND(('Parts Cost Per Job'!AC25)*((1+$B$37)*$B$38),2)</f>
        <v>0</v>
      </c>
      <c r="AD25" s="235">
        <f>ROUND(('Hours Per Job'!AD25*$B$36),2)+ROUND(('Parts Cost Per Job'!AD25)*((1+$B$37)*$B$38),2)</f>
        <v>0</v>
      </c>
      <c r="AE25" s="235">
        <f>ROUND(('Hours Per Job'!AE25*$B$36),2)+ROUND(('Parts Cost Per Job'!AE25)*((1+$B$37)*$B$38),2)</f>
        <v>0</v>
      </c>
      <c r="AF25" s="235">
        <f>ROUND(('Hours Per Job'!AF25*$B$36),2)+ROUND(('Parts Cost Per Job'!AF25)*((1+$B$37)*$B$38),2)</f>
        <v>44.77</v>
      </c>
      <c r="AG25" s="235">
        <f>ROUND(('Hours Per Job'!AG25*$B$36),2)+ROUND(('Parts Cost Per Job'!AG25)*((1+$B$37)*$B$38),2)</f>
        <v>170.28</v>
      </c>
      <c r="AH25" s="235">
        <f>ROUND(('Hours Per Job'!AH25*$B$36),2)+ROUND(('Parts Cost Per Job'!AH25)*((1+$B$37)*$B$38),2)</f>
        <v>85.07</v>
      </c>
      <c r="AI25" s="235">
        <f>ROUND(('Hours Per Job'!AI25*$B$36),2)+ROUND(('Parts Cost Per Job'!AI25)*((1+$B$37)*$B$38),2)</f>
        <v>398.61</v>
      </c>
      <c r="AJ25" s="235">
        <f>ROUND(('Hours Per Job'!AJ25*$B$36),2)+ROUND(('Parts Cost Per Job'!AJ25)*((1+$B$37)*$B$38),2)</f>
        <v>0</v>
      </c>
      <c r="AK25" s="235">
        <f>ROUND(('Hours Per Job'!AK25*$B$36),2)+ROUND(('Parts Cost Per Job'!AK25)*((1+$B$37)*$B$38),2)</f>
        <v>138.07999999999998</v>
      </c>
      <c r="AL25" s="235">
        <f>ROUND(('Hours Per Job'!AL25*$B$36),2)+ROUND(('Parts Cost Per Job'!AL25)*((1+$B$37)*$B$38),2)</f>
        <v>0</v>
      </c>
      <c r="AM25" s="235">
        <f>ROUND(('Hours Per Job'!AM25*$B$36),2)+ROUND(('Parts Cost Per Job'!AM25)*((1+$B$37)*$B$38),2)</f>
        <v>0</v>
      </c>
      <c r="AN25" s="235">
        <f>ROUND(('Hours Per Job'!AN25*$B$36),2)+ROUND(('Parts Cost Per Job'!AN25)*((1+$B$37)*$B$38),2)</f>
        <v>0</v>
      </c>
      <c r="AO25" s="235">
        <f>ROUND(('Hours Per Job'!AO25*$B$36),2)+ROUND(('Parts Cost Per Job'!AO25)*((1+$B$37)*$B$38),2)</f>
        <v>0</v>
      </c>
      <c r="AP25" s="235">
        <f>ROUND(('Hours Per Job'!AP25*$B$36),2)+ROUND(('Parts Cost Per Job'!AP25)*((1+$B$37)*$B$38),2)</f>
        <v>0</v>
      </c>
      <c r="AQ25" s="235">
        <f>ROUND(('Hours Per Job'!AQ25*$B$36),2)+ROUND(('Parts Cost Per Job'!AQ25)*((1+$B$37)*$B$38),2)</f>
        <v>0</v>
      </c>
      <c r="AR25" s="235">
        <f>ROUND(('Hours Per Job'!AR25*$B$36),2)+ROUND(('Parts Cost Per Job'!AR25)*((1+$B$37)*$B$38),2)</f>
        <v>0</v>
      </c>
      <c r="AS25" s="235">
        <f>ROUND(('Hours Per Job'!AS25*$B$36),2)+ROUND(('Parts Cost Per Job'!AS25)*((1+$B$37)*$B$38),2)</f>
        <v>0</v>
      </c>
      <c r="AT25" s="235">
        <f>ROUND(('Hours Per Job'!AT25*$B$36),2)+ROUND(('Parts Cost Per Job'!AT25)*((1+$B$37)*$B$38),2)</f>
        <v>71.069999999999993</v>
      </c>
      <c r="AU25" s="235">
        <f>ROUND(('Hours Per Job'!AU25*$B$36),2)+ROUND(('Parts Cost Per Job'!AU25)*((1+$B$37)*$B$38),2)</f>
        <v>0</v>
      </c>
      <c r="AV25" s="235">
        <f>ROUND(('Hours Per Job'!AV25*$B$36),2)+ROUND(('Parts Cost Per Job'!AV25)*((1+$B$37)*$B$38),2)</f>
        <v>0</v>
      </c>
      <c r="AW25" s="235">
        <f>ROUND(('Hours Per Job'!AW25*$B$36),2)+ROUND(('Parts Cost Per Job'!AW25)*((1+$B$37)*$B$38),2)</f>
        <v>0</v>
      </c>
      <c r="AX25" s="235">
        <f>ROUND(('Hours Per Job'!AX25*$B$36),2)+ROUND(('Parts Cost Per Job'!AX25)*((1+$B$37)*$B$38),2)</f>
        <v>0</v>
      </c>
      <c r="AY25" s="235">
        <f>ROUND(('Hours Per Job'!AY25*$B$36),2)+ROUND(('Parts Cost Per Job'!AY25)*((1+$B$37)*$B$38),2)</f>
        <v>0</v>
      </c>
      <c r="AZ25" s="235">
        <f>ROUND(('Hours Per Job'!AZ25*$B$36),2)+ROUND(('Parts Cost Per Job'!AZ25)*((1+$B$37)*$B$38),2)</f>
        <v>0</v>
      </c>
      <c r="BA25" s="235">
        <f>ROUND(('Hours Per Job'!BA25*$B$36),2)+ROUND(('Parts Cost Per Job'!BA25)*((1+$B$37)*$B$38),2)</f>
        <v>0</v>
      </c>
      <c r="BB25" s="235">
        <f>ROUND(('Hours Per Job'!BB25*$B$36),2)+ROUND(('Parts Cost Per Job'!BB25)*((1+$B$37)*$B$38),2)</f>
        <v>65.97</v>
      </c>
      <c r="BC25" s="235">
        <f>ROUND(('Hours Per Job'!BC25*$B$36),2)+ROUND(('Parts Cost Per Job'!BC25)*((1+$B$37)*$B$38),2)</f>
        <v>0</v>
      </c>
      <c r="BD25" s="235">
        <f>ROUND(('Hours Per Job'!BD25*$B$36),2)+ROUND(('Parts Cost Per Job'!BD25)*((1+$B$37)*$B$38),2)</f>
        <v>0</v>
      </c>
      <c r="BE25" s="235">
        <f>ROUND(('Hours Per Job'!BE25*$B$36),2)+ROUND(('Parts Cost Per Job'!BE25)*((1+$B$37)*$B$38),2)</f>
        <v>0</v>
      </c>
      <c r="BF25" s="235">
        <f>ROUND(('Hours Per Job'!BF25*$B$36),2)+ROUND(('Parts Cost Per Job'!BF25)*((1+$B$37)*$B$38),2)</f>
        <v>0</v>
      </c>
      <c r="BG25" s="235">
        <f>ROUND(('Hours Per Job'!BG25*$B$36),2)+ROUND(('Parts Cost Per Job'!BG25)*((1+$B$37)*$B$38),2)</f>
        <v>0</v>
      </c>
      <c r="BH25" s="235">
        <f>ROUND(('Hours Per Job'!BH25*$B$36),2)+ROUND(('Parts Cost Per Job'!BH25)*((1+$B$37)*$B$38),2)</f>
        <v>151.36000000000001</v>
      </c>
      <c r="BI25" s="235">
        <f>ROUND(('Hours Per Job'!BI25*$B$36),2)+ROUND(('Parts Cost Per Job'!BI25)*((1+$B$37)*$B$38),2)</f>
        <v>0</v>
      </c>
      <c r="BJ25" s="235">
        <f>ROUND(('Hours Per Job'!BJ25*$B$36),2)+ROUND(('Parts Cost Per Job'!BJ25)*((1+$B$37)*$B$38),2)</f>
        <v>30</v>
      </c>
      <c r="BK25" s="235">
        <f>ROUND(('Hours Per Job'!BK25*$B$36),2)+ROUND(('Parts Cost Per Job'!BK25)*((1+$B$37)*$B$38),2)</f>
        <v>0</v>
      </c>
      <c r="BL25" s="235">
        <f>ROUND(('Hours Per Job'!BL25*$B$36),2)+ROUND(('Parts Cost Per Job'!BL25)*((1+$B$37)*$B$38),2)</f>
        <v>0</v>
      </c>
      <c r="BM25" s="235">
        <f>ROUND(('Hours Per Job'!BM25*$B$36),2)+ROUND(('Parts Cost Per Job'!BM25)*((1+$B$37)*$B$38),2)</f>
        <v>0</v>
      </c>
      <c r="BN25" s="235">
        <f>ROUND(('Hours Per Job'!BN25*$B$36),2)+ROUND(('Parts Cost Per Job'!BN25)*((1+$B$37)*$B$38),2)</f>
        <v>152.5</v>
      </c>
      <c r="BO25" s="235">
        <f>ROUND(('Hours Per Job'!BO25*$B$36),2)+ROUND(('Parts Cost Per Job'!BO25)*((1+$B$37)*$B$38),2)</f>
        <v>71.069999999999993</v>
      </c>
      <c r="BP25" s="235">
        <f>ROUND(('Hours Per Job'!BP25*$B$36),2)+ROUND(('Parts Cost Per Job'!BP25)*((1+$B$37)*$B$38),2)</f>
        <v>126</v>
      </c>
    </row>
    <row r="26" spans="1:68" x14ac:dyDescent="0.2">
      <c r="A26" s="226" t="str">
        <f>'Scheduled Intervals'!A26</f>
        <v>Sany SY up to 60</v>
      </c>
      <c r="B26" s="227">
        <f>ROUND(('Hours Per Job'!B26*$B$36),2)+ROUND(('Parts Cost Per Job'!B26)*((1+$B$37)*$B$38),2)</f>
        <v>164.59</v>
      </c>
      <c r="C26" s="237">
        <f>ROUND(('Hours Per Job'!C26*$B$36),2)+ROUND(('Parts Cost Per Job'!C26)*((1+$B$37)*$B$38),2)</f>
        <v>0</v>
      </c>
      <c r="D26" s="237">
        <f>ROUND(('Hours Per Job'!D26*$B$36),2)+ROUND(('Parts Cost Per Job'!D26)*((1+$B$37)*$B$38),2)</f>
        <v>12</v>
      </c>
      <c r="E26" s="237">
        <f>ROUND(('Hours Per Job'!E26*$B$36),2)+ROUND(('Parts Cost Per Job'!E26)*((1+$B$37)*$B$38),2)</f>
        <v>0</v>
      </c>
      <c r="F26" s="237">
        <f>ROUND(('Hours Per Job'!F26*$B$36),2)+ROUND(('Parts Cost Per Job'!F26)*((1+$B$37)*$B$38),2)</f>
        <v>0</v>
      </c>
      <c r="G26" s="237">
        <f>ROUND(('Hours Per Job'!G26*$B$36),2)+ROUND(('Parts Cost Per Job'!G26)*((1+$B$37)*$B$38),2)</f>
        <v>0</v>
      </c>
      <c r="H26" s="238">
        <f>ROUND(('Hours Per Job'!H26*$B$36),2)+ROUND(('Parts Cost Per Job'!H26)*((1+$B$37)*$B$38),2)</f>
        <v>71.069999999999993</v>
      </c>
      <c r="I26" s="237">
        <f>ROUND(('Hours Per Job'!I26*$B$36),2)+ROUND(('Parts Cost Per Job'!I26)*((1+$B$37)*$B$38),2)</f>
        <v>30</v>
      </c>
      <c r="J26" s="237">
        <f>ROUND(('Hours Per Job'!J26*$B$36),2)+ROUND(('Parts Cost Per Job'!J26)*((1+$B$37)*$B$38),2)</f>
        <v>0</v>
      </c>
      <c r="K26" s="237">
        <f>ROUND(('Hours Per Job'!K26*$B$36),2)+ROUND(('Parts Cost Per Job'!K26)*((1+$B$37)*$B$38),2)</f>
        <v>0</v>
      </c>
      <c r="L26" s="237">
        <f>ROUND(('Hours Per Job'!L26*$B$36),2)+ROUND(('Parts Cost Per Job'!L26)*((1+$B$37)*$B$38),2)</f>
        <v>0</v>
      </c>
      <c r="M26" s="237">
        <f>ROUND(('Hours Per Job'!M26*$B$36),2)+ROUND(('Parts Cost Per Job'!M26)*((1+$B$37)*$B$38),2)</f>
        <v>0</v>
      </c>
      <c r="N26" s="237">
        <f>ROUND(('Hours Per Job'!N26*$B$36),2)+ROUND(('Parts Cost Per Job'!N26)*((1+$B$37)*$B$38),2)</f>
        <v>0</v>
      </c>
      <c r="O26" s="237">
        <f>ROUND(('Hours Per Job'!O26*$B$36),2)+ROUND(('Parts Cost Per Job'!O26)*((1+$B$37)*$B$38),2)</f>
        <v>0</v>
      </c>
      <c r="P26" s="239">
        <f>ROUND(('Hours Per Job'!P26*$B$36),2)+ROUND(('Parts Cost Per Job'!P26)*((1+$B$37)*$B$38),2)</f>
        <v>0</v>
      </c>
      <c r="Q26" s="240">
        <f>ROUND(('Hours Per Job'!Q26*$B$36),2)+ROUND(('Parts Cost Per Job'!Q26)*((1+$B$37)*$B$38),2)</f>
        <v>170.28</v>
      </c>
      <c r="R26" s="241">
        <f>ROUND(('Hours Per Job'!R26*$B$36),2)+ROUND(('Parts Cost Per Job'!R26)*((1+$B$37)*$B$38),2)</f>
        <v>138.07999999999998</v>
      </c>
      <c r="S26" s="241">
        <f>ROUND(('Hours Per Job'!S26*$B$36),2)+ROUND(('Parts Cost Per Job'!S26)*((1+$B$37)*$B$38),2)</f>
        <v>0</v>
      </c>
      <c r="T26" s="242">
        <f>ROUND(('Hours Per Job'!T26*$B$36),2)+ROUND(('Parts Cost Per Job'!T26)*((1+$B$37)*$B$38),2)</f>
        <v>0</v>
      </c>
      <c r="U26" s="234">
        <f>ROUND(('Hours Per Job'!U26*$B$36),2)+ROUND(('Parts Cost Per Job'!U26)*((1+$B$37)*$B$38),2)</f>
        <v>164.59</v>
      </c>
      <c r="V26" s="235">
        <f>ROUND(('Hours Per Job'!V26*$B$36),2)+ROUND(('Parts Cost Per Job'!V26)*((1+$B$37)*$B$38),2)</f>
        <v>0</v>
      </c>
      <c r="W26" s="235">
        <f>ROUND(('Hours Per Job'!W26*$B$36),2)+ROUND(('Parts Cost Per Job'!W26)*((1+$B$37)*$B$38),2)</f>
        <v>0</v>
      </c>
      <c r="X26" s="235">
        <f>ROUND(('Hours Per Job'!X26*$B$36),2)+ROUND(('Parts Cost Per Job'!X26)*((1+$B$37)*$B$38),2)</f>
        <v>103.51</v>
      </c>
      <c r="Y26" s="235">
        <f>ROUND(('Hours Per Job'!Y26*$B$36),2)+ROUND(('Parts Cost Per Job'!Y26)*((1+$B$37)*$B$38),2)</f>
        <v>0</v>
      </c>
      <c r="Z26" s="235">
        <f>ROUND(('Hours Per Job'!Z26*$B$36),2)+ROUND(('Parts Cost Per Job'!Z26)*((1+$B$37)*$B$38),2)</f>
        <v>64.760000000000005</v>
      </c>
      <c r="AA26" s="235">
        <f>ROUND(('Hours Per Job'!AA26*$B$36),2)+ROUND(('Parts Cost Per Job'!AA26)*((1+$B$37)*$B$38),2)</f>
        <v>0</v>
      </c>
      <c r="AB26" s="235">
        <f>ROUND(('Hours Per Job'!AB26*$B$36),2)+ROUND(('Parts Cost Per Job'!AB26)*((1+$B$37)*$B$38),2)</f>
        <v>0</v>
      </c>
      <c r="AC26" s="235">
        <f>ROUND(('Hours Per Job'!AC26*$B$36),2)+ROUND(('Parts Cost Per Job'!AC26)*((1+$B$37)*$B$38),2)</f>
        <v>0</v>
      </c>
      <c r="AD26" s="235">
        <f>ROUND(('Hours Per Job'!AD26*$B$36),2)+ROUND(('Parts Cost Per Job'!AD26)*((1+$B$37)*$B$38),2)</f>
        <v>0</v>
      </c>
      <c r="AE26" s="235">
        <f>ROUND(('Hours Per Job'!AE26*$B$36),2)+ROUND(('Parts Cost Per Job'!AE26)*((1+$B$37)*$B$38),2)</f>
        <v>0</v>
      </c>
      <c r="AF26" s="235">
        <f>ROUND(('Hours Per Job'!AF26*$B$36),2)+ROUND(('Parts Cost Per Job'!AF26)*((1+$B$37)*$B$38),2)</f>
        <v>44.77</v>
      </c>
      <c r="AG26" s="235">
        <f>ROUND(('Hours Per Job'!AG26*$B$36),2)+ROUND(('Parts Cost Per Job'!AG26)*((1+$B$37)*$B$38),2)</f>
        <v>170.28</v>
      </c>
      <c r="AH26" s="235">
        <f>ROUND(('Hours Per Job'!AH26*$B$36),2)+ROUND(('Parts Cost Per Job'!AH26)*((1+$B$37)*$B$38),2)</f>
        <v>85.07</v>
      </c>
      <c r="AI26" s="235">
        <f>ROUND(('Hours Per Job'!AI26*$B$36),2)+ROUND(('Parts Cost Per Job'!AI26)*((1+$B$37)*$B$38),2)</f>
        <v>778.77</v>
      </c>
      <c r="AJ26" s="235">
        <f>ROUND(('Hours Per Job'!AJ26*$B$36),2)+ROUND(('Parts Cost Per Job'!AJ26)*((1+$B$37)*$B$38),2)</f>
        <v>0</v>
      </c>
      <c r="AK26" s="235">
        <f>ROUND(('Hours Per Job'!AK26*$B$36),2)+ROUND(('Parts Cost Per Job'!AK26)*((1+$B$37)*$B$38),2)</f>
        <v>138.07999999999998</v>
      </c>
      <c r="AL26" s="235">
        <f>ROUND(('Hours Per Job'!AL26*$B$36),2)+ROUND(('Parts Cost Per Job'!AL26)*((1+$B$37)*$B$38),2)</f>
        <v>0</v>
      </c>
      <c r="AM26" s="235">
        <f>ROUND(('Hours Per Job'!AM26*$B$36),2)+ROUND(('Parts Cost Per Job'!AM26)*((1+$B$37)*$B$38),2)</f>
        <v>0</v>
      </c>
      <c r="AN26" s="235">
        <f>ROUND(('Hours Per Job'!AN26*$B$36),2)+ROUND(('Parts Cost Per Job'!AN26)*((1+$B$37)*$B$38),2)</f>
        <v>0</v>
      </c>
      <c r="AO26" s="235">
        <f>ROUND(('Hours Per Job'!AO26*$B$36),2)+ROUND(('Parts Cost Per Job'!AO26)*((1+$B$37)*$B$38),2)</f>
        <v>0</v>
      </c>
      <c r="AP26" s="235">
        <f>ROUND(('Hours Per Job'!AP26*$B$36),2)+ROUND(('Parts Cost Per Job'!AP26)*((1+$B$37)*$B$38),2)</f>
        <v>0</v>
      </c>
      <c r="AQ26" s="235">
        <f>ROUND(('Hours Per Job'!AQ26*$B$36),2)+ROUND(('Parts Cost Per Job'!AQ26)*((1+$B$37)*$B$38),2)</f>
        <v>0</v>
      </c>
      <c r="AR26" s="235">
        <f>ROUND(('Hours Per Job'!AR26*$B$36),2)+ROUND(('Parts Cost Per Job'!AR26)*((1+$B$37)*$B$38),2)</f>
        <v>0</v>
      </c>
      <c r="AS26" s="235">
        <f>ROUND(('Hours Per Job'!AS26*$B$36),2)+ROUND(('Parts Cost Per Job'!AS26)*((1+$B$37)*$B$38),2)</f>
        <v>0</v>
      </c>
      <c r="AT26" s="235">
        <f>ROUND(('Hours Per Job'!AT26*$B$36),2)+ROUND(('Parts Cost Per Job'!AT26)*((1+$B$37)*$B$38),2)</f>
        <v>71.069999999999993</v>
      </c>
      <c r="AU26" s="235">
        <f>ROUND(('Hours Per Job'!AU26*$B$36),2)+ROUND(('Parts Cost Per Job'!AU26)*((1+$B$37)*$B$38),2)</f>
        <v>0</v>
      </c>
      <c r="AV26" s="235">
        <f>ROUND(('Hours Per Job'!AV26*$B$36),2)+ROUND(('Parts Cost Per Job'!AV26)*((1+$B$37)*$B$38),2)</f>
        <v>0</v>
      </c>
      <c r="AW26" s="235">
        <f>ROUND(('Hours Per Job'!AW26*$B$36),2)+ROUND(('Parts Cost Per Job'!AW26)*((1+$B$37)*$B$38),2)</f>
        <v>0</v>
      </c>
      <c r="AX26" s="235">
        <f>ROUND(('Hours Per Job'!AX26*$B$36),2)+ROUND(('Parts Cost Per Job'!AX26)*((1+$B$37)*$B$38),2)</f>
        <v>0</v>
      </c>
      <c r="AY26" s="235">
        <f>ROUND(('Hours Per Job'!AY26*$B$36),2)+ROUND(('Parts Cost Per Job'!AY26)*((1+$B$37)*$B$38),2)</f>
        <v>0</v>
      </c>
      <c r="AZ26" s="235">
        <f>ROUND(('Hours Per Job'!AZ26*$B$36),2)+ROUND(('Parts Cost Per Job'!AZ26)*((1+$B$37)*$B$38),2)</f>
        <v>0</v>
      </c>
      <c r="BA26" s="235">
        <f>ROUND(('Hours Per Job'!BA26*$B$36),2)+ROUND(('Parts Cost Per Job'!BA26)*((1+$B$37)*$B$38),2)</f>
        <v>0</v>
      </c>
      <c r="BB26" s="235">
        <f>ROUND(('Hours Per Job'!BB26*$B$36),2)+ROUND(('Parts Cost Per Job'!BB26)*((1+$B$37)*$B$38),2)</f>
        <v>65.97</v>
      </c>
      <c r="BC26" s="235">
        <f>ROUND(('Hours Per Job'!BC26*$B$36),2)+ROUND(('Parts Cost Per Job'!BC26)*((1+$B$37)*$B$38),2)</f>
        <v>0</v>
      </c>
      <c r="BD26" s="235">
        <f>ROUND(('Hours Per Job'!BD26*$B$36),2)+ROUND(('Parts Cost Per Job'!BD26)*((1+$B$37)*$B$38),2)</f>
        <v>0</v>
      </c>
      <c r="BE26" s="235">
        <f>ROUND(('Hours Per Job'!BE26*$B$36),2)+ROUND(('Parts Cost Per Job'!BE26)*((1+$B$37)*$B$38),2)</f>
        <v>0</v>
      </c>
      <c r="BF26" s="235">
        <f>ROUND(('Hours Per Job'!BF26*$B$36),2)+ROUND(('Parts Cost Per Job'!BF26)*((1+$B$37)*$B$38),2)</f>
        <v>0</v>
      </c>
      <c r="BG26" s="235">
        <f>ROUND(('Hours Per Job'!BG26*$B$36),2)+ROUND(('Parts Cost Per Job'!BG26)*((1+$B$37)*$B$38),2)</f>
        <v>0</v>
      </c>
      <c r="BH26" s="235">
        <f>ROUND(('Hours Per Job'!BH26*$B$36),2)+ROUND(('Parts Cost Per Job'!BH26)*((1+$B$37)*$B$38),2)</f>
        <v>151.36000000000001</v>
      </c>
      <c r="BI26" s="235">
        <f>ROUND(('Hours Per Job'!BI26*$B$36),2)+ROUND(('Parts Cost Per Job'!BI26)*((1+$B$37)*$B$38),2)</f>
        <v>0</v>
      </c>
      <c r="BJ26" s="235">
        <f>ROUND(('Hours Per Job'!BJ26*$B$36),2)+ROUND(('Parts Cost Per Job'!BJ26)*((1+$B$37)*$B$38),2)</f>
        <v>30</v>
      </c>
      <c r="BK26" s="235">
        <f>ROUND(('Hours Per Job'!BK26*$B$36),2)+ROUND(('Parts Cost Per Job'!BK26)*((1+$B$37)*$B$38),2)</f>
        <v>0</v>
      </c>
      <c r="BL26" s="235">
        <f>ROUND(('Hours Per Job'!BL26*$B$36),2)+ROUND(('Parts Cost Per Job'!BL26)*((1+$B$37)*$B$38),2)</f>
        <v>0</v>
      </c>
      <c r="BM26" s="235">
        <f>ROUND(('Hours Per Job'!BM26*$B$36),2)+ROUND(('Parts Cost Per Job'!BM26)*((1+$B$37)*$B$38),2)</f>
        <v>0</v>
      </c>
      <c r="BN26" s="235">
        <f>ROUND(('Hours Per Job'!BN26*$B$36),2)+ROUND(('Parts Cost Per Job'!BN26)*((1+$B$37)*$B$38),2)</f>
        <v>164.59</v>
      </c>
      <c r="BO26" s="235">
        <f>ROUND(('Hours Per Job'!BO26*$B$36),2)+ROUND(('Parts Cost Per Job'!BO26)*((1+$B$37)*$B$38),2)</f>
        <v>71.069999999999993</v>
      </c>
      <c r="BP26" s="235">
        <f>ROUND(('Hours Per Job'!BP26*$B$36),2)+ROUND(('Parts Cost Per Job'!BP26)*((1+$B$37)*$B$38),2)</f>
        <v>126</v>
      </c>
    </row>
    <row r="27" spans="1:68" x14ac:dyDescent="0.2">
      <c r="A27" s="226" t="str">
        <f>'Scheduled Intervals'!A27</f>
        <v>Sany SY up to 155</v>
      </c>
      <c r="B27" s="227">
        <f>ROUND(('Hours Per Job'!B27*$B$36),2)+ROUND(('Parts Cost Per Job'!B27)*((1+$B$37)*$B$38),2)</f>
        <v>200.84</v>
      </c>
      <c r="C27" s="237">
        <f>ROUND(('Hours Per Job'!C27*$B$36),2)+ROUND(('Parts Cost Per Job'!C27)*((1+$B$37)*$B$38),2)</f>
        <v>0</v>
      </c>
      <c r="D27" s="237">
        <f>ROUND(('Hours Per Job'!D27*$B$36),2)+ROUND(('Parts Cost Per Job'!D27)*((1+$B$37)*$B$38),2)</f>
        <v>12</v>
      </c>
      <c r="E27" s="237">
        <f>ROUND(('Hours Per Job'!E27*$B$36),2)+ROUND(('Parts Cost Per Job'!E27)*((1+$B$37)*$B$38),2)</f>
        <v>0</v>
      </c>
      <c r="F27" s="237">
        <f>ROUND(('Hours Per Job'!F27*$B$36),2)+ROUND(('Parts Cost Per Job'!F27)*((1+$B$37)*$B$38),2)</f>
        <v>0</v>
      </c>
      <c r="G27" s="237">
        <f>ROUND(('Hours Per Job'!G27*$B$36),2)+ROUND(('Parts Cost Per Job'!G27)*((1+$B$37)*$B$38),2)</f>
        <v>0</v>
      </c>
      <c r="H27" s="238">
        <f>ROUND(('Hours Per Job'!H27*$B$36),2)+ROUND(('Parts Cost Per Job'!H27)*((1+$B$37)*$B$38),2)</f>
        <v>71.069999999999993</v>
      </c>
      <c r="I27" s="237">
        <f>ROUND(('Hours Per Job'!I27*$B$36),2)+ROUND(('Parts Cost Per Job'!I27)*((1+$B$37)*$B$38),2)</f>
        <v>30</v>
      </c>
      <c r="J27" s="237">
        <f>ROUND(('Hours Per Job'!J27*$B$36),2)+ROUND(('Parts Cost Per Job'!J27)*((1+$B$37)*$B$38),2)</f>
        <v>60</v>
      </c>
      <c r="K27" s="237">
        <f>ROUND(('Hours Per Job'!K27*$B$36),2)+ROUND(('Parts Cost Per Job'!K27)*((1+$B$37)*$B$38),2)</f>
        <v>0</v>
      </c>
      <c r="L27" s="237">
        <f>ROUND(('Hours Per Job'!L27*$B$36),2)+ROUND(('Parts Cost Per Job'!L27)*((1+$B$37)*$B$38),2)</f>
        <v>0</v>
      </c>
      <c r="M27" s="237">
        <f>ROUND(('Hours Per Job'!M27*$B$36),2)+ROUND(('Parts Cost Per Job'!M27)*((1+$B$37)*$B$38),2)</f>
        <v>0</v>
      </c>
      <c r="N27" s="237">
        <f>ROUND(('Hours Per Job'!N27*$B$36),2)+ROUND(('Parts Cost Per Job'!N27)*((1+$B$37)*$B$38),2)</f>
        <v>0</v>
      </c>
      <c r="O27" s="237">
        <f>ROUND(('Hours Per Job'!O27*$B$36),2)+ROUND(('Parts Cost Per Job'!O27)*((1+$B$37)*$B$38),2)</f>
        <v>0</v>
      </c>
      <c r="P27" s="239">
        <f>ROUND(('Hours Per Job'!P27*$B$36),2)+ROUND(('Parts Cost Per Job'!P27)*((1+$B$37)*$B$38),2)</f>
        <v>0</v>
      </c>
      <c r="Q27" s="240">
        <f>ROUND(('Hours Per Job'!Q27*$B$36),2)+ROUND(('Parts Cost Per Job'!Q27)*((1+$B$37)*$B$38),2)</f>
        <v>170.28</v>
      </c>
      <c r="R27" s="241">
        <f>ROUND(('Hours Per Job'!R27*$B$36),2)+ROUND(('Parts Cost Per Job'!R27)*((1+$B$37)*$B$38),2)</f>
        <v>0</v>
      </c>
      <c r="S27" s="241">
        <f>ROUND(('Hours Per Job'!S27*$B$36),2)+ROUND(('Parts Cost Per Job'!S27)*((1+$B$37)*$B$38),2)</f>
        <v>0</v>
      </c>
      <c r="T27" s="242">
        <f>ROUND(('Hours Per Job'!T27*$B$36),2)+ROUND(('Parts Cost Per Job'!T27)*((1+$B$37)*$B$38),2)</f>
        <v>0</v>
      </c>
      <c r="U27" s="234">
        <f>ROUND(('Hours Per Job'!U27*$B$36),2)+ROUND(('Parts Cost Per Job'!U27)*((1+$B$37)*$B$38),2)</f>
        <v>200.84</v>
      </c>
      <c r="V27" s="235">
        <f>ROUND(('Hours Per Job'!V27*$B$36),2)+ROUND(('Parts Cost Per Job'!V27)*((1+$B$37)*$B$38),2)</f>
        <v>0</v>
      </c>
      <c r="W27" s="235">
        <f>ROUND(('Hours Per Job'!W27*$B$36),2)+ROUND(('Parts Cost Per Job'!W27)*((1+$B$37)*$B$38),2)</f>
        <v>0</v>
      </c>
      <c r="X27" s="235">
        <f>ROUND(('Hours Per Job'!X27*$B$36),2)+ROUND(('Parts Cost Per Job'!X27)*((1+$B$37)*$B$38),2)</f>
        <v>0</v>
      </c>
      <c r="Y27" s="235">
        <f>ROUND(('Hours Per Job'!Y27*$B$36),2)+ROUND(('Parts Cost Per Job'!Y27)*((1+$B$37)*$B$38),2)</f>
        <v>0</v>
      </c>
      <c r="Z27" s="235">
        <f>ROUND(('Hours Per Job'!Z27*$B$36),2)+ROUND(('Parts Cost Per Job'!Z27)*((1+$B$37)*$B$38),2)</f>
        <v>64.760000000000005</v>
      </c>
      <c r="AA27" s="235">
        <f>ROUND(('Hours Per Job'!AA27*$B$36),2)+ROUND(('Parts Cost Per Job'!AA27)*((1+$B$37)*$B$38),2)</f>
        <v>0</v>
      </c>
      <c r="AB27" s="235">
        <f>ROUND(('Hours Per Job'!AB27*$B$36),2)+ROUND(('Parts Cost Per Job'!AB27)*((1+$B$37)*$B$38),2)</f>
        <v>0</v>
      </c>
      <c r="AC27" s="235">
        <f>ROUND(('Hours Per Job'!AC27*$B$36),2)+ROUND(('Parts Cost Per Job'!AC27)*((1+$B$37)*$B$38),2)</f>
        <v>0</v>
      </c>
      <c r="AD27" s="235">
        <f>ROUND(('Hours Per Job'!AD27*$B$36),2)+ROUND(('Parts Cost Per Job'!AD27)*((1+$B$37)*$B$38),2)</f>
        <v>0</v>
      </c>
      <c r="AE27" s="235">
        <f>ROUND(('Hours Per Job'!AE27*$B$36),2)+ROUND(('Parts Cost Per Job'!AE27)*((1+$B$37)*$B$38),2)</f>
        <v>0</v>
      </c>
      <c r="AF27" s="235">
        <f>ROUND(('Hours Per Job'!AF27*$B$36),2)+ROUND(('Parts Cost Per Job'!AF27)*((1+$B$37)*$B$38),2)</f>
        <v>44.77</v>
      </c>
      <c r="AG27" s="235">
        <f>ROUND(('Hours Per Job'!AG27*$B$36),2)+ROUND(('Parts Cost Per Job'!AG27)*((1+$B$37)*$B$38),2)</f>
        <v>170.28</v>
      </c>
      <c r="AH27" s="235">
        <f>ROUND(('Hours Per Job'!AH27*$B$36),2)+ROUND(('Parts Cost Per Job'!AH27)*((1+$B$37)*$B$38),2)</f>
        <v>85.07</v>
      </c>
      <c r="AI27" s="235">
        <f>ROUND(('Hours Per Job'!AI27*$B$36),2)+ROUND(('Parts Cost Per Job'!AI27)*((1+$B$37)*$B$38),2)</f>
        <v>901.83</v>
      </c>
      <c r="AJ27" s="235">
        <f>ROUND(('Hours Per Job'!AJ27*$B$36),2)+ROUND(('Parts Cost Per Job'!AJ27)*((1+$B$37)*$B$38),2)</f>
        <v>0</v>
      </c>
      <c r="AK27" s="235">
        <f>ROUND(('Hours Per Job'!AK27*$B$36),2)+ROUND(('Parts Cost Per Job'!AK27)*((1+$B$37)*$B$38),2)</f>
        <v>174.34</v>
      </c>
      <c r="AL27" s="235">
        <f>ROUND(('Hours Per Job'!AL27*$B$36),2)+ROUND(('Parts Cost Per Job'!AL27)*((1+$B$37)*$B$38),2)</f>
        <v>0</v>
      </c>
      <c r="AM27" s="235">
        <f>ROUND(('Hours Per Job'!AM27*$B$36),2)+ROUND(('Parts Cost Per Job'!AM27)*((1+$B$37)*$B$38),2)</f>
        <v>0</v>
      </c>
      <c r="AN27" s="235">
        <f>ROUND(('Hours Per Job'!AN27*$B$36),2)+ROUND(('Parts Cost Per Job'!AN27)*((1+$B$37)*$B$38),2)</f>
        <v>0</v>
      </c>
      <c r="AO27" s="235">
        <f>ROUND(('Hours Per Job'!AO27*$B$36),2)+ROUND(('Parts Cost Per Job'!AO27)*((1+$B$37)*$B$38),2)</f>
        <v>0</v>
      </c>
      <c r="AP27" s="235">
        <f>ROUND(('Hours Per Job'!AP27*$B$36),2)+ROUND(('Parts Cost Per Job'!AP27)*((1+$B$37)*$B$38),2)</f>
        <v>0</v>
      </c>
      <c r="AQ27" s="235">
        <f>ROUND(('Hours Per Job'!AQ27*$B$36),2)+ROUND(('Parts Cost Per Job'!AQ27)*((1+$B$37)*$B$38),2)</f>
        <v>0</v>
      </c>
      <c r="AR27" s="235">
        <f>ROUND(('Hours Per Job'!AR27*$B$36),2)+ROUND(('Parts Cost Per Job'!AR27)*((1+$B$37)*$B$38),2)</f>
        <v>0</v>
      </c>
      <c r="AS27" s="235">
        <f>ROUND(('Hours Per Job'!AS27*$B$36),2)+ROUND(('Parts Cost Per Job'!AS27)*((1+$B$37)*$B$38),2)</f>
        <v>0</v>
      </c>
      <c r="AT27" s="235">
        <f>ROUND(('Hours Per Job'!AT27*$B$36),2)+ROUND(('Parts Cost Per Job'!AT27)*((1+$B$37)*$B$38),2)</f>
        <v>71.069999999999993</v>
      </c>
      <c r="AU27" s="235">
        <f>ROUND(('Hours Per Job'!AU27*$B$36),2)+ROUND(('Parts Cost Per Job'!AU27)*((1+$B$37)*$B$38),2)</f>
        <v>0</v>
      </c>
      <c r="AV27" s="235">
        <f>ROUND(('Hours Per Job'!AV27*$B$36),2)+ROUND(('Parts Cost Per Job'!AV27)*((1+$B$37)*$B$38),2)</f>
        <v>0</v>
      </c>
      <c r="AW27" s="235">
        <f>ROUND(('Hours Per Job'!AW27*$B$36),2)+ROUND(('Parts Cost Per Job'!AW27)*((1+$B$37)*$B$38),2)</f>
        <v>0</v>
      </c>
      <c r="AX27" s="235">
        <f>ROUND(('Hours Per Job'!AX27*$B$36),2)+ROUND(('Parts Cost Per Job'!AX27)*((1+$B$37)*$B$38),2)</f>
        <v>0</v>
      </c>
      <c r="AY27" s="235">
        <f>ROUND(('Hours Per Job'!AY27*$B$36),2)+ROUND(('Parts Cost Per Job'!AY27)*((1+$B$37)*$B$38),2)</f>
        <v>0</v>
      </c>
      <c r="AZ27" s="235">
        <f>ROUND(('Hours Per Job'!AZ27*$B$36),2)+ROUND(('Parts Cost Per Job'!AZ27)*((1+$B$37)*$B$38),2)</f>
        <v>0</v>
      </c>
      <c r="BA27" s="235">
        <f>ROUND(('Hours Per Job'!BA27*$B$36),2)+ROUND(('Parts Cost Per Job'!BA27)*((1+$B$37)*$B$38),2)</f>
        <v>0</v>
      </c>
      <c r="BB27" s="235">
        <f>ROUND(('Hours Per Job'!BB27*$B$36),2)+ROUND(('Parts Cost Per Job'!BB27)*((1+$B$37)*$B$38),2)</f>
        <v>188.04</v>
      </c>
      <c r="BC27" s="235">
        <f>ROUND(('Hours Per Job'!BC27*$B$36),2)+ROUND(('Parts Cost Per Job'!BC27)*((1+$B$37)*$B$38),2)</f>
        <v>0</v>
      </c>
      <c r="BD27" s="235">
        <f>ROUND(('Hours Per Job'!BD27*$B$36),2)+ROUND(('Parts Cost Per Job'!BD27)*((1+$B$37)*$B$38),2)</f>
        <v>0</v>
      </c>
      <c r="BE27" s="235">
        <f>ROUND(('Hours Per Job'!BE27*$B$36),2)+ROUND(('Parts Cost Per Job'!BE27)*((1+$B$37)*$B$38),2)</f>
        <v>0</v>
      </c>
      <c r="BF27" s="235">
        <f>ROUND(('Hours Per Job'!BF27*$B$36),2)+ROUND(('Parts Cost Per Job'!BF27)*((1+$B$37)*$B$38),2)</f>
        <v>0</v>
      </c>
      <c r="BG27" s="235">
        <f>ROUND(('Hours Per Job'!BG27*$B$36),2)+ROUND(('Parts Cost Per Job'!BG27)*((1+$B$37)*$B$38),2)</f>
        <v>0</v>
      </c>
      <c r="BH27" s="235">
        <f>ROUND(('Hours Per Job'!BH27*$B$36),2)+ROUND(('Parts Cost Per Job'!BH27)*((1+$B$37)*$B$38),2)</f>
        <v>214.09</v>
      </c>
      <c r="BI27" s="235">
        <f>ROUND(('Hours Per Job'!BI27*$B$36),2)+ROUND(('Parts Cost Per Job'!BI27)*((1+$B$37)*$B$38),2)</f>
        <v>0</v>
      </c>
      <c r="BJ27" s="235">
        <f>ROUND(('Hours Per Job'!BJ27*$B$36),2)+ROUND(('Parts Cost Per Job'!BJ27)*((1+$B$37)*$B$38),2)</f>
        <v>30</v>
      </c>
      <c r="BK27" s="235">
        <f>ROUND(('Hours Per Job'!BK27*$B$36),2)+ROUND(('Parts Cost Per Job'!BK27)*((1+$B$37)*$B$38),2)</f>
        <v>589.21</v>
      </c>
      <c r="BL27" s="235">
        <f>ROUND(('Hours Per Job'!BL27*$B$36),2)+ROUND(('Parts Cost Per Job'!BL27)*((1+$B$37)*$B$38),2)</f>
        <v>0</v>
      </c>
      <c r="BM27" s="235">
        <f>ROUND(('Hours Per Job'!BM27*$B$36),2)+ROUND(('Parts Cost Per Job'!BM27)*((1+$B$37)*$B$38),2)</f>
        <v>0</v>
      </c>
      <c r="BN27" s="235">
        <f>ROUND(('Hours Per Job'!BN27*$B$36),2)+ROUND(('Parts Cost Per Job'!BN27)*((1+$B$37)*$B$38),2)</f>
        <v>200.84</v>
      </c>
      <c r="BO27" s="235">
        <f>ROUND(('Hours Per Job'!BO27*$B$36),2)+ROUND(('Parts Cost Per Job'!BO27)*((1+$B$37)*$B$38),2)</f>
        <v>71.069999999999993</v>
      </c>
      <c r="BP27" s="235">
        <f>ROUND(('Hours Per Job'!BP27*$B$36),2)+ROUND(('Parts Cost Per Job'!BP27)*((1+$B$37)*$B$38),2)</f>
        <v>126</v>
      </c>
    </row>
    <row r="28" spans="1:68" x14ac:dyDescent="0.2">
      <c r="A28" s="226" t="str">
        <f>'Scheduled Intervals'!A28</f>
        <v>Sany SY up to 215</v>
      </c>
      <c r="B28" s="227">
        <f>ROUND(('Hours Per Job'!B28*$B$36),2)+ROUND(('Parts Cost Per Job'!B28)*((1+$B$37)*$B$38),2)</f>
        <v>279.39999999999998</v>
      </c>
      <c r="C28" s="237">
        <f>ROUND(('Hours Per Job'!C28*$B$36),2)+ROUND(('Parts Cost Per Job'!C28)*((1+$B$37)*$B$38),2)</f>
        <v>0</v>
      </c>
      <c r="D28" s="237">
        <f>ROUND(('Hours Per Job'!D28*$B$36),2)+ROUND(('Parts Cost Per Job'!D28)*((1+$B$37)*$B$38),2)</f>
        <v>12</v>
      </c>
      <c r="E28" s="237">
        <f>ROUND(('Hours Per Job'!E28*$B$36),2)+ROUND(('Parts Cost Per Job'!E28)*((1+$B$37)*$B$38),2)</f>
        <v>0</v>
      </c>
      <c r="F28" s="237">
        <f>ROUND(('Hours Per Job'!F28*$B$36),2)+ROUND(('Parts Cost Per Job'!F28)*((1+$B$37)*$B$38),2)</f>
        <v>0</v>
      </c>
      <c r="G28" s="237">
        <f>ROUND(('Hours Per Job'!G28*$B$36),2)+ROUND(('Parts Cost Per Job'!G28)*((1+$B$37)*$B$38),2)</f>
        <v>0</v>
      </c>
      <c r="H28" s="238">
        <f>ROUND(('Hours Per Job'!H28*$B$36),2)+ROUND(('Parts Cost Per Job'!H28)*((1+$B$37)*$B$38),2)</f>
        <v>95.07</v>
      </c>
      <c r="I28" s="237">
        <f>ROUND(('Hours Per Job'!I28*$B$36),2)+ROUND(('Parts Cost Per Job'!I28)*((1+$B$37)*$B$38),2)</f>
        <v>30</v>
      </c>
      <c r="J28" s="237">
        <f>ROUND(('Hours Per Job'!J28*$B$36),2)+ROUND(('Parts Cost Per Job'!J28)*((1+$B$37)*$B$38),2)</f>
        <v>0</v>
      </c>
      <c r="K28" s="237">
        <f>ROUND(('Hours Per Job'!K28*$B$36),2)+ROUND(('Parts Cost Per Job'!K28)*((1+$B$37)*$B$38),2)</f>
        <v>0</v>
      </c>
      <c r="L28" s="237">
        <f>ROUND(('Hours Per Job'!L28*$B$36),2)+ROUND(('Parts Cost Per Job'!L28)*((1+$B$37)*$B$38),2)</f>
        <v>0</v>
      </c>
      <c r="M28" s="237">
        <f>ROUND(('Hours Per Job'!M28*$B$36),2)+ROUND(('Parts Cost Per Job'!M28)*((1+$B$37)*$B$38),2)</f>
        <v>0</v>
      </c>
      <c r="N28" s="237">
        <f>ROUND(('Hours Per Job'!N28*$B$36),2)+ROUND(('Parts Cost Per Job'!N28)*((1+$B$37)*$B$38),2)</f>
        <v>0</v>
      </c>
      <c r="O28" s="237">
        <f>ROUND(('Hours Per Job'!O28*$B$36),2)+ROUND(('Parts Cost Per Job'!O28)*((1+$B$37)*$B$38),2)</f>
        <v>0</v>
      </c>
      <c r="P28" s="239">
        <f>ROUND(('Hours Per Job'!P28*$B$36),2)+ROUND(('Parts Cost Per Job'!P28)*((1+$B$37)*$B$38),2)</f>
        <v>0</v>
      </c>
      <c r="Q28" s="240">
        <f>ROUND(('Hours Per Job'!Q28*$B$36),2)+ROUND(('Parts Cost Per Job'!Q28)*((1+$B$37)*$B$38),2)</f>
        <v>170.28</v>
      </c>
      <c r="R28" s="241">
        <f>ROUND(('Hours Per Job'!R28*$B$36),2)+ROUND(('Parts Cost Per Job'!R28)*((1+$B$37)*$B$38),2)</f>
        <v>145.07</v>
      </c>
      <c r="S28" s="241">
        <f>ROUND(('Hours Per Job'!S28*$B$36),2)+ROUND(('Parts Cost Per Job'!S28)*((1+$B$37)*$B$38),2)</f>
        <v>0</v>
      </c>
      <c r="T28" s="242">
        <f>ROUND(('Hours Per Job'!T28*$B$36),2)+ROUND(('Parts Cost Per Job'!T28)*((1+$B$37)*$B$38),2)</f>
        <v>0</v>
      </c>
      <c r="U28" s="234">
        <f>ROUND(('Hours Per Job'!U28*$B$36),2)+ROUND(('Parts Cost Per Job'!U28)*((1+$B$37)*$B$38),2)</f>
        <v>279.39999999999998</v>
      </c>
      <c r="V28" s="235">
        <f>ROUND(('Hours Per Job'!V28*$B$36),2)+ROUND(('Parts Cost Per Job'!V28)*((1+$B$37)*$B$38),2)</f>
        <v>0</v>
      </c>
      <c r="W28" s="235">
        <f>ROUND(('Hours Per Job'!W28*$B$36),2)+ROUND(('Parts Cost Per Job'!W28)*((1+$B$37)*$B$38),2)</f>
        <v>0</v>
      </c>
      <c r="X28" s="235">
        <f>ROUND(('Hours Per Job'!X28*$B$36),2)+ROUND(('Parts Cost Per Job'!X28)*((1+$B$37)*$B$38),2)</f>
        <v>0</v>
      </c>
      <c r="Y28" s="235">
        <f>ROUND(('Hours Per Job'!Y28*$B$36),2)+ROUND(('Parts Cost Per Job'!Y28)*((1+$B$37)*$B$38),2)</f>
        <v>0</v>
      </c>
      <c r="Z28" s="235">
        <f>ROUND(('Hours Per Job'!Z28*$B$36),2)+ROUND(('Parts Cost Per Job'!Z28)*((1+$B$37)*$B$38),2)</f>
        <v>170.13</v>
      </c>
      <c r="AA28" s="235">
        <f>ROUND(('Hours Per Job'!AA28*$B$36),2)+ROUND(('Parts Cost Per Job'!AA28)*((1+$B$37)*$B$38),2)</f>
        <v>0</v>
      </c>
      <c r="AB28" s="235">
        <f>ROUND(('Hours Per Job'!AB28*$B$36),2)+ROUND(('Parts Cost Per Job'!AB28)*((1+$B$37)*$B$38),2)</f>
        <v>0</v>
      </c>
      <c r="AC28" s="235">
        <f>ROUND(('Hours Per Job'!AC28*$B$36),2)+ROUND(('Parts Cost Per Job'!AC28)*((1+$B$37)*$B$38),2)</f>
        <v>0</v>
      </c>
      <c r="AD28" s="235">
        <f>ROUND(('Hours Per Job'!AD28*$B$36),2)+ROUND(('Parts Cost Per Job'!AD28)*((1+$B$37)*$B$38),2)</f>
        <v>0</v>
      </c>
      <c r="AE28" s="235">
        <f>ROUND(('Hours Per Job'!AE28*$B$36),2)+ROUND(('Parts Cost Per Job'!AE28)*((1+$B$37)*$B$38),2)</f>
        <v>0</v>
      </c>
      <c r="AF28" s="235">
        <f>ROUND(('Hours Per Job'!AF28*$B$36),2)+ROUND(('Parts Cost Per Job'!AF28)*((1+$B$37)*$B$38),2)</f>
        <v>44.77</v>
      </c>
      <c r="AG28" s="235">
        <f>ROUND(('Hours Per Job'!AG28*$B$36),2)+ROUND(('Parts Cost Per Job'!AG28)*((1+$B$37)*$B$38),2)</f>
        <v>170.28</v>
      </c>
      <c r="AH28" s="235">
        <f>ROUND(('Hours Per Job'!AH28*$B$36),2)+ROUND(('Parts Cost Per Job'!AH28)*((1+$B$37)*$B$38),2)</f>
        <v>85.07</v>
      </c>
      <c r="AI28" s="235">
        <f>ROUND(('Hours Per Job'!AI28*$B$36),2)+ROUND(('Parts Cost Per Job'!AI28)*((1+$B$37)*$B$38),2)</f>
        <v>1687.97</v>
      </c>
      <c r="AJ28" s="235">
        <f>ROUND(('Hours Per Job'!AJ28*$B$36),2)+ROUND(('Parts Cost Per Job'!AJ28)*((1+$B$37)*$B$38),2)</f>
        <v>210.56</v>
      </c>
      <c r="AK28" s="235">
        <f>ROUND(('Hours Per Job'!AK28*$B$36),2)+ROUND(('Parts Cost Per Job'!AK28)*((1+$B$37)*$B$38),2)</f>
        <v>0</v>
      </c>
      <c r="AL28" s="235">
        <f>ROUND(('Hours Per Job'!AL28*$B$36),2)+ROUND(('Parts Cost Per Job'!AL28)*((1+$B$37)*$B$38),2)</f>
        <v>0</v>
      </c>
      <c r="AM28" s="235">
        <f>ROUND(('Hours Per Job'!AM28*$B$36),2)+ROUND(('Parts Cost Per Job'!AM28)*((1+$B$37)*$B$38),2)</f>
        <v>0</v>
      </c>
      <c r="AN28" s="235">
        <f>ROUND(('Hours Per Job'!AN28*$B$36),2)+ROUND(('Parts Cost Per Job'!AN28)*((1+$B$37)*$B$38),2)</f>
        <v>0</v>
      </c>
      <c r="AO28" s="235">
        <f>ROUND(('Hours Per Job'!AO28*$B$36),2)+ROUND(('Parts Cost Per Job'!AO28)*((1+$B$37)*$B$38),2)</f>
        <v>0</v>
      </c>
      <c r="AP28" s="235">
        <f>ROUND(('Hours Per Job'!AP28*$B$36),2)+ROUND(('Parts Cost Per Job'!AP28)*((1+$B$37)*$B$38),2)</f>
        <v>0</v>
      </c>
      <c r="AQ28" s="235">
        <f>ROUND(('Hours Per Job'!AQ28*$B$36),2)+ROUND(('Parts Cost Per Job'!AQ28)*((1+$B$37)*$B$38),2)</f>
        <v>0</v>
      </c>
      <c r="AR28" s="235">
        <f>ROUND(('Hours Per Job'!AR28*$B$36),2)+ROUND(('Parts Cost Per Job'!AR28)*((1+$B$37)*$B$38),2)</f>
        <v>0</v>
      </c>
      <c r="AS28" s="235">
        <f>ROUND(('Hours Per Job'!AS28*$B$36),2)+ROUND(('Parts Cost Per Job'!AS28)*((1+$B$37)*$B$38),2)</f>
        <v>0</v>
      </c>
      <c r="AT28" s="235">
        <f>ROUND(('Hours Per Job'!AT28*$B$36),2)+ROUND(('Parts Cost Per Job'!AT28)*((1+$B$37)*$B$38),2)</f>
        <v>95.07</v>
      </c>
      <c r="AU28" s="235">
        <f>ROUND(('Hours Per Job'!AU28*$B$36),2)+ROUND(('Parts Cost Per Job'!AU28)*((1+$B$37)*$B$38),2)</f>
        <v>0</v>
      </c>
      <c r="AV28" s="235">
        <f>ROUND(('Hours Per Job'!AV28*$B$36),2)+ROUND(('Parts Cost Per Job'!AV28)*((1+$B$37)*$B$38),2)</f>
        <v>0</v>
      </c>
      <c r="AW28" s="235">
        <f>ROUND(('Hours Per Job'!AW28*$B$36),2)+ROUND(('Parts Cost Per Job'!AW28)*((1+$B$37)*$B$38),2)</f>
        <v>0</v>
      </c>
      <c r="AX28" s="235">
        <f>ROUND(('Hours Per Job'!AX28*$B$36),2)+ROUND(('Parts Cost Per Job'!AX28)*((1+$B$37)*$B$38),2)</f>
        <v>0</v>
      </c>
      <c r="AY28" s="235">
        <f>ROUND(('Hours Per Job'!AY28*$B$36),2)+ROUND(('Parts Cost Per Job'!AY28)*((1+$B$37)*$B$38),2)</f>
        <v>0</v>
      </c>
      <c r="AZ28" s="235">
        <f>ROUND(('Hours Per Job'!AZ28*$B$36),2)+ROUND(('Parts Cost Per Job'!AZ28)*((1+$B$37)*$B$38),2)</f>
        <v>0</v>
      </c>
      <c r="BA28" s="235">
        <f>ROUND(('Hours Per Job'!BA28*$B$36),2)+ROUND(('Parts Cost Per Job'!BA28)*((1+$B$37)*$B$38),2)</f>
        <v>0</v>
      </c>
      <c r="BB28" s="235">
        <f>ROUND(('Hours Per Job'!BB28*$B$36),2)+ROUND(('Parts Cost Per Job'!BB28)*((1+$B$37)*$B$38),2)</f>
        <v>188.04</v>
      </c>
      <c r="BC28" s="235">
        <f>ROUND(('Hours Per Job'!BC28*$B$36),2)+ROUND(('Parts Cost Per Job'!BC28)*((1+$B$37)*$B$38),2)</f>
        <v>0</v>
      </c>
      <c r="BD28" s="235">
        <f>ROUND(('Hours Per Job'!BD28*$B$36),2)+ROUND(('Parts Cost Per Job'!BD28)*((1+$B$37)*$B$38),2)</f>
        <v>0</v>
      </c>
      <c r="BE28" s="235">
        <f>ROUND(('Hours Per Job'!BE28*$B$36),2)+ROUND(('Parts Cost Per Job'!BE28)*((1+$B$37)*$B$38),2)</f>
        <v>0</v>
      </c>
      <c r="BF28" s="235">
        <f>ROUND(('Hours Per Job'!BF28*$B$36),2)+ROUND(('Parts Cost Per Job'!BF28)*((1+$B$37)*$B$38),2)</f>
        <v>0</v>
      </c>
      <c r="BG28" s="235">
        <f>ROUND(('Hours Per Job'!BG28*$B$36),2)+ROUND(('Parts Cost Per Job'!BG28)*((1+$B$37)*$B$38),2)</f>
        <v>0</v>
      </c>
      <c r="BH28" s="235">
        <f>ROUND(('Hours Per Job'!BH28*$B$36),2)+ROUND(('Parts Cost Per Job'!BH28)*((1+$B$37)*$B$38),2)</f>
        <v>245.45</v>
      </c>
      <c r="BI28" s="235">
        <f>ROUND(('Hours Per Job'!BI28*$B$36),2)+ROUND(('Parts Cost Per Job'!BI28)*((1+$B$37)*$B$38),2)</f>
        <v>0</v>
      </c>
      <c r="BJ28" s="235">
        <f>ROUND(('Hours Per Job'!BJ28*$B$36),2)+ROUND(('Parts Cost Per Job'!BJ28)*((1+$B$37)*$B$38),2)</f>
        <v>30</v>
      </c>
      <c r="BK28" s="235">
        <f>ROUND(('Hours Per Job'!BK28*$B$36),2)+ROUND(('Parts Cost Per Job'!BK28)*((1+$B$37)*$B$38),2)</f>
        <v>737.3</v>
      </c>
      <c r="BL28" s="235">
        <f>ROUND(('Hours Per Job'!BL28*$B$36),2)+ROUND(('Parts Cost Per Job'!BL28)*((1+$B$37)*$B$38),2)</f>
        <v>0</v>
      </c>
      <c r="BM28" s="235">
        <f>ROUND(('Hours Per Job'!BM28*$B$36),2)+ROUND(('Parts Cost Per Job'!BM28)*((1+$B$37)*$B$38),2)</f>
        <v>0</v>
      </c>
      <c r="BN28" s="235">
        <f>ROUND(('Hours Per Job'!BN28*$B$36),2)+ROUND(('Parts Cost Per Job'!BN28)*((1+$B$37)*$B$38),2)</f>
        <v>279.39999999999998</v>
      </c>
      <c r="BO28" s="235">
        <f>ROUND(('Hours Per Job'!BO28*$B$36),2)+ROUND(('Parts Cost Per Job'!BO28)*((1+$B$37)*$B$38),2)</f>
        <v>95.07</v>
      </c>
      <c r="BP28" s="235">
        <f>ROUND(('Hours Per Job'!BP28*$B$36),2)+ROUND(('Parts Cost Per Job'!BP28)*((1+$B$37)*$B$38),2)</f>
        <v>126</v>
      </c>
    </row>
    <row r="29" spans="1:68" x14ac:dyDescent="0.2">
      <c r="A29" s="226" t="str">
        <f>'Scheduled Intervals'!A29</f>
        <v>Sany SY up to 500</v>
      </c>
      <c r="B29" s="227">
        <f>ROUND(('Hours Per Job'!B29*$B$36),2)+ROUND(('Parts Cost Per Job'!B29)*((1+$B$37)*$B$38),2)</f>
        <v>365.53999999999996</v>
      </c>
      <c r="C29" s="237">
        <f>ROUND(('Hours Per Job'!C29*$B$36),2)+ROUND(('Parts Cost Per Job'!C29)*((1+$B$37)*$B$38),2)</f>
        <v>0</v>
      </c>
      <c r="D29" s="237">
        <f>ROUND(('Hours Per Job'!D29*$B$36),2)+ROUND(('Parts Cost Per Job'!D29)*((1+$B$37)*$B$38),2)</f>
        <v>12</v>
      </c>
      <c r="E29" s="237">
        <f>ROUND(('Hours Per Job'!E29*$B$36),2)+ROUND(('Parts Cost Per Job'!E29)*((1+$B$37)*$B$38),2)</f>
        <v>0</v>
      </c>
      <c r="F29" s="237">
        <f>ROUND(('Hours Per Job'!F29*$B$36),2)+ROUND(('Parts Cost Per Job'!F29)*((1+$B$37)*$B$38),2)</f>
        <v>0</v>
      </c>
      <c r="G29" s="237">
        <f>ROUND(('Hours Per Job'!G29*$B$36),2)+ROUND(('Parts Cost Per Job'!G29)*((1+$B$37)*$B$38),2)</f>
        <v>0</v>
      </c>
      <c r="H29" s="238">
        <f>ROUND(('Hours Per Job'!H29*$B$36),2)+ROUND(('Parts Cost Per Job'!H29)*((1+$B$37)*$B$38),2)</f>
        <v>95.07</v>
      </c>
      <c r="I29" s="237">
        <f>ROUND(('Hours Per Job'!I29*$B$36),2)+ROUND(('Parts Cost Per Job'!I29)*((1+$B$37)*$B$38),2)</f>
        <v>30</v>
      </c>
      <c r="J29" s="237">
        <f>ROUND(('Hours Per Job'!J29*$B$36),2)+ROUND(('Parts Cost Per Job'!J29)*((1+$B$37)*$B$38),2)</f>
        <v>0</v>
      </c>
      <c r="K29" s="237">
        <f>ROUND(('Hours Per Job'!K29*$B$36),2)+ROUND(('Parts Cost Per Job'!K29)*((1+$B$37)*$B$38),2)</f>
        <v>0</v>
      </c>
      <c r="L29" s="237">
        <f>ROUND(('Hours Per Job'!L29*$B$36),2)+ROUND(('Parts Cost Per Job'!L29)*((1+$B$37)*$B$38),2)</f>
        <v>0</v>
      </c>
      <c r="M29" s="237">
        <f>ROUND(('Hours Per Job'!M29*$B$36),2)+ROUND(('Parts Cost Per Job'!M29)*((1+$B$37)*$B$38),2)</f>
        <v>0</v>
      </c>
      <c r="N29" s="237">
        <f>ROUND(('Hours Per Job'!N29*$B$36),2)+ROUND(('Parts Cost Per Job'!N29)*((1+$B$37)*$B$38),2)</f>
        <v>0</v>
      </c>
      <c r="O29" s="237">
        <f>ROUND(('Hours Per Job'!O29*$B$36),2)+ROUND(('Parts Cost Per Job'!O29)*((1+$B$37)*$B$38),2)</f>
        <v>0</v>
      </c>
      <c r="P29" s="239">
        <f>ROUND(('Hours Per Job'!P29*$B$36),2)+ROUND(('Parts Cost Per Job'!P29)*((1+$B$37)*$B$38),2)</f>
        <v>0</v>
      </c>
      <c r="Q29" s="240">
        <f>ROUND(('Hours Per Job'!Q29*$B$36),2)+ROUND(('Parts Cost Per Job'!Q29)*((1+$B$37)*$B$38),2)</f>
        <v>170.28</v>
      </c>
      <c r="R29" s="241">
        <f>ROUND(('Hours Per Job'!R29*$B$36),2)+ROUND(('Parts Cost Per Job'!R29)*((1+$B$37)*$B$38),2)</f>
        <v>159.68</v>
      </c>
      <c r="S29" s="241">
        <f>ROUND(('Hours Per Job'!S29*$B$36),2)+ROUND(('Parts Cost Per Job'!S29)*((1+$B$37)*$B$38),2)</f>
        <v>0</v>
      </c>
      <c r="T29" s="242">
        <f>ROUND(('Hours Per Job'!T29*$B$36),2)+ROUND(('Parts Cost Per Job'!T29)*((1+$B$37)*$B$38),2)</f>
        <v>0</v>
      </c>
      <c r="U29" s="234">
        <f>ROUND(('Hours Per Job'!U29*$B$36),2)+ROUND(('Parts Cost Per Job'!U29)*((1+$B$37)*$B$38),2)</f>
        <v>365.53999999999996</v>
      </c>
      <c r="V29" s="235">
        <f>ROUND(('Hours Per Job'!V29*$B$36),2)+ROUND(('Parts Cost Per Job'!V29)*((1+$B$37)*$B$38),2)</f>
        <v>0</v>
      </c>
      <c r="W29" s="235">
        <f>ROUND(('Hours Per Job'!W29*$B$36),2)+ROUND(('Parts Cost Per Job'!W29)*((1+$B$37)*$B$38),2)</f>
        <v>0</v>
      </c>
      <c r="X29" s="235">
        <f>ROUND(('Hours Per Job'!X29*$B$36),2)+ROUND(('Parts Cost Per Job'!X29)*((1+$B$37)*$B$38),2)</f>
        <v>0</v>
      </c>
      <c r="Y29" s="235">
        <f>ROUND(('Hours Per Job'!Y29*$B$36),2)+ROUND(('Parts Cost Per Job'!Y29)*((1+$B$37)*$B$38),2)</f>
        <v>0</v>
      </c>
      <c r="Z29" s="235">
        <f>ROUND(('Hours Per Job'!Z29*$B$36),2)+ROUND(('Parts Cost Per Job'!Z29)*((1+$B$37)*$B$38),2)</f>
        <v>115.51</v>
      </c>
      <c r="AA29" s="235">
        <f>ROUND(('Hours Per Job'!AA29*$B$36),2)+ROUND(('Parts Cost Per Job'!AA29)*((1+$B$37)*$B$38),2)</f>
        <v>0</v>
      </c>
      <c r="AB29" s="235">
        <f>ROUND(('Hours Per Job'!AB29*$B$36),2)+ROUND(('Parts Cost Per Job'!AB29)*((1+$B$37)*$B$38),2)</f>
        <v>0</v>
      </c>
      <c r="AC29" s="235">
        <f>ROUND(('Hours Per Job'!AC29*$B$36),2)+ROUND(('Parts Cost Per Job'!AC29)*((1+$B$37)*$B$38),2)</f>
        <v>0</v>
      </c>
      <c r="AD29" s="235">
        <f>ROUND(('Hours Per Job'!AD29*$B$36),2)+ROUND(('Parts Cost Per Job'!AD29)*((1+$B$37)*$B$38),2)</f>
        <v>0</v>
      </c>
      <c r="AE29" s="235">
        <f>ROUND(('Hours Per Job'!AE29*$B$36),2)+ROUND(('Parts Cost Per Job'!AE29)*((1+$B$37)*$B$38),2)</f>
        <v>0</v>
      </c>
      <c r="AF29" s="235">
        <f>ROUND(('Hours Per Job'!AF29*$B$36),2)+ROUND(('Parts Cost Per Job'!AF29)*((1+$B$37)*$B$38),2)</f>
        <v>90.97</v>
      </c>
      <c r="AG29" s="235">
        <f>ROUND(('Hours Per Job'!AG29*$B$36),2)+ROUND(('Parts Cost Per Job'!AG29)*((1+$B$37)*$B$38),2)</f>
        <v>170.28</v>
      </c>
      <c r="AH29" s="235">
        <f>ROUND(('Hours Per Job'!AH29*$B$36),2)+ROUND(('Parts Cost Per Job'!AH29)*((1+$B$37)*$B$38),2)</f>
        <v>85.07</v>
      </c>
      <c r="AI29" s="235">
        <f>ROUND(('Hours Per Job'!AI29*$B$36),2)+ROUND(('Parts Cost Per Job'!AI29)*((1+$B$37)*$B$38),2)</f>
        <v>2552.19</v>
      </c>
      <c r="AJ29" s="235">
        <f>ROUND(('Hours Per Job'!AJ29*$B$36),2)+ROUND(('Parts Cost Per Job'!AJ29)*((1+$B$37)*$B$38),2)</f>
        <v>165.28</v>
      </c>
      <c r="AK29" s="235">
        <f>ROUND(('Hours Per Job'!AK29*$B$36),2)+ROUND(('Parts Cost Per Job'!AK29)*((1+$B$37)*$B$38),2)</f>
        <v>0</v>
      </c>
      <c r="AL29" s="235">
        <f>ROUND(('Hours Per Job'!AL29*$B$36),2)+ROUND(('Parts Cost Per Job'!AL29)*((1+$B$37)*$B$38),2)</f>
        <v>0</v>
      </c>
      <c r="AM29" s="235">
        <f>ROUND(('Hours Per Job'!AM29*$B$36),2)+ROUND(('Parts Cost Per Job'!AM29)*((1+$B$37)*$B$38),2)</f>
        <v>0</v>
      </c>
      <c r="AN29" s="235">
        <f>ROUND(('Hours Per Job'!AN29*$B$36),2)+ROUND(('Parts Cost Per Job'!AN29)*((1+$B$37)*$B$38),2)</f>
        <v>0</v>
      </c>
      <c r="AO29" s="235">
        <f>ROUND(('Hours Per Job'!AO29*$B$36),2)+ROUND(('Parts Cost Per Job'!AO29)*((1+$B$37)*$B$38),2)</f>
        <v>0</v>
      </c>
      <c r="AP29" s="235">
        <f>ROUND(('Hours Per Job'!AP29*$B$36),2)+ROUND(('Parts Cost Per Job'!AP29)*((1+$B$37)*$B$38),2)</f>
        <v>0</v>
      </c>
      <c r="AQ29" s="235">
        <f>ROUND(('Hours Per Job'!AQ29*$B$36),2)+ROUND(('Parts Cost Per Job'!AQ29)*((1+$B$37)*$B$38),2)</f>
        <v>0</v>
      </c>
      <c r="AR29" s="235">
        <f>ROUND(('Hours Per Job'!AR29*$B$36),2)+ROUND(('Parts Cost Per Job'!AR29)*((1+$B$37)*$B$38),2)</f>
        <v>0</v>
      </c>
      <c r="AS29" s="235">
        <f>ROUND(('Hours Per Job'!AS29*$B$36),2)+ROUND(('Parts Cost Per Job'!AS29)*((1+$B$37)*$B$38),2)</f>
        <v>0</v>
      </c>
      <c r="AT29" s="235">
        <f>ROUND(('Hours Per Job'!AT29*$B$36),2)+ROUND(('Parts Cost Per Job'!AT29)*((1+$B$37)*$B$38),2)</f>
        <v>95.07</v>
      </c>
      <c r="AU29" s="235">
        <f>ROUND(('Hours Per Job'!AU29*$B$36),2)+ROUND(('Parts Cost Per Job'!AU29)*((1+$B$37)*$B$38),2)</f>
        <v>0</v>
      </c>
      <c r="AV29" s="235">
        <f>ROUND(('Hours Per Job'!AV29*$B$36),2)+ROUND(('Parts Cost Per Job'!AV29)*((1+$B$37)*$B$38),2)</f>
        <v>0</v>
      </c>
      <c r="AW29" s="235">
        <f>ROUND(('Hours Per Job'!AW29*$B$36),2)+ROUND(('Parts Cost Per Job'!AW29)*((1+$B$37)*$B$38),2)</f>
        <v>0</v>
      </c>
      <c r="AX29" s="235">
        <f>ROUND(('Hours Per Job'!AX29*$B$36),2)+ROUND(('Parts Cost Per Job'!AX29)*((1+$B$37)*$B$38),2)</f>
        <v>0</v>
      </c>
      <c r="AY29" s="235">
        <f>ROUND(('Hours Per Job'!AY29*$B$36),2)+ROUND(('Parts Cost Per Job'!AY29)*((1+$B$37)*$B$38),2)</f>
        <v>0</v>
      </c>
      <c r="AZ29" s="235">
        <f>ROUND(('Hours Per Job'!AZ29*$B$36),2)+ROUND(('Parts Cost Per Job'!AZ29)*((1+$B$37)*$B$38),2)</f>
        <v>0</v>
      </c>
      <c r="BA29" s="235">
        <f>ROUND(('Hours Per Job'!BA29*$B$36),2)+ROUND(('Parts Cost Per Job'!BA29)*((1+$B$37)*$B$38),2)</f>
        <v>0</v>
      </c>
      <c r="BB29" s="235">
        <f>ROUND(('Hours Per Job'!BB29*$B$36),2)+ROUND(('Parts Cost Per Job'!BB29)*((1+$B$37)*$B$38),2)</f>
        <v>364.8</v>
      </c>
      <c r="BC29" s="235">
        <f>ROUND(('Hours Per Job'!BC29*$B$36),2)+ROUND(('Parts Cost Per Job'!BC29)*((1+$B$37)*$B$38),2)</f>
        <v>193.27</v>
      </c>
      <c r="BD29" s="235">
        <f>ROUND(('Hours Per Job'!BD29*$B$36),2)+ROUND(('Parts Cost Per Job'!BD29)*((1+$B$37)*$B$38),2)</f>
        <v>0</v>
      </c>
      <c r="BE29" s="235">
        <f>ROUND(('Hours Per Job'!BE29*$B$36),2)+ROUND(('Parts Cost Per Job'!BE29)*((1+$B$37)*$B$38),2)</f>
        <v>0</v>
      </c>
      <c r="BF29" s="235">
        <f>ROUND(('Hours Per Job'!BF29*$B$36),2)+ROUND(('Parts Cost Per Job'!BF29)*((1+$B$37)*$B$38),2)</f>
        <v>0</v>
      </c>
      <c r="BG29" s="235">
        <f>ROUND(('Hours Per Job'!BG29*$B$36),2)+ROUND(('Parts Cost Per Job'!BG29)*((1+$B$37)*$B$38),2)</f>
        <v>0</v>
      </c>
      <c r="BH29" s="235">
        <f>ROUND(('Hours Per Job'!BH29*$B$36),2)+ROUND(('Parts Cost Per Job'!BH29)*((1+$B$37)*$B$38),2)</f>
        <v>383.85</v>
      </c>
      <c r="BI29" s="235">
        <f>ROUND(('Hours Per Job'!BI29*$B$36),2)+ROUND(('Parts Cost Per Job'!BI29)*((1+$B$37)*$B$38),2)</f>
        <v>0</v>
      </c>
      <c r="BJ29" s="235">
        <f>ROUND(('Hours Per Job'!BJ29*$B$36),2)+ROUND(('Parts Cost Per Job'!BJ29)*((1+$B$37)*$B$38),2)</f>
        <v>30</v>
      </c>
      <c r="BK29" s="235">
        <f>ROUND(('Hours Per Job'!BK29*$B$36),2)+ROUND(('Parts Cost Per Job'!BK29)*((1+$B$37)*$B$38),2)</f>
        <v>920.26</v>
      </c>
      <c r="BL29" s="235">
        <f>ROUND(('Hours Per Job'!BL29*$B$36),2)+ROUND(('Parts Cost Per Job'!BL29)*((1+$B$37)*$B$38),2)</f>
        <v>0</v>
      </c>
      <c r="BM29" s="235">
        <f>ROUND(('Hours Per Job'!BM29*$B$36),2)+ROUND(('Parts Cost Per Job'!BM29)*((1+$B$37)*$B$38),2)</f>
        <v>228.68</v>
      </c>
      <c r="BN29" s="235">
        <f>ROUND(('Hours Per Job'!BN29*$B$36),2)+ROUND(('Parts Cost Per Job'!BN29)*((1+$B$37)*$B$38),2)</f>
        <v>365.53999999999996</v>
      </c>
      <c r="BO29" s="235">
        <f>ROUND(('Hours Per Job'!BO29*$B$36),2)+ROUND(('Parts Cost Per Job'!BO29)*((1+$B$37)*$B$38),2)</f>
        <v>95.07</v>
      </c>
      <c r="BP29" s="235">
        <f>ROUND(('Hours Per Job'!BP29*$B$36),2)+ROUND(('Parts Cost Per Job'!BP29)*((1+$B$37)*$B$38),2)</f>
        <v>126</v>
      </c>
    </row>
    <row r="30" spans="1:68" x14ac:dyDescent="0.2">
      <c r="A30" s="226" t="str">
        <f>'Scheduled Intervals'!A30</f>
        <v>Sany SW up to 305</v>
      </c>
      <c r="B30" s="227">
        <f>ROUND(('Hours Per Job'!B30*$B$36),2)+ROUND(('Parts Cost Per Job'!B30)*((1+$B$37)*$B$38),2)</f>
        <v>262.22000000000003</v>
      </c>
      <c r="C30" s="237">
        <f>ROUND(('Hours Per Job'!C30*$B$36),2)+ROUND(('Parts Cost Per Job'!C30)*((1+$B$37)*$B$38),2)</f>
        <v>0</v>
      </c>
      <c r="D30" s="237">
        <f>ROUND(('Hours Per Job'!D30*$B$36),2)+ROUND(('Parts Cost Per Job'!D30)*((1+$B$37)*$B$38),2)</f>
        <v>36</v>
      </c>
      <c r="E30" s="237">
        <f>ROUND(('Hours Per Job'!E30*$B$36),2)+ROUND(('Parts Cost Per Job'!E30)*((1+$B$37)*$B$38),2)</f>
        <v>593.85</v>
      </c>
      <c r="F30" s="237">
        <f>ROUND(('Hours Per Job'!F30*$B$36),2)+ROUND(('Parts Cost Per Job'!F30)*((1+$B$37)*$B$38),2)</f>
        <v>0</v>
      </c>
      <c r="G30" s="237">
        <f>ROUND(('Hours Per Job'!G30*$B$36),2)+ROUND(('Parts Cost Per Job'!G30)*((1+$B$37)*$B$38),2)</f>
        <v>0</v>
      </c>
      <c r="H30" s="238">
        <f>ROUND(('Hours Per Job'!H30*$B$36),2)+ROUND(('Parts Cost Per Job'!H30)*((1+$B$37)*$B$38),2)</f>
        <v>95.07</v>
      </c>
      <c r="I30" s="237">
        <f>ROUND(('Hours Per Job'!I30*$B$36),2)+ROUND(('Parts Cost Per Job'!I30)*((1+$B$37)*$B$38),2)</f>
        <v>30</v>
      </c>
      <c r="J30" s="237">
        <f>ROUND(('Hours Per Job'!J30*$B$36),2)+ROUND(('Parts Cost Per Job'!J30)*((1+$B$37)*$B$38),2)</f>
        <v>0</v>
      </c>
      <c r="K30" s="237">
        <f>ROUND(('Hours Per Job'!K30*$B$36),2)+ROUND(('Parts Cost Per Job'!K30)*((1+$B$37)*$B$38),2)</f>
        <v>278.72000000000003</v>
      </c>
      <c r="L30" s="237">
        <f>ROUND(('Hours Per Job'!L30*$B$36),2)+ROUND(('Parts Cost Per Job'!L30)*((1+$B$37)*$B$38),2)</f>
        <v>0</v>
      </c>
      <c r="M30" s="237">
        <f>ROUND(('Hours Per Job'!M30*$B$36),2)+ROUND(('Parts Cost Per Job'!M30)*((1+$B$37)*$B$38),2)</f>
        <v>170.28</v>
      </c>
      <c r="N30" s="237">
        <f>ROUND(('Hours Per Job'!N30*$B$36),2)+ROUND(('Parts Cost Per Job'!N30)*((1+$B$37)*$B$38),2)</f>
        <v>790.17</v>
      </c>
      <c r="O30" s="237">
        <f>ROUND(('Hours Per Job'!O30*$B$36),2)+ROUND(('Parts Cost Per Job'!O30)*((1+$B$37)*$B$38),2)</f>
        <v>0</v>
      </c>
      <c r="P30" s="239">
        <f>ROUND(('Hours Per Job'!P30*$B$36),2)+ROUND(('Parts Cost Per Job'!P30)*((1+$B$37)*$B$38),2)</f>
        <v>0</v>
      </c>
      <c r="Q30" s="240">
        <f>ROUND(('Hours Per Job'!Q30*$B$36),2)+ROUND(('Parts Cost Per Job'!Q30)*((1+$B$37)*$B$38),2)</f>
        <v>0</v>
      </c>
      <c r="R30" s="241">
        <f>ROUND(('Hours Per Job'!R30*$B$36),2)+ROUND(('Parts Cost Per Job'!R30)*((1+$B$37)*$B$38),2)</f>
        <v>0</v>
      </c>
      <c r="S30" s="241">
        <f>ROUND(('Hours Per Job'!S30*$B$36),2)+ROUND(('Parts Cost Per Job'!S30)*((1+$B$37)*$B$38),2)</f>
        <v>0</v>
      </c>
      <c r="T30" s="242">
        <f>ROUND(('Hours Per Job'!T30*$B$36),2)+ROUND(('Parts Cost Per Job'!T30)*((1+$B$37)*$B$38),2)</f>
        <v>0</v>
      </c>
      <c r="U30" s="234">
        <f>ROUND(('Hours Per Job'!U30*$B$36),2)+ROUND(('Parts Cost Per Job'!U30)*((1+$B$37)*$B$38),2)</f>
        <v>262.22000000000003</v>
      </c>
      <c r="V30" s="235">
        <f>ROUND(('Hours Per Job'!V30*$B$36),2)+ROUND(('Parts Cost Per Job'!V30)*((1+$B$37)*$B$38),2)</f>
        <v>0</v>
      </c>
      <c r="W30" s="235">
        <f>ROUND(('Hours Per Job'!W30*$B$36),2)+ROUND(('Parts Cost Per Job'!W30)*((1+$B$37)*$B$38),2)</f>
        <v>0</v>
      </c>
      <c r="X30" s="235">
        <f>ROUND(('Hours Per Job'!X30*$B$36),2)+ROUND(('Parts Cost Per Job'!X30)*((1+$B$37)*$B$38),2)</f>
        <v>0</v>
      </c>
      <c r="Y30" s="235">
        <f>ROUND(('Hours Per Job'!Y30*$B$36),2)+ROUND(('Parts Cost Per Job'!Y30)*((1+$B$37)*$B$38),2)</f>
        <v>0</v>
      </c>
      <c r="Z30" s="235">
        <f>ROUND(('Hours Per Job'!Z30*$B$36),2)+ROUND(('Parts Cost Per Job'!Z30)*((1+$B$37)*$B$38),2)</f>
        <v>278.72000000000003</v>
      </c>
      <c r="AA30" s="235">
        <f>ROUND(('Hours Per Job'!AA30*$B$36),2)+ROUND(('Parts Cost Per Job'!AA30)*((1+$B$37)*$B$38),2)</f>
        <v>0</v>
      </c>
      <c r="AB30" s="235">
        <f>ROUND(('Hours Per Job'!AB30*$B$36),2)+ROUND(('Parts Cost Per Job'!AB30)*((1+$B$37)*$B$38),2)</f>
        <v>405.08</v>
      </c>
      <c r="AC30" s="235">
        <f>ROUND(('Hours Per Job'!AC30*$B$36),2)+ROUND(('Parts Cost Per Job'!AC30)*((1+$B$37)*$B$38),2)</f>
        <v>158.94</v>
      </c>
      <c r="AD30" s="235">
        <f>ROUND(('Hours Per Job'!AD30*$B$36),2)+ROUND(('Parts Cost Per Job'!AD30)*((1+$B$37)*$B$38),2)</f>
        <v>0</v>
      </c>
      <c r="AE30" s="235">
        <f>ROUND(('Hours Per Job'!AE30*$B$36),2)+ROUND(('Parts Cost Per Job'!AE30)*((1+$B$37)*$B$38),2)</f>
        <v>0</v>
      </c>
      <c r="AF30" s="235">
        <f>ROUND(('Hours Per Job'!AF30*$B$36),2)+ROUND(('Parts Cost Per Job'!AF30)*((1+$B$37)*$B$38),2)</f>
        <v>38.730000000000004</v>
      </c>
      <c r="AG30" s="235">
        <f>ROUND(('Hours Per Job'!AG30*$B$36),2)+ROUND(('Parts Cost Per Job'!AG30)*((1+$B$37)*$B$38),2)</f>
        <v>170.28</v>
      </c>
      <c r="AH30" s="235">
        <f>ROUND(('Hours Per Job'!AH30*$B$36),2)+ROUND(('Parts Cost Per Job'!AH30)*((1+$B$37)*$B$38),2)</f>
        <v>71.33</v>
      </c>
      <c r="AI30" s="235">
        <f>ROUND(('Hours Per Job'!AI30*$B$36),2)+ROUND(('Parts Cost Per Job'!AI30)*((1+$B$37)*$B$38),2)</f>
        <v>1136.77</v>
      </c>
      <c r="AJ30" s="235">
        <f>ROUND(('Hours Per Job'!AJ30*$B$36),2)+ROUND(('Parts Cost Per Job'!AJ30)*((1+$B$37)*$B$38),2)</f>
        <v>790.17</v>
      </c>
      <c r="AK30" s="235">
        <f>ROUND(('Hours Per Job'!AK30*$B$36),2)+ROUND(('Parts Cost Per Job'!AK30)*((1+$B$37)*$B$38),2)</f>
        <v>0</v>
      </c>
      <c r="AL30" s="235">
        <f>ROUND(('Hours Per Job'!AL30*$B$36),2)+ROUND(('Parts Cost Per Job'!AL30)*((1+$B$37)*$B$38),2)</f>
        <v>0</v>
      </c>
      <c r="AM30" s="235">
        <f>ROUND(('Hours Per Job'!AM30*$B$36),2)+ROUND(('Parts Cost Per Job'!AM30)*((1+$B$37)*$B$38),2)</f>
        <v>0</v>
      </c>
      <c r="AN30" s="235">
        <f>ROUND(('Hours Per Job'!AN30*$B$36),2)+ROUND(('Parts Cost Per Job'!AN30)*((1+$B$37)*$B$38),2)</f>
        <v>0</v>
      </c>
      <c r="AO30" s="235">
        <f>ROUND(('Hours Per Job'!AO30*$B$36),2)+ROUND(('Parts Cost Per Job'!AO30)*((1+$B$37)*$B$38),2)</f>
        <v>0</v>
      </c>
      <c r="AP30" s="235">
        <f>ROUND(('Hours Per Job'!AP30*$B$36),2)+ROUND(('Parts Cost Per Job'!AP30)*((1+$B$37)*$B$38),2)</f>
        <v>0</v>
      </c>
      <c r="AQ30" s="235">
        <f>ROUND(('Hours Per Job'!AQ30*$B$36),2)+ROUND(('Parts Cost Per Job'!AQ30)*((1+$B$37)*$B$38),2)</f>
        <v>0</v>
      </c>
      <c r="AR30" s="235">
        <f>ROUND(('Hours Per Job'!AR30*$B$36),2)+ROUND(('Parts Cost Per Job'!AR30)*((1+$B$37)*$B$38),2)</f>
        <v>0</v>
      </c>
      <c r="AS30" s="235">
        <f>ROUND(('Hours Per Job'!AS30*$B$36),2)+ROUND(('Parts Cost Per Job'!AS30)*((1+$B$37)*$B$38),2)</f>
        <v>0</v>
      </c>
      <c r="AT30" s="235">
        <f>ROUND(('Hours Per Job'!AT30*$B$36),2)+ROUND(('Parts Cost Per Job'!AT30)*((1+$B$37)*$B$38),2)</f>
        <v>95.07</v>
      </c>
      <c r="AU30" s="235">
        <f>ROUND(('Hours Per Job'!AU30*$B$36),2)+ROUND(('Parts Cost Per Job'!AU30)*((1+$B$37)*$B$38),2)</f>
        <v>0</v>
      </c>
      <c r="AV30" s="235">
        <f>ROUND(('Hours Per Job'!AV30*$B$36),2)+ROUND(('Parts Cost Per Job'!AV30)*((1+$B$37)*$B$38),2)</f>
        <v>0</v>
      </c>
      <c r="AW30" s="235">
        <f>ROUND(('Hours Per Job'!AW30*$B$36),2)+ROUND(('Parts Cost Per Job'!AW30)*((1+$B$37)*$B$38),2)</f>
        <v>0</v>
      </c>
      <c r="AX30" s="235">
        <f>ROUND(('Hours Per Job'!AX30*$B$36),2)+ROUND(('Parts Cost Per Job'!AX30)*((1+$B$37)*$B$38),2)</f>
        <v>0</v>
      </c>
      <c r="AY30" s="235">
        <f>ROUND(('Hours Per Job'!AY30*$B$36),2)+ROUND(('Parts Cost Per Job'!AY30)*((1+$B$37)*$B$38),2)</f>
        <v>0</v>
      </c>
      <c r="AZ30" s="235">
        <f>ROUND(('Hours Per Job'!AZ30*$B$36),2)+ROUND(('Parts Cost Per Job'!AZ30)*((1+$B$37)*$B$38),2)</f>
        <v>0</v>
      </c>
      <c r="BA30" s="235">
        <f>ROUND(('Hours Per Job'!BA30*$B$36),2)+ROUND(('Parts Cost Per Job'!BA30)*((1+$B$37)*$B$38),2)</f>
        <v>0</v>
      </c>
      <c r="BB30" s="235">
        <f>ROUND(('Hours Per Job'!BB30*$B$36),2)+ROUND(('Parts Cost Per Job'!BB30)*((1+$B$37)*$B$38),2)</f>
        <v>333.83</v>
      </c>
      <c r="BC30" s="235">
        <f>ROUND(('Hours Per Job'!BC30*$B$36),2)+ROUND(('Parts Cost Per Job'!BC30)*((1+$B$37)*$B$38),2)</f>
        <v>270.86</v>
      </c>
      <c r="BD30" s="235">
        <f>ROUND(('Hours Per Job'!BD30*$B$36),2)+ROUND(('Parts Cost Per Job'!BD30)*((1+$B$37)*$B$38),2)</f>
        <v>0</v>
      </c>
      <c r="BE30" s="235">
        <f>ROUND(('Hours Per Job'!BE30*$B$36),2)+ROUND(('Parts Cost Per Job'!BE30)*((1+$B$37)*$B$38),2)</f>
        <v>0</v>
      </c>
      <c r="BF30" s="235">
        <f>ROUND(('Hours Per Job'!BF30*$B$36),2)+ROUND(('Parts Cost Per Job'!BF30)*((1+$B$37)*$B$38),2)</f>
        <v>0</v>
      </c>
      <c r="BG30" s="235">
        <f>ROUND(('Hours Per Job'!BG30*$B$36),2)+ROUND(('Parts Cost Per Job'!BG30)*((1+$B$37)*$B$38),2)</f>
        <v>0</v>
      </c>
      <c r="BH30" s="235">
        <f>ROUND(('Hours Per Job'!BH30*$B$36),2)+ROUND(('Parts Cost Per Job'!BH30)*((1+$B$37)*$B$38),2)</f>
        <v>321.13</v>
      </c>
      <c r="BI30" s="235">
        <f>ROUND(('Hours Per Job'!BI30*$B$36),2)+ROUND(('Parts Cost Per Job'!BI30)*((1+$B$37)*$B$38),2)</f>
        <v>0</v>
      </c>
      <c r="BJ30" s="235">
        <f>ROUND(('Hours Per Job'!BJ30*$B$36),2)+ROUND(('Parts Cost Per Job'!BJ30)*((1+$B$37)*$B$38),2)</f>
        <v>30</v>
      </c>
      <c r="BK30" s="235">
        <f>ROUND(('Hours Per Job'!BK30*$B$36),2)+ROUND(('Parts Cost Per Job'!BK30)*((1+$B$37)*$B$38),2)</f>
        <v>839.46</v>
      </c>
      <c r="BL30" s="235">
        <f>ROUND(('Hours Per Job'!BL30*$B$36),2)+ROUND(('Parts Cost Per Job'!BL30)*((1+$B$37)*$B$38),2)</f>
        <v>334.03</v>
      </c>
      <c r="BM30" s="235">
        <f>ROUND(('Hours Per Job'!BM30*$B$36),2)+ROUND(('Parts Cost Per Job'!BM30)*((1+$B$37)*$B$38),2)</f>
        <v>0</v>
      </c>
      <c r="BN30" s="235">
        <f>ROUND(('Hours Per Job'!BN30*$B$36),2)+ROUND(('Parts Cost Per Job'!BN30)*((1+$B$37)*$B$38),2)</f>
        <v>262.22000000000003</v>
      </c>
      <c r="BO30" s="235">
        <f>ROUND(('Hours Per Job'!BO30*$B$36),2)+ROUND(('Parts Cost Per Job'!BO30)*((1+$B$37)*$B$38),2)</f>
        <v>95.07</v>
      </c>
      <c r="BP30" s="235">
        <f>ROUND(('Hours Per Job'!BP30*$B$36),2)+ROUND(('Parts Cost Per Job'!BP30)*((1+$B$37)*$B$38),2)</f>
        <v>126</v>
      </c>
    </row>
    <row r="31" spans="1:68" x14ac:dyDescent="0.2">
      <c r="A31" s="226" t="str">
        <f>'Scheduled Intervals'!A31</f>
        <v>SCL - DIESEL</v>
      </c>
      <c r="B31" s="227">
        <f>ROUND(('Hours Per Job'!B31*$B$36),2)+ROUND(('Parts Cost Per Job'!B31)*((1+$B$37)*$B$38),2)</f>
        <v>80.92</v>
      </c>
      <c r="C31" s="237">
        <f>ROUND(('Hours Per Job'!C31*$B$36),2)+ROUND(('Parts Cost Per Job'!C31)*((1+$B$37)*$B$38),2)</f>
        <v>0</v>
      </c>
      <c r="D31" s="237">
        <f>ROUND(('Hours Per Job'!D31*$B$36),2)+ROUND(('Parts Cost Per Job'!D31)*((1+$B$37)*$B$38),2)</f>
        <v>0</v>
      </c>
      <c r="E31" s="237">
        <f>ROUND(('Hours Per Job'!E31*$B$36),2)+ROUND(('Parts Cost Per Job'!E31)*((1+$B$37)*$B$38),2)</f>
        <v>0</v>
      </c>
      <c r="F31" s="237">
        <f>ROUND(('Hours Per Job'!F31*$B$36),2)+ROUND(('Parts Cost Per Job'!F31)*((1+$B$37)*$B$38),2)</f>
        <v>75.069999999999993</v>
      </c>
      <c r="G31" s="237">
        <f>ROUND(('Hours Per Job'!G31*$B$36),2)+ROUND(('Parts Cost Per Job'!G31)*((1+$B$37)*$B$38),2)</f>
        <v>0</v>
      </c>
      <c r="H31" s="238">
        <f>ROUND(('Hours Per Job'!H31*$B$36),2)+ROUND(('Parts Cost Per Job'!H31)*((1+$B$37)*$B$38),2)</f>
        <v>35.07</v>
      </c>
      <c r="I31" s="237">
        <f>ROUND(('Hours Per Job'!I31*$B$36),2)+ROUND(('Parts Cost Per Job'!I31)*((1+$B$37)*$B$38),2)</f>
        <v>30</v>
      </c>
      <c r="J31" s="237">
        <f>ROUND(('Hours Per Job'!J31*$B$36),2)+ROUND(('Parts Cost Per Job'!J31)*((1+$B$37)*$B$38),2)</f>
        <v>0</v>
      </c>
      <c r="K31" s="237">
        <f>ROUND(('Hours Per Job'!K31*$B$36),2)+ROUND(('Parts Cost Per Job'!K31)*((1+$B$37)*$B$38),2)</f>
        <v>0</v>
      </c>
      <c r="L31" s="237">
        <f>ROUND(('Hours Per Job'!L31*$B$36),2)+ROUND(('Parts Cost Per Job'!L31)*((1+$B$37)*$B$38),2)</f>
        <v>0</v>
      </c>
      <c r="M31" s="237">
        <f>ROUND(('Hours Per Job'!M31*$B$36),2)+ROUND(('Parts Cost Per Job'!M31)*((1+$B$37)*$B$38),2)</f>
        <v>0</v>
      </c>
      <c r="N31" s="237">
        <f>ROUND(('Hours Per Job'!N31*$B$36),2)+ROUND(('Parts Cost Per Job'!N31)*((1+$B$37)*$B$38),2)</f>
        <v>0</v>
      </c>
      <c r="O31" s="237">
        <f>ROUND(('Hours Per Job'!O31*$B$36),2)+ROUND(('Parts Cost Per Job'!O31)*((1+$B$37)*$B$38),2)</f>
        <v>0</v>
      </c>
      <c r="P31" s="239">
        <f>ROUND(('Hours Per Job'!P31*$B$36),2)+ROUND(('Parts Cost Per Job'!P31)*((1+$B$37)*$B$38),2)</f>
        <v>0</v>
      </c>
      <c r="Q31" s="240">
        <f>ROUND(('Hours Per Job'!Q31*$B$36),2)+ROUND(('Parts Cost Per Job'!Q31)*((1+$B$37)*$B$38),2)</f>
        <v>0</v>
      </c>
      <c r="R31" s="241">
        <f>ROUND(('Hours Per Job'!R31*$B$36),2)+ROUND(('Parts Cost Per Job'!R31)*((1+$B$37)*$B$38),2)</f>
        <v>0</v>
      </c>
      <c r="S31" s="241">
        <f>ROUND(('Hours Per Job'!S31*$B$36),2)+ROUND(('Parts Cost Per Job'!S31)*((1+$B$37)*$B$38),2)</f>
        <v>0</v>
      </c>
      <c r="T31" s="242">
        <f>ROUND(('Hours Per Job'!T31*$B$36),2)+ROUND(('Parts Cost Per Job'!T31)*((1+$B$37)*$B$38),2)</f>
        <v>0</v>
      </c>
      <c r="U31" s="234">
        <f>ROUND(('Hours Per Job'!U31*$B$36),2)+ROUND(('Parts Cost Per Job'!U31)*((1+$B$37)*$B$38),2)</f>
        <v>80.92</v>
      </c>
      <c r="V31" s="235">
        <f>ROUND(('Hours Per Job'!V31*$B$36),2)+ROUND(('Parts Cost Per Job'!V31)*((1+$B$37)*$B$38),2)</f>
        <v>0</v>
      </c>
      <c r="W31" s="235">
        <f>ROUND(('Hours Per Job'!W31*$B$36),2)+ROUND(('Parts Cost Per Job'!W31)*((1+$B$37)*$B$38),2)</f>
        <v>0</v>
      </c>
      <c r="X31" s="235">
        <f>ROUND(('Hours Per Job'!X31*$B$36),2)+ROUND(('Parts Cost Per Job'!X31)*((1+$B$37)*$B$38),2)</f>
        <v>76.930000000000007</v>
      </c>
      <c r="Y31" s="235">
        <f>ROUND(('Hours Per Job'!Y31*$B$36),2)+ROUND(('Parts Cost Per Job'!Y31)*((1+$B$37)*$B$38),2)</f>
        <v>0</v>
      </c>
      <c r="Z31" s="235">
        <f>ROUND(('Hours Per Job'!Z31*$B$36),2)+ROUND(('Parts Cost Per Job'!Z31)*((1+$B$37)*$B$38),2)</f>
        <v>86.47</v>
      </c>
      <c r="AA31" s="235">
        <f>ROUND(('Hours Per Job'!AA31*$B$36),2)+ROUND(('Parts Cost Per Job'!AA31)*((1+$B$37)*$B$38),2)</f>
        <v>0</v>
      </c>
      <c r="AB31" s="235">
        <f>ROUND(('Hours Per Job'!AB31*$B$36),2)+ROUND(('Parts Cost Per Job'!AB31)*((1+$B$37)*$B$38),2)</f>
        <v>168.23000000000002</v>
      </c>
      <c r="AC31" s="235">
        <f>ROUND(('Hours Per Job'!AC31*$B$36),2)+ROUND(('Parts Cost Per Job'!AC31)*((1+$B$37)*$B$38),2)</f>
        <v>76.69</v>
      </c>
      <c r="AD31" s="235">
        <f>ROUND(('Hours Per Job'!AD31*$B$36),2)+ROUND(('Parts Cost Per Job'!AD31)*((1+$B$37)*$B$38),2)</f>
        <v>0</v>
      </c>
      <c r="AE31" s="235">
        <f>ROUND(('Hours Per Job'!AE31*$B$36),2)+ROUND(('Parts Cost Per Job'!AE31)*((1+$B$37)*$B$38),2)</f>
        <v>39.07</v>
      </c>
      <c r="AF31" s="235">
        <f>ROUND(('Hours Per Job'!AF31*$B$36),2)+ROUND(('Parts Cost Per Job'!AF31)*((1+$B$37)*$B$38),2)</f>
        <v>0</v>
      </c>
      <c r="AG31" s="235">
        <f>ROUND(('Hours Per Job'!AG31*$B$36),2)+ROUND(('Parts Cost Per Job'!AG31)*((1+$B$37)*$B$38),2)</f>
        <v>0</v>
      </c>
      <c r="AH31" s="235">
        <f>ROUND(('Hours Per Job'!AH31*$B$36),2)+ROUND(('Parts Cost Per Job'!AH31)*((1+$B$37)*$B$38),2)</f>
        <v>0</v>
      </c>
      <c r="AI31" s="235">
        <f>ROUND(('Hours Per Job'!AI31*$B$36),2)+ROUND(('Parts Cost Per Job'!AI31)*((1+$B$37)*$B$38),2)</f>
        <v>0</v>
      </c>
      <c r="AJ31" s="235">
        <f>ROUND(('Hours Per Job'!AJ31*$B$36),2)+ROUND(('Parts Cost Per Job'!AJ31)*((1+$B$37)*$B$38),2)</f>
        <v>0</v>
      </c>
      <c r="AK31" s="235">
        <f>ROUND(('Hours Per Job'!AK31*$B$36),2)+ROUND(('Parts Cost Per Job'!AK31)*((1+$B$37)*$B$38),2)</f>
        <v>0</v>
      </c>
      <c r="AL31" s="235">
        <f>ROUND(('Hours Per Job'!AL31*$B$36),2)+ROUND(('Parts Cost Per Job'!AL31)*((1+$B$37)*$B$38),2)</f>
        <v>0</v>
      </c>
      <c r="AM31" s="235">
        <f>ROUND(('Hours Per Job'!AM31*$B$36),2)+ROUND(('Parts Cost Per Job'!AM31)*((1+$B$37)*$B$38),2)</f>
        <v>0</v>
      </c>
      <c r="AN31" s="235">
        <f>ROUND(('Hours Per Job'!AN31*$B$36),2)+ROUND(('Parts Cost Per Job'!AN31)*((1+$B$37)*$B$38),2)</f>
        <v>0</v>
      </c>
      <c r="AO31" s="235">
        <f>ROUND(('Hours Per Job'!AO31*$B$36),2)+ROUND(('Parts Cost Per Job'!AO31)*((1+$B$37)*$B$38),2)</f>
        <v>0</v>
      </c>
      <c r="AP31" s="235">
        <f>ROUND(('Hours Per Job'!AP31*$B$36),2)+ROUND(('Parts Cost Per Job'!AP31)*((1+$B$37)*$B$38),2)</f>
        <v>0</v>
      </c>
      <c r="AQ31" s="235">
        <f>ROUND(('Hours Per Job'!AQ31*$B$36),2)+ROUND(('Parts Cost Per Job'!AQ31)*((1+$B$37)*$B$38),2)</f>
        <v>0</v>
      </c>
      <c r="AR31" s="235">
        <f>ROUND(('Hours Per Job'!AR31*$B$36),2)+ROUND(('Parts Cost Per Job'!AR31)*((1+$B$37)*$B$38),2)</f>
        <v>0</v>
      </c>
      <c r="AS31" s="235">
        <f>ROUND(('Hours Per Job'!AS31*$B$36),2)+ROUND(('Parts Cost Per Job'!AS31)*((1+$B$37)*$B$38),2)</f>
        <v>0</v>
      </c>
      <c r="AT31" s="235">
        <f>ROUND(('Hours Per Job'!AT31*$B$36),2)+ROUND(('Parts Cost Per Job'!AT31)*((1+$B$37)*$B$38),2)</f>
        <v>35.07</v>
      </c>
      <c r="AU31" s="235">
        <f>ROUND(('Hours Per Job'!AU31*$B$36),2)+ROUND(('Parts Cost Per Job'!AU31)*((1+$B$37)*$B$38),2)</f>
        <v>0</v>
      </c>
      <c r="AV31" s="235">
        <f>ROUND(('Hours Per Job'!AV31*$B$36),2)+ROUND(('Parts Cost Per Job'!AV31)*((1+$B$37)*$B$38),2)</f>
        <v>0</v>
      </c>
      <c r="AW31" s="235">
        <f>ROUND(('Hours Per Job'!AW31*$B$36),2)+ROUND(('Parts Cost Per Job'!AW31)*((1+$B$37)*$B$38),2)</f>
        <v>160.34</v>
      </c>
      <c r="AX31" s="235">
        <f>ROUND(('Hours Per Job'!AX31*$B$36),2)+ROUND(('Parts Cost Per Job'!AX31)*((1+$B$37)*$B$38),2)</f>
        <v>0</v>
      </c>
      <c r="AY31" s="235">
        <f>ROUND(('Hours Per Job'!AY31*$B$36),2)+ROUND(('Parts Cost Per Job'!AY31)*((1+$B$37)*$B$38),2)</f>
        <v>0</v>
      </c>
      <c r="AZ31" s="235">
        <f>ROUND(('Hours Per Job'!AZ31*$B$36),2)+ROUND(('Parts Cost Per Job'!AZ31)*((1+$B$37)*$B$38),2)</f>
        <v>0</v>
      </c>
      <c r="BA31" s="235">
        <f>ROUND(('Hours Per Job'!BA31*$B$36),2)+ROUND(('Parts Cost Per Job'!BA31)*((1+$B$37)*$B$38),2)</f>
        <v>0</v>
      </c>
      <c r="BB31" s="235">
        <f>ROUND(('Hours Per Job'!BB31*$B$36),2)+ROUND(('Parts Cost Per Job'!BB31)*((1+$B$37)*$B$38),2)</f>
        <v>42.84</v>
      </c>
      <c r="BC31" s="235">
        <f>ROUND(('Hours Per Job'!BC31*$B$36),2)+ROUND(('Parts Cost Per Job'!BC31)*((1+$B$37)*$B$38),2)</f>
        <v>35.659999999999997</v>
      </c>
      <c r="BD31" s="235">
        <f>ROUND(('Hours Per Job'!BD31*$B$36),2)+ROUND(('Parts Cost Per Job'!BD31)*((1+$B$37)*$B$38),2)</f>
        <v>0</v>
      </c>
      <c r="BE31" s="235">
        <f>ROUND(('Hours Per Job'!BE31*$B$36),2)+ROUND(('Parts Cost Per Job'!BE31)*((1+$B$37)*$B$38),2)</f>
        <v>0</v>
      </c>
      <c r="BF31" s="235">
        <f>ROUND(('Hours Per Job'!BF31*$B$36),2)+ROUND(('Parts Cost Per Job'!BF31)*((1+$B$37)*$B$38),2)</f>
        <v>0</v>
      </c>
      <c r="BG31" s="235">
        <f>ROUND(('Hours Per Job'!BG31*$B$36),2)+ROUND(('Parts Cost Per Job'!BG31)*((1+$B$37)*$B$38),2)</f>
        <v>0</v>
      </c>
      <c r="BH31" s="235">
        <f>ROUND(('Hours Per Job'!BH31*$B$36),2)+ROUND(('Parts Cost Per Job'!BH31)*((1+$B$37)*$B$38),2)</f>
        <v>67.36</v>
      </c>
      <c r="BI31" s="235">
        <f>ROUND(('Hours Per Job'!BI31*$B$36),2)+ROUND(('Parts Cost Per Job'!BI31)*((1+$B$37)*$B$38),2)</f>
        <v>12</v>
      </c>
      <c r="BJ31" s="235">
        <f>ROUND(('Hours Per Job'!BJ31*$B$36),2)+ROUND(('Parts Cost Per Job'!BJ31)*((1+$B$37)*$B$38),2)</f>
        <v>30</v>
      </c>
      <c r="BK31" s="235">
        <f>ROUND(('Hours Per Job'!BK31*$B$36),2)+ROUND(('Parts Cost Per Job'!BK31)*((1+$B$37)*$B$38),2)</f>
        <v>0</v>
      </c>
      <c r="BL31" s="235">
        <f>ROUND(('Hours Per Job'!BL31*$B$36),2)+ROUND(('Parts Cost Per Job'!BL31)*((1+$B$37)*$B$38),2)</f>
        <v>0</v>
      </c>
      <c r="BM31" s="235">
        <f>ROUND(('Hours Per Job'!BM31*$B$36),2)+ROUND(('Parts Cost Per Job'!BM31)*((1+$B$37)*$B$38),2)</f>
        <v>0</v>
      </c>
      <c r="BN31" s="235">
        <f>ROUND(('Hours Per Job'!BN31*$B$36),2)+ROUND(('Parts Cost Per Job'!BN31)*((1+$B$37)*$B$38),2)</f>
        <v>80.92</v>
      </c>
      <c r="BO31" s="235">
        <f>ROUND(('Hours Per Job'!BO31*$B$36),2)+ROUND(('Parts Cost Per Job'!BO31)*((1+$B$37)*$B$38),2)</f>
        <v>35.07</v>
      </c>
      <c r="BP31" s="235">
        <f>ROUND(('Hours Per Job'!BP31*$B$36),2)+ROUND(('Parts Cost Per Job'!BP31)*((1+$B$37)*$B$38),2)</f>
        <v>126</v>
      </c>
    </row>
    <row r="32" spans="1:68" x14ac:dyDescent="0.2">
      <c r="A32" s="133" t="str">
        <f>+'Scheduled Intervals'!A32</f>
        <v>SCL -  Gas</v>
      </c>
      <c r="B32" s="236">
        <f>ROUND(('Hours Per Job'!B32*$B$36),2)+ROUND(('Parts Cost Per Job'!B32)*((1+$B$37)*$B$38),2)</f>
        <v>64.03</v>
      </c>
      <c r="C32" s="237">
        <f>ROUND(('Hours Per Job'!C32*$B$36),2)+ROUND(('Parts Cost Per Job'!C32)*((1+$B$37)*$B$38),2)</f>
        <v>0</v>
      </c>
      <c r="D32" s="237">
        <f>ROUND(('Hours Per Job'!D32*$B$36),2)+ROUND(('Parts Cost Per Job'!D32)*((1+$B$37)*$B$38),2)</f>
        <v>0</v>
      </c>
      <c r="E32" s="237">
        <f>ROUND(('Hours Per Job'!E32*$B$36),2)+ROUND(('Parts Cost Per Job'!E32)*((1+$B$37)*$B$38),2)</f>
        <v>0</v>
      </c>
      <c r="F32" s="237">
        <f>ROUND(('Hours Per Job'!F32*$B$36),2)+ROUND(('Parts Cost Per Job'!F32)*((1+$B$37)*$B$38),2)</f>
        <v>0</v>
      </c>
      <c r="G32" s="237">
        <f>ROUND(('Hours Per Job'!G32*$B$36),2)+ROUND(('Parts Cost Per Job'!G32)*((1+$B$37)*$B$38),2)</f>
        <v>0</v>
      </c>
      <c r="H32" s="238">
        <f>ROUND(('Hours Per Job'!H32*$B$36),2)+ROUND(('Parts Cost Per Job'!H32)*((1+$B$37)*$B$38),2)</f>
        <v>35.07</v>
      </c>
      <c r="I32" s="237">
        <f>ROUND(('Hours Per Job'!I32*$B$36),2)+ROUND(('Parts Cost Per Job'!I32)*((1+$B$37)*$B$38),2)</f>
        <v>30</v>
      </c>
      <c r="J32" s="237">
        <f>ROUND(('Hours Per Job'!J32*$B$36),2)+ROUND(('Parts Cost Per Job'!J32)*((1+$B$37)*$B$38),2)</f>
        <v>0</v>
      </c>
      <c r="K32" s="237">
        <f>ROUND(('Hours Per Job'!K32*$B$36),2)+ROUND(('Parts Cost Per Job'!K32)*((1+$B$37)*$B$38),2)</f>
        <v>0</v>
      </c>
      <c r="L32" s="237">
        <f>ROUND(('Hours Per Job'!L32*$B$36),2)+ROUND(('Parts Cost Per Job'!L32)*((1+$B$37)*$B$38),2)</f>
        <v>0</v>
      </c>
      <c r="M32" s="237">
        <f>ROUND(('Hours Per Job'!M32*$B$36),2)+ROUND(('Parts Cost Per Job'!M32)*((1+$B$37)*$B$38),2)</f>
        <v>0</v>
      </c>
      <c r="N32" s="237">
        <f>ROUND(('Hours Per Job'!N32*$B$36),2)+ROUND(('Parts Cost Per Job'!N32)*((1+$B$37)*$B$38),2)</f>
        <v>0</v>
      </c>
      <c r="O32" s="237">
        <f>ROUND(('Hours Per Job'!O32*$B$36),2)+ROUND(('Parts Cost Per Job'!O32)*((1+$B$37)*$B$38),2)</f>
        <v>0</v>
      </c>
      <c r="P32" s="239">
        <f>ROUND(('Hours Per Job'!P32*$B$36),2)+ROUND(('Parts Cost Per Job'!P32)*((1+$B$37)*$B$38),2)</f>
        <v>0</v>
      </c>
      <c r="Q32" s="240">
        <f>ROUND(('Hours Per Job'!Q32*$B$36),2)+ROUND(('Parts Cost Per Job'!Q32)*((1+$B$37)*$B$38),2)</f>
        <v>0</v>
      </c>
      <c r="R32" s="241">
        <f>ROUND(('Hours Per Job'!R32*$B$36),2)+ROUND(('Parts Cost Per Job'!R32)*((1+$B$37)*$B$38),2)</f>
        <v>0</v>
      </c>
      <c r="S32" s="241">
        <f>ROUND(('Hours Per Job'!S32*$B$36),2)+ROUND(('Parts Cost Per Job'!S32)*((1+$B$37)*$B$38),2)</f>
        <v>143.63999999999999</v>
      </c>
      <c r="T32" s="242">
        <f>ROUND(('Hours Per Job'!T32*$B$36),2)+ROUND(('Parts Cost Per Job'!T32)*((1+$B$37)*$B$38),2)</f>
        <v>0</v>
      </c>
      <c r="U32" s="234">
        <f>ROUND(('Hours Per Job'!U32*$B$36),2)+ROUND(('Parts Cost Per Job'!U32)*((1+$B$37)*$B$38),2)</f>
        <v>64.03</v>
      </c>
      <c r="V32" s="235">
        <f>ROUND(('Hours Per Job'!V32*$B$36),2)+ROUND(('Parts Cost Per Job'!V32)*((1+$B$37)*$B$38),2)</f>
        <v>0</v>
      </c>
      <c r="W32" s="235">
        <f>ROUND(('Hours Per Job'!W32*$B$36),2)+ROUND(('Parts Cost Per Job'!W32)*((1+$B$37)*$B$38),2)</f>
        <v>0</v>
      </c>
      <c r="X32" s="235">
        <f>ROUND(('Hours Per Job'!X32*$B$36),2)+ROUND(('Parts Cost Per Job'!X32)*((1+$B$37)*$B$38),2)</f>
        <v>0</v>
      </c>
      <c r="Y32" s="235">
        <f>ROUND(('Hours Per Job'!Y32*$B$36),2)+ROUND(('Parts Cost Per Job'!Y32)*((1+$B$37)*$B$38),2)</f>
        <v>0</v>
      </c>
      <c r="Z32" s="235">
        <f>ROUND(('Hours Per Job'!Z32*$B$36),2)+ROUND(('Parts Cost Per Job'!Z32)*((1+$B$37)*$B$38),2)</f>
        <v>39.14</v>
      </c>
      <c r="AA32" s="235">
        <f>ROUND(('Hours Per Job'!AA32*$B$36),2)+ROUND(('Parts Cost Per Job'!AA32)*((1+$B$37)*$B$38),2)</f>
        <v>0</v>
      </c>
      <c r="AB32" s="235">
        <f>ROUND(('Hours Per Job'!AB32*$B$36),2)+ROUND(('Parts Cost Per Job'!AB32)*((1+$B$37)*$B$38),2)</f>
        <v>103.44</v>
      </c>
      <c r="AC32" s="235">
        <f>ROUND(('Hours Per Job'!AC32*$B$36),2)+ROUND(('Parts Cost Per Job'!AC32)*((1+$B$37)*$B$38),2)</f>
        <v>40.21</v>
      </c>
      <c r="AD32" s="235">
        <f>ROUND(('Hours Per Job'!AD32*$B$36),2)+ROUND(('Parts Cost Per Job'!AD32)*((1+$B$37)*$B$38),2)</f>
        <v>0</v>
      </c>
      <c r="AE32" s="235">
        <f>ROUND(('Hours Per Job'!AE32*$B$36),2)+ROUND(('Parts Cost Per Job'!AE32)*((1+$B$37)*$B$38),2)</f>
        <v>0</v>
      </c>
      <c r="AF32" s="235">
        <f>ROUND(('Hours Per Job'!AF32*$B$36),2)+ROUND(('Parts Cost Per Job'!AF32)*((1+$B$37)*$B$38),2)</f>
        <v>0</v>
      </c>
      <c r="AG32" s="235">
        <f>ROUND(('Hours Per Job'!AG32*$B$36),2)+ROUND(('Parts Cost Per Job'!AG32)*((1+$B$37)*$B$38),2)</f>
        <v>0</v>
      </c>
      <c r="AH32" s="235">
        <f>ROUND(('Hours Per Job'!AH32*$B$36),2)+ROUND(('Parts Cost Per Job'!AH32)*((1+$B$37)*$B$38),2)</f>
        <v>0</v>
      </c>
      <c r="AI32" s="235">
        <f>ROUND(('Hours Per Job'!AI32*$B$36),2)+ROUND(('Parts Cost Per Job'!AI32)*((1+$B$37)*$B$38),2)</f>
        <v>0</v>
      </c>
      <c r="AJ32" s="235">
        <f>ROUND(('Hours Per Job'!AJ32*$B$36),2)+ROUND(('Parts Cost Per Job'!AJ32)*((1+$B$37)*$B$38),2)</f>
        <v>0</v>
      </c>
      <c r="AK32" s="235">
        <f>ROUND(('Hours Per Job'!AK32*$B$36),2)+ROUND(('Parts Cost Per Job'!AK32)*((1+$B$37)*$B$38),2)</f>
        <v>0</v>
      </c>
      <c r="AL32" s="235">
        <f>ROUND(('Hours Per Job'!AL32*$B$36),2)+ROUND(('Parts Cost Per Job'!AL32)*((1+$B$37)*$B$38),2)</f>
        <v>0</v>
      </c>
      <c r="AM32" s="235">
        <f>ROUND(('Hours Per Job'!AM32*$B$36),2)+ROUND(('Parts Cost Per Job'!AM32)*((1+$B$37)*$B$38),2)</f>
        <v>0</v>
      </c>
      <c r="AN32" s="235">
        <f>ROUND(('Hours Per Job'!AN32*$B$36),2)+ROUND(('Parts Cost Per Job'!AN32)*((1+$B$37)*$B$38),2)</f>
        <v>0</v>
      </c>
      <c r="AO32" s="235">
        <f>ROUND(('Hours Per Job'!AO32*$B$36),2)+ROUND(('Parts Cost Per Job'!AO32)*((1+$B$37)*$B$38),2)</f>
        <v>0</v>
      </c>
      <c r="AP32" s="235">
        <f>ROUND(('Hours Per Job'!AP32*$B$36),2)+ROUND(('Parts Cost Per Job'!AP32)*((1+$B$37)*$B$38),2)</f>
        <v>0</v>
      </c>
      <c r="AQ32" s="235">
        <f>ROUND(('Hours Per Job'!AQ32*$B$36),2)+ROUND(('Parts Cost Per Job'!AQ32)*((1+$B$37)*$B$38),2)</f>
        <v>0</v>
      </c>
      <c r="AR32" s="235">
        <f>ROUND(('Hours Per Job'!AR32*$B$36),2)+ROUND(('Parts Cost Per Job'!AR32)*((1+$B$37)*$B$38),2)</f>
        <v>0</v>
      </c>
      <c r="AS32" s="235">
        <f>ROUND(('Hours Per Job'!AS32*$B$36),2)+ROUND(('Parts Cost Per Job'!AS32)*((1+$B$37)*$B$38),2)</f>
        <v>0</v>
      </c>
      <c r="AT32" s="235">
        <f>ROUND(('Hours Per Job'!AT32*$B$36),2)+ROUND(('Parts Cost Per Job'!AT32)*((1+$B$37)*$B$38),2)</f>
        <v>35.07</v>
      </c>
      <c r="AU32" s="235">
        <f>ROUND(('Hours Per Job'!AU32*$B$36),2)+ROUND(('Parts Cost Per Job'!AU32)*((1+$B$37)*$B$38),2)</f>
        <v>0</v>
      </c>
      <c r="AV32" s="235">
        <f>ROUND(('Hours Per Job'!AV32*$B$36),2)+ROUND(('Parts Cost Per Job'!AV32)*((1+$B$37)*$B$38),2)</f>
        <v>0</v>
      </c>
      <c r="AW32" s="235">
        <f>ROUND(('Hours Per Job'!AW32*$B$36),2)+ROUND(('Parts Cost Per Job'!AW32)*((1+$B$37)*$B$38),2)</f>
        <v>0</v>
      </c>
      <c r="AX32" s="235">
        <f>ROUND(('Hours Per Job'!AX32*$B$36),2)+ROUND(('Parts Cost Per Job'!AX32)*((1+$B$37)*$B$38),2)</f>
        <v>0</v>
      </c>
      <c r="AY32" s="235">
        <f>ROUND(('Hours Per Job'!AY32*$B$36),2)+ROUND(('Parts Cost Per Job'!AY32)*((1+$B$37)*$B$38),2)</f>
        <v>0</v>
      </c>
      <c r="AZ32" s="235">
        <f>ROUND(('Hours Per Job'!AZ32*$B$36),2)+ROUND(('Parts Cost Per Job'!AZ32)*((1+$B$37)*$B$38),2)</f>
        <v>0</v>
      </c>
      <c r="BA32" s="235">
        <f>ROUND(('Hours Per Job'!BA32*$B$36),2)+ROUND(('Parts Cost Per Job'!BA32)*((1+$B$37)*$B$38),2)</f>
        <v>0</v>
      </c>
      <c r="BB32" s="235">
        <f>ROUND(('Hours Per Job'!BB32*$B$36),2)+ROUND(('Parts Cost Per Job'!BB32)*((1+$B$37)*$B$38),2)</f>
        <v>51.44</v>
      </c>
      <c r="BC32" s="235">
        <f>ROUND(('Hours Per Job'!BC32*$B$36),2)+ROUND(('Parts Cost Per Job'!BC32)*((1+$B$37)*$B$38),2)</f>
        <v>0</v>
      </c>
      <c r="BD32" s="235">
        <f>ROUND(('Hours Per Job'!BD32*$B$36),2)+ROUND(('Parts Cost Per Job'!BD32)*((1+$B$37)*$B$38),2)</f>
        <v>25.7</v>
      </c>
      <c r="BE32" s="235">
        <f>ROUND(('Hours Per Job'!BE32*$B$36),2)+ROUND(('Parts Cost Per Job'!BE32)*((1+$B$37)*$B$38),2)</f>
        <v>0</v>
      </c>
      <c r="BF32" s="235">
        <f>ROUND(('Hours Per Job'!BF32*$B$36),2)+ROUND(('Parts Cost Per Job'!BF32)*((1+$B$37)*$B$38),2)</f>
        <v>0</v>
      </c>
      <c r="BG32" s="235">
        <f>ROUND(('Hours Per Job'!BG32*$B$36),2)+ROUND(('Parts Cost Per Job'!BG32)*((1+$B$37)*$B$38),2)</f>
        <v>0</v>
      </c>
      <c r="BH32" s="235">
        <f>ROUND(('Hours Per Job'!BH32*$B$36),2)+ROUND(('Parts Cost Per Job'!BH32)*((1+$B$37)*$B$38),2)</f>
        <v>67.36</v>
      </c>
      <c r="BI32" s="235">
        <f>ROUND(('Hours Per Job'!BI32*$B$36),2)+ROUND(('Parts Cost Per Job'!BI32)*((1+$B$37)*$B$38),2)</f>
        <v>12</v>
      </c>
      <c r="BJ32" s="235">
        <f>ROUND(('Hours Per Job'!BJ32*$B$36),2)+ROUND(('Parts Cost Per Job'!BJ32)*((1+$B$37)*$B$38),2)</f>
        <v>30</v>
      </c>
      <c r="BK32" s="235">
        <f>ROUND(('Hours Per Job'!BK32*$B$36),2)+ROUND(('Parts Cost Per Job'!BK32)*((1+$B$37)*$B$38),2)</f>
        <v>0</v>
      </c>
      <c r="BL32" s="235">
        <f>ROUND(('Hours Per Job'!BL32*$B$36),2)+ROUND(('Parts Cost Per Job'!BL32)*((1+$B$37)*$B$38),2)</f>
        <v>0</v>
      </c>
      <c r="BM32" s="235">
        <f>ROUND(('Hours Per Job'!BM32*$B$36),2)+ROUND(('Parts Cost Per Job'!BM32)*((1+$B$37)*$B$38),2)</f>
        <v>0</v>
      </c>
      <c r="BN32" s="235">
        <f>ROUND(('Hours Per Job'!BN32*$B$36),2)+ROUND(('Parts Cost Per Job'!BN32)*((1+$B$37)*$B$38),2)</f>
        <v>64.03</v>
      </c>
      <c r="BO32" s="235">
        <f>ROUND(('Hours Per Job'!BO32*$B$36),2)+ROUND(('Parts Cost Per Job'!BO32)*((1+$B$37)*$B$38),2)</f>
        <v>35.07</v>
      </c>
      <c r="BP32" s="235">
        <f>ROUND(('Hours Per Job'!BP32*$B$36),2)+ROUND(('Parts Cost Per Job'!BP32)*((1+$B$37)*$B$38),2)</f>
        <v>126</v>
      </c>
    </row>
    <row r="33" spans="1:68" x14ac:dyDescent="0.2">
      <c r="A33" s="226" t="str">
        <f>'Scheduled Intervals'!A33</f>
        <v>Mini Excavator</v>
      </c>
      <c r="B33" s="227">
        <f>ROUND(('Hours Per Job'!B33*$B$36),2)+ROUND(('Parts Cost Per Job'!B33)*((1+$B$37)*$B$38),2)</f>
        <v>84.72</v>
      </c>
      <c r="C33" s="237">
        <f>ROUND(('Hours Per Job'!C33*$B$36),2)+ROUND(('Parts Cost Per Job'!C33)*((1+$B$37)*$B$38),2)</f>
        <v>0</v>
      </c>
      <c r="D33" s="237">
        <f>ROUND(('Hours Per Job'!D33*$B$36),2)+ROUND(('Parts Cost Per Job'!D33)*((1+$B$37)*$B$38),2)</f>
        <v>0</v>
      </c>
      <c r="E33" s="237">
        <f>ROUND(('Hours Per Job'!E33*$B$36),2)+ROUND(('Parts Cost Per Job'!E33)*((1+$B$37)*$B$38),2)</f>
        <v>0</v>
      </c>
      <c r="F33" s="237">
        <f>ROUND(('Hours Per Job'!F33*$B$36),2)+ROUND(('Parts Cost Per Job'!F33)*((1+$B$37)*$B$38),2)</f>
        <v>110.31</v>
      </c>
      <c r="G33" s="237">
        <f>ROUND(('Hours Per Job'!G33*$B$36),2)+ROUND(('Parts Cost Per Job'!G33)*((1+$B$37)*$B$38),2)</f>
        <v>0</v>
      </c>
      <c r="H33" s="238">
        <f>ROUND(('Hours Per Job'!H33*$B$36),2)+ROUND(('Parts Cost Per Job'!H33)*((1+$B$37)*$B$38),2)</f>
        <v>35.07</v>
      </c>
      <c r="I33" s="237">
        <f>ROUND(('Hours Per Job'!I33*$B$36),2)+ROUND(('Parts Cost Per Job'!I33)*((1+$B$37)*$B$38),2)</f>
        <v>30</v>
      </c>
      <c r="J33" s="237">
        <f>ROUND(('Hours Per Job'!J33*$B$36),2)+ROUND(('Parts Cost Per Job'!J33)*((1+$B$37)*$B$38),2)</f>
        <v>0</v>
      </c>
      <c r="K33" s="237">
        <f>ROUND(('Hours Per Job'!K33*$B$36),2)+ROUND(('Parts Cost Per Job'!K33)*((1+$B$37)*$B$38),2)</f>
        <v>0</v>
      </c>
      <c r="L33" s="237">
        <f>ROUND(('Hours Per Job'!L33*$B$36),2)+ROUND(('Parts Cost Per Job'!L33)*((1+$B$37)*$B$38),2)</f>
        <v>0</v>
      </c>
      <c r="M33" s="237">
        <f>ROUND(('Hours Per Job'!M33*$B$36),2)+ROUND(('Parts Cost Per Job'!M33)*((1+$B$37)*$B$38),2)</f>
        <v>0</v>
      </c>
      <c r="N33" s="237">
        <f>ROUND(('Hours Per Job'!N33*$B$36),2)+ROUND(('Parts Cost Per Job'!N33)*((1+$B$37)*$B$38),2)</f>
        <v>0</v>
      </c>
      <c r="O33" s="237">
        <f>ROUND(('Hours Per Job'!O33*$B$36),2)+ROUND(('Parts Cost Per Job'!O33)*((1+$B$37)*$B$38),2)</f>
        <v>0</v>
      </c>
      <c r="P33" s="239">
        <f>ROUND(('Hours Per Job'!P33*$B$36),2)+ROUND(('Parts Cost Per Job'!P33)*((1+$B$37)*$B$38),2)</f>
        <v>0</v>
      </c>
      <c r="Q33" s="240">
        <f>ROUND(('Hours Per Job'!Q33*$B$36),2)+ROUND(('Parts Cost Per Job'!Q33)*((1+$B$37)*$B$38),2)</f>
        <v>0</v>
      </c>
      <c r="R33" s="241">
        <f>ROUND(('Hours Per Job'!R33*$B$36),2)+ROUND(('Parts Cost Per Job'!R33)*((1+$B$37)*$B$38),2)</f>
        <v>0</v>
      </c>
      <c r="S33" s="241">
        <f>ROUND(('Hours Per Job'!S33*$B$36),2)+ROUND(('Parts Cost Per Job'!S33)*((1+$B$37)*$B$38),2)</f>
        <v>0</v>
      </c>
      <c r="T33" s="242">
        <f>ROUND(('Hours Per Job'!T33*$B$36),2)+ROUND(('Parts Cost Per Job'!T33)*((1+$B$37)*$B$38),2)</f>
        <v>0</v>
      </c>
      <c r="U33" s="234">
        <f>ROUND(('Hours Per Job'!U33*$B$36),2)+ROUND(('Parts Cost Per Job'!U33)*((1+$B$37)*$B$38),2)</f>
        <v>84.72</v>
      </c>
      <c r="V33" s="235">
        <f>ROUND(('Hours Per Job'!V33*$B$36),2)+ROUND(('Parts Cost Per Job'!V33)*((1+$B$37)*$B$38),2)</f>
        <v>0</v>
      </c>
      <c r="W33" s="235">
        <f>ROUND(('Hours Per Job'!W33*$B$36),2)+ROUND(('Parts Cost Per Job'!W33)*((1+$B$37)*$B$38),2)</f>
        <v>0</v>
      </c>
      <c r="X33" s="235">
        <f>ROUND(('Hours Per Job'!X33*$B$36),2)+ROUND(('Parts Cost Per Job'!X33)*((1+$B$37)*$B$38),2)</f>
        <v>0</v>
      </c>
      <c r="Y33" s="235">
        <f>ROUND(('Hours Per Job'!Y33*$B$36),2)+ROUND(('Parts Cost Per Job'!Y33)*((1+$B$37)*$B$38),2)</f>
        <v>0</v>
      </c>
      <c r="Z33" s="235">
        <f>ROUND(('Hours Per Job'!Z33*$B$36),2)+ROUND(('Parts Cost Per Job'!Z33)*((1+$B$37)*$B$38),2)</f>
        <v>43.980000000000004</v>
      </c>
      <c r="AA33" s="235">
        <f>ROUND(('Hours Per Job'!AA33*$B$36),2)+ROUND(('Parts Cost Per Job'!AA33)*((1+$B$37)*$B$38),2)</f>
        <v>0</v>
      </c>
      <c r="AB33" s="235">
        <f>ROUND(('Hours Per Job'!AB33*$B$36),2)+ROUND(('Parts Cost Per Job'!AB33)*((1+$B$37)*$B$38),2)</f>
        <v>0</v>
      </c>
      <c r="AC33" s="235">
        <f>ROUND(('Hours Per Job'!AC33*$B$36),2)+ROUND(('Parts Cost Per Job'!AC33)*((1+$B$37)*$B$38),2)</f>
        <v>0</v>
      </c>
      <c r="AD33" s="235">
        <f>ROUND(('Hours Per Job'!AD33*$B$36),2)+ROUND(('Parts Cost Per Job'!AD33)*((1+$B$37)*$B$38),2)</f>
        <v>0</v>
      </c>
      <c r="AE33" s="235">
        <f>ROUND(('Hours Per Job'!AE33*$B$36),2)+ROUND(('Parts Cost Per Job'!AE33)*((1+$B$37)*$B$38),2)</f>
        <v>0</v>
      </c>
      <c r="AF33" s="235">
        <f>ROUND(('Hours Per Job'!AF33*$B$36),2)+ROUND(('Parts Cost Per Job'!AF33)*((1+$B$37)*$B$38),2)</f>
        <v>27.96</v>
      </c>
      <c r="AG33" s="235">
        <f>ROUND(('Hours Per Job'!AG33*$B$36),2)+ROUND(('Parts Cost Per Job'!AG33)*((1+$B$37)*$B$38),2)</f>
        <v>134.31</v>
      </c>
      <c r="AH33" s="235">
        <f>ROUND(('Hours Per Job'!AH33*$B$36),2)+ROUND(('Parts Cost Per Job'!AH33)*((1+$B$37)*$B$38),2)</f>
        <v>0</v>
      </c>
      <c r="AI33" s="235">
        <f>ROUND(('Hours Per Job'!AI33*$B$36),2)+ROUND(('Parts Cost Per Job'!AI33)*((1+$B$37)*$B$38),2)</f>
        <v>275.5</v>
      </c>
      <c r="AJ33" s="235">
        <f>ROUND(('Hours Per Job'!AJ33*$B$36),2)+ROUND(('Parts Cost Per Job'!AJ33)*((1+$B$37)*$B$38),2)</f>
        <v>0</v>
      </c>
      <c r="AK33" s="235">
        <f>ROUND(('Hours Per Job'!AK33*$B$36),2)+ROUND(('Parts Cost Per Job'!AK33)*((1+$B$37)*$B$38),2)</f>
        <v>0</v>
      </c>
      <c r="AL33" s="235">
        <f>ROUND(('Hours Per Job'!AL33*$B$36),2)+ROUND(('Parts Cost Per Job'!AL33)*((1+$B$37)*$B$38),2)</f>
        <v>0</v>
      </c>
      <c r="AM33" s="235">
        <f>ROUND(('Hours Per Job'!AM33*$B$36),2)+ROUND(('Parts Cost Per Job'!AM33)*((1+$B$37)*$B$38),2)</f>
        <v>0</v>
      </c>
      <c r="AN33" s="235">
        <f>ROUND(('Hours Per Job'!AN33*$B$36),2)+ROUND(('Parts Cost Per Job'!AN33)*((1+$B$37)*$B$38),2)</f>
        <v>0</v>
      </c>
      <c r="AO33" s="235">
        <f>ROUND(('Hours Per Job'!AO33*$B$36),2)+ROUND(('Parts Cost Per Job'!AO33)*((1+$B$37)*$B$38),2)</f>
        <v>0</v>
      </c>
      <c r="AP33" s="235">
        <f>ROUND(('Hours Per Job'!AP33*$B$36),2)+ROUND(('Parts Cost Per Job'!AP33)*((1+$B$37)*$B$38),2)</f>
        <v>0</v>
      </c>
      <c r="AQ33" s="235">
        <f>ROUND(('Hours Per Job'!AQ33*$B$36),2)+ROUND(('Parts Cost Per Job'!AQ33)*((1+$B$37)*$B$38),2)</f>
        <v>0</v>
      </c>
      <c r="AR33" s="235">
        <f>ROUND(('Hours Per Job'!AR33*$B$36),2)+ROUND(('Parts Cost Per Job'!AR33)*((1+$B$37)*$B$38),2)</f>
        <v>0</v>
      </c>
      <c r="AS33" s="235">
        <f>ROUND(('Hours Per Job'!AS33*$B$36),2)+ROUND(('Parts Cost Per Job'!AS33)*((1+$B$37)*$B$38),2)</f>
        <v>0</v>
      </c>
      <c r="AT33" s="235">
        <f>ROUND(('Hours Per Job'!AT33*$B$36),2)+ROUND(('Parts Cost Per Job'!AT33)*((1+$B$37)*$B$38),2)</f>
        <v>35.07</v>
      </c>
      <c r="AU33" s="235">
        <f>ROUND(('Hours Per Job'!AU33*$B$36),2)+ROUND(('Parts Cost Per Job'!AU33)*((1+$B$37)*$B$38),2)</f>
        <v>0</v>
      </c>
      <c r="AV33" s="235">
        <f>ROUND(('Hours Per Job'!AV33*$B$36),2)+ROUND(('Parts Cost Per Job'!AV33)*((1+$B$37)*$B$38),2)</f>
        <v>0</v>
      </c>
      <c r="AW33" s="235">
        <f>ROUND(('Hours Per Job'!AW33*$B$36),2)+ROUND(('Parts Cost Per Job'!AW33)*((1+$B$37)*$B$38),2)</f>
        <v>0</v>
      </c>
      <c r="AX33" s="235">
        <f>ROUND(('Hours Per Job'!AX33*$B$36),2)+ROUND(('Parts Cost Per Job'!AX33)*((1+$B$37)*$B$38),2)</f>
        <v>0</v>
      </c>
      <c r="AY33" s="235">
        <f>ROUND(('Hours Per Job'!AY33*$B$36),2)+ROUND(('Parts Cost Per Job'!AY33)*((1+$B$37)*$B$38),2)</f>
        <v>0</v>
      </c>
      <c r="AZ33" s="235">
        <f>ROUND(('Hours Per Job'!AZ33*$B$36),2)+ROUND(('Parts Cost Per Job'!AZ33)*((1+$B$37)*$B$38),2)</f>
        <v>0</v>
      </c>
      <c r="BA33" s="235">
        <f>ROUND(('Hours Per Job'!BA33*$B$36),2)+ROUND(('Parts Cost Per Job'!BA33)*((1+$B$37)*$B$38),2)</f>
        <v>0</v>
      </c>
      <c r="BB33" s="235">
        <f>ROUND(('Hours Per Job'!BB33*$B$36),2)+ROUND(('Parts Cost Per Job'!BB33)*((1+$B$37)*$B$38),2)</f>
        <v>45.31</v>
      </c>
      <c r="BC33" s="235">
        <f>ROUND(('Hours Per Job'!BC33*$B$36),2)+ROUND(('Parts Cost Per Job'!BC33)*((1+$B$37)*$B$38),2)</f>
        <v>50.95</v>
      </c>
      <c r="BD33" s="235">
        <f>ROUND(('Hours Per Job'!BD33*$B$36),2)+ROUND(('Parts Cost Per Job'!BD33)*((1+$B$37)*$B$38),2)</f>
        <v>0</v>
      </c>
      <c r="BE33" s="235">
        <f>ROUND(('Hours Per Job'!BE33*$B$36),2)+ROUND(('Parts Cost Per Job'!BE33)*((1+$B$37)*$B$38),2)</f>
        <v>0</v>
      </c>
      <c r="BF33" s="235">
        <f>ROUND(('Hours Per Job'!BF33*$B$36),2)+ROUND(('Parts Cost Per Job'!BF33)*((1+$B$37)*$B$38),2)</f>
        <v>0</v>
      </c>
      <c r="BG33" s="235">
        <f>ROUND(('Hours Per Job'!BG33*$B$36),2)+ROUND(('Parts Cost Per Job'!BG33)*((1+$B$37)*$B$38),2)</f>
        <v>0</v>
      </c>
      <c r="BH33" s="235">
        <f>ROUND(('Hours Per Job'!BH33*$B$36),2)+ROUND(('Parts Cost Per Job'!BH33)*((1+$B$37)*$B$38),2)</f>
        <v>151.22999999999999</v>
      </c>
      <c r="BI33" s="235">
        <f>ROUND(('Hours Per Job'!BI33*$B$36),2)+ROUND(('Parts Cost Per Job'!BI33)*((1+$B$37)*$B$38),2)</f>
        <v>0</v>
      </c>
      <c r="BJ33" s="235">
        <f>ROUND(('Hours Per Job'!BJ33*$B$36),2)+ROUND(('Parts Cost Per Job'!BJ33)*((1+$B$37)*$B$38),2)</f>
        <v>30</v>
      </c>
      <c r="BK33" s="235">
        <f>ROUND(('Hours Per Job'!BK33*$B$36),2)+ROUND(('Parts Cost Per Job'!BK33)*((1+$B$37)*$B$38),2)</f>
        <v>0</v>
      </c>
      <c r="BL33" s="235">
        <f>ROUND(('Hours Per Job'!BL33*$B$36),2)+ROUND(('Parts Cost Per Job'!BL33)*((1+$B$37)*$B$38),2)</f>
        <v>0</v>
      </c>
      <c r="BM33" s="235">
        <f>ROUND(('Hours Per Job'!BM33*$B$36),2)+ROUND(('Parts Cost Per Job'!BM33)*((1+$B$37)*$B$38),2)</f>
        <v>0</v>
      </c>
      <c r="BN33" s="235">
        <f>ROUND(('Hours Per Job'!BN33*$B$36),2)+ROUND(('Parts Cost Per Job'!BN33)*((1+$B$37)*$B$38),2)</f>
        <v>84.72</v>
      </c>
      <c r="BO33" s="235">
        <f>ROUND(('Hours Per Job'!BO33*$B$36),2)+ROUND(('Parts Cost Per Job'!BO33)*((1+$B$37)*$B$38),2)</f>
        <v>35.07</v>
      </c>
      <c r="BP33" s="235">
        <f>ROUND(('Hours Per Job'!BP33*$B$36),2)+ROUND(('Parts Cost Per Job'!BP33)*((1+$B$37)*$B$38),2)</f>
        <v>126</v>
      </c>
    </row>
    <row r="34" spans="1:68" x14ac:dyDescent="0.2">
      <c r="A34" s="226" t="str">
        <f>'Scheduled Intervals'!A34</f>
        <v>Sub Compact BX</v>
      </c>
      <c r="B34" s="227">
        <f>ROUND(('Hours Per Job'!B34*$B$36),2)+ROUND(('Parts Cost Per Job'!B34)*((1+$B$37)*$B$38),2)</f>
        <v>114.93</v>
      </c>
      <c r="C34" s="237">
        <f>ROUND(('Hours Per Job'!C34*$B$36),2)+ROUND(('Parts Cost Per Job'!C34)*((1+$B$37)*$B$38),2)</f>
        <v>0</v>
      </c>
      <c r="D34" s="237">
        <f>ROUND(('Hours Per Job'!D34*$B$36),2)+ROUND(('Parts Cost Per Job'!D34)*((1+$B$37)*$B$38),2)</f>
        <v>0</v>
      </c>
      <c r="E34" s="237">
        <f>ROUND(('Hours Per Job'!E34*$B$36),2)+ROUND(('Parts Cost Per Job'!E34)*((1+$B$37)*$B$38),2)</f>
        <v>0</v>
      </c>
      <c r="F34" s="237">
        <f>ROUND(('Hours Per Job'!F34*$B$36),2)+ROUND(('Parts Cost Per Job'!F34)*((1+$B$37)*$B$38),2)</f>
        <v>0</v>
      </c>
      <c r="G34" s="237">
        <f>ROUND(('Hours Per Job'!G34*$B$36),2)+ROUND(('Parts Cost Per Job'!G34)*((1+$B$37)*$B$38),2)</f>
        <v>0</v>
      </c>
      <c r="H34" s="238">
        <f>ROUND(('Hours Per Job'!H34*$B$36),2)+ROUND(('Parts Cost Per Job'!H34)*((1+$B$37)*$B$38),2)</f>
        <v>35.07</v>
      </c>
      <c r="I34" s="237">
        <f>ROUND(('Hours Per Job'!I34*$B$36),2)+ROUND(('Parts Cost Per Job'!I34)*((1+$B$37)*$B$38),2)</f>
        <v>30</v>
      </c>
      <c r="J34" s="237">
        <f>ROUND(('Hours Per Job'!J34*$B$36),2)+ROUND(('Parts Cost Per Job'!J34)*((1+$B$37)*$B$38),2)</f>
        <v>0</v>
      </c>
      <c r="K34" s="237">
        <f>ROUND(('Hours Per Job'!K34*$B$36),2)+ROUND(('Parts Cost Per Job'!K34)*((1+$B$37)*$B$38),2)</f>
        <v>0</v>
      </c>
      <c r="L34" s="237">
        <f>ROUND(('Hours Per Job'!L34*$B$36),2)+ROUND(('Parts Cost Per Job'!L34)*((1+$B$37)*$B$38),2)</f>
        <v>0</v>
      </c>
      <c r="M34" s="237">
        <f>ROUND(('Hours Per Job'!M34*$B$36),2)+ROUND(('Parts Cost Per Job'!M34)*((1+$B$37)*$B$38),2)</f>
        <v>0</v>
      </c>
      <c r="N34" s="237">
        <f>ROUND(('Hours Per Job'!N34*$B$36),2)+ROUND(('Parts Cost Per Job'!N34)*((1+$B$37)*$B$38),2)</f>
        <v>0</v>
      </c>
      <c r="O34" s="237">
        <f>ROUND(('Hours Per Job'!O34*$B$36),2)+ROUND(('Parts Cost Per Job'!O34)*((1+$B$37)*$B$38),2)</f>
        <v>0</v>
      </c>
      <c r="P34" s="239">
        <f>ROUND(('Hours Per Job'!P34*$B$36),2)+ROUND(('Parts Cost Per Job'!P34)*((1+$B$37)*$B$38),2)</f>
        <v>0</v>
      </c>
      <c r="Q34" s="240">
        <f>ROUND(('Hours Per Job'!Q34*$B$36),2)+ROUND(('Parts Cost Per Job'!Q34)*((1+$B$37)*$B$38),2)</f>
        <v>0</v>
      </c>
      <c r="R34" s="241">
        <f>ROUND(('Hours Per Job'!R34*$B$36),2)+ROUND(('Parts Cost Per Job'!R34)*((1+$B$37)*$B$38),2)</f>
        <v>0</v>
      </c>
      <c r="S34" s="241">
        <f>ROUND(('Hours Per Job'!S34*$B$36),2)+ROUND(('Parts Cost Per Job'!S34)*((1+$B$37)*$B$38),2)</f>
        <v>0</v>
      </c>
      <c r="T34" s="242">
        <f>ROUND(('Hours Per Job'!T34*$B$36),2)+ROUND(('Parts Cost Per Job'!T34)*((1+$B$37)*$B$38),2)</f>
        <v>0</v>
      </c>
      <c r="U34" s="234">
        <f>ROUND(('Hours Per Job'!U34*$B$36),2)+ROUND(('Parts Cost Per Job'!U34)*((1+$B$37)*$B$38),2)</f>
        <v>114.93</v>
      </c>
      <c r="V34" s="235">
        <f>ROUND(('Hours Per Job'!V34*$B$36),2)+ROUND(('Parts Cost Per Job'!V34)*((1+$B$37)*$B$38),2)</f>
        <v>80.990000000000009</v>
      </c>
      <c r="W34" s="235">
        <f>ROUND(('Hours Per Job'!W34*$B$36),2)+ROUND(('Parts Cost Per Job'!W34)*((1+$B$37)*$B$38),2)</f>
        <v>12</v>
      </c>
      <c r="X34" s="235">
        <f>ROUND(('Hours Per Job'!X34*$B$36),2)+ROUND(('Parts Cost Per Job'!X34)*((1+$B$37)*$B$38),2)</f>
        <v>0</v>
      </c>
      <c r="Y34" s="235">
        <f>ROUND(('Hours Per Job'!Y34*$B$36),2)+ROUND(('Parts Cost Per Job'!Y34)*((1+$B$37)*$B$38),2)</f>
        <v>0</v>
      </c>
      <c r="Z34" s="235">
        <f>ROUND(('Hours Per Job'!Z34*$B$36),2)+ROUND(('Parts Cost Per Job'!Z34)*((1+$B$37)*$B$38),2)</f>
        <v>61.26</v>
      </c>
      <c r="AA34" s="235">
        <f>ROUND(('Hours Per Job'!AA34*$B$36),2)+ROUND(('Parts Cost Per Job'!AA34)*((1+$B$37)*$B$38),2)</f>
        <v>0</v>
      </c>
      <c r="AB34" s="235">
        <f>ROUND(('Hours Per Job'!AB34*$B$36),2)+ROUND(('Parts Cost Per Job'!AB34)*((1+$B$37)*$B$38),2)</f>
        <v>398.61</v>
      </c>
      <c r="AC34" s="235">
        <f>ROUND(('Hours Per Job'!AC34*$B$36),2)+ROUND(('Parts Cost Per Job'!AC34)*((1+$B$37)*$B$38),2)</f>
        <v>90.509999999999991</v>
      </c>
      <c r="AD34" s="235">
        <f>ROUND(('Hours Per Job'!AD34*$B$36),2)+ROUND(('Parts Cost Per Job'!AD34)*((1+$B$37)*$B$38),2)</f>
        <v>0</v>
      </c>
      <c r="AE34" s="235">
        <f>ROUND(('Hours Per Job'!AE34*$B$36),2)+ROUND(('Parts Cost Per Job'!AE34)*((1+$B$37)*$B$38),2)</f>
        <v>90.509999999999991</v>
      </c>
      <c r="AF34" s="235">
        <f>ROUND(('Hours Per Job'!AF34*$B$36),2)+ROUND(('Parts Cost Per Job'!AF34)*((1+$B$37)*$B$38),2)</f>
        <v>0</v>
      </c>
      <c r="AG34" s="235">
        <f>ROUND(('Hours Per Job'!AG34*$B$36),2)+ROUND(('Parts Cost Per Job'!AG34)*((1+$B$37)*$B$38),2)</f>
        <v>136.67000000000002</v>
      </c>
      <c r="AH34" s="235">
        <f>ROUND(('Hours Per Job'!AH34*$B$36),2)+ROUND(('Parts Cost Per Job'!AH34)*((1+$B$37)*$B$38),2)</f>
        <v>0</v>
      </c>
      <c r="AI34" s="235">
        <f>ROUND(('Hours Per Job'!AI34*$B$36),2)+ROUND(('Parts Cost Per Job'!AI34)*((1+$B$37)*$B$38),2)</f>
        <v>0</v>
      </c>
      <c r="AJ34" s="235">
        <f>ROUND(('Hours Per Job'!AJ34*$B$36),2)+ROUND(('Parts Cost Per Job'!AJ34)*((1+$B$37)*$B$38),2)</f>
        <v>0</v>
      </c>
      <c r="AK34" s="235">
        <f>ROUND(('Hours Per Job'!AK34*$B$36),2)+ROUND(('Parts Cost Per Job'!AK34)*((1+$B$37)*$B$38),2)</f>
        <v>0</v>
      </c>
      <c r="AL34" s="235">
        <f>ROUND(('Hours Per Job'!AL34*$B$36),2)+ROUND(('Parts Cost Per Job'!AL34)*((1+$B$37)*$B$38),2)</f>
        <v>183.39</v>
      </c>
      <c r="AM34" s="235">
        <f>ROUND(('Hours Per Job'!AM34*$B$36),2)+ROUND(('Parts Cost Per Job'!AM34)*((1+$B$37)*$B$38),2)</f>
        <v>0</v>
      </c>
      <c r="AN34" s="235">
        <f>ROUND(('Hours Per Job'!AN34*$B$36),2)+ROUND(('Parts Cost Per Job'!AN34)*((1+$B$37)*$B$38),2)</f>
        <v>0</v>
      </c>
      <c r="AO34" s="235">
        <f>ROUND(('Hours Per Job'!AO34*$B$36),2)+ROUND(('Parts Cost Per Job'!AO34)*((1+$B$37)*$B$38),2)</f>
        <v>0</v>
      </c>
      <c r="AP34" s="235">
        <f>ROUND(('Hours Per Job'!AP34*$B$36),2)+ROUND(('Parts Cost Per Job'!AP34)*((1+$B$37)*$B$38),2)</f>
        <v>0</v>
      </c>
      <c r="AQ34" s="235">
        <f>ROUND(('Hours Per Job'!AQ34*$B$36),2)+ROUND(('Parts Cost Per Job'!AQ34)*((1+$B$37)*$B$38),2)</f>
        <v>0</v>
      </c>
      <c r="AR34" s="235">
        <f>ROUND(('Hours Per Job'!AR34*$B$36),2)+ROUND(('Parts Cost Per Job'!AR34)*((1+$B$37)*$B$38),2)</f>
        <v>0</v>
      </c>
      <c r="AS34" s="235">
        <f>ROUND(('Hours Per Job'!AS34*$B$36),2)+ROUND(('Parts Cost Per Job'!AS34)*((1+$B$37)*$B$38),2)</f>
        <v>0</v>
      </c>
      <c r="AT34" s="235">
        <f>ROUND(('Hours Per Job'!AT34*$B$36),2)+ROUND(('Parts Cost Per Job'!AT34)*((1+$B$37)*$B$38),2)</f>
        <v>35.07</v>
      </c>
      <c r="AU34" s="235">
        <f>ROUND(('Hours Per Job'!AU34*$B$36),2)+ROUND(('Parts Cost Per Job'!AU34)*((1+$B$37)*$B$38),2)</f>
        <v>0</v>
      </c>
      <c r="AV34" s="235">
        <f>ROUND(('Hours Per Job'!AV34*$B$36),2)+ROUND(('Parts Cost Per Job'!AV34)*((1+$B$37)*$B$38),2)</f>
        <v>0</v>
      </c>
      <c r="AW34" s="235">
        <f>ROUND(('Hours Per Job'!AW34*$B$36),2)+ROUND(('Parts Cost Per Job'!AW34)*((1+$B$37)*$B$38),2)</f>
        <v>0</v>
      </c>
      <c r="AX34" s="235">
        <f>ROUND(('Hours Per Job'!AX34*$B$36),2)+ROUND(('Parts Cost Per Job'!AX34)*((1+$B$37)*$B$38),2)</f>
        <v>0</v>
      </c>
      <c r="AY34" s="235">
        <f>ROUND(('Hours Per Job'!AY34*$B$36),2)+ROUND(('Parts Cost Per Job'!AY34)*((1+$B$37)*$B$38),2)</f>
        <v>0</v>
      </c>
      <c r="AZ34" s="235">
        <f>ROUND(('Hours Per Job'!AZ34*$B$36),2)+ROUND(('Parts Cost Per Job'!AZ34)*((1+$B$37)*$B$38),2)</f>
        <v>0</v>
      </c>
      <c r="BA34" s="235">
        <f>ROUND(('Hours Per Job'!BA34*$B$36),2)+ROUND(('Parts Cost Per Job'!BA34)*((1+$B$37)*$B$38),2)</f>
        <v>0</v>
      </c>
      <c r="BB34" s="235">
        <f>ROUND(('Hours Per Job'!BB34*$B$36),2)+ROUND(('Parts Cost Per Job'!BB34)*((1+$B$37)*$B$38),2)</f>
        <v>42.53</v>
      </c>
      <c r="BC34" s="235">
        <f>ROUND(('Hours Per Job'!BC34*$B$36),2)+ROUND(('Parts Cost Per Job'!BC34)*((1+$B$37)*$B$38),2)</f>
        <v>47.43</v>
      </c>
      <c r="BD34" s="235">
        <f>ROUND(('Hours Per Job'!BD34*$B$36),2)+ROUND(('Parts Cost Per Job'!BD34)*((1+$B$37)*$B$38),2)</f>
        <v>0</v>
      </c>
      <c r="BE34" s="235">
        <f>ROUND(('Hours Per Job'!BE34*$B$36),2)+ROUND(('Parts Cost Per Job'!BE34)*((1+$B$37)*$B$38),2)</f>
        <v>0</v>
      </c>
      <c r="BF34" s="235">
        <f>ROUND(('Hours Per Job'!BF34*$B$36),2)+ROUND(('Parts Cost Per Job'!BF34)*((1+$B$37)*$B$38),2)</f>
        <v>0</v>
      </c>
      <c r="BG34" s="235">
        <f>ROUND(('Hours Per Job'!BG34*$B$36),2)+ROUND(('Parts Cost Per Job'!BG34)*((1+$B$37)*$B$38),2)</f>
        <v>0</v>
      </c>
      <c r="BH34" s="235">
        <f>ROUND(('Hours Per Job'!BH34*$B$36),2)+ROUND(('Parts Cost Per Job'!BH34)*((1+$B$37)*$B$38),2)</f>
        <v>151.22999999999999</v>
      </c>
      <c r="BI34" s="235">
        <f>ROUND(('Hours Per Job'!BI34*$B$36),2)+ROUND(('Parts Cost Per Job'!BI34)*((1+$B$37)*$B$38),2)</f>
        <v>0</v>
      </c>
      <c r="BJ34" s="235">
        <f>ROUND(('Hours Per Job'!BJ34*$B$36),2)+ROUND(('Parts Cost Per Job'!BJ34)*((1+$B$37)*$B$38),2)</f>
        <v>30</v>
      </c>
      <c r="BK34" s="235">
        <f>ROUND(('Hours Per Job'!BK34*$B$36),2)+ROUND(('Parts Cost Per Job'!BK34)*((1+$B$37)*$B$38),2)</f>
        <v>0</v>
      </c>
      <c r="BL34" s="235">
        <f>ROUND(('Hours Per Job'!BL34*$B$36),2)+ROUND(('Parts Cost Per Job'!BL34)*((1+$B$37)*$B$38),2)</f>
        <v>0</v>
      </c>
      <c r="BM34" s="235">
        <f>ROUND(('Hours Per Job'!BM34*$B$36),2)+ROUND(('Parts Cost Per Job'!BM34)*((1+$B$37)*$B$38),2)</f>
        <v>0</v>
      </c>
      <c r="BN34" s="235">
        <f>ROUND(('Hours Per Job'!BN34*$B$36),2)+ROUND(('Parts Cost Per Job'!BN34)*((1+$B$37)*$B$38),2)</f>
        <v>114.93</v>
      </c>
      <c r="BO34" s="235">
        <f>ROUND(('Hours Per Job'!BO34*$B$36),2)+ROUND(('Parts Cost Per Job'!BO34)*((1+$B$37)*$B$38),2)</f>
        <v>35.07</v>
      </c>
      <c r="BP34" s="235">
        <f>ROUND(('Hours Per Job'!BP34*$B$36),2)+ROUND(('Parts Cost Per Job'!BP34)*((1+$B$37)*$B$38),2)</f>
        <v>126</v>
      </c>
    </row>
    <row r="35" spans="1:68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</row>
    <row r="36" spans="1:68" x14ac:dyDescent="0.2">
      <c r="A36" s="9" t="s">
        <v>100</v>
      </c>
      <c r="B36" s="9">
        <f>+'Plan Summary'!I9</f>
        <v>120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</row>
    <row r="37" spans="1:68" x14ac:dyDescent="0.2">
      <c r="A37" s="9" t="s">
        <v>101</v>
      </c>
      <c r="B37" s="9">
        <f>+'Plan Set Up'!E3</f>
        <v>0.4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</row>
    <row r="38" spans="1:68" x14ac:dyDescent="0.2">
      <c r="A38" s="9" t="s">
        <v>102</v>
      </c>
      <c r="B38" s="9">
        <f>+'Plan Set Up'!E4</f>
        <v>1.04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</row>
    <row r="39" spans="1:68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</row>
    <row r="40" spans="1:68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</row>
    <row r="41" spans="1:68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</row>
    <row r="42" spans="1:68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</row>
    <row r="43" spans="1:68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</row>
    <row r="44" spans="1:68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</row>
    <row r="45" spans="1:68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</row>
    <row r="46" spans="1:68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</row>
    <row r="47" spans="1:68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</row>
    <row r="48" spans="1:68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</row>
    <row r="49" spans="1:68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</row>
    <row r="50" spans="1:68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</row>
    <row r="51" spans="1:68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</row>
    <row r="52" spans="1:68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</row>
    <row r="53" spans="1:68" x14ac:dyDescent="0.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 t="s">
        <v>103</v>
      </c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</row>
    <row r="54" spans="1:68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</row>
    <row r="55" spans="1:68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</row>
    <row r="56" spans="1:68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</row>
    <row r="57" spans="1:68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</row>
    <row r="58" spans="1:68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</row>
    <row r="59" spans="1:68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</row>
    <row r="60" spans="1:68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</row>
    <row r="61" spans="1:68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</row>
    <row r="62" spans="1:68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</row>
    <row r="63" spans="1:68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</row>
    <row r="64" spans="1:68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</row>
    <row r="65" spans="1:68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</row>
    <row r="66" spans="1:68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</row>
    <row r="67" spans="1:68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</row>
    <row r="68" spans="1:68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</row>
    <row r="69" spans="1:68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</row>
    <row r="70" spans="1:68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</row>
    <row r="71" spans="1:68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</row>
    <row r="72" spans="1:68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</row>
    <row r="73" spans="1:68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</row>
    <row r="74" spans="1:68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</row>
    <row r="75" spans="1:68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</row>
    <row r="76" spans="1:68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</row>
    <row r="77" spans="1:68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</row>
    <row r="78" spans="1:68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</row>
    <row r="79" spans="1:68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</row>
    <row r="80" spans="1:68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</row>
    <row r="81" spans="1:68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</row>
    <row r="82" spans="1:68" x14ac:dyDescent="0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</row>
    <row r="83" spans="1:68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</row>
    <row r="84" spans="1:68" x14ac:dyDescent="0.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</row>
    <row r="85" spans="1:68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</row>
    <row r="86" spans="1:68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</row>
    <row r="87" spans="1:68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</row>
    <row r="88" spans="1:68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</row>
    <row r="89" spans="1:68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</row>
    <row r="90" spans="1:68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</row>
    <row r="91" spans="1:68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</row>
    <row r="92" spans="1:68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</row>
    <row r="93" spans="1:68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</row>
    <row r="94" spans="1:68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</row>
    <row r="95" spans="1:68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</row>
    <row r="96" spans="1:68" x14ac:dyDescent="0.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</row>
    <row r="97" spans="1:68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</row>
    <row r="98" spans="1:68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</row>
    <row r="99" spans="1:68" x14ac:dyDescent="0.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</row>
    <row r="100" spans="1:68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</row>
    <row r="101" spans="1:68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</row>
    <row r="102" spans="1:68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</row>
    <row r="103" spans="1:68" x14ac:dyDescent="0.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</row>
    <row r="104" spans="1:68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</row>
    <row r="105" spans="1:68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</row>
    <row r="106" spans="1:68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</row>
    <row r="107" spans="1:68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</row>
    <row r="108" spans="1:68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</row>
    <row r="109" spans="1:68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</row>
    <row r="110" spans="1:68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</row>
    <row r="111" spans="1:68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</row>
    <row r="112" spans="1:68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</row>
    <row r="113" spans="1:68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</row>
    <row r="114" spans="1:68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</row>
    <row r="115" spans="1:68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</row>
    <row r="116" spans="1:68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</row>
    <row r="117" spans="1:68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</row>
    <row r="118" spans="1:68" x14ac:dyDescent="0.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</row>
    <row r="119" spans="1:68" x14ac:dyDescent="0.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</row>
    <row r="120" spans="1:68" x14ac:dyDescent="0.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</row>
    <row r="121" spans="1:68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</row>
    <row r="122" spans="1:68" x14ac:dyDescent="0.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</row>
    <row r="123" spans="1:68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</row>
    <row r="124" spans="1:68" x14ac:dyDescent="0.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</row>
    <row r="125" spans="1:68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</row>
    <row r="126" spans="1:68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</row>
    <row r="127" spans="1:68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</row>
    <row r="128" spans="1:68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</row>
    <row r="129" spans="1:68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</row>
    <row r="130" spans="1:68" x14ac:dyDescent="0.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</row>
    <row r="131" spans="1:68" x14ac:dyDescent="0.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</row>
    <row r="132" spans="1:68" x14ac:dyDescent="0.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</row>
    <row r="133" spans="1:68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</row>
    <row r="134" spans="1:68" x14ac:dyDescent="0.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</row>
    <row r="135" spans="1:68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</row>
    <row r="136" spans="1:68" x14ac:dyDescent="0.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</row>
    <row r="137" spans="1:68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</row>
    <row r="138" spans="1:68" x14ac:dyDescent="0.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</row>
    <row r="139" spans="1:68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</row>
    <row r="140" spans="1:68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</row>
    <row r="141" spans="1:68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</row>
    <row r="142" spans="1:68" x14ac:dyDescent="0.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</row>
    <row r="143" spans="1:68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</row>
    <row r="144" spans="1:68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</row>
    <row r="145" spans="1:68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</row>
    <row r="146" spans="1:68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</row>
    <row r="147" spans="1:68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</row>
    <row r="148" spans="1:68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</row>
    <row r="149" spans="1:68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</row>
    <row r="150" spans="1:68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</row>
    <row r="151" spans="1:68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</row>
    <row r="152" spans="1:68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</row>
    <row r="153" spans="1:68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</row>
    <row r="154" spans="1:68" x14ac:dyDescent="0.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</row>
    <row r="155" spans="1:68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</row>
    <row r="156" spans="1:68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</row>
    <row r="157" spans="1:68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</row>
    <row r="158" spans="1:68" x14ac:dyDescent="0.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</row>
    <row r="159" spans="1:68" x14ac:dyDescent="0.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</row>
    <row r="160" spans="1:68" x14ac:dyDescent="0.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</row>
    <row r="161" spans="1:68" x14ac:dyDescent="0.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</row>
    <row r="162" spans="1:68" x14ac:dyDescent="0.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</row>
    <row r="163" spans="1:68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</row>
    <row r="164" spans="1:68" x14ac:dyDescent="0.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</row>
    <row r="165" spans="1:68" x14ac:dyDescent="0.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</row>
    <row r="166" spans="1:68" x14ac:dyDescent="0.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</row>
    <row r="167" spans="1:68" x14ac:dyDescent="0.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</row>
    <row r="168" spans="1:68" x14ac:dyDescent="0.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</row>
    <row r="169" spans="1:68" x14ac:dyDescent="0.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</row>
    <row r="170" spans="1:68" x14ac:dyDescent="0.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</row>
    <row r="171" spans="1:68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</row>
    <row r="172" spans="1:68" x14ac:dyDescent="0.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</row>
    <row r="173" spans="1:68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</row>
    <row r="174" spans="1:68" x14ac:dyDescent="0.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</row>
    <row r="175" spans="1:68" x14ac:dyDescent="0.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</row>
    <row r="176" spans="1:68" x14ac:dyDescent="0.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</row>
    <row r="177" spans="1:68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</row>
    <row r="178" spans="1:68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</row>
    <row r="179" spans="1:68" x14ac:dyDescent="0.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</row>
    <row r="180" spans="1:68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</row>
    <row r="181" spans="1:68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</row>
    <row r="182" spans="1:68" x14ac:dyDescent="0.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</row>
    <row r="183" spans="1:68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</row>
    <row r="184" spans="1:68" x14ac:dyDescent="0.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</row>
    <row r="185" spans="1:68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</row>
    <row r="186" spans="1:68" x14ac:dyDescent="0.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</row>
    <row r="187" spans="1:68" x14ac:dyDescent="0.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</row>
    <row r="188" spans="1:68" x14ac:dyDescent="0.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</row>
    <row r="189" spans="1:68" x14ac:dyDescent="0.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</row>
    <row r="190" spans="1:68" x14ac:dyDescent="0.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</row>
    <row r="191" spans="1:68" x14ac:dyDescent="0.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</row>
    <row r="192" spans="1:68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</row>
    <row r="193" spans="1:68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</row>
    <row r="194" spans="1:68" x14ac:dyDescent="0.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</row>
    <row r="195" spans="1:68" x14ac:dyDescent="0.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</row>
    <row r="196" spans="1:68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</row>
    <row r="197" spans="1:68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</row>
    <row r="198" spans="1:68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</row>
    <row r="199" spans="1:68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</row>
    <row r="200" spans="1:68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</row>
    <row r="201" spans="1:68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</row>
    <row r="202" spans="1:68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</row>
    <row r="203" spans="1:68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</row>
    <row r="204" spans="1:68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</row>
    <row r="205" spans="1:68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</row>
    <row r="206" spans="1:68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</row>
    <row r="207" spans="1:68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</row>
    <row r="208" spans="1:68" x14ac:dyDescent="0.2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</row>
    <row r="209" spans="1:68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</row>
    <row r="210" spans="1:68" x14ac:dyDescent="0.2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</row>
    <row r="211" spans="1:68" x14ac:dyDescent="0.2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</row>
    <row r="212" spans="1:68" x14ac:dyDescent="0.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</row>
    <row r="213" spans="1:68" x14ac:dyDescent="0.2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</row>
    <row r="214" spans="1:68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</row>
    <row r="215" spans="1:68" x14ac:dyDescent="0.2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</row>
    <row r="216" spans="1:68" x14ac:dyDescent="0.2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</row>
    <row r="217" spans="1:68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</row>
    <row r="218" spans="1:68" x14ac:dyDescent="0.2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</row>
    <row r="219" spans="1:68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</row>
    <row r="220" spans="1:68" x14ac:dyDescent="0.2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</row>
    <row r="221" spans="1:68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</row>
    <row r="222" spans="1:68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</row>
    <row r="223" spans="1:68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</row>
    <row r="224" spans="1:68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</row>
    <row r="225" spans="1:68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</row>
    <row r="226" spans="1:68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</row>
    <row r="227" spans="1:68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</row>
    <row r="228" spans="1:68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</row>
    <row r="229" spans="1:68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</row>
    <row r="230" spans="1:68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</row>
    <row r="231" spans="1:68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</row>
    <row r="232" spans="1:68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</row>
    <row r="233" spans="1:68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</row>
    <row r="234" spans="1:68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</row>
    <row r="235" spans="1:68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</row>
    <row r="236" spans="1:68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</row>
    <row r="237" spans="1:68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</row>
    <row r="238" spans="1:68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</row>
    <row r="239" spans="1:68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</row>
    <row r="240" spans="1:68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</row>
    <row r="241" spans="1:68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</row>
    <row r="242" spans="1:68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</row>
    <row r="243" spans="1:68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</row>
    <row r="244" spans="1:68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</row>
    <row r="245" spans="1:68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</row>
    <row r="246" spans="1:68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</row>
    <row r="247" spans="1:68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</row>
    <row r="248" spans="1:68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</row>
    <row r="249" spans="1:68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</row>
    <row r="250" spans="1:68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</row>
    <row r="251" spans="1:68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</row>
    <row r="252" spans="1:68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</row>
    <row r="253" spans="1:68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</row>
    <row r="254" spans="1:68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</row>
    <row r="255" spans="1:68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</row>
    <row r="256" spans="1:68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</row>
    <row r="257" spans="1:68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</row>
    <row r="258" spans="1:68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</row>
    <row r="259" spans="1:68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</row>
    <row r="260" spans="1:68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</row>
    <row r="261" spans="1:68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</row>
    <row r="262" spans="1:68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</row>
    <row r="263" spans="1:68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</row>
    <row r="264" spans="1:68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</row>
    <row r="265" spans="1:68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</row>
    <row r="266" spans="1:68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</row>
    <row r="267" spans="1:68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</row>
    <row r="268" spans="1:68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</row>
    <row r="269" spans="1:68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</row>
    <row r="270" spans="1:68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</row>
    <row r="271" spans="1:68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</row>
    <row r="272" spans="1:68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</row>
    <row r="273" spans="1:68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</row>
    <row r="274" spans="1:68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</row>
    <row r="275" spans="1:68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</row>
    <row r="276" spans="1:68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</row>
    <row r="277" spans="1:68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</row>
    <row r="278" spans="1:68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</row>
    <row r="279" spans="1:68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</row>
    <row r="280" spans="1:68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</row>
    <row r="281" spans="1:68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</row>
    <row r="282" spans="1:68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</row>
    <row r="283" spans="1:68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</row>
    <row r="284" spans="1:68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</row>
    <row r="285" spans="1:68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</row>
    <row r="286" spans="1:68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</row>
    <row r="287" spans="1:68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</row>
    <row r="288" spans="1:68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</row>
    <row r="289" spans="1:68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</row>
    <row r="290" spans="1:68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</row>
    <row r="291" spans="1:68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</row>
    <row r="292" spans="1:68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</row>
    <row r="293" spans="1:68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</row>
    <row r="294" spans="1:68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</row>
    <row r="295" spans="1:68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</row>
    <row r="296" spans="1:68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</row>
    <row r="297" spans="1:68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</row>
    <row r="298" spans="1:68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</row>
    <row r="299" spans="1:68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</row>
    <row r="300" spans="1:68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</row>
    <row r="301" spans="1:68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</row>
    <row r="302" spans="1:68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</row>
    <row r="303" spans="1:68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</row>
    <row r="304" spans="1:68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</row>
    <row r="305" spans="1:68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</row>
    <row r="306" spans="1:68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</row>
    <row r="307" spans="1:68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</row>
    <row r="308" spans="1:68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</row>
    <row r="309" spans="1:68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</row>
    <row r="310" spans="1:68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</row>
    <row r="311" spans="1:68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</row>
    <row r="312" spans="1:68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</row>
    <row r="313" spans="1:68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</row>
    <row r="314" spans="1:68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</row>
    <row r="315" spans="1:68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</row>
    <row r="316" spans="1:68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</row>
    <row r="317" spans="1:68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</row>
    <row r="318" spans="1:68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</row>
    <row r="319" spans="1:68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</row>
    <row r="320" spans="1:68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</row>
    <row r="321" spans="1:68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</row>
    <row r="322" spans="1:68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</row>
    <row r="323" spans="1:68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</row>
    <row r="324" spans="1:68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</row>
    <row r="325" spans="1:68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</row>
    <row r="326" spans="1:68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</row>
    <row r="327" spans="1:68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</row>
    <row r="328" spans="1:68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</row>
    <row r="329" spans="1:68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</row>
    <row r="330" spans="1:68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</row>
    <row r="331" spans="1:68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</row>
    <row r="332" spans="1:68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</row>
    <row r="333" spans="1:68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</row>
    <row r="334" spans="1:68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</row>
    <row r="335" spans="1:68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</row>
    <row r="336" spans="1:68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</row>
    <row r="337" spans="1:68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</row>
    <row r="338" spans="1:68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</row>
    <row r="339" spans="1:68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</row>
    <row r="340" spans="1:68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</row>
    <row r="341" spans="1:68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</row>
    <row r="342" spans="1:68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</row>
    <row r="343" spans="1:68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</row>
    <row r="344" spans="1:68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</row>
    <row r="345" spans="1:68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</row>
    <row r="346" spans="1:68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</row>
    <row r="347" spans="1:68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</row>
    <row r="348" spans="1:68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</row>
    <row r="349" spans="1:68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</row>
    <row r="350" spans="1:68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</row>
    <row r="351" spans="1:68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</row>
    <row r="352" spans="1:68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</row>
    <row r="353" spans="1:68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</row>
    <row r="354" spans="1:68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</row>
    <row r="355" spans="1:68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</row>
    <row r="356" spans="1:68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</row>
    <row r="357" spans="1:68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</row>
    <row r="358" spans="1:68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</row>
    <row r="359" spans="1:68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</row>
    <row r="360" spans="1:68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</row>
    <row r="361" spans="1:68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</row>
    <row r="362" spans="1:68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</row>
    <row r="363" spans="1:68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</row>
    <row r="364" spans="1:68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</row>
    <row r="365" spans="1:68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</row>
    <row r="366" spans="1:68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</row>
    <row r="367" spans="1:68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</row>
    <row r="368" spans="1:68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</row>
    <row r="369" spans="1:68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</row>
    <row r="370" spans="1:68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</row>
    <row r="371" spans="1:68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</row>
    <row r="372" spans="1:68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</row>
    <row r="373" spans="1:68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</row>
    <row r="374" spans="1:68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</row>
    <row r="375" spans="1:68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</row>
    <row r="376" spans="1:68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</row>
    <row r="377" spans="1:68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</row>
    <row r="378" spans="1:68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</row>
    <row r="379" spans="1:68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</row>
    <row r="380" spans="1:68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</row>
    <row r="381" spans="1:68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</row>
    <row r="382" spans="1:68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</row>
    <row r="383" spans="1:68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</row>
    <row r="384" spans="1:68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</row>
    <row r="385" spans="1:68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</row>
    <row r="386" spans="1:68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</row>
    <row r="387" spans="1:68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</row>
    <row r="388" spans="1:68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</row>
    <row r="389" spans="1:68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</row>
    <row r="390" spans="1:68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</row>
    <row r="391" spans="1:68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</row>
    <row r="392" spans="1:68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</row>
    <row r="393" spans="1:68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</row>
    <row r="394" spans="1:68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</row>
    <row r="395" spans="1:68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</row>
    <row r="396" spans="1:68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</row>
    <row r="397" spans="1:68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</row>
    <row r="398" spans="1:68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</row>
    <row r="399" spans="1:68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</row>
    <row r="400" spans="1:68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</row>
    <row r="401" spans="1:68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</row>
    <row r="402" spans="1:68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</row>
    <row r="403" spans="1:68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</row>
    <row r="404" spans="1:68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</row>
    <row r="405" spans="1:68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</row>
    <row r="406" spans="1:68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</row>
    <row r="407" spans="1:68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</row>
    <row r="408" spans="1:68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</row>
    <row r="409" spans="1:68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</row>
    <row r="410" spans="1:68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</row>
    <row r="411" spans="1:68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</row>
    <row r="412" spans="1:68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</row>
    <row r="413" spans="1:68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</row>
    <row r="414" spans="1:68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</row>
    <row r="415" spans="1:68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</row>
    <row r="416" spans="1:68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</row>
    <row r="417" spans="1:68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</row>
    <row r="418" spans="1:68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</row>
    <row r="419" spans="1:68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</row>
    <row r="420" spans="1:68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</row>
    <row r="421" spans="1:68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</row>
    <row r="422" spans="1:68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</row>
    <row r="423" spans="1:68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</row>
    <row r="424" spans="1:68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</row>
    <row r="425" spans="1:68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</row>
    <row r="426" spans="1:68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</row>
    <row r="427" spans="1:68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</row>
    <row r="428" spans="1:68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</row>
    <row r="429" spans="1:68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</row>
    <row r="430" spans="1:68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</row>
    <row r="431" spans="1:68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</row>
    <row r="432" spans="1:68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</row>
    <row r="433" spans="1:68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</row>
    <row r="434" spans="1:68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</row>
    <row r="435" spans="1:68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</row>
    <row r="436" spans="1:68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</row>
    <row r="437" spans="1:68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</row>
    <row r="438" spans="1:68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</row>
    <row r="439" spans="1:68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</row>
    <row r="440" spans="1:68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</row>
    <row r="441" spans="1:68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</row>
    <row r="442" spans="1:68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</row>
    <row r="443" spans="1:68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</row>
    <row r="444" spans="1:68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</row>
    <row r="445" spans="1:68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</row>
    <row r="446" spans="1:68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</row>
    <row r="447" spans="1:68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</row>
    <row r="448" spans="1:68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</row>
    <row r="449" spans="1:68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</row>
    <row r="450" spans="1:68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</row>
    <row r="451" spans="1:68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</row>
    <row r="452" spans="1:68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</row>
    <row r="453" spans="1:68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</row>
    <row r="454" spans="1:68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</row>
    <row r="455" spans="1:68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</row>
    <row r="456" spans="1:68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</row>
    <row r="457" spans="1:68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</row>
    <row r="458" spans="1:68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</row>
    <row r="459" spans="1:68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</row>
    <row r="460" spans="1:68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</row>
    <row r="461" spans="1:68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</row>
    <row r="462" spans="1:68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</row>
    <row r="463" spans="1:68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</row>
    <row r="464" spans="1:68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</row>
    <row r="465" spans="1:68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</row>
    <row r="466" spans="1:68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</row>
    <row r="467" spans="1:68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</row>
    <row r="468" spans="1:68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</row>
    <row r="469" spans="1:68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</row>
    <row r="470" spans="1:68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</row>
    <row r="471" spans="1:68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</row>
    <row r="472" spans="1:68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</row>
    <row r="473" spans="1:68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</row>
    <row r="474" spans="1:68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</row>
    <row r="475" spans="1:68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</row>
    <row r="476" spans="1:68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</row>
    <row r="477" spans="1:68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</row>
    <row r="478" spans="1:68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</row>
    <row r="479" spans="1:68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</row>
    <row r="480" spans="1:68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</row>
    <row r="481" spans="1:68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</row>
    <row r="482" spans="1:68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</row>
    <row r="483" spans="1:68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</row>
    <row r="484" spans="1:68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</row>
    <row r="485" spans="1:68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</row>
    <row r="486" spans="1:68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</row>
    <row r="487" spans="1:68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</row>
    <row r="488" spans="1:68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</row>
    <row r="489" spans="1:68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</row>
    <row r="490" spans="1:68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</row>
    <row r="491" spans="1:68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</row>
    <row r="492" spans="1:68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</row>
    <row r="493" spans="1:68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</row>
    <row r="494" spans="1:68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</row>
    <row r="495" spans="1:68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</row>
    <row r="496" spans="1:68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</row>
    <row r="497" spans="1:68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</row>
    <row r="498" spans="1:68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</row>
    <row r="499" spans="1:68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</row>
    <row r="500" spans="1:68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</row>
    <row r="501" spans="1:68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</row>
    <row r="502" spans="1:68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</row>
    <row r="503" spans="1:68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</row>
    <row r="504" spans="1:68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</row>
    <row r="505" spans="1:68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</row>
    <row r="506" spans="1:68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</row>
    <row r="507" spans="1:68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</row>
    <row r="508" spans="1:68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</row>
    <row r="509" spans="1:68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</row>
    <row r="510" spans="1:68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</row>
    <row r="511" spans="1:68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</row>
    <row r="512" spans="1:68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</row>
    <row r="513" spans="1:68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</row>
    <row r="514" spans="1:68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</row>
    <row r="515" spans="1:68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</row>
    <row r="516" spans="1:68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</row>
    <row r="517" spans="1:68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</row>
    <row r="518" spans="1:68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</row>
    <row r="519" spans="1:68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</row>
    <row r="520" spans="1:68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</row>
    <row r="521" spans="1:68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</row>
    <row r="522" spans="1:68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</row>
    <row r="523" spans="1:68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</row>
    <row r="524" spans="1:68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</row>
    <row r="525" spans="1:68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</row>
    <row r="526" spans="1:68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</row>
    <row r="527" spans="1:68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</row>
    <row r="528" spans="1:68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</row>
    <row r="529" spans="1:68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</row>
    <row r="530" spans="1:68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</row>
    <row r="531" spans="1:68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</row>
    <row r="532" spans="1:68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</row>
    <row r="533" spans="1:68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</row>
    <row r="534" spans="1:68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</row>
    <row r="535" spans="1:68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</row>
    <row r="536" spans="1:68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</row>
    <row r="537" spans="1:68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</row>
    <row r="538" spans="1:68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</row>
    <row r="539" spans="1:68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</row>
    <row r="540" spans="1:68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</row>
    <row r="541" spans="1:68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</row>
    <row r="542" spans="1:68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</row>
    <row r="543" spans="1:68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</row>
    <row r="544" spans="1:68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</row>
    <row r="545" spans="1:68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</row>
    <row r="546" spans="1:68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</row>
    <row r="547" spans="1:68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</row>
    <row r="548" spans="1:68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</row>
    <row r="549" spans="1:68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</row>
    <row r="550" spans="1:68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</row>
    <row r="551" spans="1:68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</row>
    <row r="552" spans="1:68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</row>
    <row r="553" spans="1:68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</row>
    <row r="554" spans="1:68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</row>
    <row r="555" spans="1:68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</row>
    <row r="556" spans="1:68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</row>
    <row r="557" spans="1:68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</row>
    <row r="558" spans="1:68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</row>
    <row r="559" spans="1:68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</row>
    <row r="560" spans="1:68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</row>
    <row r="561" spans="1:68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</row>
    <row r="562" spans="1:68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</row>
    <row r="563" spans="1:68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</row>
    <row r="564" spans="1:68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</row>
    <row r="565" spans="1:68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</row>
    <row r="566" spans="1:68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</row>
    <row r="567" spans="1:68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</row>
    <row r="568" spans="1:68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</row>
    <row r="569" spans="1:68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</row>
    <row r="570" spans="1:68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</row>
    <row r="571" spans="1:68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</row>
    <row r="572" spans="1:68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</row>
    <row r="573" spans="1:68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</row>
    <row r="574" spans="1:68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</row>
    <row r="575" spans="1:68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</row>
    <row r="576" spans="1:68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</row>
    <row r="577" spans="1:68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</row>
    <row r="578" spans="1:68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</row>
    <row r="579" spans="1:68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</row>
    <row r="580" spans="1:68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</row>
    <row r="581" spans="1:68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</row>
    <row r="582" spans="1:68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</row>
    <row r="583" spans="1:68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</row>
    <row r="584" spans="1:68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</row>
    <row r="585" spans="1:68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</row>
    <row r="586" spans="1:68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</row>
    <row r="587" spans="1:68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</row>
    <row r="588" spans="1:68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</row>
    <row r="589" spans="1:68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</row>
    <row r="590" spans="1:68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</row>
    <row r="591" spans="1:68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</row>
    <row r="592" spans="1:68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</row>
    <row r="593" spans="1:68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</row>
    <row r="594" spans="1:68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</row>
    <row r="595" spans="1:68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</row>
    <row r="596" spans="1:68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</row>
    <row r="597" spans="1:68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</row>
    <row r="598" spans="1:68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</row>
    <row r="599" spans="1:68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</row>
    <row r="600" spans="1:68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</row>
    <row r="601" spans="1:68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</row>
    <row r="602" spans="1:68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</row>
    <row r="603" spans="1:68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</row>
    <row r="604" spans="1:68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</row>
    <row r="605" spans="1:68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</row>
    <row r="606" spans="1:68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</row>
    <row r="607" spans="1:68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</row>
    <row r="608" spans="1:68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</row>
    <row r="609" spans="1:68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</row>
    <row r="610" spans="1:68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</row>
    <row r="611" spans="1:68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</row>
    <row r="612" spans="1:68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</row>
    <row r="613" spans="1:68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</row>
    <row r="614" spans="1:68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</row>
    <row r="615" spans="1:68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</row>
    <row r="616" spans="1:68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</row>
    <row r="617" spans="1:68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</row>
    <row r="618" spans="1:68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</row>
    <row r="619" spans="1:68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</row>
    <row r="620" spans="1:68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</row>
    <row r="621" spans="1:68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</row>
    <row r="622" spans="1:68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</row>
    <row r="623" spans="1:68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</row>
    <row r="624" spans="1:68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</row>
    <row r="625" spans="1:68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</row>
    <row r="626" spans="1:68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</row>
    <row r="627" spans="1:68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</row>
    <row r="628" spans="1:68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</row>
    <row r="629" spans="1:68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</row>
    <row r="630" spans="1:68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</row>
    <row r="631" spans="1:68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</row>
    <row r="632" spans="1:68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</row>
    <row r="633" spans="1:68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</row>
    <row r="634" spans="1:68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</row>
    <row r="635" spans="1:68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</row>
    <row r="636" spans="1:68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</row>
    <row r="637" spans="1:68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</row>
    <row r="638" spans="1:68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</row>
    <row r="639" spans="1:68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</row>
    <row r="640" spans="1:68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</row>
    <row r="641" spans="1:68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</row>
    <row r="642" spans="1:68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</row>
    <row r="643" spans="1:68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</row>
    <row r="644" spans="1:68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</row>
    <row r="645" spans="1:68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</row>
    <row r="646" spans="1:68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</row>
    <row r="647" spans="1:68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</row>
    <row r="648" spans="1:68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</row>
    <row r="649" spans="1:68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</row>
    <row r="650" spans="1:68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</row>
    <row r="651" spans="1:68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</row>
    <row r="652" spans="1:68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</row>
    <row r="653" spans="1:68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</row>
    <row r="654" spans="1:68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</row>
    <row r="655" spans="1:68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</row>
    <row r="656" spans="1:68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</row>
    <row r="657" spans="1:68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</row>
    <row r="658" spans="1:68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</row>
    <row r="659" spans="1:68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</row>
    <row r="660" spans="1:68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</row>
    <row r="661" spans="1:68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</row>
    <row r="662" spans="1:68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</row>
    <row r="663" spans="1:68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</row>
    <row r="664" spans="1:68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</row>
    <row r="665" spans="1:68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</row>
    <row r="666" spans="1:68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</row>
    <row r="667" spans="1:68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</row>
    <row r="668" spans="1:68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</row>
    <row r="669" spans="1:68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</row>
    <row r="670" spans="1:68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</row>
    <row r="671" spans="1:68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</row>
    <row r="672" spans="1:68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</row>
    <row r="673" spans="1:68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</row>
    <row r="674" spans="1:68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</row>
    <row r="675" spans="1:68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</row>
    <row r="676" spans="1:68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</row>
    <row r="677" spans="1:68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</row>
    <row r="678" spans="1:68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</row>
    <row r="679" spans="1:68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</row>
    <row r="680" spans="1:68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</row>
    <row r="681" spans="1:68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</row>
    <row r="682" spans="1:68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</row>
    <row r="683" spans="1:68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</row>
    <row r="684" spans="1:68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</row>
    <row r="685" spans="1:68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</row>
    <row r="686" spans="1:68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</row>
    <row r="687" spans="1:68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</row>
    <row r="688" spans="1:68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</row>
    <row r="689" spans="1:68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</row>
    <row r="690" spans="1:68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</row>
    <row r="691" spans="1:68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</row>
    <row r="692" spans="1:68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</row>
    <row r="693" spans="1:68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</row>
    <row r="694" spans="1:68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</row>
    <row r="695" spans="1:68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</row>
    <row r="696" spans="1:68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</row>
    <row r="697" spans="1:68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</row>
    <row r="698" spans="1:68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</row>
    <row r="699" spans="1:68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</row>
    <row r="700" spans="1:68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</row>
    <row r="701" spans="1:68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</row>
    <row r="702" spans="1:68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</row>
    <row r="703" spans="1:68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</row>
    <row r="704" spans="1:68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</row>
    <row r="705" spans="1:68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</row>
    <row r="706" spans="1:68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</row>
    <row r="707" spans="1:68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</row>
    <row r="708" spans="1:68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</row>
    <row r="709" spans="1:68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</row>
    <row r="710" spans="1:68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</row>
    <row r="711" spans="1:68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</row>
    <row r="712" spans="1:68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</row>
    <row r="713" spans="1:68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</row>
    <row r="714" spans="1:68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</row>
    <row r="715" spans="1:68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</row>
    <row r="716" spans="1:68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</row>
    <row r="717" spans="1:68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</row>
    <row r="718" spans="1:68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</row>
    <row r="719" spans="1:68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</row>
    <row r="720" spans="1:68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</row>
    <row r="721" spans="1:68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</row>
    <row r="722" spans="1:68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</row>
    <row r="723" spans="1:68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</row>
    <row r="724" spans="1:68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</row>
    <row r="725" spans="1:68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</row>
    <row r="726" spans="1:68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</row>
    <row r="727" spans="1:68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</row>
    <row r="728" spans="1:68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</row>
    <row r="729" spans="1:68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</row>
    <row r="730" spans="1:68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</row>
    <row r="731" spans="1:68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</row>
    <row r="732" spans="1:68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</row>
    <row r="733" spans="1:68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</row>
    <row r="734" spans="1:68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</row>
    <row r="735" spans="1:68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</row>
    <row r="736" spans="1:68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</row>
    <row r="737" spans="1:68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</row>
    <row r="738" spans="1:68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</row>
    <row r="739" spans="1:68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</row>
    <row r="740" spans="1:68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</row>
    <row r="741" spans="1:68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</row>
    <row r="742" spans="1:68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</row>
    <row r="743" spans="1:68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</row>
    <row r="744" spans="1:68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</row>
    <row r="745" spans="1:68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</row>
    <row r="746" spans="1:68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</row>
    <row r="747" spans="1:68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</row>
    <row r="748" spans="1:68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</row>
    <row r="749" spans="1:68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</row>
    <row r="750" spans="1:68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</row>
    <row r="751" spans="1:68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</row>
    <row r="752" spans="1:68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</row>
    <row r="753" spans="1:68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</row>
    <row r="754" spans="1:68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</row>
    <row r="755" spans="1:68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</row>
    <row r="756" spans="1:68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</row>
    <row r="757" spans="1:68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</row>
    <row r="758" spans="1:68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</row>
    <row r="759" spans="1:68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</row>
    <row r="760" spans="1:68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</row>
    <row r="761" spans="1:68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</row>
    <row r="762" spans="1:68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</row>
    <row r="763" spans="1:68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</row>
    <row r="764" spans="1:68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</row>
    <row r="765" spans="1:68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</row>
    <row r="766" spans="1:68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</row>
    <row r="767" spans="1:68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</row>
    <row r="768" spans="1:68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</row>
    <row r="769" spans="1:68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</row>
    <row r="770" spans="1:68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</row>
    <row r="771" spans="1:68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</row>
    <row r="772" spans="1:68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</row>
    <row r="773" spans="1:68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</row>
    <row r="774" spans="1:68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</row>
    <row r="775" spans="1:68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</row>
    <row r="776" spans="1:68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</row>
    <row r="777" spans="1:68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</row>
    <row r="778" spans="1:68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</row>
    <row r="779" spans="1:68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</row>
    <row r="780" spans="1:68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</row>
    <row r="781" spans="1:68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</row>
    <row r="782" spans="1:68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</row>
    <row r="783" spans="1:68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</row>
    <row r="784" spans="1:68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</row>
    <row r="785" spans="1:68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</row>
    <row r="786" spans="1:68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</row>
    <row r="787" spans="1:68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</row>
    <row r="788" spans="1:68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</row>
    <row r="789" spans="1:68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</row>
    <row r="790" spans="1:68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</row>
    <row r="791" spans="1:68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</row>
    <row r="792" spans="1:68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</row>
    <row r="793" spans="1:68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</row>
    <row r="794" spans="1:68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</row>
    <row r="795" spans="1:68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</row>
    <row r="796" spans="1:68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</row>
    <row r="797" spans="1:68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</row>
    <row r="798" spans="1:68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</row>
    <row r="799" spans="1:68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</row>
    <row r="800" spans="1:68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</row>
    <row r="801" spans="1:68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</row>
    <row r="802" spans="1:68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</row>
    <row r="803" spans="1:68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</row>
    <row r="804" spans="1:68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</row>
    <row r="805" spans="1:68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</row>
    <row r="806" spans="1:68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</row>
    <row r="807" spans="1:68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</row>
    <row r="808" spans="1:68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</row>
    <row r="809" spans="1:68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</row>
    <row r="810" spans="1:68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</row>
    <row r="811" spans="1:68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</row>
    <row r="812" spans="1:68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</row>
    <row r="813" spans="1:68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</row>
    <row r="814" spans="1:68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</row>
    <row r="815" spans="1:68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</row>
    <row r="816" spans="1:68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</row>
    <row r="817" spans="1:68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</row>
    <row r="818" spans="1:68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</row>
    <row r="819" spans="1:68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</row>
    <row r="820" spans="1:68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</row>
    <row r="821" spans="1:68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</row>
    <row r="822" spans="1:68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</row>
    <row r="823" spans="1:68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</row>
    <row r="824" spans="1:68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</row>
    <row r="825" spans="1:68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</row>
    <row r="826" spans="1:68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</row>
    <row r="827" spans="1:68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</row>
    <row r="828" spans="1:68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</row>
    <row r="829" spans="1:68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</row>
    <row r="830" spans="1:68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</row>
    <row r="831" spans="1:68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</row>
    <row r="832" spans="1:68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</row>
    <row r="833" spans="1:68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</row>
    <row r="834" spans="1:68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</row>
    <row r="835" spans="1:68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</row>
    <row r="836" spans="1:68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</row>
    <row r="837" spans="1:68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</row>
    <row r="838" spans="1:68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</row>
    <row r="839" spans="1:68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</row>
    <row r="840" spans="1:68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</row>
    <row r="841" spans="1:68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</row>
    <row r="842" spans="1:68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</row>
    <row r="843" spans="1:68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</row>
    <row r="844" spans="1:68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</row>
    <row r="845" spans="1:68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</row>
    <row r="846" spans="1:68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</row>
    <row r="847" spans="1:68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</row>
    <row r="848" spans="1:68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</row>
    <row r="849" spans="1:68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</row>
    <row r="850" spans="1:68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</row>
    <row r="851" spans="1:68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</row>
    <row r="852" spans="1:68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</row>
    <row r="853" spans="1:68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</row>
    <row r="854" spans="1:68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</row>
    <row r="855" spans="1:68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</row>
    <row r="856" spans="1:68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</row>
    <row r="857" spans="1:68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</row>
    <row r="858" spans="1:68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</row>
    <row r="859" spans="1:68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</row>
    <row r="860" spans="1:68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</row>
    <row r="861" spans="1:68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</row>
    <row r="862" spans="1:68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</row>
    <row r="863" spans="1:68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</row>
    <row r="864" spans="1:68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</row>
    <row r="865" spans="1:68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</row>
    <row r="866" spans="1:68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</row>
    <row r="867" spans="1:68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</row>
    <row r="868" spans="1:68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</row>
    <row r="869" spans="1:68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</row>
    <row r="870" spans="1:68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</row>
    <row r="871" spans="1:68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</row>
    <row r="872" spans="1:68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</row>
    <row r="873" spans="1:68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</row>
    <row r="874" spans="1:68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</row>
    <row r="875" spans="1:68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</row>
    <row r="876" spans="1:68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</row>
    <row r="877" spans="1:68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</row>
    <row r="878" spans="1:68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</row>
    <row r="879" spans="1:68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</row>
    <row r="880" spans="1:68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</row>
    <row r="881" spans="1:68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</row>
    <row r="882" spans="1:68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</row>
    <row r="883" spans="1:68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</row>
    <row r="884" spans="1:68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</row>
    <row r="885" spans="1:68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</row>
    <row r="886" spans="1:68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</row>
    <row r="887" spans="1:68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</row>
    <row r="888" spans="1:68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</row>
    <row r="889" spans="1:68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</row>
    <row r="890" spans="1:68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</row>
    <row r="891" spans="1:68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</row>
    <row r="892" spans="1:68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</row>
    <row r="893" spans="1:68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</row>
    <row r="894" spans="1:68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</row>
    <row r="895" spans="1:68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</row>
    <row r="896" spans="1:68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</row>
    <row r="897" spans="1:68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</row>
    <row r="898" spans="1:68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</row>
    <row r="899" spans="1:68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</row>
    <row r="900" spans="1:68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</row>
    <row r="901" spans="1:68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</row>
    <row r="902" spans="1:68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</row>
    <row r="903" spans="1:68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</row>
    <row r="904" spans="1:68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</row>
    <row r="905" spans="1:68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</row>
    <row r="906" spans="1:68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</row>
    <row r="907" spans="1:68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</row>
    <row r="908" spans="1:68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</row>
    <row r="909" spans="1:68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</row>
    <row r="910" spans="1:68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</row>
    <row r="911" spans="1:68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</row>
    <row r="912" spans="1:68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</row>
    <row r="913" spans="1:68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</row>
    <row r="914" spans="1:68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</row>
    <row r="915" spans="1:68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</row>
    <row r="916" spans="1:68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</row>
    <row r="917" spans="1:68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</row>
    <row r="918" spans="1:68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</row>
    <row r="919" spans="1:68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</row>
    <row r="920" spans="1:68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</row>
    <row r="921" spans="1:68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</row>
    <row r="922" spans="1:68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</row>
    <row r="923" spans="1:68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</row>
    <row r="924" spans="1:68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</row>
    <row r="925" spans="1:68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</row>
    <row r="926" spans="1:68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</row>
    <row r="927" spans="1:68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</row>
    <row r="928" spans="1:68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</row>
    <row r="929" spans="1:68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</row>
    <row r="930" spans="1:68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</row>
    <row r="931" spans="1:68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</row>
    <row r="932" spans="1:68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</row>
    <row r="933" spans="1:68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</row>
    <row r="934" spans="1:68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</row>
    <row r="935" spans="1:68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</row>
    <row r="936" spans="1:68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</row>
    <row r="937" spans="1:68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</row>
    <row r="938" spans="1:68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</row>
    <row r="939" spans="1:68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</row>
    <row r="940" spans="1:68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</row>
    <row r="941" spans="1:68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</row>
    <row r="942" spans="1:68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</row>
    <row r="943" spans="1:68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</row>
    <row r="944" spans="1:68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</row>
    <row r="945" spans="1:68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</row>
    <row r="946" spans="1:68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</row>
    <row r="947" spans="1:68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</row>
    <row r="948" spans="1:68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</row>
    <row r="949" spans="1:68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</row>
    <row r="950" spans="1:68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</row>
    <row r="951" spans="1:68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</row>
    <row r="952" spans="1:68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</row>
    <row r="953" spans="1:68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</row>
    <row r="954" spans="1:68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</row>
    <row r="955" spans="1:68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</row>
    <row r="956" spans="1:68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</row>
    <row r="957" spans="1:68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</row>
    <row r="958" spans="1:68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</row>
    <row r="959" spans="1:68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</row>
    <row r="960" spans="1:68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</row>
    <row r="961" spans="1:68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</row>
    <row r="962" spans="1:68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</row>
    <row r="963" spans="1:68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</row>
    <row r="964" spans="1:68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</row>
    <row r="965" spans="1:68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</row>
    <row r="966" spans="1:68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</row>
    <row r="967" spans="1:68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</row>
    <row r="968" spans="1:68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</row>
    <row r="969" spans="1:68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</row>
    <row r="970" spans="1:68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</row>
    <row r="971" spans="1:68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</row>
    <row r="972" spans="1:68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</row>
    <row r="973" spans="1:68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</row>
    <row r="974" spans="1:68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</row>
    <row r="975" spans="1:68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</row>
    <row r="976" spans="1:68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</row>
    <row r="977" spans="1:68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</row>
    <row r="978" spans="1:68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</row>
    <row r="979" spans="1:68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</row>
    <row r="980" spans="1:68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</row>
    <row r="981" spans="1:68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</row>
    <row r="982" spans="1:68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</row>
    <row r="983" spans="1:68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</row>
    <row r="984" spans="1:68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</row>
    <row r="985" spans="1:68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</row>
    <row r="986" spans="1:68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</row>
    <row r="987" spans="1:68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</row>
    <row r="988" spans="1:68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</row>
    <row r="989" spans="1:68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</row>
    <row r="990" spans="1:68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</row>
    <row r="991" spans="1:68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</row>
    <row r="992" spans="1:68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</row>
    <row r="993" spans="1:68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</row>
    <row r="994" spans="1:68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</row>
    <row r="995" spans="1:68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</row>
    <row r="996" spans="1:68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</row>
    <row r="997" spans="1:68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</row>
    <row r="998" spans="1:68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</row>
    <row r="999" spans="1:68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</row>
    <row r="1000" spans="1:68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</row>
    <row r="1001" spans="1:68" x14ac:dyDescent="0.2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</row>
    <row r="1002" spans="1:68" x14ac:dyDescent="0.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  <c r="BP1002" s="9"/>
    </row>
    <row r="1003" spans="1:68" x14ac:dyDescent="0.2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9"/>
      <c r="BP1003" s="9"/>
    </row>
  </sheetData>
  <mergeCells count="3">
    <mergeCell ref="B1:M1"/>
    <mergeCell ref="Q1:R1"/>
    <mergeCell ref="U1:BN1"/>
  </mergeCells>
  <dataValidations count="1">
    <dataValidation type="list" allowBlank="1" showErrorMessage="1" sqref="C3:BP3" xr:uid="{00000000-0002-0000-0500-000000000000}">
      <formula1>"Labor Only,Parts Only,Parts and Labor"</formula1>
    </dataValidation>
  </dataValidation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105"/>
  <sheetViews>
    <sheetView workbookViewId="0">
      <pane xSplit="1" ySplit="3" topLeftCell="B12" activePane="bottomRight" state="frozen"/>
      <selection activeCell="A13" sqref="A13:E16"/>
      <selection pane="topRight" activeCell="A13" sqref="A13:E16"/>
      <selection pane="bottomLeft" activeCell="A13" sqref="A13:E16"/>
      <selection pane="bottomRight" activeCell="A32" sqref="A32"/>
    </sheetView>
  </sheetViews>
  <sheetFormatPr baseColWidth="10" defaultColWidth="11.1640625" defaultRowHeight="15" customHeight="1" x14ac:dyDescent="0.2"/>
  <cols>
    <col min="1" max="1" width="20.5" customWidth="1"/>
    <col min="2" max="7" width="10.83203125" customWidth="1"/>
    <col min="8" max="8" width="14" customWidth="1"/>
    <col min="9" max="27" width="10.83203125" customWidth="1"/>
    <col min="28" max="28" width="13.5" customWidth="1"/>
    <col min="29" max="61" width="10.83203125" customWidth="1"/>
    <col min="62" max="62" width="12.33203125" customWidth="1"/>
    <col min="63" max="68" width="10.83203125" customWidth="1"/>
  </cols>
  <sheetData>
    <row r="1" spans="1:68" x14ac:dyDescent="0.2">
      <c r="B1" s="270" t="s">
        <v>95</v>
      </c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2"/>
      <c r="Q1" s="273" t="s">
        <v>96</v>
      </c>
      <c r="R1" s="265"/>
      <c r="S1" s="265"/>
      <c r="T1" s="269"/>
      <c r="U1" s="268" t="s">
        <v>23</v>
      </c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65"/>
      <c r="AK1" s="265"/>
      <c r="AL1" s="265"/>
      <c r="AM1" s="265"/>
      <c r="AN1" s="265"/>
      <c r="AO1" s="265"/>
      <c r="AP1" s="265"/>
      <c r="AQ1" s="265"/>
      <c r="AR1" s="265"/>
      <c r="AS1" s="265"/>
      <c r="AT1" s="265"/>
      <c r="AU1" s="265"/>
      <c r="AV1" s="265"/>
      <c r="AW1" s="265"/>
      <c r="AX1" s="265"/>
      <c r="AY1" s="265"/>
      <c r="AZ1" s="265"/>
      <c r="BA1" s="265"/>
      <c r="BB1" s="265"/>
      <c r="BC1" s="265"/>
      <c r="BD1" s="265"/>
      <c r="BE1" s="265"/>
      <c r="BF1" s="265"/>
      <c r="BG1" s="265"/>
      <c r="BH1" s="265"/>
      <c r="BI1" s="265"/>
      <c r="BJ1" s="265"/>
      <c r="BK1" s="265"/>
      <c r="BL1" s="265"/>
      <c r="BM1" s="265"/>
      <c r="BN1" s="265"/>
      <c r="BO1" s="265"/>
      <c r="BP1" s="269"/>
    </row>
    <row r="2" spans="1:68" x14ac:dyDescent="0.2">
      <c r="A2" s="243">
        <f>'Interval Summary'!C5</f>
        <v>500</v>
      </c>
      <c r="B2" s="114" t="str">
        <f>+'Scheduled Intervals'!B2</f>
        <v>Perform Oil and Filter Change</v>
      </c>
      <c r="C2" s="115" t="str">
        <f>+'Scheduled Intervals'!C2</f>
        <v xml:space="preserve">Clean Water seperator </v>
      </c>
      <c r="D2" s="115" t="str">
        <f>+'Scheduled Intervals'!D2</f>
        <v xml:space="preserve">Drain Water from Fuel Tank </v>
      </c>
      <c r="E2" s="115" t="str">
        <f>+'Scheduled Intervals'!E2</f>
        <v>Perform Transmission Filter and Fluid Service</v>
      </c>
      <c r="F2" s="115" t="str">
        <f>+'Scheduled Intervals'!F2</f>
        <v xml:space="preserve">Change HST Oil Filter </v>
      </c>
      <c r="G2" s="115" t="str">
        <f>+'Scheduled Intervals'!G2</f>
        <v>Change Hydraulic Fluid</v>
      </c>
      <c r="H2" s="115" t="str">
        <f>+'Scheduled Intervals'!H2</f>
        <v>Grease Machine at required lubrication fittings</v>
      </c>
      <c r="I2" s="115" t="str">
        <f>+'Scheduled Intervals'!I2</f>
        <v>Conduct Multi Point Inpection and make minor adjustments</v>
      </c>
      <c r="J2" s="115" t="str">
        <f>+'Scheduled Intervals'!J2</f>
        <v>Perform Track Tension Adjustment</v>
      </c>
      <c r="K2" s="115" t="str">
        <f>+'Scheduled Intervals'!K2</f>
        <v xml:space="preserve">Change fuel filter element </v>
      </c>
      <c r="L2" s="115" t="str">
        <f>+'Scheduled Intervals'!L2</f>
        <v>Change final drive fluid</v>
      </c>
      <c r="M2" s="115" t="str">
        <f>+'Scheduled Intervals'!M2</f>
        <v>Change hydraulic return filter</v>
      </c>
      <c r="N2" s="116" t="str">
        <f>+'Scheduled Intervals'!N2</f>
        <v>Change final drive fluid</v>
      </c>
      <c r="O2" s="116" t="str">
        <f>+'Scheduled Intervals'!O2</f>
        <v>Change final drive fluid</v>
      </c>
      <c r="P2" s="117" t="str">
        <f>+'Scheduled Intervals'!P2</f>
        <v>Change Hydraulic suction return filter</v>
      </c>
      <c r="Q2" s="118" t="str">
        <f>+'Scheduled Intervals'!Q2</f>
        <v xml:space="preserve"> Change Hydraulic Oil Filter and Oil</v>
      </c>
      <c r="R2" s="119" t="str">
        <f>+'Scheduled Intervals'!R2</f>
        <v xml:space="preserve">Final Drive or Hydrostatic Oil Change </v>
      </c>
      <c r="S2" s="119" t="str">
        <f>+'Scheduled Intervals'!S2</f>
        <v>Change Transmission Fluid and filters</v>
      </c>
      <c r="T2" s="120" t="str">
        <f>+'Scheduled Intervals'!T2</f>
        <v>Change Hydraulic fluid</v>
      </c>
      <c r="U2" s="121" t="str">
        <f>+'Scheduled Intervals'!U2</f>
        <v>Perform Oil and Filter Change</v>
      </c>
      <c r="V2" s="122" t="str">
        <f>+'Scheduled Intervals'!V2</f>
        <v>Change Oil Seperator Element</v>
      </c>
      <c r="W2" s="122" t="str">
        <f>+'Scheduled Intervals'!W2</f>
        <v>Clean Water seperator</v>
      </c>
      <c r="X2" s="122" t="str">
        <f>+'Scheduled Intervals'!X2</f>
        <v>Replace Water Seperator Element</v>
      </c>
      <c r="Y2" s="122" t="str">
        <f>+'Scheduled Intervals'!Y2</f>
        <v>Drain Water from Fuel Tank</v>
      </c>
      <c r="Z2" s="122" t="str">
        <f>+'Scheduled Intervals'!Z2</f>
        <v>Change fuel Filter Element</v>
      </c>
      <c r="AA2" s="122" t="str">
        <f>+'Scheduled Intervals'!AA2</f>
        <v>Change Fuel Pump Filter and/or PCV Element</v>
      </c>
      <c r="AB2" s="122" t="str">
        <f>+'Scheduled Intervals'!AB2</f>
        <v xml:space="preserve">Perform Transmission Fluid and Tank Service </v>
      </c>
      <c r="AC2" s="122" t="str">
        <f>+'Scheduled Intervals'!AC2</f>
        <v>Replace Transmission Oil Filters</v>
      </c>
      <c r="AD2" s="122">
        <f>+'Scheduled Intervals'!AD2</f>
        <v>0</v>
      </c>
      <c r="AE2" s="122" t="str">
        <f>+'Scheduled Intervals'!AE2</f>
        <v>Change Hydraulic Oil Filter</v>
      </c>
      <c r="AF2" s="122" t="str">
        <f>+'Scheduled Intervals'!AF2</f>
        <v xml:space="preserve">Change or Clean Hydraulic Breather Element </v>
      </c>
      <c r="AG2" s="122" t="str">
        <f>+'Scheduled Intervals'!AG2</f>
        <v xml:space="preserve">Change or Clean Hydraulic return  Filter </v>
      </c>
      <c r="AH2" s="122" t="str">
        <f>+'Scheduled Intervals'!AH2</f>
        <v>Change Hydraulic Pilot Filters and O-Ring</v>
      </c>
      <c r="AI2" s="122" t="str">
        <f>+'Scheduled Intervals'!AI2</f>
        <v>Change Suction  Elements and Hydraulic Fluid</v>
      </c>
      <c r="AJ2" s="122" t="str">
        <f>+'Scheduled Intervals'!AJ2</f>
        <v xml:space="preserve">Change Drive Oil  - Front and Rear or Hydrostatic </v>
      </c>
      <c r="AK2" s="122" t="str">
        <f>+'Scheduled Intervals'!AK2</f>
        <v>Change Drive Oil Rear</v>
      </c>
      <c r="AL2" s="122" t="str">
        <f>+'Scheduled Intervals'!AL2</f>
        <v xml:space="preserve">Change Drive Oil Front </v>
      </c>
      <c r="AM2" s="122" t="str">
        <f>+'Scheduled Intervals'!AM2</f>
        <v>Change Gear Box Oil and Filter</v>
      </c>
      <c r="AN2" s="122" t="str">
        <f>+'Scheduled Intervals'!AN2</f>
        <v>Change Gear Box Seals</v>
      </c>
      <c r="AO2" s="122" t="str">
        <f>+'Scheduled Intervals'!AO2</f>
        <v>Grease Crank Shaft</v>
      </c>
      <c r="AP2" s="122" t="str">
        <f>+'Scheduled Intervals'!AP2</f>
        <v>Clean AC Condensor</v>
      </c>
      <c r="AQ2" s="122" t="str">
        <f>+'Scheduled Intervals'!AQ2</f>
        <v>Clean Cabin Air Filter</v>
      </c>
      <c r="AR2" s="122" t="str">
        <f>+'Scheduled Intervals'!AR2</f>
        <v>Change Breather Foam</v>
      </c>
      <c r="AS2" s="122" t="str">
        <f>+'Scheduled Intervals'!AS2</f>
        <v>Change or Clean Cabin Air Filter</v>
      </c>
      <c r="AT2" s="122" t="str">
        <f>+'Scheduled Intervals'!AT2</f>
        <v>Grease Machine at Assorted Lubrication Points</v>
      </c>
      <c r="AU2" s="122" t="str">
        <f>+'Scheduled Intervals'!AU2</f>
        <v>Lubricate and Oil Throttle Cable</v>
      </c>
      <c r="AV2" s="122" t="str">
        <f>+'Scheduled Intervals'!AV2</f>
        <v>Adjust Track Tension</v>
      </c>
      <c r="AW2" s="122" t="str">
        <f>+'Scheduled Intervals'!AW2</f>
        <v>Check and Adjust Valve Clearance</v>
      </c>
      <c r="AX2" s="122">
        <f>+'Scheduled Intervals'!AX2</f>
        <v>0</v>
      </c>
      <c r="AY2" s="122" t="str">
        <f>+'Scheduled Intervals'!AY2</f>
        <v>Adjust Electonic Clutch</v>
      </c>
      <c r="AZ2" s="122" t="str">
        <f>+'Scheduled Intervals'!AZ2</f>
        <v>Replace Fan/ Drive Belt</v>
      </c>
      <c r="BA2" s="122" t="str">
        <f>+'Scheduled Intervals'!BA2</f>
        <v>Replace or Replenish Power Steering Fluid</v>
      </c>
      <c r="BB2" s="122" t="str">
        <f>+'Scheduled Intervals'!BB2</f>
        <v>Replace Air Cleaner element</v>
      </c>
      <c r="BC2" s="122" t="str">
        <f>+'Scheduled Intervals'!BC2</f>
        <v>Replace Inner Air Filter</v>
      </c>
      <c r="BD2" s="122" t="str">
        <f>+'Scheduled Intervals'!BD2</f>
        <v>Replace Spark Plugs</v>
      </c>
      <c r="BE2" s="122" t="str">
        <f>+'Scheduled Intervals'!BE2</f>
        <v>Check End Play of  Center Shaft and Make minor Adjustment</v>
      </c>
      <c r="BF2" s="122" t="str">
        <f>+'Scheduled Intervals'!BF2</f>
        <v xml:space="preserve">Check PCV and EGR Valves and Check Fuel Injectors </v>
      </c>
      <c r="BG2" s="122" t="str">
        <f>+'Scheduled Intervals'!BG2</f>
        <v xml:space="preserve">Check DEF Injector Tips and Line </v>
      </c>
      <c r="BH2" s="122" t="str">
        <f>+'Scheduled Intervals'!BH2</f>
        <v>Perform Coolant System Flush</v>
      </c>
      <c r="BI2" s="122" t="str">
        <f>+'Scheduled Intervals'!BI2</f>
        <v>Inspect and Sharpen Blades</v>
      </c>
      <c r="BJ2" s="122" t="str">
        <f>+'Scheduled Intervals'!BJ2</f>
        <v>Conduct Multi Point Inpection and Make Minor Adjustments</v>
      </c>
      <c r="BK2" s="122" t="str">
        <f>+'Scheduled Intervals'!BK2</f>
        <v>Change DEF Suction and Pump Filters</v>
      </c>
      <c r="BL2" s="122" t="str">
        <f>+'Scheduled Intervals'!BL2</f>
        <v>Perform Brake Fluid Service</v>
      </c>
      <c r="BM2" s="122" t="str">
        <f>+'Scheduled Intervals'!BM2</f>
        <v>Change Swing Drive Oil</v>
      </c>
      <c r="BN2" s="122" t="str">
        <f>+'Scheduled Intervals'!BN2</f>
        <v>Perform Annual Oil and Filter Change</v>
      </c>
      <c r="BO2" s="122" t="str">
        <f>+'Scheduled Intervals'!BO2</f>
        <v>Annually Grease Machine at Assorted Lubrication Points</v>
      </c>
      <c r="BP2" s="122" t="str">
        <f>+'Scheduled Intervals'!BP2</f>
        <v>Conduct Annual Multi Point Inpection and Make Minor Adjustments</v>
      </c>
    </row>
    <row r="3" spans="1:68" x14ac:dyDescent="0.2">
      <c r="A3" s="124" t="s">
        <v>98</v>
      </c>
      <c r="B3" s="125" t="str">
        <f>+'Scheduled Intervals'!B3</f>
        <v>Parts and Labor</v>
      </c>
      <c r="C3" s="126" t="str">
        <f>+'Scheduled Intervals'!C3</f>
        <v>Labor Only</v>
      </c>
      <c r="D3" s="126" t="str">
        <f>+'Scheduled Intervals'!D3</f>
        <v>Labor Only</v>
      </c>
      <c r="E3" s="126" t="str">
        <f>+'Scheduled Intervals'!E3</f>
        <v>Parts and Labor</v>
      </c>
      <c r="F3" s="126" t="str">
        <f>+'Scheduled Intervals'!F3</f>
        <v>Parts and Labor</v>
      </c>
      <c r="G3" s="126" t="str">
        <f>+'Scheduled Intervals'!G3</f>
        <v>Parts and Labor</v>
      </c>
      <c r="H3" s="126" t="str">
        <f>+'Scheduled Intervals'!H3</f>
        <v>Parts and Labor</v>
      </c>
      <c r="I3" s="126" t="str">
        <f>+'Scheduled Intervals'!I3</f>
        <v>Labor Only</v>
      </c>
      <c r="J3" s="126" t="str">
        <f>+'Scheduled Intervals'!J3</f>
        <v>Labor Only</v>
      </c>
      <c r="K3" s="126" t="str">
        <f>+'Scheduled Intervals'!K3</f>
        <v>Parts and Labor</v>
      </c>
      <c r="L3" s="126" t="str">
        <f>+'Scheduled Intervals'!L3</f>
        <v>Parts and Labor</v>
      </c>
      <c r="M3" s="127" t="str">
        <f>+'Scheduled Intervals'!M3</f>
        <v>Parts and Labor</v>
      </c>
      <c r="N3" s="127" t="str">
        <f>+'Scheduled Intervals'!N3</f>
        <v>Parts and Labor</v>
      </c>
      <c r="O3" s="127" t="str">
        <f>+'Scheduled Intervals'!O3</f>
        <v>Parts and Labor</v>
      </c>
      <c r="P3" s="128" t="str">
        <f>+'Scheduled Intervals'!P3</f>
        <v>Parts and Labor</v>
      </c>
      <c r="Q3" s="129" t="str">
        <f>+'Scheduled Intervals'!Q3</f>
        <v>Parts and Labor</v>
      </c>
      <c r="R3" s="131" t="str">
        <f>+'Scheduled Intervals'!R3</f>
        <v>Parts and Labor</v>
      </c>
      <c r="S3" s="131" t="str">
        <f>+'Scheduled Intervals'!S3</f>
        <v>Parts and Labor</v>
      </c>
      <c r="T3" s="132" t="str">
        <f>+'Scheduled Intervals'!T3</f>
        <v>Parts and Labor</v>
      </c>
      <c r="U3" s="121" t="str">
        <f>+'Scheduled Intervals'!U3</f>
        <v>Parts and Labor</v>
      </c>
      <c r="V3" s="122" t="str">
        <f>+'Scheduled Intervals'!V3</f>
        <v>Parts and Labor</v>
      </c>
      <c r="W3" s="122" t="str">
        <f>+'Scheduled Intervals'!W3</f>
        <v>Labor Only</v>
      </c>
      <c r="X3" s="122" t="str">
        <f>+'Scheduled Intervals'!X3</f>
        <v>Parts and Labor</v>
      </c>
      <c r="Y3" s="122" t="str">
        <f>+'Scheduled Intervals'!Y3</f>
        <v>Labor Only</v>
      </c>
      <c r="Z3" s="122" t="str">
        <f>+'Scheduled Intervals'!Z3</f>
        <v>Parts and Labor</v>
      </c>
      <c r="AA3" s="122" t="str">
        <f>+'Scheduled Intervals'!AA3</f>
        <v>Parts and Labor</v>
      </c>
      <c r="AB3" s="122" t="str">
        <f>+'Scheduled Intervals'!AB3</f>
        <v>Parts and Labor</v>
      </c>
      <c r="AC3" s="122" t="str">
        <f>+'Scheduled Intervals'!AC3</f>
        <v>Parts and Labor</v>
      </c>
      <c r="AD3" s="122" t="str">
        <f>+'Scheduled Intervals'!AD3</f>
        <v>Parts and Labor</v>
      </c>
      <c r="AE3" s="122" t="str">
        <f>+'Scheduled Intervals'!AE3</f>
        <v>Parts and Labor</v>
      </c>
      <c r="AF3" s="122" t="str">
        <f>+'Scheduled Intervals'!AF3</f>
        <v>Parts and Labor</v>
      </c>
      <c r="AG3" s="122" t="str">
        <f>+'Scheduled Intervals'!AG3</f>
        <v>Parts and Labor</v>
      </c>
      <c r="AH3" s="122" t="str">
        <f>+'Scheduled Intervals'!AH3</f>
        <v>Parts and Labor</v>
      </c>
      <c r="AI3" s="122" t="str">
        <f>+'Scheduled Intervals'!AI3</f>
        <v>Parts and Labor</v>
      </c>
      <c r="AJ3" s="122" t="str">
        <f>+'Scheduled Intervals'!AJ3</f>
        <v>Parts and Labor</v>
      </c>
      <c r="AK3" s="122" t="str">
        <f>+'Scheduled Intervals'!AK3</f>
        <v>Parts and Labor</v>
      </c>
      <c r="AL3" s="122" t="str">
        <f>+'Scheduled Intervals'!AL3</f>
        <v>Parts and Labor</v>
      </c>
      <c r="AM3" s="122" t="str">
        <f>+'Scheduled Intervals'!AM3</f>
        <v>Parts and Labor</v>
      </c>
      <c r="AN3" s="122" t="str">
        <f>+'Scheduled Intervals'!AN3</f>
        <v>Parts and Labor</v>
      </c>
      <c r="AO3" s="122" t="str">
        <f>+'Scheduled Intervals'!AO3</f>
        <v>Parts and Labor</v>
      </c>
      <c r="AP3" s="122" t="str">
        <f>+'Scheduled Intervals'!AP3</f>
        <v>Labor Only</v>
      </c>
      <c r="AQ3" s="122" t="str">
        <f>+'Scheduled Intervals'!AQ3</f>
        <v>Labor Only</v>
      </c>
      <c r="AR3" s="122" t="str">
        <f>+'Scheduled Intervals'!AR3</f>
        <v>Parts and Labor</v>
      </c>
      <c r="AS3" s="122" t="str">
        <f>+'Scheduled Intervals'!AS3</f>
        <v>Parts and Labor</v>
      </c>
      <c r="AT3" s="122" t="str">
        <f>+'Scheduled Intervals'!AT3</f>
        <v>Parts and Labor</v>
      </c>
      <c r="AU3" s="122" t="str">
        <f>+'Scheduled Intervals'!AU3</f>
        <v>Parts and Labor</v>
      </c>
      <c r="AV3" s="122" t="str">
        <f>+'Scheduled Intervals'!AV3</f>
        <v>Labor Only</v>
      </c>
      <c r="AW3" s="122" t="str">
        <f>+'Scheduled Intervals'!AW3</f>
        <v>Parts and Labor</v>
      </c>
      <c r="AX3" s="122" t="str">
        <f>+'Scheduled Intervals'!AX3</f>
        <v>Parts and Labor</v>
      </c>
      <c r="AY3" s="122" t="str">
        <f>+'Scheduled Intervals'!AY3</f>
        <v>Labor Only</v>
      </c>
      <c r="AZ3" s="122" t="str">
        <f>+'Scheduled Intervals'!AZ3</f>
        <v>Parts and Labor</v>
      </c>
      <c r="BA3" s="122" t="str">
        <f>+'Scheduled Intervals'!BA3</f>
        <v>Parts and Labor</v>
      </c>
      <c r="BB3" s="122" t="str">
        <f>+'Scheduled Intervals'!BB3</f>
        <v>Parts and Labor</v>
      </c>
      <c r="BC3" s="122" t="str">
        <f>+'Scheduled Intervals'!BC3</f>
        <v>Parts and Labor</v>
      </c>
      <c r="BD3" s="122" t="str">
        <f>+'Scheduled Intervals'!BD3</f>
        <v>Parts and Labor</v>
      </c>
      <c r="BE3" s="122" t="str">
        <f>+'Scheduled Intervals'!BE3</f>
        <v>Labor Only</v>
      </c>
      <c r="BF3" s="122" t="str">
        <f>+'Scheduled Intervals'!BF3</f>
        <v>Labor Only</v>
      </c>
      <c r="BG3" s="122" t="str">
        <f>+'Scheduled Intervals'!BG3</f>
        <v>Labor Only</v>
      </c>
      <c r="BH3" s="122" t="str">
        <f>+'Scheduled Intervals'!BH3</f>
        <v>Parts and Labor</v>
      </c>
      <c r="BI3" s="122" t="str">
        <f>+'Scheduled Intervals'!BI3</f>
        <v>Labor Only</v>
      </c>
      <c r="BJ3" s="122" t="str">
        <f>+'Scheduled Intervals'!BJ3</f>
        <v>Labor Only</v>
      </c>
      <c r="BK3" s="122" t="str">
        <f>+'Scheduled Intervals'!BK3</f>
        <v>Parts and Labor</v>
      </c>
      <c r="BL3" s="122" t="str">
        <f>+'Scheduled Intervals'!BL3</f>
        <v>Parts and Labor</v>
      </c>
      <c r="BM3" s="122" t="str">
        <f>+'Scheduled Intervals'!BM3</f>
        <v>Parts and Labor</v>
      </c>
      <c r="BN3" s="122" t="str">
        <f>+'Scheduled Intervals'!BN3</f>
        <v>Parts and Labor</v>
      </c>
      <c r="BO3" s="122" t="str">
        <f>+'Scheduled Intervals'!BO3</f>
        <v>Parts and Labor</v>
      </c>
      <c r="BP3" s="122" t="str">
        <f>+'Scheduled Intervals'!BP3</f>
        <v>Labor Only</v>
      </c>
    </row>
    <row r="4" spans="1:68" x14ac:dyDescent="0.2">
      <c r="A4" s="133" t="str">
        <f>+'Scheduled Intervals'!A4</f>
        <v>RTV</v>
      </c>
      <c r="B4" s="134" t="str">
        <f>IF('Scheduled Intervals'!B4&lt;&gt;"",IF($A$2='Scheduled Intervals'!B4,"Yes",""),"")</f>
        <v/>
      </c>
      <c r="C4" s="134" t="str">
        <f>IF('Scheduled Intervals'!C4&lt;&gt;"",IF($A$2='Scheduled Intervals'!C4,"Yes",""),"")</f>
        <v/>
      </c>
      <c r="D4" s="134" t="str">
        <f>IF('Scheduled Intervals'!D4&lt;&gt;"",IF($A$2='Scheduled Intervals'!D4,"Yes",""),"")</f>
        <v/>
      </c>
      <c r="E4" s="134" t="str">
        <f>IF('Scheduled Intervals'!E4&lt;&gt;"",IF($A$2='Scheduled Intervals'!E4,"Yes",""),"")</f>
        <v/>
      </c>
      <c r="F4" s="134" t="str">
        <f>IF('Scheduled Intervals'!F4&lt;&gt;"",IF($A$2='Scheduled Intervals'!F4,"Yes",""),"")</f>
        <v/>
      </c>
      <c r="G4" s="134" t="str">
        <f>IF('Scheduled Intervals'!G4&lt;&gt;"",IF($A$2='Scheduled Intervals'!G4,"Yes",""),"")</f>
        <v/>
      </c>
      <c r="H4" s="134" t="str">
        <f>IF('Scheduled Intervals'!H4&lt;&gt;"",IF($A$2='Scheduled Intervals'!H4,"Yes",""),"")</f>
        <v/>
      </c>
      <c r="I4" s="134" t="str">
        <f>IF('Scheduled Intervals'!I4&lt;&gt;"",IF($A$2='Scheduled Intervals'!I4,"Yes",""),"")</f>
        <v/>
      </c>
      <c r="J4" s="134" t="str">
        <f>IF('Scheduled Intervals'!J4&lt;&gt;"",IF($A$2='Scheduled Intervals'!J4,"Yes",""),"")</f>
        <v/>
      </c>
      <c r="K4" s="134" t="str">
        <f>IF('Scheduled Intervals'!K4&lt;&gt;"",IF($A$2='Scheduled Intervals'!K4,"Yes",""),"")</f>
        <v/>
      </c>
      <c r="L4" s="134" t="str">
        <f>IF('Scheduled Intervals'!L4&lt;&gt;"",IF($A$2='Scheduled Intervals'!L4,"Yes",""),"")</f>
        <v/>
      </c>
      <c r="M4" s="134" t="str">
        <f>IF('Scheduled Intervals'!M4&lt;&gt;"",IF($A$2='Scheduled Intervals'!M4,"Yes",""),"")</f>
        <v/>
      </c>
      <c r="N4" s="134" t="str">
        <f>IF('Scheduled Intervals'!N4&lt;&gt;"",IF($A$2='Scheduled Intervals'!N4,"Yes",""),"")</f>
        <v/>
      </c>
      <c r="O4" s="134" t="str">
        <f>IF('Scheduled Intervals'!O4&lt;&gt;"",IF($A$2='Scheduled Intervals'!O4,"Yes",""),"")</f>
        <v/>
      </c>
      <c r="P4" s="134" t="str">
        <f>IF('Scheduled Intervals'!P4&lt;&gt;"",IF($A$2='Scheduled Intervals'!P4,"Yes",""),"")</f>
        <v/>
      </c>
      <c r="Q4" s="134" t="str">
        <f>IF('Scheduled Intervals'!Q4&lt;&gt;"",IF($A$2='Scheduled Intervals'!Q4,"Yes",""),"")</f>
        <v/>
      </c>
      <c r="R4" s="134" t="str">
        <f>IF('Scheduled Intervals'!R4&lt;&gt;"",IF($A$2='Scheduled Intervals'!R4,"Yes",""),"")</f>
        <v/>
      </c>
      <c r="S4" s="134" t="str">
        <f>IF('Scheduled Intervals'!S4&lt;&gt;"",IF($A$2='Scheduled Intervals'!S4,"Yes",""),"")</f>
        <v/>
      </c>
      <c r="T4" s="134" t="str">
        <f>IF('Scheduled Intervals'!T4&lt;&gt;"",IF($A$2='Scheduled Intervals'!T4,"Yes",""),"")</f>
        <v/>
      </c>
      <c r="U4" s="244" t="str">
        <f>IF($A$2="Annual","",IF('Scheduled Intervals'!U4&lt;&gt;"",IF($A$2/'Scheduled Intervals'!U4=ROUND($A$2/'Scheduled Intervals'!U4,0),"Yes",""),""))</f>
        <v/>
      </c>
      <c r="V4" s="244" t="str">
        <f>IF($A$2="Annual","",IF('Scheduled Intervals'!V4&lt;&gt;"",IF($A$2/'Scheduled Intervals'!V4=ROUND($A$2/'Scheduled Intervals'!V4,0),"Yes",""),""))</f>
        <v/>
      </c>
      <c r="W4" s="244" t="str">
        <f>IF($A$2="Annual","",IF('Scheduled Intervals'!W4&lt;&gt;"",IF($A$2/'Scheduled Intervals'!W4=ROUND($A$2/'Scheduled Intervals'!W4,0),"Yes",""),""))</f>
        <v/>
      </c>
      <c r="X4" s="244" t="str">
        <f>IF($A$2="Annual","",IF('Scheduled Intervals'!X4&lt;&gt;"",IF($A$2/'Scheduled Intervals'!X4=ROUND($A$2/'Scheduled Intervals'!X4,0),"Yes",""),""))</f>
        <v/>
      </c>
      <c r="Y4" s="244" t="str">
        <f>IF($A$2="Annual","",IF('Scheduled Intervals'!Y4&lt;&gt;"",IF($A$2/'Scheduled Intervals'!Y4=ROUND($A$2/'Scheduled Intervals'!Y4,0),"Yes",""),""))</f>
        <v/>
      </c>
      <c r="Z4" s="244" t="str">
        <f>IF($A$2="Annual","",IF('Scheduled Intervals'!Z4&lt;&gt;"",IF($A$2/'Scheduled Intervals'!Z4=ROUND($A$2/'Scheduled Intervals'!Z4,0),"Yes",""),""))</f>
        <v/>
      </c>
      <c r="AA4" s="244" t="str">
        <f>IF($A$2="Annual","",IF('Scheduled Intervals'!AA4&lt;&gt;"",IF($A$2/'Scheduled Intervals'!AA4=ROUND($A$2/'Scheduled Intervals'!AA4,0),"Yes",""),""))</f>
        <v/>
      </c>
      <c r="AB4" s="244" t="str">
        <f>IF($A$2="Annual","",IF('Scheduled Intervals'!AB4&lt;&gt;"",IF($A$2/'Scheduled Intervals'!AB4=ROUND($A$2/'Scheduled Intervals'!AB4,0),"Yes",""),""))</f>
        <v/>
      </c>
      <c r="AC4" s="244" t="str">
        <f>IF($A$2="Annual","",IF('Scheduled Intervals'!AC4&lt;&gt;"",IF($A$2/'Scheduled Intervals'!AC4=ROUND($A$2/'Scheduled Intervals'!AC4,0),"Yes",""),""))</f>
        <v/>
      </c>
      <c r="AD4" s="244" t="str">
        <f>IF($A$2="Annual","",IF('Scheduled Intervals'!AD4&lt;&gt;"",IF($A$2/'Scheduled Intervals'!AD4=ROUND($A$2/'Scheduled Intervals'!AD4,0),"Yes",""),""))</f>
        <v/>
      </c>
      <c r="AE4" s="244" t="str">
        <f>IF($A$2="Annual","",IF('Scheduled Intervals'!AE4&lt;&gt;"",IF($A$2/'Scheduled Intervals'!AE4=ROUND($A$2/'Scheduled Intervals'!AE4,0),"Yes",""),""))</f>
        <v/>
      </c>
      <c r="AF4" s="244" t="str">
        <f>IF($A$2="Annual","",IF('Scheduled Intervals'!AF4&lt;&gt;"",IF($A$2/'Scheduled Intervals'!AF4=ROUND($A$2/'Scheduled Intervals'!AF4,0),"Yes",""),""))</f>
        <v/>
      </c>
      <c r="AG4" s="244" t="str">
        <f>IF($A$2="Annual","",IF('Scheduled Intervals'!AG4&lt;&gt;"",IF($A$2/'Scheduled Intervals'!AG4=ROUND($A$2/'Scheduled Intervals'!AG4,0),"Yes",""),""))</f>
        <v/>
      </c>
      <c r="AH4" s="244" t="str">
        <f>IF($A$2="Annual","",IF('Scheduled Intervals'!AH4&lt;&gt;"",IF($A$2/'Scheduled Intervals'!AH4=ROUND($A$2/'Scheduled Intervals'!AH4,0),"Yes",""),""))</f>
        <v/>
      </c>
      <c r="AI4" s="244" t="str">
        <f>IF($A$2="Annual","",IF('Scheduled Intervals'!AI4&lt;&gt;"",IF($A$2/'Scheduled Intervals'!AI4=ROUND($A$2/'Scheduled Intervals'!AI4,0),"Yes",""),""))</f>
        <v/>
      </c>
      <c r="AJ4" s="244" t="str">
        <f>IF($A$2="Annual","",IF('Scheduled Intervals'!AJ4&lt;&gt;"",IF($A$2/'Scheduled Intervals'!AJ4=ROUND($A$2/'Scheduled Intervals'!AJ4,0),"Yes",""),""))</f>
        <v/>
      </c>
      <c r="AK4" s="244" t="str">
        <f>IF($A$2="Annual","",IF('Scheduled Intervals'!AK4&lt;&gt;"",IF($A$2/'Scheduled Intervals'!AK4=ROUND($A$2/'Scheduled Intervals'!AK4,0),"Yes",""),""))</f>
        <v/>
      </c>
      <c r="AL4" s="244" t="str">
        <f>IF($A$2="Annual","",IF('Scheduled Intervals'!AL4&lt;&gt;"",IF($A$2/'Scheduled Intervals'!AL4=ROUND($A$2/'Scheduled Intervals'!AL4,0),"Yes",""),""))</f>
        <v/>
      </c>
      <c r="AM4" s="244" t="str">
        <f>IF($A$2="Annual","",IF('Scheduled Intervals'!AM4&lt;&gt;"",IF($A$2/'Scheduled Intervals'!AM4=ROUND($A$2/'Scheduled Intervals'!AM4,0),"Yes",""),""))</f>
        <v/>
      </c>
      <c r="AN4" s="244" t="str">
        <f>IF($A$2="Annual","",IF('Scheduled Intervals'!AN4&lt;&gt;"",IF($A$2/'Scheduled Intervals'!AN4=ROUND($A$2/'Scheduled Intervals'!AN4,0),"Yes",""),""))</f>
        <v/>
      </c>
      <c r="AO4" s="244" t="str">
        <f>IF($A$2="Annual","",IF('Scheduled Intervals'!AO4&lt;&gt;"",IF($A$2/'Scheduled Intervals'!AO4=ROUND($A$2/'Scheduled Intervals'!AO4,0),"Yes",""),""))</f>
        <v/>
      </c>
      <c r="AP4" s="244" t="str">
        <f>IF($A$2="Annual","",IF('Scheduled Intervals'!AP4&lt;&gt;"",IF($A$2/'Scheduled Intervals'!AP4=ROUND($A$2/'Scheduled Intervals'!AP4,0),"Yes",""),""))</f>
        <v/>
      </c>
      <c r="AQ4" s="244" t="str">
        <f>IF($A$2="Annual","",IF('Scheduled Intervals'!AQ4&lt;&gt;"",IF($A$2/'Scheduled Intervals'!AQ4=ROUND($A$2/'Scheduled Intervals'!AQ4,0),"Yes",""),""))</f>
        <v/>
      </c>
      <c r="AR4" s="244" t="str">
        <f>IF($A$2="Annual","",IF('Scheduled Intervals'!AR4&lt;&gt;"",IF($A$2/'Scheduled Intervals'!AR4=ROUND($A$2/'Scheduled Intervals'!AR4,0),"Yes",""),""))</f>
        <v/>
      </c>
      <c r="AS4" s="244" t="str">
        <f>IF($A$2="Annual","",IF('Scheduled Intervals'!AS4&lt;&gt;"",IF($A$2/'Scheduled Intervals'!AS4=ROUND($A$2/'Scheduled Intervals'!AS4,0),"Yes",""),""))</f>
        <v/>
      </c>
      <c r="AT4" s="244" t="str">
        <f>IF($A$2="Annual","",IF('Scheduled Intervals'!AT4&lt;&gt;"",IF($A$2/'Scheduled Intervals'!AT4=ROUND($A$2/'Scheduled Intervals'!AT4,0),"Yes",""),""))</f>
        <v/>
      </c>
      <c r="AU4" s="244" t="str">
        <f>IF($A$2="Annual","",IF('Scheduled Intervals'!AU4&lt;&gt;"",IF($A$2/'Scheduled Intervals'!AU4=ROUND($A$2/'Scheduled Intervals'!AU4,0),"Yes",""),""))</f>
        <v/>
      </c>
      <c r="AV4" s="244" t="str">
        <f>IF($A$2="Annual","",IF('Scheduled Intervals'!AV4&lt;&gt;"",IF($A$2/'Scheduled Intervals'!AV4=ROUND($A$2/'Scheduled Intervals'!AV4,0),"Yes",""),""))</f>
        <v/>
      </c>
      <c r="AW4" s="244" t="str">
        <f>IF($A$2="Annual","",IF('Scheduled Intervals'!AW4&lt;&gt;"",IF($A$2/'Scheduled Intervals'!AW4=ROUND($A$2/'Scheduled Intervals'!AW4,0),"Yes",""),""))</f>
        <v/>
      </c>
      <c r="AX4" s="244" t="str">
        <f>IF($A$2="Annual","",IF('Scheduled Intervals'!AX4&lt;&gt;"",IF($A$2/'Scheduled Intervals'!AX4=ROUND($A$2/'Scheduled Intervals'!AX4,0),"Yes",""),""))</f>
        <v/>
      </c>
      <c r="AY4" s="244" t="str">
        <f>IF($A$2="Annual","",IF('Scheduled Intervals'!AY4&lt;&gt;"",IF($A$2/'Scheduled Intervals'!AY4=ROUND($A$2/'Scheduled Intervals'!AY4,0),"Yes",""),""))</f>
        <v/>
      </c>
      <c r="AZ4" s="244" t="str">
        <f>IF($A$2="Annual","",IF('Scheduled Intervals'!AZ4&lt;&gt;"",IF($A$2/'Scheduled Intervals'!AZ4=ROUND($A$2/'Scheduled Intervals'!AZ4,0),"Yes",""),""))</f>
        <v/>
      </c>
      <c r="BA4" s="244" t="str">
        <f>IF($A$2="Annual","",IF('Scheduled Intervals'!BA4&lt;&gt;"",IF($A$2/'Scheduled Intervals'!BA4=ROUND($A$2/'Scheduled Intervals'!BA4,0),"Yes",""),""))</f>
        <v/>
      </c>
      <c r="BB4" s="244" t="str">
        <f>IF($A$2="Annual","",IF('Scheduled Intervals'!BB4&lt;&gt;"",IF($A$2/'Scheduled Intervals'!BB4=ROUND($A$2/'Scheduled Intervals'!BB4,0),"Yes",""),""))</f>
        <v/>
      </c>
      <c r="BC4" s="244" t="str">
        <f>IF($A$2="Annual","",IF('Scheduled Intervals'!BC4&lt;&gt;"",IF($A$2/'Scheduled Intervals'!BC4=ROUND($A$2/'Scheduled Intervals'!BC4,0),"Yes",""),""))</f>
        <v/>
      </c>
      <c r="BD4" s="244" t="str">
        <f>IF($A$2="Annual","",IF('Scheduled Intervals'!BD4&lt;&gt;"",IF($A$2/'Scheduled Intervals'!BD4=ROUND($A$2/'Scheduled Intervals'!BD4,0),"Yes",""),""))</f>
        <v>Yes</v>
      </c>
      <c r="BE4" s="244" t="str">
        <f>IF($A$2="Annual","",IF('Scheduled Intervals'!BE4&lt;&gt;"",IF($A$2/'Scheduled Intervals'!BE4=ROUND($A$2/'Scheduled Intervals'!BE4,0),"Yes",""),""))</f>
        <v/>
      </c>
      <c r="BF4" s="244" t="str">
        <f>IF($A$2="Annual","",IF('Scheduled Intervals'!BF4&lt;&gt;"",IF($A$2/'Scheduled Intervals'!BF4=ROUND($A$2/'Scheduled Intervals'!BF4,0),"Yes",""),""))</f>
        <v/>
      </c>
      <c r="BG4" s="244" t="str">
        <f>IF($A$2="Annual","",IF('Scheduled Intervals'!BG4&lt;&gt;"",IF($A$2/'Scheduled Intervals'!BG4=ROUND($A$2/'Scheduled Intervals'!BG4,0),"Yes",""),""))</f>
        <v/>
      </c>
      <c r="BH4" s="244" t="str">
        <f>IF($A$2="Annual","",IF('Scheduled Intervals'!BH4&lt;&gt;"",IF($A$2/'Scheduled Intervals'!BH4=ROUND($A$2/'Scheduled Intervals'!BH4,0),"Yes",""),""))</f>
        <v/>
      </c>
      <c r="BI4" s="244" t="str">
        <f>IF($A$2="Annual","",IF('Scheduled Intervals'!BI4&lt;&gt;"",IF($A$2/'Scheduled Intervals'!BI4=ROUND($A$2/'Scheduled Intervals'!BI4,0),"Yes",""),""))</f>
        <v/>
      </c>
      <c r="BJ4" s="244" t="str">
        <f>IF($A$2="Annual","",IF('Scheduled Intervals'!BJ4&lt;&gt;"",IF($A$2/'Scheduled Intervals'!BJ4=ROUND($A$2/'Scheduled Intervals'!BJ4,0),"Yes",""),""))</f>
        <v/>
      </c>
      <c r="BK4" s="244" t="str">
        <f>IF($A$2="Annual","",IF('Scheduled Intervals'!BK4&lt;&gt;"",IF($A$2/'Scheduled Intervals'!BK4=ROUND($A$2/'Scheduled Intervals'!BK4,0),"Yes",""),""))</f>
        <v/>
      </c>
      <c r="BL4" s="244" t="str">
        <f>IF($A$2="Annual","",IF('Scheduled Intervals'!BL4&lt;&gt;"",IF($A$2/'Scheduled Intervals'!BL4=ROUND($A$2/'Scheduled Intervals'!BL4,0),"Yes",""),""))</f>
        <v/>
      </c>
      <c r="BM4" s="244" t="str">
        <f>IF($A$2="Annual","",IF('Scheduled Intervals'!BM4&lt;&gt;"",IF($A$2/'Scheduled Intervals'!BM4=ROUND($A$2/'Scheduled Intervals'!BM4,0),"Yes",""),""))</f>
        <v/>
      </c>
      <c r="BN4" s="177" t="str">
        <f>IF(AND($A$2="annual",'Scheduled Intervals'!BN4&lt;&gt;""),"yes","")</f>
        <v/>
      </c>
      <c r="BO4" s="177" t="str">
        <f>IF(AND($A$2="annual",'Scheduled Intervals'!BO4&lt;&gt;""),"yes","")</f>
        <v/>
      </c>
      <c r="BP4" s="177" t="str">
        <f>IF(AND($A$2="annual",'Scheduled Intervals'!BP4&lt;&gt;""),"yes","")</f>
        <v/>
      </c>
    </row>
    <row r="5" spans="1:68" x14ac:dyDescent="0.2">
      <c r="A5" s="133" t="str">
        <f>+'Scheduled Intervals'!A5</f>
        <v>Zero Turn Gas</v>
      </c>
      <c r="B5" s="134" t="str">
        <f>IF('Scheduled Intervals'!B5&lt;&gt;"",IF($A$2='Scheduled Intervals'!B5,"Yes",""),"")</f>
        <v/>
      </c>
      <c r="C5" s="134" t="str">
        <f>IF('Scheduled Intervals'!C5&lt;&gt;"",IF($A$2='Scheduled Intervals'!C5,"Yes",""),"")</f>
        <v/>
      </c>
      <c r="D5" s="134" t="str">
        <f>IF('Scheduled Intervals'!D5&lt;&gt;"",IF($A$2='Scheduled Intervals'!D5,"Yes",""),"")</f>
        <v/>
      </c>
      <c r="E5" s="134" t="str">
        <f>IF('Scheduled Intervals'!E5&lt;&gt;"",IF($A$2='Scheduled Intervals'!E5,"Yes",""),"")</f>
        <v/>
      </c>
      <c r="F5" s="134" t="str">
        <f>IF('Scheduled Intervals'!F5&lt;&gt;"",IF($A$2='Scheduled Intervals'!F5,"Yes",""),"")</f>
        <v/>
      </c>
      <c r="G5" s="134" t="str">
        <f>IF('Scheduled Intervals'!G5&lt;&gt;"",IF($A$2='Scheduled Intervals'!G5,"Yes",""),"")</f>
        <v/>
      </c>
      <c r="H5" s="134" t="str">
        <f>IF('Scheduled Intervals'!H5&lt;&gt;"",IF($A$2='Scheduled Intervals'!H5,"Yes",""),"")</f>
        <v/>
      </c>
      <c r="I5" s="134" t="str">
        <f>IF('Scheduled Intervals'!I5&lt;&gt;"",IF($A$2='Scheduled Intervals'!I5,"Yes",""),"")</f>
        <v/>
      </c>
      <c r="J5" s="134" t="str">
        <f>IF('Scheduled Intervals'!J5&lt;&gt;"",IF($A$2='Scheduled Intervals'!J5,"Yes",""),"")</f>
        <v/>
      </c>
      <c r="K5" s="134" t="str">
        <f>IF('Scheduled Intervals'!K5&lt;&gt;"",IF($A$2='Scheduled Intervals'!K5,"Yes",""),"")</f>
        <v/>
      </c>
      <c r="L5" s="134" t="str">
        <f>IF('Scheduled Intervals'!L5&lt;&gt;"",IF($A$2='Scheduled Intervals'!L5,"Yes",""),"")</f>
        <v/>
      </c>
      <c r="M5" s="134" t="str">
        <f>IF('Scheduled Intervals'!M5&lt;&gt;"",IF($A$2='Scheduled Intervals'!M5,"Yes",""),"")</f>
        <v/>
      </c>
      <c r="N5" s="134" t="str">
        <f>IF('Scheduled Intervals'!N5&lt;&gt;"",IF($A$2='Scheduled Intervals'!N5,"Yes",""),"")</f>
        <v/>
      </c>
      <c r="O5" s="134" t="str">
        <f>IF('Scheduled Intervals'!O5&lt;&gt;"",IF($A$2='Scheduled Intervals'!O5,"Yes",""),"")</f>
        <v/>
      </c>
      <c r="P5" s="134" t="str">
        <f>IF('Scheduled Intervals'!P5&lt;&gt;"",IF($A$2='Scheduled Intervals'!P5,"Yes",""),"")</f>
        <v/>
      </c>
      <c r="Q5" s="134" t="str">
        <f>IF('Scheduled Intervals'!Q5&lt;&gt;"",IF($A$2='Scheduled Intervals'!Q5,"Yes",""),"")</f>
        <v/>
      </c>
      <c r="R5" s="134" t="str">
        <f>IF('Scheduled Intervals'!R5&lt;&gt;"",IF($A$2='Scheduled Intervals'!R5,"Yes",""),"")</f>
        <v/>
      </c>
      <c r="S5" s="134" t="str">
        <f>IF('Scheduled Intervals'!S5&lt;&gt;"",IF($A$2='Scheduled Intervals'!S5,"Yes",""),"")</f>
        <v/>
      </c>
      <c r="T5" s="134" t="str">
        <f>IF('Scheduled Intervals'!T5&lt;&gt;"",IF($A$2='Scheduled Intervals'!T5,"Yes",""),"")</f>
        <v/>
      </c>
      <c r="U5" s="244" t="str">
        <f>IF($A$2="Annual","",IF('Scheduled Intervals'!U5&lt;&gt;"",IF($A$2/'Scheduled Intervals'!U5=ROUND($A$2/'Scheduled Intervals'!U5,0),"Yes",""),""))</f>
        <v>Yes</v>
      </c>
      <c r="V5" s="244" t="str">
        <f>IF($A$2="Annual","",IF('Scheduled Intervals'!V5&lt;&gt;"",IF($A$2/'Scheduled Intervals'!V5=ROUND($A$2/'Scheduled Intervals'!V5,0),"Yes",""),""))</f>
        <v/>
      </c>
      <c r="W5" s="244" t="str">
        <f>IF($A$2="Annual","",IF('Scheduled Intervals'!W5&lt;&gt;"",IF($A$2/'Scheduled Intervals'!W5=ROUND($A$2/'Scheduled Intervals'!W5,0),"Yes",""),""))</f>
        <v/>
      </c>
      <c r="X5" s="244" t="str">
        <f>IF($A$2="Annual","",IF('Scheduled Intervals'!X5&lt;&gt;"",IF($A$2/'Scheduled Intervals'!X5=ROUND($A$2/'Scheduled Intervals'!X5,0),"Yes",""),""))</f>
        <v/>
      </c>
      <c r="Y5" s="244" t="str">
        <f>IF($A$2="Annual","",IF('Scheduled Intervals'!Y5&lt;&gt;"",IF($A$2/'Scheduled Intervals'!Y5=ROUND($A$2/'Scheduled Intervals'!Y5,0),"Yes",""),""))</f>
        <v/>
      </c>
      <c r="Z5" s="244" t="str">
        <f>IF($A$2="Annual","",IF('Scheduled Intervals'!Z5&lt;&gt;"",IF($A$2/'Scheduled Intervals'!Z5=ROUND($A$2/'Scheduled Intervals'!Z5,0),"Yes",""),""))</f>
        <v>Yes</v>
      </c>
      <c r="AA5" s="244" t="str">
        <f>IF($A$2="Annual","",IF('Scheduled Intervals'!AA5&lt;&gt;"",IF($A$2/'Scheduled Intervals'!AA5=ROUND($A$2/'Scheduled Intervals'!AA5,0),"Yes",""),""))</f>
        <v/>
      </c>
      <c r="AB5" s="244" t="str">
        <f>IF($A$2="Annual","",IF('Scheduled Intervals'!AB5&lt;&gt;"",IF($A$2/'Scheduled Intervals'!AB5=ROUND($A$2/'Scheduled Intervals'!AB5,0),"Yes",""),""))</f>
        <v/>
      </c>
      <c r="AC5" s="244" t="str">
        <f>IF($A$2="Annual","",IF('Scheduled Intervals'!AC5&lt;&gt;"",IF($A$2/'Scheduled Intervals'!AC5=ROUND($A$2/'Scheduled Intervals'!AC5,0),"Yes",""),""))</f>
        <v/>
      </c>
      <c r="AD5" s="244" t="str">
        <f>IF($A$2="Annual","",IF('Scheduled Intervals'!AD5&lt;&gt;"",IF($A$2/'Scheduled Intervals'!AD5=ROUND($A$2/'Scheduled Intervals'!AD5,0),"Yes",""),""))</f>
        <v/>
      </c>
      <c r="AE5" s="244" t="str">
        <f>IF($A$2="Annual","",IF('Scheduled Intervals'!AE5&lt;&gt;"",IF($A$2/'Scheduled Intervals'!AE5=ROUND($A$2/'Scheduled Intervals'!AE5,0),"Yes",""),""))</f>
        <v/>
      </c>
      <c r="AF5" s="244" t="str">
        <f>IF($A$2="Annual","",IF('Scheduled Intervals'!AF5&lt;&gt;"",IF($A$2/'Scheduled Intervals'!AF5=ROUND($A$2/'Scheduled Intervals'!AF5,0),"Yes",""),""))</f>
        <v/>
      </c>
      <c r="AG5" s="244" t="str">
        <f>IF($A$2="Annual","",IF('Scheduled Intervals'!AG5&lt;&gt;"",IF($A$2/'Scheduled Intervals'!AG5=ROUND($A$2/'Scheduled Intervals'!AG5,0),"Yes",""),""))</f>
        <v/>
      </c>
      <c r="AH5" s="244" t="str">
        <f>IF($A$2="Annual","",IF('Scheduled Intervals'!AH5&lt;&gt;"",IF($A$2/'Scheduled Intervals'!AH5=ROUND($A$2/'Scheduled Intervals'!AH5,0),"Yes",""),""))</f>
        <v/>
      </c>
      <c r="AI5" s="244" t="str">
        <f>IF($A$2="Annual","",IF('Scheduled Intervals'!AI5&lt;&gt;"",IF($A$2/'Scheduled Intervals'!AI5=ROUND($A$2/'Scheduled Intervals'!AI5,0),"Yes",""),""))</f>
        <v/>
      </c>
      <c r="AJ5" s="244" t="str">
        <f>IF($A$2="Annual","",IF('Scheduled Intervals'!AJ5&lt;&gt;"",IF($A$2/'Scheduled Intervals'!AJ5=ROUND($A$2/'Scheduled Intervals'!AJ5,0),"Yes",""),""))</f>
        <v/>
      </c>
      <c r="AK5" s="244" t="str">
        <f>IF($A$2="Annual","",IF('Scheduled Intervals'!AK5&lt;&gt;"",IF($A$2/'Scheduled Intervals'!AK5=ROUND($A$2/'Scheduled Intervals'!AK5,0),"Yes",""),""))</f>
        <v/>
      </c>
      <c r="AL5" s="244" t="str">
        <f>IF($A$2="Annual","",IF('Scheduled Intervals'!AL5&lt;&gt;"",IF($A$2/'Scheduled Intervals'!AL5=ROUND($A$2/'Scheduled Intervals'!AL5,0),"Yes",""),""))</f>
        <v/>
      </c>
      <c r="AM5" s="244" t="str">
        <f>IF($A$2="Annual","",IF('Scheduled Intervals'!AM5&lt;&gt;"",IF($A$2/'Scheduled Intervals'!AM5=ROUND($A$2/'Scheduled Intervals'!AM5,0),"Yes",""),""))</f>
        <v/>
      </c>
      <c r="AN5" s="244" t="str">
        <f>IF($A$2="Annual","",IF('Scheduled Intervals'!AN5&lt;&gt;"",IF($A$2/'Scheduled Intervals'!AN5=ROUND($A$2/'Scheduled Intervals'!AN5,0),"Yes",""),""))</f>
        <v/>
      </c>
      <c r="AO5" s="244" t="str">
        <f>IF($A$2="Annual","",IF('Scheduled Intervals'!AO5&lt;&gt;"",IF($A$2/'Scheduled Intervals'!AO5=ROUND($A$2/'Scheduled Intervals'!AO5,0),"Yes",""),""))</f>
        <v/>
      </c>
      <c r="AP5" s="244" t="str">
        <f>IF($A$2="Annual","",IF('Scheduled Intervals'!AP5&lt;&gt;"",IF($A$2/'Scheduled Intervals'!AP5=ROUND($A$2/'Scheduled Intervals'!AP5,0),"Yes",""),""))</f>
        <v/>
      </c>
      <c r="AQ5" s="244" t="str">
        <f>IF($A$2="Annual","",IF('Scheduled Intervals'!AQ5&lt;&gt;"",IF($A$2/'Scheduled Intervals'!AQ5=ROUND($A$2/'Scheduled Intervals'!AQ5,0),"Yes",""),""))</f>
        <v/>
      </c>
      <c r="AR5" s="244" t="str">
        <f>IF($A$2="Annual","",IF('Scheduled Intervals'!AR5&lt;&gt;"",IF($A$2/'Scheduled Intervals'!AR5=ROUND($A$2/'Scheduled Intervals'!AR5,0),"Yes",""),""))</f>
        <v/>
      </c>
      <c r="AS5" s="244" t="str">
        <f>IF($A$2="Annual","",IF('Scheduled Intervals'!AS5&lt;&gt;"",IF($A$2/'Scheduled Intervals'!AS5=ROUND($A$2/'Scheduled Intervals'!AS5,0),"Yes",""),""))</f>
        <v/>
      </c>
      <c r="AT5" s="244" t="str">
        <f>IF($A$2="Annual","",IF('Scheduled Intervals'!AT5&lt;&gt;"",IF($A$2/'Scheduled Intervals'!AT5=ROUND($A$2/'Scheduled Intervals'!AT5,0),"Yes",""),""))</f>
        <v>Yes</v>
      </c>
      <c r="AU5" s="244" t="str">
        <f>IF($A$2="Annual","",IF('Scheduled Intervals'!AU5&lt;&gt;"",IF($A$2/'Scheduled Intervals'!AU5=ROUND($A$2/'Scheduled Intervals'!AU5,0),"Yes",""),""))</f>
        <v/>
      </c>
      <c r="AV5" s="244" t="str">
        <f>IF($A$2="Annual","",IF('Scheduled Intervals'!AV5&lt;&gt;"",IF($A$2/'Scheduled Intervals'!AV5=ROUND($A$2/'Scheduled Intervals'!AV5,0),"Yes",""),""))</f>
        <v/>
      </c>
      <c r="AW5" s="244" t="str">
        <f>IF($A$2="Annual","",IF('Scheduled Intervals'!AW5&lt;&gt;"",IF($A$2/'Scheduled Intervals'!AW5=ROUND($A$2/'Scheduled Intervals'!AW5,0),"Yes",""),""))</f>
        <v/>
      </c>
      <c r="AX5" s="244" t="str">
        <f>IF($A$2="Annual","",IF('Scheduled Intervals'!AX5&lt;&gt;"",IF($A$2/'Scheduled Intervals'!AX5=ROUND($A$2/'Scheduled Intervals'!AX5,0),"Yes",""),""))</f>
        <v/>
      </c>
      <c r="AY5" s="244" t="str">
        <f>IF($A$2="Annual","",IF('Scheduled Intervals'!AY5&lt;&gt;"",IF($A$2/'Scheduled Intervals'!AY5=ROUND($A$2/'Scheduled Intervals'!AY5,0),"Yes",""),""))</f>
        <v/>
      </c>
      <c r="AZ5" s="244" t="str">
        <f>IF($A$2="Annual","",IF('Scheduled Intervals'!AZ5&lt;&gt;"",IF($A$2/'Scheduled Intervals'!AZ5=ROUND($A$2/'Scheduled Intervals'!AZ5,0),"Yes",""),""))</f>
        <v/>
      </c>
      <c r="BA5" s="244" t="str">
        <f>IF($A$2="Annual","",IF('Scheduled Intervals'!BA5&lt;&gt;"",IF($A$2/'Scheduled Intervals'!BA5=ROUND($A$2/'Scheduled Intervals'!BA5,0),"Yes",""),""))</f>
        <v/>
      </c>
      <c r="BB5" s="244" t="str">
        <f>IF($A$2="Annual","",IF('Scheduled Intervals'!BB5&lt;&gt;"",IF($A$2/'Scheduled Intervals'!BB5=ROUND($A$2/'Scheduled Intervals'!BB5,0),"Yes",""),""))</f>
        <v>Yes</v>
      </c>
      <c r="BC5" s="244" t="str">
        <f>IF($A$2="Annual","",IF('Scheduled Intervals'!BC5&lt;&gt;"",IF($A$2/'Scheduled Intervals'!BC5=ROUND($A$2/'Scheduled Intervals'!BC5,0),"Yes",""),""))</f>
        <v/>
      </c>
      <c r="BD5" s="244" t="str">
        <f>IF($A$2="Annual","",IF('Scheduled Intervals'!BD5&lt;&gt;"",IF($A$2/'Scheduled Intervals'!BD5=ROUND($A$2/'Scheduled Intervals'!BD5,0),"Yes",""),""))</f>
        <v>Yes</v>
      </c>
      <c r="BE5" s="244" t="str">
        <f>IF($A$2="Annual","",IF('Scheduled Intervals'!BE5&lt;&gt;"",IF($A$2/'Scheduled Intervals'!BE5=ROUND($A$2/'Scheduled Intervals'!BE5,0),"Yes",""),""))</f>
        <v/>
      </c>
      <c r="BF5" s="244" t="str">
        <f>IF($A$2="Annual","",IF('Scheduled Intervals'!BF5&lt;&gt;"",IF($A$2/'Scheduled Intervals'!BF5=ROUND($A$2/'Scheduled Intervals'!BF5,0),"Yes",""),""))</f>
        <v/>
      </c>
      <c r="BG5" s="244" t="str">
        <f>IF($A$2="Annual","",IF('Scheduled Intervals'!BG5&lt;&gt;"",IF($A$2/'Scheduled Intervals'!BG5=ROUND($A$2/'Scheduled Intervals'!BG5,0),"Yes",""),""))</f>
        <v/>
      </c>
      <c r="BH5" s="244" t="str">
        <f>IF($A$2="Annual","",IF('Scheduled Intervals'!BH5&lt;&gt;"",IF($A$2/'Scheduled Intervals'!BH5=ROUND($A$2/'Scheduled Intervals'!BH5,0),"Yes",""),""))</f>
        <v>Yes</v>
      </c>
      <c r="BI5" s="244" t="str">
        <f>IF($A$2="Annual","",IF('Scheduled Intervals'!BI5&lt;&gt;"",IF($A$2/'Scheduled Intervals'!BI5=ROUND($A$2/'Scheduled Intervals'!BI5,0),"Yes",""),""))</f>
        <v>Yes</v>
      </c>
      <c r="BJ5" s="244" t="str">
        <f>IF($A$2="Annual","",IF('Scheduled Intervals'!BJ5&lt;&gt;"",IF($A$2/'Scheduled Intervals'!BJ5=ROUND($A$2/'Scheduled Intervals'!BJ5,0),"Yes",""),""))</f>
        <v>Yes</v>
      </c>
      <c r="BK5" s="244" t="str">
        <f>IF($A$2="Annual","",IF('Scheduled Intervals'!BK5&lt;&gt;"",IF($A$2/'Scheduled Intervals'!BK5=ROUND($A$2/'Scheduled Intervals'!BK5,0),"Yes",""),""))</f>
        <v/>
      </c>
      <c r="BL5" s="244" t="str">
        <f>IF($A$2="Annual","",IF('Scheduled Intervals'!BL5&lt;&gt;"",IF($A$2/'Scheduled Intervals'!BL5=ROUND($A$2/'Scheduled Intervals'!BL5,0),"Yes",""),""))</f>
        <v/>
      </c>
      <c r="BM5" s="244" t="str">
        <f>IF($A$2="Annual","",IF('Scheduled Intervals'!BM5&lt;&gt;"",IF($A$2/'Scheduled Intervals'!BM5=ROUND($A$2/'Scheduled Intervals'!BM5,0),"Yes",""),""))</f>
        <v/>
      </c>
      <c r="BN5" s="177" t="str">
        <f>IF(AND($A$2="annual",'Scheduled Intervals'!BN5&lt;&gt;""),"yes","")</f>
        <v/>
      </c>
      <c r="BO5" s="177" t="str">
        <f>IF(AND($A$2="annual",'Scheduled Intervals'!BO5&lt;&gt;""),"yes","")</f>
        <v/>
      </c>
      <c r="BP5" s="177" t="str">
        <f>IF(AND($A$2="annual",'Scheduled Intervals'!BP5&lt;&gt;""),"yes","")</f>
        <v/>
      </c>
    </row>
    <row r="6" spans="1:68" x14ac:dyDescent="0.2">
      <c r="A6" s="133" t="str">
        <f>+'Scheduled Intervals'!A6</f>
        <v>Zero Turn Diesel</v>
      </c>
      <c r="B6" s="134" t="str">
        <f>IF('Scheduled Intervals'!B6&lt;&gt;"",IF($A$2='Scheduled Intervals'!B6,"Yes",""),"")</f>
        <v/>
      </c>
      <c r="C6" s="134" t="str">
        <f>IF('Scheduled Intervals'!C6&lt;&gt;"",IF($A$2='Scheduled Intervals'!C6,"Yes",""),"")</f>
        <v/>
      </c>
      <c r="D6" s="134" t="str">
        <f>IF('Scheduled Intervals'!D6&lt;&gt;"",IF($A$2='Scheduled Intervals'!D6,"Yes",""),"")</f>
        <v/>
      </c>
      <c r="E6" s="134" t="str">
        <f>IF('Scheduled Intervals'!E6&lt;&gt;"",IF($A$2='Scheduled Intervals'!E6,"Yes",""),"")</f>
        <v/>
      </c>
      <c r="F6" s="134" t="str">
        <f>IF('Scheduled Intervals'!F6&lt;&gt;"",IF($A$2='Scheduled Intervals'!F6,"Yes",""),"")</f>
        <v/>
      </c>
      <c r="G6" s="134" t="str">
        <f>IF('Scheduled Intervals'!G6&lt;&gt;"",IF($A$2='Scheduled Intervals'!G6,"Yes",""),"")</f>
        <v/>
      </c>
      <c r="H6" s="134" t="str">
        <f>IF('Scheduled Intervals'!H6&lt;&gt;"",IF($A$2='Scheduled Intervals'!H6,"Yes",""),"")</f>
        <v/>
      </c>
      <c r="I6" s="134" t="str">
        <f>IF('Scheduled Intervals'!I6&lt;&gt;"",IF($A$2='Scheduled Intervals'!I6,"Yes",""),"")</f>
        <v/>
      </c>
      <c r="J6" s="134" t="str">
        <f>IF('Scheduled Intervals'!J6&lt;&gt;"",IF($A$2='Scheduled Intervals'!J6,"Yes",""),"")</f>
        <v/>
      </c>
      <c r="K6" s="134" t="str">
        <f>IF('Scheduled Intervals'!K6&lt;&gt;"",IF($A$2='Scheduled Intervals'!K6,"Yes",""),"")</f>
        <v/>
      </c>
      <c r="L6" s="134" t="str">
        <f>IF('Scheduled Intervals'!L6&lt;&gt;"",IF($A$2='Scheduled Intervals'!L6,"Yes",""),"")</f>
        <v/>
      </c>
      <c r="M6" s="134" t="str">
        <f>IF('Scheduled Intervals'!M6&lt;&gt;"",IF($A$2='Scheduled Intervals'!M6,"Yes",""),"")</f>
        <v/>
      </c>
      <c r="N6" s="134" t="str">
        <f>IF('Scheduled Intervals'!N6&lt;&gt;"",IF($A$2='Scheduled Intervals'!N6,"Yes",""),"")</f>
        <v/>
      </c>
      <c r="O6" s="134" t="str">
        <f>IF('Scheduled Intervals'!O6&lt;&gt;"",IF($A$2='Scheduled Intervals'!O6,"Yes",""),"")</f>
        <v/>
      </c>
      <c r="P6" s="134" t="str">
        <f>IF('Scheduled Intervals'!P6&lt;&gt;"",IF($A$2='Scheduled Intervals'!P6,"Yes",""),"")</f>
        <v/>
      </c>
      <c r="Q6" s="134" t="str">
        <f>IF('Scheduled Intervals'!Q6&lt;&gt;"",IF($A$2='Scheduled Intervals'!Q6,"Yes",""),"")</f>
        <v/>
      </c>
      <c r="R6" s="134" t="str">
        <f>IF('Scheduled Intervals'!R6&lt;&gt;"",IF($A$2='Scheduled Intervals'!R6,"Yes",""),"")</f>
        <v/>
      </c>
      <c r="S6" s="134" t="str">
        <f>IF('Scheduled Intervals'!S6&lt;&gt;"",IF($A$2='Scheduled Intervals'!S6,"Yes",""),"")</f>
        <v/>
      </c>
      <c r="T6" s="134" t="str">
        <f>IF('Scheduled Intervals'!T6&lt;&gt;"",IF($A$2='Scheduled Intervals'!T6,"Yes",""),"")</f>
        <v/>
      </c>
      <c r="U6" s="244" t="str">
        <f>IF($A$2="Annual","",IF('Scheduled Intervals'!U6&lt;&gt;"",IF($A$2/'Scheduled Intervals'!U6=ROUND($A$2/'Scheduled Intervals'!U6,0),"Yes",""),""))</f>
        <v/>
      </c>
      <c r="V6" s="244" t="str">
        <f>IF($A$2="Annual","",IF('Scheduled Intervals'!V6&lt;&gt;"",IF($A$2/'Scheduled Intervals'!V6=ROUND($A$2/'Scheduled Intervals'!V6,0),"Yes",""),""))</f>
        <v/>
      </c>
      <c r="W6" s="244" t="str">
        <f>IF($A$2="Annual","",IF('Scheduled Intervals'!W6&lt;&gt;"",IF($A$2/'Scheduled Intervals'!W6=ROUND($A$2/'Scheduled Intervals'!W6,0),"Yes",""),""))</f>
        <v/>
      </c>
      <c r="X6" s="244" t="str">
        <f>IF($A$2="Annual","",IF('Scheduled Intervals'!X6&lt;&gt;"",IF($A$2/'Scheduled Intervals'!X6=ROUND($A$2/'Scheduled Intervals'!X6,0),"Yes",""),""))</f>
        <v/>
      </c>
      <c r="Y6" s="244" t="str">
        <f>IF($A$2="Annual","",IF('Scheduled Intervals'!Y6&lt;&gt;"",IF($A$2/'Scheduled Intervals'!Y6=ROUND($A$2/'Scheduled Intervals'!Y6,0),"Yes",""),""))</f>
        <v/>
      </c>
      <c r="Z6" s="244" t="str">
        <f>IF($A$2="Annual","",IF('Scheduled Intervals'!Z6&lt;&gt;"",IF($A$2/'Scheduled Intervals'!Z6=ROUND($A$2/'Scheduled Intervals'!Z6,0),"Yes",""),""))</f>
        <v/>
      </c>
      <c r="AA6" s="244" t="str">
        <f>IF($A$2="Annual","",IF('Scheduled Intervals'!AA6&lt;&gt;"",IF($A$2/'Scheduled Intervals'!AA6=ROUND($A$2/'Scheduled Intervals'!AA6,0),"Yes",""),""))</f>
        <v/>
      </c>
      <c r="AB6" s="244" t="str">
        <f>IF($A$2="Annual","",IF('Scheduled Intervals'!AB6&lt;&gt;"",IF($A$2/'Scheduled Intervals'!AB6=ROUND($A$2/'Scheduled Intervals'!AB6,0),"Yes",""),""))</f>
        <v/>
      </c>
      <c r="AC6" s="244" t="str">
        <f>IF($A$2="Annual","",IF('Scheduled Intervals'!AC6&lt;&gt;"",IF($A$2/'Scheduled Intervals'!AC6=ROUND($A$2/'Scheduled Intervals'!AC6,0),"Yes",""),""))</f>
        <v/>
      </c>
      <c r="AD6" s="244" t="str">
        <f>IF($A$2="Annual","",IF('Scheduled Intervals'!AD6&lt;&gt;"",IF($A$2/'Scheduled Intervals'!AD6=ROUND($A$2/'Scheduled Intervals'!AD6,0),"Yes",""),""))</f>
        <v/>
      </c>
      <c r="AE6" s="244" t="str">
        <f>IF($A$2="Annual","",IF('Scheduled Intervals'!AE6&lt;&gt;"",IF($A$2/'Scheduled Intervals'!AE6=ROUND($A$2/'Scheduled Intervals'!AE6,0),"Yes",""),""))</f>
        <v/>
      </c>
      <c r="AF6" s="244" t="str">
        <f>IF($A$2="Annual","",IF('Scheduled Intervals'!AF6&lt;&gt;"",IF($A$2/'Scheduled Intervals'!AF6=ROUND($A$2/'Scheduled Intervals'!AF6,0),"Yes",""),""))</f>
        <v/>
      </c>
      <c r="AG6" s="244" t="str">
        <f>IF($A$2="Annual","",IF('Scheduled Intervals'!AG6&lt;&gt;"",IF($A$2/'Scheduled Intervals'!AG6=ROUND($A$2/'Scheduled Intervals'!AG6,0),"Yes",""),""))</f>
        <v/>
      </c>
      <c r="AH6" s="244" t="str">
        <f>IF($A$2="Annual","",IF('Scheduled Intervals'!AH6&lt;&gt;"",IF($A$2/'Scheduled Intervals'!AH6=ROUND($A$2/'Scheduled Intervals'!AH6,0),"Yes",""),""))</f>
        <v/>
      </c>
      <c r="AI6" s="244" t="str">
        <f>IF($A$2="Annual","",IF('Scheduled Intervals'!AI6&lt;&gt;"",IF($A$2/'Scheduled Intervals'!AI6=ROUND($A$2/'Scheduled Intervals'!AI6,0),"Yes",""),""))</f>
        <v/>
      </c>
      <c r="AJ6" s="244" t="str">
        <f>IF($A$2="Annual","",IF('Scheduled Intervals'!AJ6&lt;&gt;"",IF($A$2/'Scheduled Intervals'!AJ6=ROUND($A$2/'Scheduled Intervals'!AJ6,0),"Yes",""),""))</f>
        <v/>
      </c>
      <c r="AK6" s="244" t="str">
        <f>IF($A$2="Annual","",IF('Scheduled Intervals'!AK6&lt;&gt;"",IF($A$2/'Scheduled Intervals'!AK6=ROUND($A$2/'Scheduled Intervals'!AK6,0),"Yes",""),""))</f>
        <v/>
      </c>
      <c r="AL6" s="244" t="str">
        <f>IF($A$2="Annual","",IF('Scheduled Intervals'!AL6&lt;&gt;"",IF($A$2/'Scheduled Intervals'!AL6=ROUND($A$2/'Scheduled Intervals'!AL6,0),"Yes",""),""))</f>
        <v/>
      </c>
      <c r="AM6" s="244" t="str">
        <f>IF($A$2="Annual","",IF('Scheduled Intervals'!AM6&lt;&gt;"",IF($A$2/'Scheduled Intervals'!AM6=ROUND($A$2/'Scheduled Intervals'!AM6,0),"Yes",""),""))</f>
        <v/>
      </c>
      <c r="AN6" s="244" t="str">
        <f>IF($A$2="Annual","",IF('Scheduled Intervals'!AN6&lt;&gt;"",IF($A$2/'Scheduled Intervals'!AN6=ROUND($A$2/'Scheduled Intervals'!AN6,0),"Yes",""),""))</f>
        <v/>
      </c>
      <c r="AO6" s="244" t="str">
        <f>IF($A$2="Annual","",IF('Scheduled Intervals'!AO6&lt;&gt;"",IF($A$2/'Scheduled Intervals'!AO6=ROUND($A$2/'Scheduled Intervals'!AO6,0),"Yes",""),""))</f>
        <v/>
      </c>
      <c r="AP6" s="244" t="str">
        <f>IF($A$2="Annual","",IF('Scheduled Intervals'!AP6&lt;&gt;"",IF($A$2/'Scheduled Intervals'!AP6=ROUND($A$2/'Scheduled Intervals'!AP6,0),"Yes",""),""))</f>
        <v/>
      </c>
      <c r="AQ6" s="244" t="str">
        <f>IF($A$2="Annual","",IF('Scheduled Intervals'!AQ6&lt;&gt;"",IF($A$2/'Scheduled Intervals'!AQ6=ROUND($A$2/'Scheduled Intervals'!AQ6,0),"Yes",""),""))</f>
        <v/>
      </c>
      <c r="AR6" s="244" t="str">
        <f>IF($A$2="Annual","",IF('Scheduled Intervals'!AR6&lt;&gt;"",IF($A$2/'Scheduled Intervals'!AR6=ROUND($A$2/'Scheduled Intervals'!AR6,0),"Yes",""),""))</f>
        <v/>
      </c>
      <c r="AS6" s="244" t="str">
        <f>IF($A$2="Annual","",IF('Scheduled Intervals'!AS6&lt;&gt;"",IF($A$2/'Scheduled Intervals'!AS6=ROUND($A$2/'Scheduled Intervals'!AS6,0),"Yes",""),""))</f>
        <v/>
      </c>
      <c r="AT6" s="244" t="str">
        <f>IF($A$2="Annual","",IF('Scheduled Intervals'!AT6&lt;&gt;"",IF($A$2/'Scheduled Intervals'!AT6=ROUND($A$2/'Scheduled Intervals'!AT6,0),"Yes",""),""))</f>
        <v/>
      </c>
      <c r="AU6" s="244" t="str">
        <f>IF($A$2="Annual","",IF('Scheduled Intervals'!AU6&lt;&gt;"",IF($A$2/'Scheduled Intervals'!AU6=ROUND($A$2/'Scheduled Intervals'!AU6,0),"Yes",""),""))</f>
        <v/>
      </c>
      <c r="AV6" s="244" t="str">
        <f>IF($A$2="Annual","",IF('Scheduled Intervals'!AV6&lt;&gt;"",IF($A$2/'Scheduled Intervals'!AV6=ROUND($A$2/'Scheduled Intervals'!AV6,0),"Yes",""),""))</f>
        <v/>
      </c>
      <c r="AW6" s="244" t="str">
        <f>IF($A$2="Annual","",IF('Scheduled Intervals'!AW6&lt;&gt;"",IF($A$2/'Scheduled Intervals'!AW6=ROUND($A$2/'Scheduled Intervals'!AW6,0),"Yes",""),""))</f>
        <v/>
      </c>
      <c r="AX6" s="244" t="str">
        <f>IF($A$2="Annual","",IF('Scheduled Intervals'!AX6&lt;&gt;"",IF($A$2/'Scheduled Intervals'!AX6=ROUND($A$2/'Scheduled Intervals'!AX6,0),"Yes",""),""))</f>
        <v/>
      </c>
      <c r="AY6" s="244" t="str">
        <f>IF($A$2="Annual","",IF('Scheduled Intervals'!AY6&lt;&gt;"",IF($A$2/'Scheduled Intervals'!AY6=ROUND($A$2/'Scheduled Intervals'!AY6,0),"Yes",""),""))</f>
        <v/>
      </c>
      <c r="AZ6" s="244" t="str">
        <f>IF($A$2="Annual","",IF('Scheduled Intervals'!AZ6&lt;&gt;"",IF($A$2/'Scheduled Intervals'!AZ6=ROUND($A$2/'Scheduled Intervals'!AZ6,0),"Yes",""),""))</f>
        <v/>
      </c>
      <c r="BA6" s="244" t="str">
        <f>IF($A$2="Annual","",IF('Scheduled Intervals'!BA6&lt;&gt;"",IF($A$2/'Scheduled Intervals'!BA6=ROUND($A$2/'Scheduled Intervals'!BA6,0),"Yes",""),""))</f>
        <v/>
      </c>
      <c r="BB6" s="244" t="str">
        <f>IF($A$2="Annual","",IF('Scheduled Intervals'!BB6&lt;&gt;"",IF($A$2/'Scheduled Intervals'!BB6=ROUND($A$2/'Scheduled Intervals'!BB6,0),"Yes",""),""))</f>
        <v/>
      </c>
      <c r="BC6" s="244" t="str">
        <f>IF($A$2="Annual","",IF('Scheduled Intervals'!BC6&lt;&gt;"",IF($A$2/'Scheduled Intervals'!BC6=ROUND($A$2/'Scheduled Intervals'!BC6,0),"Yes",""),""))</f>
        <v/>
      </c>
      <c r="BD6" s="244" t="str">
        <f>IF($A$2="Annual","",IF('Scheduled Intervals'!BD6&lt;&gt;"",IF($A$2/'Scheduled Intervals'!BD6=ROUND($A$2/'Scheduled Intervals'!BD6,0),"Yes",""),""))</f>
        <v/>
      </c>
      <c r="BE6" s="244" t="str">
        <f>IF($A$2="Annual","",IF('Scheduled Intervals'!BE6&lt;&gt;"",IF($A$2/'Scheduled Intervals'!BE6=ROUND($A$2/'Scheduled Intervals'!BE6,0),"Yes",""),""))</f>
        <v/>
      </c>
      <c r="BF6" s="244" t="str">
        <f>IF($A$2="Annual","",IF('Scheduled Intervals'!BF6&lt;&gt;"",IF($A$2/'Scheduled Intervals'!BF6=ROUND($A$2/'Scheduled Intervals'!BF6,0),"Yes",""),""))</f>
        <v/>
      </c>
      <c r="BG6" s="244" t="str">
        <f>IF($A$2="Annual","",IF('Scheduled Intervals'!BG6&lt;&gt;"",IF($A$2/'Scheduled Intervals'!BG6=ROUND($A$2/'Scheduled Intervals'!BG6,0),"Yes",""),""))</f>
        <v/>
      </c>
      <c r="BH6" s="244" t="str">
        <f>IF($A$2="Annual","",IF('Scheduled Intervals'!BH6&lt;&gt;"",IF($A$2/'Scheduled Intervals'!BH6=ROUND($A$2/'Scheduled Intervals'!BH6,0),"Yes",""),""))</f>
        <v/>
      </c>
      <c r="BI6" s="244" t="str">
        <f>IF($A$2="Annual","",IF('Scheduled Intervals'!BI6&lt;&gt;"",IF($A$2/'Scheduled Intervals'!BI6=ROUND($A$2/'Scheduled Intervals'!BI6,0),"Yes",""),""))</f>
        <v/>
      </c>
      <c r="BJ6" s="244" t="str">
        <f>IF($A$2="Annual","",IF('Scheduled Intervals'!BJ6&lt;&gt;"",IF($A$2/'Scheduled Intervals'!BJ6=ROUND($A$2/'Scheduled Intervals'!BJ6,0),"Yes",""),""))</f>
        <v/>
      </c>
      <c r="BK6" s="244" t="str">
        <f>IF($A$2="Annual","",IF('Scheduled Intervals'!BK6&lt;&gt;"",IF($A$2/'Scheduled Intervals'!BK6=ROUND($A$2/'Scheduled Intervals'!BK6,0),"Yes",""),""))</f>
        <v/>
      </c>
      <c r="BL6" s="244" t="str">
        <f>IF($A$2="Annual","",IF('Scheduled Intervals'!BL6&lt;&gt;"",IF($A$2/'Scheduled Intervals'!BL6=ROUND($A$2/'Scheduled Intervals'!BL6,0),"Yes",""),""))</f>
        <v/>
      </c>
      <c r="BM6" s="244" t="str">
        <f>IF($A$2="Annual","",IF('Scheduled Intervals'!BM6&lt;&gt;"",IF($A$2/'Scheduled Intervals'!BM6=ROUND($A$2/'Scheduled Intervals'!BM6,0),"Yes",""),""))</f>
        <v/>
      </c>
      <c r="BN6" s="177" t="str">
        <f>IF(AND($A$2="annual",'Scheduled Intervals'!BN6&lt;&gt;""),"yes","")</f>
        <v/>
      </c>
      <c r="BO6" s="177" t="str">
        <f>IF(AND($A$2="annual",'Scheduled Intervals'!BO6&lt;&gt;""),"yes","")</f>
        <v/>
      </c>
      <c r="BP6" s="177" t="str">
        <f>IF(AND($A$2="annual",'Scheduled Intervals'!BP6&lt;&gt;""),"yes","")</f>
        <v/>
      </c>
    </row>
    <row r="7" spans="1:68" x14ac:dyDescent="0.2">
      <c r="A7" s="133" t="str">
        <f>+'Scheduled Intervals'!A7</f>
        <v>Compact L series</v>
      </c>
      <c r="B7" s="134" t="str">
        <f>IF('Scheduled Intervals'!B7&lt;&gt;"",IF($A$2='Scheduled Intervals'!B7,"Yes",""),"")</f>
        <v/>
      </c>
      <c r="C7" s="134" t="str">
        <f>IF('Scheduled Intervals'!C7&lt;&gt;"",IF($A$2='Scheduled Intervals'!C7,"Yes",""),"")</f>
        <v/>
      </c>
      <c r="D7" s="134" t="str">
        <f>IF('Scheduled Intervals'!D7&lt;&gt;"",IF($A$2='Scheduled Intervals'!D7,"Yes",""),"")</f>
        <v/>
      </c>
      <c r="E7" s="134" t="str">
        <f>IF('Scheduled Intervals'!E7&lt;&gt;"",IF($A$2='Scheduled Intervals'!E7,"Yes",""),"")</f>
        <v/>
      </c>
      <c r="F7" s="134" t="str">
        <f>IF('Scheduled Intervals'!F7&lt;&gt;"",IF($A$2='Scheduled Intervals'!F7,"Yes",""),"")</f>
        <v/>
      </c>
      <c r="G7" s="134" t="str">
        <f>IF('Scheduled Intervals'!G7&lt;&gt;"",IF($A$2='Scheduled Intervals'!G7,"Yes",""),"")</f>
        <v/>
      </c>
      <c r="H7" s="134" t="str">
        <f>IF('Scheduled Intervals'!H7&lt;&gt;"",IF($A$2='Scheduled Intervals'!H7,"Yes",""),"")</f>
        <v/>
      </c>
      <c r="I7" s="134" t="str">
        <f>IF('Scheduled Intervals'!I7&lt;&gt;"",IF($A$2='Scheduled Intervals'!I7,"Yes",""),"")</f>
        <v/>
      </c>
      <c r="J7" s="134" t="str">
        <f>IF('Scheduled Intervals'!J7&lt;&gt;"",IF($A$2='Scheduled Intervals'!J7,"Yes",""),"")</f>
        <v/>
      </c>
      <c r="K7" s="134" t="str">
        <f>IF('Scheduled Intervals'!K7&lt;&gt;"",IF($A$2='Scheduled Intervals'!K7,"Yes",""),"")</f>
        <v/>
      </c>
      <c r="L7" s="134" t="str">
        <f>IF('Scheduled Intervals'!L7&lt;&gt;"",IF($A$2='Scheduled Intervals'!L7,"Yes",""),"")</f>
        <v/>
      </c>
      <c r="M7" s="134" t="str">
        <f>IF('Scheduled Intervals'!M7&lt;&gt;"",IF($A$2='Scheduled Intervals'!M7,"Yes",""),"")</f>
        <v/>
      </c>
      <c r="N7" s="134" t="str">
        <f>IF('Scheduled Intervals'!N7&lt;&gt;"",IF($A$2='Scheduled Intervals'!N7,"Yes",""),"")</f>
        <v/>
      </c>
      <c r="O7" s="134" t="str">
        <f>IF('Scheduled Intervals'!O7&lt;&gt;"",IF($A$2='Scheduled Intervals'!O7,"Yes",""),"")</f>
        <v/>
      </c>
      <c r="P7" s="134" t="str">
        <f>IF('Scheduled Intervals'!P7&lt;&gt;"",IF($A$2='Scheduled Intervals'!P7,"Yes",""),"")</f>
        <v/>
      </c>
      <c r="Q7" s="134" t="str">
        <f>IF('Scheduled Intervals'!Q7&lt;&gt;"",IF($A$2='Scheduled Intervals'!Q7,"Yes",""),"")</f>
        <v/>
      </c>
      <c r="R7" s="134" t="str">
        <f>IF('Scheduled Intervals'!R7&lt;&gt;"",IF($A$2='Scheduled Intervals'!R7,"Yes",""),"")</f>
        <v/>
      </c>
      <c r="S7" s="134" t="str">
        <f>IF('Scheduled Intervals'!S7&lt;&gt;"",IF($A$2='Scheduled Intervals'!S7,"Yes",""),"")</f>
        <v/>
      </c>
      <c r="T7" s="134" t="str">
        <f>IF('Scheduled Intervals'!T7&lt;&gt;"",IF($A$2='Scheduled Intervals'!T7,"Yes",""),"")</f>
        <v/>
      </c>
      <c r="U7" s="244" t="str">
        <f>IF($A$2="Annual","",IF('Scheduled Intervals'!U7&lt;&gt;"",IF($A$2/'Scheduled Intervals'!U7=ROUND($A$2/'Scheduled Intervals'!U7,0),"Yes",""),""))</f>
        <v/>
      </c>
      <c r="V7" s="244" t="str">
        <f>IF($A$2="Annual","",IF('Scheduled Intervals'!V7&lt;&gt;"",IF($A$2/'Scheduled Intervals'!V7=ROUND($A$2/'Scheduled Intervals'!V7,0),"Yes",""),""))</f>
        <v/>
      </c>
      <c r="W7" s="244" t="str">
        <f>IF($A$2="Annual","",IF('Scheduled Intervals'!W7&lt;&gt;"",IF($A$2/'Scheduled Intervals'!W7=ROUND($A$2/'Scheduled Intervals'!W7,0),"Yes",""),""))</f>
        <v/>
      </c>
      <c r="X7" s="244" t="str">
        <f>IF($A$2="Annual","",IF('Scheduled Intervals'!X7&lt;&gt;"",IF($A$2/'Scheduled Intervals'!X7=ROUND($A$2/'Scheduled Intervals'!X7,0),"Yes",""),""))</f>
        <v/>
      </c>
      <c r="Y7" s="244" t="str">
        <f>IF($A$2="Annual","",IF('Scheduled Intervals'!Y7&lt;&gt;"",IF($A$2/'Scheduled Intervals'!Y7=ROUND($A$2/'Scheduled Intervals'!Y7,0),"Yes",""),""))</f>
        <v/>
      </c>
      <c r="Z7" s="244" t="str">
        <f>IF($A$2="Annual","",IF('Scheduled Intervals'!Z7&lt;&gt;"",IF($A$2/'Scheduled Intervals'!Z7=ROUND($A$2/'Scheduled Intervals'!Z7,0),"Yes",""),""))</f>
        <v/>
      </c>
      <c r="AA7" s="244" t="str">
        <f>IF($A$2="Annual","",IF('Scheduled Intervals'!AA7&lt;&gt;"",IF($A$2/'Scheduled Intervals'!AA7=ROUND($A$2/'Scheduled Intervals'!AA7,0),"Yes",""),""))</f>
        <v/>
      </c>
      <c r="AB7" s="244" t="str">
        <f>IF($A$2="Annual","",IF('Scheduled Intervals'!AB7&lt;&gt;"",IF($A$2/'Scheduled Intervals'!AB7=ROUND($A$2/'Scheduled Intervals'!AB7,0),"Yes",""),""))</f>
        <v/>
      </c>
      <c r="AC7" s="244" t="str">
        <f>IF($A$2="Annual","",IF('Scheduled Intervals'!AC7&lt;&gt;"",IF($A$2/'Scheduled Intervals'!AC7=ROUND($A$2/'Scheduled Intervals'!AC7,0),"Yes",""),""))</f>
        <v/>
      </c>
      <c r="AD7" s="244" t="str">
        <f>IF($A$2="Annual","",IF('Scheduled Intervals'!AD7&lt;&gt;"",IF($A$2/'Scheduled Intervals'!AD7=ROUND($A$2/'Scheduled Intervals'!AD7,0),"Yes",""),""))</f>
        <v/>
      </c>
      <c r="AE7" s="244" t="str">
        <f>IF($A$2="Annual","",IF('Scheduled Intervals'!AE7&lt;&gt;"",IF($A$2/'Scheduled Intervals'!AE7=ROUND($A$2/'Scheduled Intervals'!AE7,0),"Yes",""),""))</f>
        <v/>
      </c>
      <c r="AF7" s="244" t="str">
        <f>IF($A$2="Annual","",IF('Scheduled Intervals'!AF7&lt;&gt;"",IF($A$2/'Scheduled Intervals'!AF7=ROUND($A$2/'Scheduled Intervals'!AF7,0),"Yes",""),""))</f>
        <v/>
      </c>
      <c r="AG7" s="244" t="str">
        <f>IF($A$2="Annual","",IF('Scheduled Intervals'!AG7&lt;&gt;"",IF($A$2/'Scheduled Intervals'!AG7=ROUND($A$2/'Scheduled Intervals'!AG7,0),"Yes",""),""))</f>
        <v/>
      </c>
      <c r="AH7" s="244" t="str">
        <f>IF($A$2="Annual","",IF('Scheduled Intervals'!AH7&lt;&gt;"",IF($A$2/'Scheduled Intervals'!AH7=ROUND($A$2/'Scheduled Intervals'!AH7,0),"Yes",""),""))</f>
        <v/>
      </c>
      <c r="AI7" s="244" t="str">
        <f>IF($A$2="Annual","",IF('Scheduled Intervals'!AI7&lt;&gt;"",IF($A$2/'Scheduled Intervals'!AI7=ROUND($A$2/'Scheduled Intervals'!AI7,0),"Yes",""),""))</f>
        <v/>
      </c>
      <c r="AJ7" s="244" t="str">
        <f>IF($A$2="Annual","",IF('Scheduled Intervals'!AJ7&lt;&gt;"",IF($A$2/'Scheduled Intervals'!AJ7=ROUND($A$2/'Scheduled Intervals'!AJ7,0),"Yes",""),""))</f>
        <v/>
      </c>
      <c r="AK7" s="244" t="str">
        <f>IF($A$2="Annual","",IF('Scheduled Intervals'!AK7&lt;&gt;"",IF($A$2/'Scheduled Intervals'!AK7=ROUND($A$2/'Scheduled Intervals'!AK7,0),"Yes",""),""))</f>
        <v/>
      </c>
      <c r="AL7" s="244" t="str">
        <f>IF($A$2="Annual","",IF('Scheduled Intervals'!AL7&lt;&gt;"",IF($A$2/'Scheduled Intervals'!AL7=ROUND($A$2/'Scheduled Intervals'!AL7,0),"Yes",""),""))</f>
        <v/>
      </c>
      <c r="AM7" s="244" t="str">
        <f>IF($A$2="Annual","",IF('Scheduled Intervals'!AM7&lt;&gt;"",IF($A$2/'Scheduled Intervals'!AM7=ROUND($A$2/'Scheduled Intervals'!AM7,0),"Yes",""),""))</f>
        <v/>
      </c>
      <c r="AN7" s="244" t="str">
        <f>IF($A$2="Annual","",IF('Scheduled Intervals'!AN7&lt;&gt;"",IF($A$2/'Scheduled Intervals'!AN7=ROUND($A$2/'Scheduled Intervals'!AN7,0),"Yes",""),""))</f>
        <v/>
      </c>
      <c r="AO7" s="244" t="str">
        <f>IF($A$2="Annual","",IF('Scheduled Intervals'!AO7&lt;&gt;"",IF($A$2/'Scheduled Intervals'!AO7=ROUND($A$2/'Scheduled Intervals'!AO7,0),"Yes",""),""))</f>
        <v/>
      </c>
      <c r="AP7" s="244" t="str">
        <f>IF($A$2="Annual","",IF('Scheduled Intervals'!AP7&lt;&gt;"",IF($A$2/'Scheduled Intervals'!AP7=ROUND($A$2/'Scheduled Intervals'!AP7,0),"Yes",""),""))</f>
        <v/>
      </c>
      <c r="AQ7" s="244" t="str">
        <f>IF($A$2="Annual","",IF('Scheduled Intervals'!AQ7&lt;&gt;"",IF($A$2/'Scheduled Intervals'!AQ7=ROUND($A$2/'Scheduled Intervals'!AQ7,0),"Yes",""),""))</f>
        <v/>
      </c>
      <c r="AR7" s="244" t="str">
        <f>IF($A$2="Annual","",IF('Scheduled Intervals'!AR7&lt;&gt;"",IF($A$2/'Scheduled Intervals'!AR7=ROUND($A$2/'Scheduled Intervals'!AR7,0),"Yes",""),""))</f>
        <v/>
      </c>
      <c r="AS7" s="244" t="str">
        <f>IF($A$2="Annual","",IF('Scheduled Intervals'!AS7&lt;&gt;"",IF($A$2/'Scheduled Intervals'!AS7=ROUND($A$2/'Scheduled Intervals'!AS7,0),"Yes",""),""))</f>
        <v/>
      </c>
      <c r="AT7" s="244" t="str">
        <f>IF($A$2="Annual","",IF('Scheduled Intervals'!AT7&lt;&gt;"",IF($A$2/'Scheduled Intervals'!AT7=ROUND($A$2/'Scheduled Intervals'!AT7,0),"Yes",""),""))</f>
        <v/>
      </c>
      <c r="AU7" s="244" t="str">
        <f>IF($A$2="Annual","",IF('Scheduled Intervals'!AU7&lt;&gt;"",IF($A$2/'Scheduled Intervals'!AU7=ROUND($A$2/'Scheduled Intervals'!AU7,0),"Yes",""),""))</f>
        <v/>
      </c>
      <c r="AV7" s="244" t="str">
        <f>IF($A$2="Annual","",IF('Scheduled Intervals'!AV7&lt;&gt;"",IF($A$2/'Scheduled Intervals'!AV7=ROUND($A$2/'Scheduled Intervals'!AV7,0),"Yes",""),""))</f>
        <v/>
      </c>
      <c r="AW7" s="244" t="str">
        <f>IF($A$2="Annual","",IF('Scheduled Intervals'!AW7&lt;&gt;"",IF($A$2/'Scheduled Intervals'!AW7=ROUND($A$2/'Scheduled Intervals'!AW7,0),"Yes",""),""))</f>
        <v/>
      </c>
      <c r="AX7" s="244" t="str">
        <f>IF($A$2="Annual","",IF('Scheduled Intervals'!AX7&lt;&gt;"",IF($A$2/'Scheduled Intervals'!AX7=ROUND($A$2/'Scheduled Intervals'!AX7,0),"Yes",""),""))</f>
        <v/>
      </c>
      <c r="AY7" s="244" t="str">
        <f>IF($A$2="Annual","",IF('Scheduled Intervals'!AY7&lt;&gt;"",IF($A$2/'Scheduled Intervals'!AY7=ROUND($A$2/'Scheduled Intervals'!AY7,0),"Yes",""),""))</f>
        <v/>
      </c>
      <c r="AZ7" s="244" t="str">
        <f>IF($A$2="Annual","",IF('Scheduled Intervals'!AZ7&lt;&gt;"",IF($A$2/'Scheduled Intervals'!AZ7=ROUND($A$2/'Scheduled Intervals'!AZ7,0),"Yes",""),""))</f>
        <v/>
      </c>
      <c r="BA7" s="244" t="str">
        <f>IF($A$2="Annual","",IF('Scheduled Intervals'!BA7&lt;&gt;"",IF($A$2/'Scheduled Intervals'!BA7=ROUND($A$2/'Scheduled Intervals'!BA7,0),"Yes",""),""))</f>
        <v/>
      </c>
      <c r="BB7" s="244" t="str">
        <f>IF($A$2="Annual","",IF('Scheduled Intervals'!BB7&lt;&gt;"",IF($A$2/'Scheduled Intervals'!BB7=ROUND($A$2/'Scheduled Intervals'!BB7,0),"Yes",""),""))</f>
        <v/>
      </c>
      <c r="BC7" s="244" t="str">
        <f>IF($A$2="Annual","",IF('Scheduled Intervals'!BC7&lt;&gt;"",IF($A$2/'Scheduled Intervals'!BC7=ROUND($A$2/'Scheduled Intervals'!BC7,0),"Yes",""),""))</f>
        <v/>
      </c>
      <c r="BD7" s="244" t="str">
        <f>IF($A$2="Annual","",IF('Scheduled Intervals'!BD7&lt;&gt;"",IF($A$2/'Scheduled Intervals'!BD7=ROUND($A$2/'Scheduled Intervals'!BD7,0),"Yes",""),""))</f>
        <v/>
      </c>
      <c r="BE7" s="244" t="str">
        <f>IF($A$2="Annual","",IF('Scheduled Intervals'!BE7&lt;&gt;"",IF($A$2/'Scheduled Intervals'!BE7=ROUND($A$2/'Scheduled Intervals'!BE7,0),"Yes",""),""))</f>
        <v/>
      </c>
      <c r="BF7" s="244" t="str">
        <f>IF($A$2="Annual","",IF('Scheduled Intervals'!BF7&lt;&gt;"",IF($A$2/'Scheduled Intervals'!BF7=ROUND($A$2/'Scheduled Intervals'!BF7,0),"Yes",""),""))</f>
        <v/>
      </c>
      <c r="BG7" s="244" t="str">
        <f>IF($A$2="Annual","",IF('Scheduled Intervals'!BG7&lt;&gt;"",IF($A$2/'Scheduled Intervals'!BG7=ROUND($A$2/'Scheduled Intervals'!BG7,0),"Yes",""),""))</f>
        <v/>
      </c>
      <c r="BH7" s="244" t="str">
        <f>IF($A$2="Annual","",IF('Scheduled Intervals'!BH7&lt;&gt;"",IF($A$2/'Scheduled Intervals'!BH7=ROUND($A$2/'Scheduled Intervals'!BH7,0),"Yes",""),""))</f>
        <v/>
      </c>
      <c r="BI7" s="244" t="str">
        <f>IF($A$2="Annual","",IF('Scheduled Intervals'!BI7&lt;&gt;"",IF($A$2/'Scheduled Intervals'!BI7=ROUND($A$2/'Scheduled Intervals'!BI7,0),"Yes",""),""))</f>
        <v/>
      </c>
      <c r="BJ7" s="244" t="str">
        <f>IF($A$2="Annual","",IF('Scheduled Intervals'!BJ7&lt;&gt;"",IF($A$2/'Scheduled Intervals'!BJ7=ROUND($A$2/'Scheduled Intervals'!BJ7,0),"Yes",""),""))</f>
        <v/>
      </c>
      <c r="BK7" s="244" t="str">
        <f>IF($A$2="Annual","",IF('Scheduled Intervals'!BK7&lt;&gt;"",IF($A$2/'Scheduled Intervals'!BK7=ROUND($A$2/'Scheduled Intervals'!BK7,0),"Yes",""),""))</f>
        <v/>
      </c>
      <c r="BL7" s="244" t="str">
        <f>IF($A$2="Annual","",IF('Scheduled Intervals'!BL7&lt;&gt;"",IF($A$2/'Scheduled Intervals'!BL7=ROUND($A$2/'Scheduled Intervals'!BL7,0),"Yes",""),""))</f>
        <v/>
      </c>
      <c r="BM7" s="244" t="str">
        <f>IF($A$2="Annual","",IF('Scheduled Intervals'!BM7&lt;&gt;"",IF($A$2/'Scheduled Intervals'!BM7=ROUND($A$2/'Scheduled Intervals'!BM7,0),"Yes",""),""))</f>
        <v/>
      </c>
      <c r="BN7" s="177" t="str">
        <f>IF(AND($A$2="annual",'Scheduled Intervals'!BN7&lt;&gt;""),"yes","")</f>
        <v/>
      </c>
      <c r="BO7" s="177" t="str">
        <f>IF(AND($A$2="annual",'Scheduled Intervals'!BO7&lt;&gt;""),"yes","")</f>
        <v/>
      </c>
      <c r="BP7" s="177" t="str">
        <f>IF(AND($A$2="annual",'Scheduled Intervals'!BP7&lt;&gt;""),"yes","")</f>
        <v/>
      </c>
    </row>
    <row r="8" spans="1:68" x14ac:dyDescent="0.2">
      <c r="A8" s="133" t="str">
        <f>+'Scheduled Intervals'!A8</f>
        <v>Utility under 75 MX&amp;M</v>
      </c>
      <c r="B8" s="134" t="str">
        <f>IF('Scheduled Intervals'!B8&lt;&gt;"",IF($A$2='Scheduled Intervals'!B8,"Yes",""),"")</f>
        <v/>
      </c>
      <c r="C8" s="134" t="str">
        <f>IF('Scheduled Intervals'!C8&lt;&gt;"",IF($A$2='Scheduled Intervals'!C8,"Yes",""),"")</f>
        <v/>
      </c>
      <c r="D8" s="134" t="str">
        <f>IF('Scheduled Intervals'!D8&lt;&gt;"",IF($A$2='Scheduled Intervals'!D8,"Yes",""),"")</f>
        <v/>
      </c>
      <c r="E8" s="134" t="str">
        <f>IF('Scheduled Intervals'!E8&lt;&gt;"",IF($A$2='Scheduled Intervals'!E8,"Yes",""),"")</f>
        <v/>
      </c>
      <c r="F8" s="134" t="str">
        <f>IF('Scheduled Intervals'!F8&lt;&gt;"",IF($A$2='Scheduled Intervals'!F8,"Yes",""),"")</f>
        <v/>
      </c>
      <c r="G8" s="134" t="str">
        <f>IF('Scheduled Intervals'!G8&lt;&gt;"",IF($A$2='Scheduled Intervals'!G8,"Yes",""),"")</f>
        <v/>
      </c>
      <c r="H8" s="134" t="str">
        <f>IF('Scheduled Intervals'!H8&lt;&gt;"",IF($A$2='Scheduled Intervals'!H8,"Yes",""),"")</f>
        <v/>
      </c>
      <c r="I8" s="134" t="str">
        <f>IF('Scheduled Intervals'!I8&lt;&gt;"",IF($A$2='Scheduled Intervals'!I8,"Yes",""),"")</f>
        <v/>
      </c>
      <c r="J8" s="134" t="str">
        <f>IF('Scheduled Intervals'!J8&lt;&gt;"",IF($A$2='Scheduled Intervals'!J8,"Yes",""),"")</f>
        <v/>
      </c>
      <c r="K8" s="134" t="str">
        <f>IF('Scheduled Intervals'!K8&lt;&gt;"",IF($A$2='Scheduled Intervals'!K8,"Yes",""),"")</f>
        <v/>
      </c>
      <c r="L8" s="134" t="str">
        <f>IF('Scheduled Intervals'!L8&lt;&gt;"",IF($A$2='Scheduled Intervals'!L8,"Yes",""),"")</f>
        <v/>
      </c>
      <c r="M8" s="134" t="str">
        <f>IF('Scheduled Intervals'!M8&lt;&gt;"",IF($A$2='Scheduled Intervals'!M8,"Yes",""),"")</f>
        <v/>
      </c>
      <c r="N8" s="134" t="str">
        <f>IF('Scheduled Intervals'!N8&lt;&gt;"",IF($A$2='Scheduled Intervals'!N8,"Yes",""),"")</f>
        <v/>
      </c>
      <c r="O8" s="134" t="str">
        <f>IF('Scheduled Intervals'!O8&lt;&gt;"",IF($A$2='Scheduled Intervals'!O8,"Yes",""),"")</f>
        <v/>
      </c>
      <c r="P8" s="134" t="str">
        <f>IF('Scheduled Intervals'!P8&lt;&gt;"",IF($A$2='Scheduled Intervals'!P8,"Yes",""),"")</f>
        <v/>
      </c>
      <c r="Q8" s="134" t="str">
        <f>IF('Scheduled Intervals'!Q8&lt;&gt;"",IF($A$2='Scheduled Intervals'!Q8,"Yes",""),"")</f>
        <v/>
      </c>
      <c r="R8" s="134" t="str">
        <f>IF('Scheduled Intervals'!R8&lt;&gt;"",IF($A$2='Scheduled Intervals'!R8,"Yes",""),"")</f>
        <v/>
      </c>
      <c r="S8" s="134" t="str">
        <f>IF('Scheduled Intervals'!S8&lt;&gt;"",IF($A$2='Scheduled Intervals'!S8,"Yes",""),"")</f>
        <v/>
      </c>
      <c r="T8" s="134" t="str">
        <f>IF('Scheduled Intervals'!T8&lt;&gt;"",IF($A$2='Scheduled Intervals'!T8,"Yes",""),"")</f>
        <v/>
      </c>
      <c r="U8" s="244" t="str">
        <f>IF($A$2="Annual","",IF('Scheduled Intervals'!U8&lt;&gt;"",IF($A$2/'Scheduled Intervals'!U8=ROUND($A$2/'Scheduled Intervals'!U8,0),"Yes",""),""))</f>
        <v/>
      </c>
      <c r="V8" s="244" t="str">
        <f>IF($A$2="Annual","",IF('Scheduled Intervals'!V8&lt;&gt;"",IF($A$2/'Scheduled Intervals'!V8=ROUND($A$2/'Scheduled Intervals'!V8,0),"Yes",""),""))</f>
        <v/>
      </c>
      <c r="W8" s="244" t="str">
        <f>IF($A$2="Annual","",IF('Scheduled Intervals'!W8&lt;&gt;"",IF($A$2/'Scheduled Intervals'!W8=ROUND($A$2/'Scheduled Intervals'!W8,0),"Yes",""),""))</f>
        <v/>
      </c>
      <c r="X8" s="244" t="str">
        <f>IF($A$2="Annual","",IF('Scheduled Intervals'!X8&lt;&gt;"",IF($A$2/'Scheduled Intervals'!X8=ROUND($A$2/'Scheduled Intervals'!X8,0),"Yes",""),""))</f>
        <v/>
      </c>
      <c r="Y8" s="244" t="str">
        <f>IF($A$2="Annual","",IF('Scheduled Intervals'!Y8&lt;&gt;"",IF($A$2/'Scheduled Intervals'!Y8=ROUND($A$2/'Scheduled Intervals'!Y8,0),"Yes",""),""))</f>
        <v/>
      </c>
      <c r="Z8" s="244" t="str">
        <f>IF($A$2="Annual","",IF('Scheduled Intervals'!Z8&lt;&gt;"",IF($A$2/'Scheduled Intervals'!Z8=ROUND($A$2/'Scheduled Intervals'!Z8,0),"Yes",""),""))</f>
        <v/>
      </c>
      <c r="AA8" s="244" t="str">
        <f>IF($A$2="Annual","",IF('Scheduled Intervals'!AA8&lt;&gt;"",IF($A$2/'Scheduled Intervals'!AA8=ROUND($A$2/'Scheduled Intervals'!AA8,0),"Yes",""),""))</f>
        <v/>
      </c>
      <c r="AB8" s="244" t="str">
        <f>IF($A$2="Annual","",IF('Scheduled Intervals'!AB8&lt;&gt;"",IF($A$2/'Scheduled Intervals'!AB8=ROUND($A$2/'Scheduled Intervals'!AB8,0),"Yes",""),""))</f>
        <v/>
      </c>
      <c r="AC8" s="244" t="str">
        <f>IF($A$2="Annual","",IF('Scheduled Intervals'!AC8&lt;&gt;"",IF($A$2/'Scheduled Intervals'!AC8=ROUND($A$2/'Scheduled Intervals'!AC8,0),"Yes",""),""))</f>
        <v/>
      </c>
      <c r="AD8" s="244" t="str">
        <f>IF($A$2="Annual","",IF('Scheduled Intervals'!AD8&lt;&gt;"",IF($A$2/'Scheduled Intervals'!AD8=ROUND($A$2/'Scheduled Intervals'!AD8,0),"Yes",""),""))</f>
        <v/>
      </c>
      <c r="AE8" s="244" t="str">
        <f>IF($A$2="Annual","",IF('Scheduled Intervals'!AE8&lt;&gt;"",IF($A$2/'Scheduled Intervals'!AE8=ROUND($A$2/'Scheduled Intervals'!AE8,0),"Yes",""),""))</f>
        <v/>
      </c>
      <c r="AF8" s="244" t="str">
        <f>IF($A$2="Annual","",IF('Scheduled Intervals'!AF8&lt;&gt;"",IF($A$2/'Scheduled Intervals'!AF8=ROUND($A$2/'Scheduled Intervals'!AF8,0),"Yes",""),""))</f>
        <v/>
      </c>
      <c r="AG8" s="244" t="str">
        <f>IF($A$2="Annual","",IF('Scheduled Intervals'!AG8&lt;&gt;"",IF($A$2/'Scheduled Intervals'!AG8=ROUND($A$2/'Scheduled Intervals'!AG8,0),"Yes",""),""))</f>
        <v/>
      </c>
      <c r="AH8" s="244" t="str">
        <f>IF($A$2="Annual","",IF('Scheduled Intervals'!AH8&lt;&gt;"",IF($A$2/'Scheduled Intervals'!AH8=ROUND($A$2/'Scheduled Intervals'!AH8,0),"Yes",""),""))</f>
        <v/>
      </c>
      <c r="AI8" s="244" t="str">
        <f>IF($A$2="Annual","",IF('Scheduled Intervals'!AI8&lt;&gt;"",IF($A$2/'Scheduled Intervals'!AI8=ROUND($A$2/'Scheduled Intervals'!AI8,0),"Yes",""),""))</f>
        <v/>
      </c>
      <c r="AJ8" s="244" t="str">
        <f>IF($A$2="Annual","",IF('Scheduled Intervals'!AJ8&lt;&gt;"",IF($A$2/'Scheduled Intervals'!AJ8=ROUND($A$2/'Scheduled Intervals'!AJ8,0),"Yes",""),""))</f>
        <v/>
      </c>
      <c r="AK8" s="244" t="str">
        <f>IF($A$2="Annual","",IF('Scheduled Intervals'!AK8&lt;&gt;"",IF($A$2/'Scheduled Intervals'!AK8=ROUND($A$2/'Scheduled Intervals'!AK8,0),"Yes",""),""))</f>
        <v/>
      </c>
      <c r="AL8" s="244" t="str">
        <f>IF($A$2="Annual","",IF('Scheduled Intervals'!AL8&lt;&gt;"",IF($A$2/'Scheduled Intervals'!AL8=ROUND($A$2/'Scheduled Intervals'!AL8,0),"Yes",""),""))</f>
        <v/>
      </c>
      <c r="AM8" s="244" t="str">
        <f>IF($A$2="Annual","",IF('Scheduled Intervals'!AM8&lt;&gt;"",IF($A$2/'Scheduled Intervals'!AM8=ROUND($A$2/'Scheduled Intervals'!AM8,0),"Yes",""),""))</f>
        <v/>
      </c>
      <c r="AN8" s="244" t="str">
        <f>IF($A$2="Annual","",IF('Scheduled Intervals'!AN8&lt;&gt;"",IF($A$2/'Scheduled Intervals'!AN8=ROUND($A$2/'Scheduled Intervals'!AN8,0),"Yes",""),""))</f>
        <v/>
      </c>
      <c r="AO8" s="244" t="str">
        <f>IF($A$2="Annual","",IF('Scheduled Intervals'!AO8&lt;&gt;"",IF($A$2/'Scheduled Intervals'!AO8=ROUND($A$2/'Scheduled Intervals'!AO8,0),"Yes",""),""))</f>
        <v/>
      </c>
      <c r="AP8" s="244" t="str">
        <f>IF($A$2="Annual","",IF('Scheduled Intervals'!AP8&lt;&gt;"",IF($A$2/'Scheduled Intervals'!AP8=ROUND($A$2/'Scheduled Intervals'!AP8,0),"Yes",""),""))</f>
        <v/>
      </c>
      <c r="AQ8" s="244" t="str">
        <f>IF($A$2="Annual","",IF('Scheduled Intervals'!AQ8&lt;&gt;"",IF($A$2/'Scheduled Intervals'!AQ8=ROUND($A$2/'Scheduled Intervals'!AQ8,0),"Yes",""),""))</f>
        <v/>
      </c>
      <c r="AR8" s="244" t="str">
        <f>IF($A$2="Annual","",IF('Scheduled Intervals'!AR8&lt;&gt;"",IF($A$2/'Scheduled Intervals'!AR8=ROUND($A$2/'Scheduled Intervals'!AR8,0),"Yes",""),""))</f>
        <v/>
      </c>
      <c r="AS8" s="244" t="str">
        <f>IF($A$2="Annual","",IF('Scheduled Intervals'!AS8&lt;&gt;"",IF($A$2/'Scheduled Intervals'!AS8=ROUND($A$2/'Scheduled Intervals'!AS8,0),"Yes",""),""))</f>
        <v/>
      </c>
      <c r="AT8" s="244" t="str">
        <f>IF($A$2="Annual","",IF('Scheduled Intervals'!AT8&lt;&gt;"",IF($A$2/'Scheduled Intervals'!AT8=ROUND($A$2/'Scheduled Intervals'!AT8,0),"Yes",""),""))</f>
        <v/>
      </c>
      <c r="AU8" s="244" t="str">
        <f>IF($A$2="Annual","",IF('Scheduled Intervals'!AU8&lt;&gt;"",IF($A$2/'Scheduled Intervals'!AU8=ROUND($A$2/'Scheduled Intervals'!AU8,0),"Yes",""),""))</f>
        <v/>
      </c>
      <c r="AV8" s="244" t="str">
        <f>IF($A$2="Annual","",IF('Scheduled Intervals'!AV8&lt;&gt;"",IF($A$2/'Scheduled Intervals'!AV8=ROUND($A$2/'Scheduled Intervals'!AV8,0),"Yes",""),""))</f>
        <v/>
      </c>
      <c r="AW8" s="244" t="str">
        <f>IF($A$2="Annual","",IF('Scheduled Intervals'!AW8&lt;&gt;"",IF($A$2/'Scheduled Intervals'!AW8=ROUND($A$2/'Scheduled Intervals'!AW8,0),"Yes",""),""))</f>
        <v/>
      </c>
      <c r="AX8" s="244" t="str">
        <f>IF($A$2="Annual","",IF('Scheduled Intervals'!AX8&lt;&gt;"",IF($A$2/'Scheduled Intervals'!AX8=ROUND($A$2/'Scheduled Intervals'!AX8,0),"Yes",""),""))</f>
        <v/>
      </c>
      <c r="AY8" s="244" t="str">
        <f>IF($A$2="Annual","",IF('Scheduled Intervals'!AY8&lt;&gt;"",IF($A$2/'Scheduled Intervals'!AY8=ROUND($A$2/'Scheduled Intervals'!AY8,0),"Yes",""),""))</f>
        <v/>
      </c>
      <c r="AZ8" s="244" t="str">
        <f>IF($A$2="Annual","",IF('Scheduled Intervals'!AZ8&lt;&gt;"",IF($A$2/'Scheduled Intervals'!AZ8=ROUND($A$2/'Scheduled Intervals'!AZ8,0),"Yes",""),""))</f>
        <v/>
      </c>
      <c r="BA8" s="244" t="str">
        <f>IF($A$2="Annual","",IF('Scheduled Intervals'!BA8&lt;&gt;"",IF($A$2/'Scheduled Intervals'!BA8=ROUND($A$2/'Scheduled Intervals'!BA8,0),"Yes",""),""))</f>
        <v/>
      </c>
      <c r="BB8" s="244" t="str">
        <f>IF($A$2="Annual","",IF('Scheduled Intervals'!BB8&lt;&gt;"",IF($A$2/'Scheduled Intervals'!BB8=ROUND($A$2/'Scheduled Intervals'!BB8,0),"Yes",""),""))</f>
        <v/>
      </c>
      <c r="BC8" s="244" t="str">
        <f>IF($A$2="Annual","",IF('Scheduled Intervals'!BC8&lt;&gt;"",IF($A$2/'Scheduled Intervals'!BC8=ROUND($A$2/'Scheduled Intervals'!BC8,0),"Yes",""),""))</f>
        <v/>
      </c>
      <c r="BD8" s="244" t="str">
        <f>IF($A$2="Annual","",IF('Scheduled Intervals'!BD8&lt;&gt;"",IF($A$2/'Scheduled Intervals'!BD8=ROUND($A$2/'Scheduled Intervals'!BD8,0),"Yes",""),""))</f>
        <v/>
      </c>
      <c r="BE8" s="244" t="str">
        <f>IF($A$2="Annual","",IF('Scheduled Intervals'!BE8&lt;&gt;"",IF($A$2/'Scheduled Intervals'!BE8=ROUND($A$2/'Scheduled Intervals'!BE8,0),"Yes",""),""))</f>
        <v/>
      </c>
      <c r="BF8" s="244" t="str">
        <f>IF($A$2="Annual","",IF('Scheduled Intervals'!BF8&lt;&gt;"",IF($A$2/'Scheduled Intervals'!BF8=ROUND($A$2/'Scheduled Intervals'!BF8,0),"Yes",""),""))</f>
        <v/>
      </c>
      <c r="BG8" s="244" t="str">
        <f>IF($A$2="Annual","",IF('Scheduled Intervals'!BG8&lt;&gt;"",IF($A$2/'Scheduled Intervals'!BG8=ROUND($A$2/'Scheduled Intervals'!BG8,0),"Yes",""),""))</f>
        <v/>
      </c>
      <c r="BH8" s="244" t="str">
        <f>IF($A$2="Annual","",IF('Scheduled Intervals'!BH8&lt;&gt;"",IF($A$2/'Scheduled Intervals'!BH8=ROUND($A$2/'Scheduled Intervals'!BH8,0),"Yes",""),""))</f>
        <v/>
      </c>
      <c r="BI8" s="244" t="str">
        <f>IF($A$2="Annual","",IF('Scheduled Intervals'!BI8&lt;&gt;"",IF($A$2/'Scheduled Intervals'!BI8=ROUND($A$2/'Scheduled Intervals'!BI8,0),"Yes",""),""))</f>
        <v/>
      </c>
      <c r="BJ8" s="244" t="str">
        <f>IF($A$2="Annual","",IF('Scheduled Intervals'!BJ8&lt;&gt;"",IF($A$2/'Scheduled Intervals'!BJ8=ROUND($A$2/'Scheduled Intervals'!BJ8,0),"Yes",""),""))</f>
        <v/>
      </c>
      <c r="BK8" s="244" t="str">
        <f>IF($A$2="Annual","",IF('Scheduled Intervals'!BK8&lt;&gt;"",IF($A$2/'Scheduled Intervals'!BK8=ROUND($A$2/'Scheduled Intervals'!BK8,0),"Yes",""),""))</f>
        <v/>
      </c>
      <c r="BL8" s="244" t="str">
        <f>IF($A$2="Annual","",IF('Scheduled Intervals'!BL8&lt;&gt;"",IF($A$2/'Scheduled Intervals'!BL8=ROUND($A$2/'Scheduled Intervals'!BL8,0),"Yes",""),""))</f>
        <v/>
      </c>
      <c r="BM8" s="244" t="str">
        <f>IF($A$2="Annual","",IF('Scheduled Intervals'!BM8&lt;&gt;"",IF($A$2/'Scheduled Intervals'!BM8=ROUND($A$2/'Scheduled Intervals'!BM8,0),"Yes",""),""))</f>
        <v/>
      </c>
      <c r="BN8" s="177" t="str">
        <f>IF(AND($A$2="annual",'Scheduled Intervals'!BN8&lt;&gt;""),"yes","")</f>
        <v/>
      </c>
      <c r="BO8" s="177" t="str">
        <f>IF(AND($A$2="annual",'Scheduled Intervals'!BO8&lt;&gt;""),"yes","")</f>
        <v/>
      </c>
      <c r="BP8" s="177" t="str">
        <f>IF(AND($A$2="annual",'Scheduled Intervals'!BP8&lt;&gt;""),"yes","")</f>
        <v/>
      </c>
    </row>
    <row r="9" spans="1:68" x14ac:dyDescent="0.2">
      <c r="A9" s="133" t="str">
        <f>+'Scheduled Intervals'!A9</f>
        <v>Utility over 75 M4 class</v>
      </c>
      <c r="B9" s="134" t="str">
        <f>IF('Scheduled Intervals'!B9&lt;&gt;"",IF($A$2='Scheduled Intervals'!B9,"Yes",""),"")</f>
        <v/>
      </c>
      <c r="C9" s="134" t="str">
        <f>IF('Scheduled Intervals'!C9&lt;&gt;"",IF($A$2='Scheduled Intervals'!C9,"Yes",""),"")</f>
        <v/>
      </c>
      <c r="D9" s="134" t="str">
        <f>IF('Scheduled Intervals'!D9&lt;&gt;"",IF($A$2='Scheduled Intervals'!D9,"Yes",""),"")</f>
        <v/>
      </c>
      <c r="E9" s="134" t="str">
        <f>IF('Scheduled Intervals'!E9&lt;&gt;"",IF($A$2='Scheduled Intervals'!E9,"Yes",""),"")</f>
        <v/>
      </c>
      <c r="F9" s="134" t="str">
        <f>IF('Scheduled Intervals'!F9&lt;&gt;"",IF($A$2='Scheduled Intervals'!F9,"Yes",""),"")</f>
        <v/>
      </c>
      <c r="G9" s="134" t="str">
        <f>IF('Scheduled Intervals'!G9&lt;&gt;"",IF($A$2='Scheduled Intervals'!G9,"Yes",""),"")</f>
        <v/>
      </c>
      <c r="H9" s="134" t="str">
        <f>IF('Scheduled Intervals'!H9&lt;&gt;"",IF($A$2='Scheduled Intervals'!H9,"Yes",""),"")</f>
        <v/>
      </c>
      <c r="I9" s="134" t="str">
        <f>IF('Scheduled Intervals'!I9&lt;&gt;"",IF($A$2='Scheduled Intervals'!I9,"Yes",""),"")</f>
        <v/>
      </c>
      <c r="J9" s="134" t="str">
        <f>IF('Scheduled Intervals'!J9&lt;&gt;"",IF($A$2='Scheduled Intervals'!J9,"Yes",""),"")</f>
        <v/>
      </c>
      <c r="K9" s="134" t="str">
        <f>IF('Scheduled Intervals'!K9&lt;&gt;"",IF($A$2='Scheduled Intervals'!K9,"Yes",""),"")</f>
        <v/>
      </c>
      <c r="L9" s="134" t="str">
        <f>IF('Scheduled Intervals'!L9&lt;&gt;"",IF($A$2='Scheduled Intervals'!L9,"Yes",""),"")</f>
        <v/>
      </c>
      <c r="M9" s="134" t="str">
        <f>IF('Scheduled Intervals'!M9&lt;&gt;"",IF($A$2='Scheduled Intervals'!M9,"Yes",""),"")</f>
        <v/>
      </c>
      <c r="N9" s="134" t="str">
        <f>IF('Scheduled Intervals'!N9&lt;&gt;"",IF($A$2='Scheduled Intervals'!N9,"Yes",""),"")</f>
        <v/>
      </c>
      <c r="O9" s="134" t="str">
        <f>IF('Scheduled Intervals'!O9&lt;&gt;"",IF($A$2='Scheduled Intervals'!O9,"Yes",""),"")</f>
        <v/>
      </c>
      <c r="P9" s="134" t="str">
        <f>IF('Scheduled Intervals'!P9&lt;&gt;"",IF($A$2='Scheduled Intervals'!P9,"Yes",""),"")</f>
        <v/>
      </c>
      <c r="Q9" s="134" t="str">
        <f>IF('Scheduled Intervals'!Q9&lt;&gt;"",IF($A$2='Scheduled Intervals'!Q9,"Yes",""),"")</f>
        <v/>
      </c>
      <c r="R9" s="134" t="str">
        <f>IF('Scheduled Intervals'!R9&lt;&gt;"",IF($A$2='Scheduled Intervals'!R9,"Yes",""),"")</f>
        <v/>
      </c>
      <c r="S9" s="134" t="str">
        <f>IF('Scheduled Intervals'!S9&lt;&gt;"",IF($A$2='Scheduled Intervals'!S9,"Yes",""),"")</f>
        <v/>
      </c>
      <c r="T9" s="134" t="str">
        <f>IF('Scheduled Intervals'!T9&lt;&gt;"",IF($A$2='Scheduled Intervals'!T9,"Yes",""),"")</f>
        <v/>
      </c>
      <c r="U9" s="244" t="str">
        <f>IF($A$2="Annual","",IF('Scheduled Intervals'!U9&lt;&gt;"",IF($A$2/'Scheduled Intervals'!U9=ROUND($A$2/'Scheduled Intervals'!U9,0),"Yes",""),""))</f>
        <v>Yes</v>
      </c>
      <c r="V9" s="244" t="str">
        <f>IF($A$2="Annual","",IF('Scheduled Intervals'!V9&lt;&gt;"",IF($A$2/'Scheduled Intervals'!V9=ROUND($A$2/'Scheduled Intervals'!V9,0),"Yes",""),""))</f>
        <v/>
      </c>
      <c r="W9" s="244" t="str">
        <f>IF($A$2="Annual","",IF('Scheduled Intervals'!W9&lt;&gt;"",IF($A$2/'Scheduled Intervals'!W9=ROUND($A$2/'Scheduled Intervals'!W9,0),"Yes",""),""))</f>
        <v>Yes</v>
      </c>
      <c r="X9" s="244" t="str">
        <f>IF($A$2="Annual","",IF('Scheduled Intervals'!X9&lt;&gt;"",IF($A$2/'Scheduled Intervals'!X9=ROUND($A$2/'Scheduled Intervals'!X9,0),"Yes",""),""))</f>
        <v/>
      </c>
      <c r="Y9" s="244" t="str">
        <f>IF($A$2="Annual","",IF('Scheduled Intervals'!Y9&lt;&gt;"",IF($A$2/'Scheduled Intervals'!Y9=ROUND($A$2/'Scheduled Intervals'!Y9,0),"Yes",""),""))</f>
        <v>Yes</v>
      </c>
      <c r="Z9" s="244" t="str">
        <f>IF($A$2="Annual","",IF('Scheduled Intervals'!Z9&lt;&gt;"",IF($A$2/'Scheduled Intervals'!Z9=ROUND($A$2/'Scheduled Intervals'!Z9,0),"Yes",""),""))</f>
        <v>Yes</v>
      </c>
      <c r="AA9" s="244" t="str">
        <f>IF($A$2="Annual","",IF('Scheduled Intervals'!AA9&lt;&gt;"",IF($A$2/'Scheduled Intervals'!AA9=ROUND($A$2/'Scheduled Intervals'!AA9,0),"Yes",""),""))</f>
        <v/>
      </c>
      <c r="AB9" s="244" t="str">
        <f>IF($A$2="Annual","",IF('Scheduled Intervals'!AB9&lt;&gt;"",IF($A$2/'Scheduled Intervals'!AB9=ROUND($A$2/'Scheduled Intervals'!AB9,0),"Yes",""),""))</f>
        <v/>
      </c>
      <c r="AC9" s="244" t="str">
        <f>IF($A$2="Annual","",IF('Scheduled Intervals'!AC9&lt;&gt;"",IF($A$2/'Scheduled Intervals'!AC9=ROUND($A$2/'Scheduled Intervals'!AC9,0),"Yes",""),""))</f>
        <v/>
      </c>
      <c r="AD9" s="244" t="str">
        <f>IF($A$2="Annual","",IF('Scheduled Intervals'!AD9&lt;&gt;"",IF($A$2/'Scheduled Intervals'!AD9=ROUND($A$2/'Scheduled Intervals'!AD9,0),"Yes",""),""))</f>
        <v/>
      </c>
      <c r="AE9" s="244" t="str">
        <f>IF($A$2="Annual","",IF('Scheduled Intervals'!AE9&lt;&gt;"",IF($A$2/'Scheduled Intervals'!AE9=ROUND($A$2/'Scheduled Intervals'!AE9,0),"Yes",""),""))</f>
        <v>Yes</v>
      </c>
      <c r="AF9" s="244" t="str">
        <f>IF($A$2="Annual","",IF('Scheduled Intervals'!AF9&lt;&gt;"",IF($A$2/'Scheduled Intervals'!AF9=ROUND($A$2/'Scheduled Intervals'!AF9,0),"Yes",""),""))</f>
        <v/>
      </c>
      <c r="AG9" s="244" t="str">
        <f>IF($A$2="Annual","",IF('Scheduled Intervals'!AG9&lt;&gt;"",IF($A$2/'Scheduled Intervals'!AG9=ROUND($A$2/'Scheduled Intervals'!AG9,0),"Yes",""),""))</f>
        <v/>
      </c>
      <c r="AH9" s="244" t="str">
        <f>IF($A$2="Annual","",IF('Scheduled Intervals'!AH9&lt;&gt;"",IF($A$2/'Scheduled Intervals'!AH9=ROUND($A$2/'Scheduled Intervals'!AH9,0),"Yes",""),""))</f>
        <v/>
      </c>
      <c r="AI9" s="244" t="str">
        <f>IF($A$2="Annual","",IF('Scheduled Intervals'!AI9&lt;&gt;"",IF($A$2/'Scheduled Intervals'!AI9=ROUND($A$2/'Scheduled Intervals'!AI9,0),"Yes",""),""))</f>
        <v/>
      </c>
      <c r="AJ9" s="244" t="str">
        <f>IF($A$2="Annual","",IF('Scheduled Intervals'!AJ9&lt;&gt;"",IF($A$2/'Scheduled Intervals'!AJ9=ROUND($A$2/'Scheduled Intervals'!AJ9,0),"Yes",""),""))</f>
        <v/>
      </c>
      <c r="AK9" s="244" t="str">
        <f>IF($A$2="Annual","",IF('Scheduled Intervals'!AK9&lt;&gt;"",IF($A$2/'Scheduled Intervals'!AK9=ROUND($A$2/'Scheduled Intervals'!AK9,0),"Yes",""),""))</f>
        <v/>
      </c>
      <c r="AL9" s="244" t="str">
        <f>IF($A$2="Annual","",IF('Scheduled Intervals'!AL9&lt;&gt;"",IF($A$2/'Scheduled Intervals'!AL9=ROUND($A$2/'Scheduled Intervals'!AL9,0),"Yes",""),""))</f>
        <v/>
      </c>
      <c r="AM9" s="244" t="str">
        <f>IF($A$2="Annual","",IF('Scheduled Intervals'!AM9&lt;&gt;"",IF($A$2/'Scheduled Intervals'!AM9=ROUND($A$2/'Scheduled Intervals'!AM9,0),"Yes",""),""))</f>
        <v/>
      </c>
      <c r="AN9" s="244" t="str">
        <f>IF($A$2="Annual","",IF('Scheduled Intervals'!AN9&lt;&gt;"",IF($A$2/'Scheduled Intervals'!AN9=ROUND($A$2/'Scheduled Intervals'!AN9,0),"Yes",""),""))</f>
        <v/>
      </c>
      <c r="AO9" s="244" t="str">
        <f>IF($A$2="Annual","",IF('Scheduled Intervals'!AO9&lt;&gt;"",IF($A$2/'Scheduled Intervals'!AO9=ROUND($A$2/'Scheduled Intervals'!AO9,0),"Yes",""),""))</f>
        <v/>
      </c>
      <c r="AP9" s="244" t="str">
        <f>IF($A$2="Annual","",IF('Scheduled Intervals'!AP9&lt;&gt;"",IF($A$2/'Scheduled Intervals'!AP9=ROUND($A$2/'Scheduled Intervals'!AP9,0),"Yes",""),""))</f>
        <v/>
      </c>
      <c r="AQ9" s="244" t="str">
        <f>IF($A$2="Annual","",IF('Scheduled Intervals'!AQ9&lt;&gt;"",IF($A$2/'Scheduled Intervals'!AQ9=ROUND($A$2/'Scheduled Intervals'!AQ9,0),"Yes",""),""))</f>
        <v/>
      </c>
      <c r="AR9" s="244" t="str">
        <f>IF($A$2="Annual","",IF('Scheduled Intervals'!AR9&lt;&gt;"",IF($A$2/'Scheduled Intervals'!AR9=ROUND($A$2/'Scheduled Intervals'!AR9,0),"Yes",""),""))</f>
        <v/>
      </c>
      <c r="AS9" s="244" t="str">
        <f>IF($A$2="Annual","",IF('Scheduled Intervals'!AS9&lt;&gt;"",IF($A$2/'Scheduled Intervals'!AS9=ROUND($A$2/'Scheduled Intervals'!AS9,0),"Yes",""),""))</f>
        <v/>
      </c>
      <c r="AT9" s="244" t="str">
        <f>IF($A$2="Annual","",IF('Scheduled Intervals'!AT9&lt;&gt;"",IF($A$2/'Scheduled Intervals'!AT9=ROUND($A$2/'Scheduled Intervals'!AT9,0),"Yes",""),""))</f>
        <v>Yes</v>
      </c>
      <c r="AU9" s="244" t="str">
        <f>IF($A$2="Annual","",IF('Scheduled Intervals'!AU9&lt;&gt;"",IF($A$2/'Scheduled Intervals'!AU9=ROUND($A$2/'Scheduled Intervals'!AU9,0),"Yes",""),""))</f>
        <v/>
      </c>
      <c r="AV9" s="244" t="str">
        <f>IF($A$2="Annual","",IF('Scheduled Intervals'!AV9&lt;&gt;"",IF($A$2/'Scheduled Intervals'!AV9=ROUND($A$2/'Scheduled Intervals'!AV9,0),"Yes",""),""))</f>
        <v/>
      </c>
      <c r="AW9" s="244" t="str">
        <f>IF($A$2="Annual","",IF('Scheduled Intervals'!AW9&lt;&gt;"",IF($A$2/'Scheduled Intervals'!AW9=ROUND($A$2/'Scheduled Intervals'!AW9,0),"Yes",""),""))</f>
        <v/>
      </c>
      <c r="AX9" s="244" t="str">
        <f>IF($A$2="Annual","",IF('Scheduled Intervals'!AX9&lt;&gt;"",IF($A$2/'Scheduled Intervals'!AX9=ROUND($A$2/'Scheduled Intervals'!AX9,0),"Yes",""),""))</f>
        <v/>
      </c>
      <c r="AY9" s="244" t="str">
        <f>IF($A$2="Annual","",IF('Scheduled Intervals'!AY9&lt;&gt;"",IF($A$2/'Scheduled Intervals'!AY9=ROUND($A$2/'Scheduled Intervals'!AY9,0),"Yes",""),""))</f>
        <v/>
      </c>
      <c r="AZ9" s="244" t="str">
        <f>IF($A$2="Annual","",IF('Scheduled Intervals'!AZ9&lt;&gt;"",IF($A$2/'Scheduled Intervals'!AZ9=ROUND($A$2/'Scheduled Intervals'!AZ9,0),"Yes",""),""))</f>
        <v/>
      </c>
      <c r="BA9" s="244" t="str">
        <f>IF($A$2="Annual","",IF('Scheduled Intervals'!BA9&lt;&gt;"",IF($A$2/'Scheduled Intervals'!BA9=ROUND($A$2/'Scheduled Intervals'!BA9,0),"Yes",""),""))</f>
        <v/>
      </c>
      <c r="BB9" s="244" t="str">
        <f>IF($A$2="Annual","",IF('Scheduled Intervals'!BB9&lt;&gt;"",IF($A$2/'Scheduled Intervals'!BB9=ROUND($A$2/'Scheduled Intervals'!BB9,0),"Yes",""),""))</f>
        <v/>
      </c>
      <c r="BC9" s="244" t="str">
        <f>IF($A$2="Annual","",IF('Scheduled Intervals'!BC9&lt;&gt;"",IF($A$2/'Scheduled Intervals'!BC9=ROUND($A$2/'Scheduled Intervals'!BC9,0),"Yes",""),""))</f>
        <v/>
      </c>
      <c r="BD9" s="244" t="str">
        <f>IF($A$2="Annual","",IF('Scheduled Intervals'!BD9&lt;&gt;"",IF($A$2/'Scheduled Intervals'!BD9=ROUND($A$2/'Scheduled Intervals'!BD9,0),"Yes",""),""))</f>
        <v/>
      </c>
      <c r="BE9" s="244" t="str">
        <f>IF($A$2="Annual","",IF('Scheduled Intervals'!BE9&lt;&gt;"",IF($A$2/'Scheduled Intervals'!BE9=ROUND($A$2/'Scheduled Intervals'!BE9,0),"Yes",""),""))</f>
        <v/>
      </c>
      <c r="BF9" s="244" t="str">
        <f>IF($A$2="Annual","",IF('Scheduled Intervals'!BF9&lt;&gt;"",IF($A$2/'Scheduled Intervals'!BF9=ROUND($A$2/'Scheduled Intervals'!BF9,0),"Yes",""),""))</f>
        <v/>
      </c>
      <c r="BG9" s="244" t="str">
        <f>IF($A$2="Annual","",IF('Scheduled Intervals'!BG9&lt;&gt;"",IF($A$2/'Scheduled Intervals'!BG9=ROUND($A$2/'Scheduled Intervals'!BG9,0),"Yes",""),""))</f>
        <v/>
      </c>
      <c r="BH9" s="244" t="str">
        <f>IF($A$2="Annual","",IF('Scheduled Intervals'!BH9&lt;&gt;"",IF($A$2/'Scheduled Intervals'!BH9=ROUND($A$2/'Scheduled Intervals'!BH9,0),"Yes",""),""))</f>
        <v/>
      </c>
      <c r="BI9" s="244" t="str">
        <f>IF($A$2="Annual","",IF('Scheduled Intervals'!BI9&lt;&gt;"",IF($A$2/'Scheduled Intervals'!BI9=ROUND($A$2/'Scheduled Intervals'!BI9,0),"Yes",""),""))</f>
        <v/>
      </c>
      <c r="BJ9" s="244" t="str">
        <f>IF($A$2="Annual","",IF('Scheduled Intervals'!BJ9&lt;&gt;"",IF($A$2/'Scheduled Intervals'!BJ9=ROUND($A$2/'Scheduled Intervals'!BJ9,0),"Yes",""),""))</f>
        <v>Yes</v>
      </c>
      <c r="BK9" s="244" t="str">
        <f>IF($A$2="Annual","",IF('Scheduled Intervals'!BK9&lt;&gt;"",IF($A$2/'Scheduled Intervals'!BK9=ROUND($A$2/'Scheduled Intervals'!BK9,0),"Yes",""),""))</f>
        <v/>
      </c>
      <c r="BL9" s="244" t="str">
        <f>IF($A$2="Annual","",IF('Scheduled Intervals'!BL9&lt;&gt;"",IF($A$2/'Scheduled Intervals'!BL9=ROUND($A$2/'Scheduled Intervals'!BL9,0),"Yes",""),""))</f>
        <v/>
      </c>
      <c r="BM9" s="244" t="str">
        <f>IF($A$2="Annual","",IF('Scheduled Intervals'!BM9&lt;&gt;"",IF($A$2/'Scheduled Intervals'!BM9=ROUND($A$2/'Scheduled Intervals'!BM9,0),"Yes",""),""))</f>
        <v/>
      </c>
      <c r="BN9" s="177" t="str">
        <f>IF(AND($A$2="annual",'Scheduled Intervals'!BN9&lt;&gt;""),"yes","")</f>
        <v/>
      </c>
      <c r="BO9" s="177" t="str">
        <f>IF(AND($A$2="annual",'Scheduled Intervals'!BO9&lt;&gt;""),"yes","")</f>
        <v/>
      </c>
      <c r="BP9" s="177" t="str">
        <f>IF(AND($A$2="annual",'Scheduled Intervals'!BP9&lt;&gt;""),"yes","")</f>
        <v/>
      </c>
    </row>
    <row r="10" spans="1:68" x14ac:dyDescent="0.2">
      <c r="A10" s="133" t="str">
        <f>+'Scheduled Intervals'!A10</f>
        <v>Large Ag M6</v>
      </c>
      <c r="B10" s="134" t="str">
        <f>IF('Scheduled Intervals'!B10&lt;&gt;"",IF($A$2='Scheduled Intervals'!B10,"Yes",""),"")</f>
        <v/>
      </c>
      <c r="C10" s="134" t="str">
        <f>IF('Scheduled Intervals'!C10&lt;&gt;"",IF($A$2='Scheduled Intervals'!C10,"Yes",""),"")</f>
        <v/>
      </c>
      <c r="D10" s="134" t="str">
        <f>IF('Scheduled Intervals'!D10&lt;&gt;"",IF($A$2='Scheduled Intervals'!D10,"Yes",""),"")</f>
        <v/>
      </c>
      <c r="E10" s="134" t="str">
        <f>IF('Scheduled Intervals'!E10&lt;&gt;"",IF($A$2='Scheduled Intervals'!E10,"Yes",""),"")</f>
        <v/>
      </c>
      <c r="F10" s="134" t="str">
        <f>IF('Scheduled Intervals'!F10&lt;&gt;"",IF($A$2='Scheduled Intervals'!F10,"Yes",""),"")</f>
        <v/>
      </c>
      <c r="G10" s="134" t="str">
        <f>IF('Scheduled Intervals'!G10&lt;&gt;"",IF($A$2='Scheduled Intervals'!G10,"Yes",""),"")</f>
        <v/>
      </c>
      <c r="H10" s="134" t="str">
        <f>IF('Scheduled Intervals'!H10&lt;&gt;"",IF($A$2='Scheduled Intervals'!H10,"Yes",""),"")</f>
        <v/>
      </c>
      <c r="I10" s="134" t="str">
        <f>IF('Scheduled Intervals'!I10&lt;&gt;"",IF($A$2='Scheduled Intervals'!I10,"Yes",""),"")</f>
        <v/>
      </c>
      <c r="J10" s="134" t="str">
        <f>IF('Scheduled Intervals'!J10&lt;&gt;"",IF($A$2='Scheduled Intervals'!J10,"Yes",""),"")</f>
        <v/>
      </c>
      <c r="K10" s="134" t="str">
        <f>IF('Scheduled Intervals'!K10&lt;&gt;"",IF($A$2='Scheduled Intervals'!K10,"Yes",""),"")</f>
        <v/>
      </c>
      <c r="L10" s="134" t="str">
        <f>IF('Scheduled Intervals'!L10&lt;&gt;"",IF($A$2='Scheduled Intervals'!L10,"Yes",""),"")</f>
        <v/>
      </c>
      <c r="M10" s="134" t="str">
        <f>IF('Scheduled Intervals'!M10&lt;&gt;"",IF($A$2='Scheduled Intervals'!M10,"Yes",""),"")</f>
        <v/>
      </c>
      <c r="N10" s="134" t="str">
        <f>IF('Scheduled Intervals'!N10&lt;&gt;"",IF($A$2='Scheduled Intervals'!N10,"Yes",""),"")</f>
        <v/>
      </c>
      <c r="O10" s="134" t="str">
        <f>IF('Scheduled Intervals'!O10&lt;&gt;"",IF($A$2='Scheduled Intervals'!O10,"Yes",""),"")</f>
        <v/>
      </c>
      <c r="P10" s="134" t="str">
        <f>IF('Scheduled Intervals'!P10&lt;&gt;"",IF($A$2='Scheduled Intervals'!P10,"Yes",""),"")</f>
        <v/>
      </c>
      <c r="Q10" s="134" t="str">
        <f>IF('Scheduled Intervals'!Q10&lt;&gt;"",IF($A$2='Scheduled Intervals'!Q10,"Yes",""),"")</f>
        <v/>
      </c>
      <c r="R10" s="134" t="str">
        <f>IF('Scheduled Intervals'!R10&lt;&gt;"",IF($A$2='Scheduled Intervals'!R10,"Yes",""),"")</f>
        <v/>
      </c>
      <c r="S10" s="134" t="str">
        <f>IF('Scheduled Intervals'!S10&lt;&gt;"",IF($A$2='Scheduled Intervals'!S10,"Yes",""),"")</f>
        <v/>
      </c>
      <c r="T10" s="134" t="str">
        <f>IF('Scheduled Intervals'!T10&lt;&gt;"",IF($A$2='Scheduled Intervals'!T10,"Yes",""),"")</f>
        <v/>
      </c>
      <c r="U10" s="244" t="str">
        <f>IF($A$2="Annual","",IF('Scheduled Intervals'!U10&lt;&gt;"",IF($A$2/'Scheduled Intervals'!U10=ROUND($A$2/'Scheduled Intervals'!U10,0),"Yes",""),""))</f>
        <v>Yes</v>
      </c>
      <c r="V10" s="244" t="str">
        <f>IF($A$2="Annual","",IF('Scheduled Intervals'!V10&lt;&gt;"",IF($A$2/'Scheduled Intervals'!V10=ROUND($A$2/'Scheduled Intervals'!V10,0),"Yes",""),""))</f>
        <v/>
      </c>
      <c r="W10" s="244" t="str">
        <f>IF($A$2="Annual","",IF('Scheduled Intervals'!W10&lt;&gt;"",IF($A$2/'Scheduled Intervals'!W10=ROUND($A$2/'Scheduled Intervals'!W10,0),"Yes",""),""))</f>
        <v/>
      </c>
      <c r="X10" s="244" t="str">
        <f>IF($A$2="Annual","",IF('Scheduled Intervals'!X10&lt;&gt;"",IF($A$2/'Scheduled Intervals'!X10=ROUND($A$2/'Scheduled Intervals'!X10,0),"Yes",""),""))</f>
        <v>Yes</v>
      </c>
      <c r="Y10" s="244" t="str">
        <f>IF($A$2="Annual","",IF('Scheduled Intervals'!Y10&lt;&gt;"",IF($A$2/'Scheduled Intervals'!Y10=ROUND($A$2/'Scheduled Intervals'!Y10,0),"Yes",""),""))</f>
        <v>Yes</v>
      </c>
      <c r="Z10" s="244" t="str">
        <f>IF($A$2="Annual","",IF('Scheduled Intervals'!Z10&lt;&gt;"",IF($A$2/'Scheduled Intervals'!Z10=ROUND($A$2/'Scheduled Intervals'!Z10,0),"Yes",""),""))</f>
        <v>Yes</v>
      </c>
      <c r="AA10" s="244" t="str">
        <f>IF($A$2="Annual","",IF('Scheduled Intervals'!AA10&lt;&gt;"",IF($A$2/'Scheduled Intervals'!AA10=ROUND($A$2/'Scheduled Intervals'!AA10,0),"Yes",""),""))</f>
        <v/>
      </c>
      <c r="AB10" s="244" t="str">
        <f>IF($A$2="Annual","",IF('Scheduled Intervals'!AB10&lt;&gt;"",IF($A$2/'Scheduled Intervals'!AB10=ROUND($A$2/'Scheduled Intervals'!AB10,0),"Yes",""),""))</f>
        <v>Yes</v>
      </c>
      <c r="AC10" s="244" t="str">
        <f>IF($A$2="Annual","",IF('Scheduled Intervals'!AC10&lt;&gt;"",IF($A$2/'Scheduled Intervals'!AC10=ROUND($A$2/'Scheduled Intervals'!AC10,0),"Yes",""),""))</f>
        <v>Yes</v>
      </c>
      <c r="AD10" s="244" t="str">
        <f>IF($A$2="Annual","",IF('Scheduled Intervals'!AD10&lt;&gt;"",IF($A$2/'Scheduled Intervals'!AD10=ROUND($A$2/'Scheduled Intervals'!AD10,0),"Yes",""),""))</f>
        <v/>
      </c>
      <c r="AE10" s="244" t="str">
        <f>IF($A$2="Annual","",IF('Scheduled Intervals'!AE10&lt;&gt;"",IF($A$2/'Scheduled Intervals'!AE10=ROUND($A$2/'Scheduled Intervals'!AE10,0),"Yes",""),""))</f>
        <v/>
      </c>
      <c r="AF10" s="244" t="str">
        <f>IF($A$2="Annual","",IF('Scheduled Intervals'!AF10&lt;&gt;"",IF($A$2/'Scheduled Intervals'!AF10=ROUND($A$2/'Scheduled Intervals'!AF10,0),"Yes",""),""))</f>
        <v/>
      </c>
      <c r="AG10" s="244" t="str">
        <f>IF($A$2="Annual","",IF('Scheduled Intervals'!AG10&lt;&gt;"",IF($A$2/'Scheduled Intervals'!AG10=ROUND($A$2/'Scheduled Intervals'!AG10,0),"Yes",""),""))</f>
        <v>Yes</v>
      </c>
      <c r="AH10" s="244" t="str">
        <f>IF($A$2="Annual","",IF('Scheduled Intervals'!AH10&lt;&gt;"",IF($A$2/'Scheduled Intervals'!AH10=ROUND($A$2/'Scheduled Intervals'!AH10,0),"Yes",""),""))</f>
        <v/>
      </c>
      <c r="AI10" s="244" t="str">
        <f>IF($A$2="Annual","",IF('Scheduled Intervals'!AI10&lt;&gt;"",IF($A$2/'Scheduled Intervals'!AI10=ROUND($A$2/'Scheduled Intervals'!AI10,0),"Yes",""),""))</f>
        <v>Yes</v>
      </c>
      <c r="AJ10" s="244" t="str">
        <f>IF($A$2="Annual","",IF('Scheduled Intervals'!AJ10&lt;&gt;"",IF($A$2/'Scheduled Intervals'!AJ10=ROUND($A$2/'Scheduled Intervals'!AJ10,0),"Yes",""),""))</f>
        <v/>
      </c>
      <c r="AK10" s="244" t="str">
        <f>IF($A$2="Annual","",IF('Scheduled Intervals'!AK10&lt;&gt;"",IF($A$2/'Scheduled Intervals'!AK10=ROUND($A$2/'Scheduled Intervals'!AK10,0),"Yes",""),""))</f>
        <v>Yes</v>
      </c>
      <c r="AL10" s="244" t="str">
        <f>IF($A$2="Annual","",IF('Scheduled Intervals'!AL10&lt;&gt;"",IF($A$2/'Scheduled Intervals'!AL10=ROUND($A$2/'Scheduled Intervals'!AL10,0),"Yes",""),""))</f>
        <v/>
      </c>
      <c r="AM10" s="244" t="str">
        <f>IF($A$2="Annual","",IF('Scheduled Intervals'!AM10&lt;&gt;"",IF($A$2/'Scheduled Intervals'!AM10=ROUND($A$2/'Scheduled Intervals'!AM10,0),"Yes",""),""))</f>
        <v/>
      </c>
      <c r="AN10" s="244" t="str">
        <f>IF($A$2="Annual","",IF('Scheduled Intervals'!AN10&lt;&gt;"",IF($A$2/'Scheduled Intervals'!AN10=ROUND($A$2/'Scheduled Intervals'!AN10,0),"Yes",""),""))</f>
        <v/>
      </c>
      <c r="AO10" s="244" t="str">
        <f>IF($A$2="Annual","",IF('Scheduled Intervals'!AO10&lt;&gt;"",IF($A$2/'Scheduled Intervals'!AO10=ROUND($A$2/'Scheduled Intervals'!AO10,0),"Yes",""),""))</f>
        <v/>
      </c>
      <c r="AP10" s="244" t="str">
        <f>IF($A$2="Annual","",IF('Scheduled Intervals'!AP10&lt;&gt;"",IF($A$2/'Scheduled Intervals'!AP10=ROUND($A$2/'Scheduled Intervals'!AP10,0),"Yes",""),""))</f>
        <v/>
      </c>
      <c r="AQ10" s="244" t="str">
        <f>IF($A$2="Annual","",IF('Scheduled Intervals'!AQ10&lt;&gt;"",IF($A$2/'Scheduled Intervals'!AQ10=ROUND($A$2/'Scheduled Intervals'!AQ10,0),"Yes",""),""))</f>
        <v/>
      </c>
      <c r="AR10" s="244" t="str">
        <f>IF($A$2="Annual","",IF('Scheduled Intervals'!AR10&lt;&gt;"",IF($A$2/'Scheduled Intervals'!AR10=ROUND($A$2/'Scheduled Intervals'!AR10,0),"Yes",""),""))</f>
        <v/>
      </c>
      <c r="AS10" s="244" t="str">
        <f>IF($A$2="Annual","",IF('Scheduled Intervals'!AS10&lt;&gt;"",IF($A$2/'Scheduled Intervals'!AS10=ROUND($A$2/'Scheduled Intervals'!AS10,0),"Yes",""),""))</f>
        <v/>
      </c>
      <c r="AT10" s="244" t="str">
        <f>IF($A$2="Annual","",IF('Scheduled Intervals'!AT10&lt;&gt;"",IF($A$2/'Scheduled Intervals'!AT10=ROUND($A$2/'Scheduled Intervals'!AT10,0),"Yes",""),""))</f>
        <v>Yes</v>
      </c>
      <c r="AU10" s="244" t="str">
        <f>IF($A$2="Annual","",IF('Scheduled Intervals'!AU10&lt;&gt;"",IF($A$2/'Scheduled Intervals'!AU10=ROUND($A$2/'Scheduled Intervals'!AU10,0),"Yes",""),""))</f>
        <v/>
      </c>
      <c r="AV10" s="244" t="str">
        <f>IF($A$2="Annual","",IF('Scheduled Intervals'!AV10&lt;&gt;"",IF($A$2/'Scheduled Intervals'!AV10=ROUND($A$2/'Scheduled Intervals'!AV10,0),"Yes",""),""))</f>
        <v/>
      </c>
      <c r="AW10" s="244" t="str">
        <f>IF($A$2="Annual","",IF('Scheduled Intervals'!AW10&lt;&gt;"",IF($A$2/'Scheduled Intervals'!AW10=ROUND($A$2/'Scheduled Intervals'!AW10,0),"Yes",""),""))</f>
        <v/>
      </c>
      <c r="AX10" s="244" t="str">
        <f>IF($A$2="Annual","",IF('Scheduled Intervals'!AX10&lt;&gt;"",IF($A$2/'Scheduled Intervals'!AX10=ROUND($A$2/'Scheduled Intervals'!AX10,0),"Yes",""),""))</f>
        <v/>
      </c>
      <c r="AY10" s="244" t="str">
        <f>IF($A$2="Annual","",IF('Scheduled Intervals'!AY10&lt;&gt;"",IF($A$2/'Scheduled Intervals'!AY10=ROUND($A$2/'Scheduled Intervals'!AY10,0),"Yes",""),""))</f>
        <v/>
      </c>
      <c r="AZ10" s="244" t="str">
        <f>IF($A$2="Annual","",IF('Scheduled Intervals'!AZ10&lt;&gt;"",IF($A$2/'Scheduled Intervals'!AZ10=ROUND($A$2/'Scheduled Intervals'!AZ10,0),"Yes",""),""))</f>
        <v/>
      </c>
      <c r="BA10" s="244" t="str">
        <f>IF($A$2="Annual","",IF('Scheduled Intervals'!BA10&lt;&gt;"",IF($A$2/'Scheduled Intervals'!BA10=ROUND($A$2/'Scheduled Intervals'!BA10,0),"Yes",""),""))</f>
        <v>Yes</v>
      </c>
      <c r="BB10" s="244" t="str">
        <f>IF($A$2="Annual","",IF('Scheduled Intervals'!BB10&lt;&gt;"",IF($A$2/'Scheduled Intervals'!BB10=ROUND($A$2/'Scheduled Intervals'!BB10,0),"Yes",""),""))</f>
        <v/>
      </c>
      <c r="BC10" s="244" t="str">
        <f>IF($A$2="Annual","",IF('Scheduled Intervals'!BC10&lt;&gt;"",IF($A$2/'Scheduled Intervals'!BC10=ROUND($A$2/'Scheduled Intervals'!BC10,0),"Yes",""),""))</f>
        <v/>
      </c>
      <c r="BD10" s="244" t="str">
        <f>IF($A$2="Annual","",IF('Scheduled Intervals'!BD10&lt;&gt;"",IF($A$2/'Scheduled Intervals'!BD10=ROUND($A$2/'Scheduled Intervals'!BD10,0),"Yes",""),""))</f>
        <v/>
      </c>
      <c r="BE10" s="244" t="str">
        <f>IF($A$2="Annual","",IF('Scheduled Intervals'!BE10&lt;&gt;"",IF($A$2/'Scheduled Intervals'!BE10=ROUND($A$2/'Scheduled Intervals'!BE10,0),"Yes",""),""))</f>
        <v/>
      </c>
      <c r="BF10" s="244" t="str">
        <f>IF($A$2="Annual","",IF('Scheduled Intervals'!BF10&lt;&gt;"",IF($A$2/'Scheduled Intervals'!BF10=ROUND($A$2/'Scheduled Intervals'!BF10,0),"Yes",""),""))</f>
        <v/>
      </c>
      <c r="BG10" s="244" t="str">
        <f>IF($A$2="Annual","",IF('Scheduled Intervals'!BG10&lt;&gt;"",IF($A$2/'Scheduled Intervals'!BG10=ROUND($A$2/'Scheduled Intervals'!BG10,0),"Yes",""),""))</f>
        <v/>
      </c>
      <c r="BH10" s="244" t="str">
        <f>IF($A$2="Annual","",IF('Scheduled Intervals'!BH10&lt;&gt;"",IF($A$2/'Scheduled Intervals'!BH10=ROUND($A$2/'Scheduled Intervals'!BH10,0),"Yes",""),""))</f>
        <v/>
      </c>
      <c r="BI10" s="244" t="str">
        <f>IF($A$2="Annual","",IF('Scheduled Intervals'!BI10&lt;&gt;"",IF($A$2/'Scheduled Intervals'!BI10=ROUND($A$2/'Scheduled Intervals'!BI10,0),"Yes",""),""))</f>
        <v/>
      </c>
      <c r="BJ10" s="244" t="str">
        <f>IF($A$2="Annual","",IF('Scheduled Intervals'!BJ10&lt;&gt;"",IF($A$2/'Scheduled Intervals'!BJ10=ROUND($A$2/'Scheduled Intervals'!BJ10,0),"Yes",""),""))</f>
        <v>Yes</v>
      </c>
      <c r="BK10" s="244" t="str">
        <f>IF($A$2="Annual","",IF('Scheduled Intervals'!BK10&lt;&gt;"",IF($A$2/'Scheduled Intervals'!BK10=ROUND($A$2/'Scheduled Intervals'!BK10,0),"Yes",""),""))</f>
        <v/>
      </c>
      <c r="BL10" s="244" t="str">
        <f>IF($A$2="Annual","",IF('Scheduled Intervals'!BL10&lt;&gt;"",IF($A$2/'Scheduled Intervals'!BL10=ROUND($A$2/'Scheduled Intervals'!BL10,0),"Yes",""),""))</f>
        <v/>
      </c>
      <c r="BM10" s="244" t="str">
        <f>IF($A$2="Annual","",IF('Scheduled Intervals'!BM10&lt;&gt;"",IF($A$2/'Scheduled Intervals'!BM10=ROUND($A$2/'Scheduled Intervals'!BM10,0),"Yes",""),""))</f>
        <v/>
      </c>
      <c r="BN10" s="177" t="str">
        <f>IF(AND($A$2="annual",'Scheduled Intervals'!BN10&lt;&gt;""),"yes","")</f>
        <v/>
      </c>
      <c r="BO10" s="177" t="str">
        <f>IF(AND($A$2="annual",'Scheduled Intervals'!BO10&lt;&gt;""),"yes","")</f>
        <v/>
      </c>
      <c r="BP10" s="177" t="str">
        <f>IF(AND($A$2="annual",'Scheduled Intervals'!BP10&lt;&gt;""),"yes","")</f>
        <v/>
      </c>
    </row>
    <row r="11" spans="1:68" x14ac:dyDescent="0.2">
      <c r="A11" s="133" t="str">
        <f>+'Scheduled Intervals'!A11</f>
        <v>Skid Steer</v>
      </c>
      <c r="B11" s="134" t="str">
        <f>IF('Scheduled Intervals'!B11&lt;&gt;"",IF($A$2='Scheduled Intervals'!B11,"Yes",""),"")</f>
        <v/>
      </c>
      <c r="C11" s="134" t="str">
        <f>IF('Scheduled Intervals'!C11&lt;&gt;"",IF($A$2='Scheduled Intervals'!C11,"Yes",""),"")</f>
        <v/>
      </c>
      <c r="D11" s="134" t="str">
        <f>IF('Scheduled Intervals'!D11&lt;&gt;"",IF($A$2='Scheduled Intervals'!D11,"Yes",""),"")</f>
        <v/>
      </c>
      <c r="E11" s="134" t="str">
        <f>IF('Scheduled Intervals'!E11&lt;&gt;"",IF($A$2='Scheduled Intervals'!E11,"Yes",""),"")</f>
        <v/>
      </c>
      <c r="F11" s="134" t="str">
        <f>IF('Scheduled Intervals'!F11&lt;&gt;"",IF($A$2='Scheduled Intervals'!F11,"Yes",""),"")</f>
        <v/>
      </c>
      <c r="G11" s="134" t="str">
        <f>IF('Scheduled Intervals'!G11&lt;&gt;"",IF($A$2='Scheduled Intervals'!G11,"Yes",""),"")</f>
        <v/>
      </c>
      <c r="H11" s="134" t="str">
        <f>IF('Scheduled Intervals'!H11&lt;&gt;"",IF($A$2='Scheduled Intervals'!H11,"Yes",""),"")</f>
        <v/>
      </c>
      <c r="I11" s="134" t="str">
        <f>IF('Scheduled Intervals'!I11&lt;&gt;"",IF($A$2='Scheduled Intervals'!I11,"Yes",""),"")</f>
        <v/>
      </c>
      <c r="J11" s="134" t="str">
        <f>IF('Scheduled Intervals'!J11&lt;&gt;"",IF($A$2='Scheduled Intervals'!J11,"Yes",""),"")</f>
        <v/>
      </c>
      <c r="K11" s="134" t="str">
        <f>IF('Scheduled Intervals'!K11&lt;&gt;"",IF($A$2='Scheduled Intervals'!K11,"Yes",""),"")</f>
        <v/>
      </c>
      <c r="L11" s="134" t="str">
        <f>IF('Scheduled Intervals'!L11&lt;&gt;"",IF($A$2='Scheduled Intervals'!L11,"Yes",""),"")</f>
        <v/>
      </c>
      <c r="M11" s="134" t="str">
        <f>IF('Scheduled Intervals'!M11&lt;&gt;"",IF($A$2='Scheduled Intervals'!M11,"Yes",""),"")</f>
        <v/>
      </c>
      <c r="N11" s="134" t="str">
        <f>IF('Scheduled Intervals'!N11&lt;&gt;"",IF($A$2='Scheduled Intervals'!N11,"Yes",""),"")</f>
        <v/>
      </c>
      <c r="O11" s="134" t="str">
        <f>IF('Scheduled Intervals'!O11&lt;&gt;"",IF($A$2='Scheduled Intervals'!O11,"Yes",""),"")</f>
        <v/>
      </c>
      <c r="P11" s="134" t="str">
        <f>IF('Scheduled Intervals'!P11&lt;&gt;"",IF($A$2='Scheduled Intervals'!P11,"Yes",""),"")</f>
        <v/>
      </c>
      <c r="Q11" s="134" t="str">
        <f>IF('Scheduled Intervals'!Q11&lt;&gt;"",IF($A$2='Scheduled Intervals'!Q11,"Yes",""),"")</f>
        <v/>
      </c>
      <c r="R11" s="134" t="str">
        <f>IF('Scheduled Intervals'!R11&lt;&gt;"",IF($A$2='Scheduled Intervals'!R11,"Yes",""),"")</f>
        <v/>
      </c>
      <c r="S11" s="134" t="str">
        <f>IF('Scheduled Intervals'!S11&lt;&gt;"",IF($A$2='Scheduled Intervals'!S11,"Yes",""),"")</f>
        <v/>
      </c>
      <c r="T11" s="134" t="str">
        <f>IF('Scheduled Intervals'!T11&lt;&gt;"",IF($A$2='Scheduled Intervals'!T11,"Yes",""),"")</f>
        <v/>
      </c>
      <c r="U11" s="244" t="str">
        <f>IF($A$2="Annual","",IF('Scheduled Intervals'!U11&lt;&gt;"",IF($A$2/'Scheduled Intervals'!U11=ROUND($A$2/'Scheduled Intervals'!U11,0),"Yes",""),""))</f>
        <v>Yes</v>
      </c>
      <c r="V11" s="244" t="str">
        <f>IF($A$2="Annual","",IF('Scheduled Intervals'!V11&lt;&gt;"",IF($A$2/'Scheduled Intervals'!V11=ROUND($A$2/'Scheduled Intervals'!V11,0),"Yes",""),""))</f>
        <v/>
      </c>
      <c r="W11" s="244" t="str">
        <f>IF($A$2="Annual","",IF('Scheduled Intervals'!W11&lt;&gt;"",IF($A$2/'Scheduled Intervals'!W11=ROUND($A$2/'Scheduled Intervals'!W11,0),"Yes",""),""))</f>
        <v/>
      </c>
      <c r="X11" s="244" t="str">
        <f>IF($A$2="Annual","",IF('Scheduled Intervals'!X11&lt;&gt;"",IF($A$2/'Scheduled Intervals'!X11=ROUND($A$2/'Scheduled Intervals'!X11,0),"Yes",""),""))</f>
        <v/>
      </c>
      <c r="Y11" s="244" t="str">
        <f>IF($A$2="Annual","",IF('Scheduled Intervals'!Y11&lt;&gt;"",IF($A$2/'Scheduled Intervals'!Y11=ROUND($A$2/'Scheduled Intervals'!Y11,0),"Yes",""),""))</f>
        <v>Yes</v>
      </c>
      <c r="Z11" s="244" t="str">
        <f>IF($A$2="Annual","",IF('Scheduled Intervals'!Z11&lt;&gt;"",IF($A$2/'Scheduled Intervals'!Z11=ROUND($A$2/'Scheduled Intervals'!Z11,0),"Yes",""),""))</f>
        <v>Yes</v>
      </c>
      <c r="AA11" s="244" t="str">
        <f>IF($A$2="Annual","",IF('Scheduled Intervals'!AA11&lt;&gt;"",IF($A$2/'Scheduled Intervals'!AA11=ROUND($A$2/'Scheduled Intervals'!AA11,0),"Yes",""),""))</f>
        <v/>
      </c>
      <c r="AB11" s="244" t="str">
        <f>IF($A$2="Annual","",IF('Scheduled Intervals'!AB11&lt;&gt;"",IF($A$2/'Scheduled Intervals'!AB11=ROUND($A$2/'Scheduled Intervals'!AB11,0),"Yes",""),""))</f>
        <v/>
      </c>
      <c r="AC11" s="244" t="str">
        <f>IF($A$2="Annual","",IF('Scheduled Intervals'!AC11&lt;&gt;"",IF($A$2/'Scheduled Intervals'!AC11=ROUND($A$2/'Scheduled Intervals'!AC11,0),"Yes",""),""))</f>
        <v/>
      </c>
      <c r="AD11" s="244" t="str">
        <f>IF($A$2="Annual","",IF('Scheduled Intervals'!AD11&lt;&gt;"",IF($A$2/'Scheduled Intervals'!AD11=ROUND($A$2/'Scheduled Intervals'!AD11,0),"Yes",""),""))</f>
        <v/>
      </c>
      <c r="AE11" s="244" t="str">
        <f>IF($A$2="Annual","",IF('Scheduled Intervals'!AE11&lt;&gt;"",IF($A$2/'Scheduled Intervals'!AE11=ROUND($A$2/'Scheduled Intervals'!AE11,0),"Yes",""),""))</f>
        <v>Yes</v>
      </c>
      <c r="AF11" s="244" t="str">
        <f>IF($A$2="Annual","",IF('Scheduled Intervals'!AF11&lt;&gt;"",IF($A$2/'Scheduled Intervals'!AF11=ROUND($A$2/'Scheduled Intervals'!AF11,0),"Yes",""),""))</f>
        <v>Yes</v>
      </c>
      <c r="AG11" s="244" t="str">
        <f>IF($A$2="Annual","",IF('Scheduled Intervals'!AG11&lt;&gt;"",IF($A$2/'Scheduled Intervals'!AG11=ROUND($A$2/'Scheduled Intervals'!AG11,0),"Yes",""),""))</f>
        <v>Yes</v>
      </c>
      <c r="AH11" s="244" t="str">
        <f>IF($A$2="Annual","",IF('Scheduled Intervals'!AH11&lt;&gt;"",IF($A$2/'Scheduled Intervals'!AH11=ROUND($A$2/'Scheduled Intervals'!AH11,0),"Yes",""),""))</f>
        <v/>
      </c>
      <c r="AI11" s="244" t="str">
        <f>IF($A$2="Annual","",IF('Scheduled Intervals'!AI11&lt;&gt;"",IF($A$2/'Scheduled Intervals'!AI11=ROUND($A$2/'Scheduled Intervals'!AI11,0),"Yes",""),""))</f>
        <v/>
      </c>
      <c r="AJ11" s="244" t="str">
        <f>IF($A$2="Annual","",IF('Scheduled Intervals'!AJ11&lt;&gt;"",IF($A$2/'Scheduled Intervals'!AJ11=ROUND($A$2/'Scheduled Intervals'!AJ11,0),"Yes",""),""))</f>
        <v/>
      </c>
      <c r="AK11" s="244" t="str">
        <f>IF($A$2="Annual","",IF('Scheduled Intervals'!AK11&lt;&gt;"",IF($A$2/'Scheduled Intervals'!AK11=ROUND($A$2/'Scheduled Intervals'!AK11,0),"Yes",""),""))</f>
        <v/>
      </c>
      <c r="AL11" s="244" t="str">
        <f>IF($A$2="Annual","",IF('Scheduled Intervals'!AL11&lt;&gt;"",IF($A$2/'Scheduled Intervals'!AL11=ROUND($A$2/'Scheduled Intervals'!AL11,0),"Yes",""),""))</f>
        <v/>
      </c>
      <c r="AM11" s="244" t="str">
        <f>IF($A$2="Annual","",IF('Scheduled Intervals'!AM11&lt;&gt;"",IF($A$2/'Scheduled Intervals'!AM11=ROUND($A$2/'Scheduled Intervals'!AM11,0),"Yes",""),""))</f>
        <v/>
      </c>
      <c r="AN11" s="244" t="str">
        <f>IF($A$2="Annual","",IF('Scheduled Intervals'!AN11&lt;&gt;"",IF($A$2/'Scheduled Intervals'!AN11=ROUND($A$2/'Scheduled Intervals'!AN11,0),"Yes",""),""))</f>
        <v/>
      </c>
      <c r="AO11" s="244" t="str">
        <f>IF($A$2="Annual","",IF('Scheduled Intervals'!AO11&lt;&gt;"",IF($A$2/'Scheduled Intervals'!AO11=ROUND($A$2/'Scheduled Intervals'!AO11,0),"Yes",""),""))</f>
        <v/>
      </c>
      <c r="AP11" s="244" t="str">
        <f>IF($A$2="Annual","",IF('Scheduled Intervals'!AP11&lt;&gt;"",IF($A$2/'Scheduled Intervals'!AP11=ROUND($A$2/'Scheduled Intervals'!AP11,0),"Yes",""),""))</f>
        <v/>
      </c>
      <c r="AQ11" s="244" t="str">
        <f>IF($A$2="Annual","",IF('Scheduled Intervals'!AQ11&lt;&gt;"",IF($A$2/'Scheduled Intervals'!AQ11=ROUND($A$2/'Scheduled Intervals'!AQ11,0),"Yes",""),""))</f>
        <v/>
      </c>
      <c r="AR11" s="244" t="str">
        <f>IF($A$2="Annual","",IF('Scheduled Intervals'!AR11&lt;&gt;"",IF($A$2/'Scheduled Intervals'!AR11=ROUND($A$2/'Scheduled Intervals'!AR11,0),"Yes",""),""))</f>
        <v/>
      </c>
      <c r="AS11" s="244" t="str">
        <f>IF($A$2="Annual","",IF('Scheduled Intervals'!AS11&lt;&gt;"",IF($A$2/'Scheduled Intervals'!AS11=ROUND($A$2/'Scheduled Intervals'!AS11,0),"Yes",""),""))</f>
        <v>Yes</v>
      </c>
      <c r="AT11" s="244" t="str">
        <f>IF($A$2="Annual","",IF('Scheduled Intervals'!AT11&lt;&gt;"",IF($A$2/'Scheduled Intervals'!AT11=ROUND($A$2/'Scheduled Intervals'!AT11,0),"Yes",""),""))</f>
        <v>Yes</v>
      </c>
      <c r="AU11" s="244" t="str">
        <f>IF($A$2="Annual","",IF('Scheduled Intervals'!AU11&lt;&gt;"",IF($A$2/'Scheduled Intervals'!AU11=ROUND($A$2/'Scheduled Intervals'!AU11,0),"Yes",""),""))</f>
        <v/>
      </c>
      <c r="AV11" s="244" t="str">
        <f>IF($A$2="Annual","",IF('Scheduled Intervals'!AV11&lt;&gt;"",IF($A$2/'Scheduled Intervals'!AV11=ROUND($A$2/'Scheduled Intervals'!AV11,0),"Yes",""),""))</f>
        <v/>
      </c>
      <c r="AW11" s="244" t="str">
        <f>IF($A$2="Annual","",IF('Scheduled Intervals'!AW11&lt;&gt;"",IF($A$2/'Scheduled Intervals'!AW11=ROUND($A$2/'Scheduled Intervals'!AW11,0),"Yes",""),""))</f>
        <v/>
      </c>
      <c r="AX11" s="244" t="str">
        <f>IF($A$2="Annual","",IF('Scheduled Intervals'!AX11&lt;&gt;"",IF($A$2/'Scheduled Intervals'!AX11=ROUND($A$2/'Scheduled Intervals'!AX11,0),"Yes",""),""))</f>
        <v/>
      </c>
      <c r="AY11" s="244" t="str">
        <f>IF($A$2="Annual","",IF('Scheduled Intervals'!AY11&lt;&gt;"",IF($A$2/'Scheduled Intervals'!AY11=ROUND($A$2/'Scheduled Intervals'!AY11,0),"Yes",""),""))</f>
        <v/>
      </c>
      <c r="AZ11" s="244" t="str">
        <f>IF($A$2="Annual","",IF('Scheduled Intervals'!AZ11&lt;&gt;"",IF($A$2/'Scheduled Intervals'!AZ11=ROUND($A$2/'Scheduled Intervals'!AZ11,0),"Yes",""),""))</f>
        <v/>
      </c>
      <c r="BA11" s="244" t="str">
        <f>IF($A$2="Annual","",IF('Scheduled Intervals'!BA11&lt;&gt;"",IF($A$2/'Scheduled Intervals'!BA11=ROUND($A$2/'Scheduled Intervals'!BA11,0),"Yes",""),""))</f>
        <v/>
      </c>
      <c r="BB11" s="244" t="str">
        <f>IF($A$2="Annual","",IF('Scheduled Intervals'!BB11&lt;&gt;"",IF($A$2/'Scheduled Intervals'!BB11=ROUND($A$2/'Scheduled Intervals'!BB11,0),"Yes",""),""))</f>
        <v>Yes</v>
      </c>
      <c r="BC11" s="244" t="str">
        <f>IF($A$2="Annual","",IF('Scheduled Intervals'!BC11&lt;&gt;"",IF($A$2/'Scheduled Intervals'!BC11=ROUND($A$2/'Scheduled Intervals'!BC11,0),"Yes",""),""))</f>
        <v/>
      </c>
      <c r="BD11" s="244" t="str">
        <f>IF($A$2="Annual","",IF('Scheduled Intervals'!BD11&lt;&gt;"",IF($A$2/'Scheduled Intervals'!BD11=ROUND($A$2/'Scheduled Intervals'!BD11,0),"Yes",""),""))</f>
        <v/>
      </c>
      <c r="BE11" s="244" t="str">
        <f>IF($A$2="Annual","",IF('Scheduled Intervals'!BE11&lt;&gt;"",IF($A$2/'Scheduled Intervals'!BE11=ROUND($A$2/'Scheduled Intervals'!BE11,0),"Yes",""),""))</f>
        <v/>
      </c>
      <c r="BF11" s="244" t="str">
        <f>IF($A$2="Annual","",IF('Scheduled Intervals'!BF11&lt;&gt;"",IF($A$2/'Scheduled Intervals'!BF11=ROUND($A$2/'Scheduled Intervals'!BF11,0),"Yes",""),""))</f>
        <v/>
      </c>
      <c r="BG11" s="244" t="str">
        <f>IF($A$2="Annual","",IF('Scheduled Intervals'!BG11&lt;&gt;"",IF($A$2/'Scheduled Intervals'!BG11=ROUND($A$2/'Scheduled Intervals'!BG11,0),"Yes",""),""))</f>
        <v/>
      </c>
      <c r="BH11" s="244" t="str">
        <f>IF($A$2="Annual","",IF('Scheduled Intervals'!BH11&lt;&gt;"",IF($A$2/'Scheduled Intervals'!BH11=ROUND($A$2/'Scheduled Intervals'!BH11,0),"Yes",""),""))</f>
        <v/>
      </c>
      <c r="BI11" s="244" t="str">
        <f>IF($A$2="Annual","",IF('Scheduled Intervals'!BI11&lt;&gt;"",IF($A$2/'Scheduled Intervals'!BI11=ROUND($A$2/'Scheduled Intervals'!BI11,0),"Yes",""),""))</f>
        <v/>
      </c>
      <c r="BJ11" s="244" t="str">
        <f>IF($A$2="Annual","",IF('Scheduled Intervals'!BJ11&lt;&gt;"",IF($A$2/'Scheduled Intervals'!BJ11=ROUND($A$2/'Scheduled Intervals'!BJ11,0),"Yes",""),""))</f>
        <v>Yes</v>
      </c>
      <c r="BK11" s="244" t="str">
        <f>IF($A$2="Annual","",IF('Scheduled Intervals'!BK11&lt;&gt;"",IF($A$2/'Scheduled Intervals'!BK11=ROUND($A$2/'Scheduled Intervals'!BK11,0),"Yes",""),""))</f>
        <v/>
      </c>
      <c r="BL11" s="244" t="str">
        <f>IF($A$2="Annual","",IF('Scheduled Intervals'!BL11&lt;&gt;"",IF($A$2/'Scheduled Intervals'!BL11=ROUND($A$2/'Scheduled Intervals'!BL11,0),"Yes",""),""))</f>
        <v/>
      </c>
      <c r="BM11" s="244" t="str">
        <f>IF($A$2="Annual","",IF('Scheduled Intervals'!BM11&lt;&gt;"",IF($A$2/'Scheduled Intervals'!BM11=ROUND($A$2/'Scheduled Intervals'!BM11,0),"Yes",""),""))</f>
        <v/>
      </c>
      <c r="BN11" s="177" t="str">
        <f>IF(AND($A$2="annual",'Scheduled Intervals'!BN11&lt;&gt;""),"yes","")</f>
        <v/>
      </c>
      <c r="BO11" s="177" t="str">
        <f>IF(AND($A$2="annual",'Scheduled Intervals'!BO11&lt;&gt;""),"yes","")</f>
        <v/>
      </c>
      <c r="BP11" s="177" t="str">
        <f>IF(AND($A$2="annual",'Scheduled Intervals'!BP11&lt;&gt;""),"yes","")</f>
        <v/>
      </c>
    </row>
    <row r="12" spans="1:68" x14ac:dyDescent="0.2">
      <c r="A12" s="133" t="str">
        <f>+'Scheduled Intervals'!A12</f>
        <v>Excavator - under 3.5 ton</v>
      </c>
      <c r="B12" s="134" t="str">
        <f>IF('Scheduled Intervals'!B12&lt;&gt;"",IF($A$2='Scheduled Intervals'!B12,"Yes",""),"")</f>
        <v/>
      </c>
      <c r="C12" s="134" t="str">
        <f>IF('Scheduled Intervals'!C12&lt;&gt;"",IF($A$2='Scheduled Intervals'!C12,"Yes",""),"")</f>
        <v/>
      </c>
      <c r="D12" s="134" t="str">
        <f>IF('Scheduled Intervals'!D12&lt;&gt;"",IF($A$2='Scheduled Intervals'!D12,"Yes",""),"")</f>
        <v/>
      </c>
      <c r="E12" s="134" t="str">
        <f>IF('Scheduled Intervals'!E12&lt;&gt;"",IF($A$2='Scheduled Intervals'!E12,"Yes",""),"")</f>
        <v/>
      </c>
      <c r="F12" s="134" t="str">
        <f>IF('Scheduled Intervals'!F12&lt;&gt;"",IF($A$2='Scheduled Intervals'!F12,"Yes",""),"")</f>
        <v/>
      </c>
      <c r="G12" s="134" t="str">
        <f>IF('Scheduled Intervals'!G12&lt;&gt;"",IF($A$2='Scheduled Intervals'!G12,"Yes",""),"")</f>
        <v/>
      </c>
      <c r="H12" s="134" t="str">
        <f>IF('Scheduled Intervals'!H12&lt;&gt;"",IF($A$2='Scheduled Intervals'!H12,"Yes",""),"")</f>
        <v/>
      </c>
      <c r="I12" s="134" t="str">
        <f>IF('Scheduled Intervals'!I12&lt;&gt;"",IF($A$2='Scheduled Intervals'!I12,"Yes",""),"")</f>
        <v/>
      </c>
      <c r="J12" s="134" t="str">
        <f>IF('Scheduled Intervals'!J12&lt;&gt;"",IF($A$2='Scheduled Intervals'!J12,"Yes",""),"")</f>
        <v/>
      </c>
      <c r="K12" s="134" t="str">
        <f>IF('Scheduled Intervals'!K12&lt;&gt;"",IF($A$2='Scheduled Intervals'!K12,"Yes",""),"")</f>
        <v/>
      </c>
      <c r="L12" s="134" t="str">
        <f>IF('Scheduled Intervals'!L12&lt;&gt;"",IF($A$2='Scheduled Intervals'!L12,"Yes",""),"")</f>
        <v/>
      </c>
      <c r="M12" s="134" t="str">
        <f>IF('Scheduled Intervals'!M12&lt;&gt;"",IF($A$2='Scheduled Intervals'!M12,"Yes",""),"")</f>
        <v/>
      </c>
      <c r="N12" s="134" t="str">
        <f>IF('Scheduled Intervals'!N12&lt;&gt;"",IF($A$2='Scheduled Intervals'!N12,"Yes",""),"")</f>
        <v/>
      </c>
      <c r="O12" s="134" t="str">
        <f>IF('Scheduled Intervals'!O12&lt;&gt;"",IF($A$2='Scheduled Intervals'!O12,"Yes",""),"")</f>
        <v/>
      </c>
      <c r="P12" s="134" t="str">
        <f>IF('Scheduled Intervals'!P12&lt;&gt;"",IF($A$2='Scheduled Intervals'!P12,"Yes",""),"")</f>
        <v/>
      </c>
      <c r="Q12" s="134" t="str">
        <f>IF('Scheduled Intervals'!Q12&lt;&gt;"",IF($A$2='Scheduled Intervals'!Q12,"Yes",""),"")</f>
        <v/>
      </c>
      <c r="R12" s="134" t="str">
        <f>IF('Scheduled Intervals'!R12&lt;&gt;"",IF($A$2='Scheduled Intervals'!R12,"Yes",""),"")</f>
        <v/>
      </c>
      <c r="S12" s="134" t="str">
        <f>IF('Scheduled Intervals'!S12&lt;&gt;"",IF($A$2='Scheduled Intervals'!S12,"Yes",""),"")</f>
        <v/>
      </c>
      <c r="T12" s="134" t="str">
        <f>IF('Scheduled Intervals'!T12&lt;&gt;"",IF($A$2='Scheduled Intervals'!T12,"Yes",""),"")</f>
        <v/>
      </c>
      <c r="U12" s="244" t="str">
        <f>IF($A$2="Annual","",IF('Scheduled Intervals'!U12&lt;&gt;"",IF($A$2/'Scheduled Intervals'!U12=ROUND($A$2/'Scheduled Intervals'!U12,0),"Yes",""),""))</f>
        <v>Yes</v>
      </c>
      <c r="V12" s="244" t="str">
        <f>IF($A$2="Annual","",IF('Scheduled Intervals'!V12&lt;&gt;"",IF($A$2/'Scheduled Intervals'!V12=ROUND($A$2/'Scheduled Intervals'!V12,0),"Yes",""),""))</f>
        <v/>
      </c>
      <c r="W12" s="244" t="str">
        <f>IF($A$2="Annual","",IF('Scheduled Intervals'!W12&lt;&gt;"",IF($A$2/'Scheduled Intervals'!W12=ROUND($A$2/'Scheduled Intervals'!W12,0),"Yes",""),""))</f>
        <v/>
      </c>
      <c r="X12" s="244" t="str">
        <f>IF($A$2="Annual","",IF('Scheduled Intervals'!X12&lt;&gt;"",IF($A$2/'Scheduled Intervals'!X12=ROUND($A$2/'Scheduled Intervals'!X12,0),"Yes",""),""))</f>
        <v>Yes</v>
      </c>
      <c r="Y12" s="244" t="str">
        <f>IF($A$2="Annual","",IF('Scheduled Intervals'!Y12&lt;&gt;"",IF($A$2/'Scheduled Intervals'!Y12=ROUND($A$2/'Scheduled Intervals'!Y12,0),"Yes",""),""))</f>
        <v/>
      </c>
      <c r="Z12" s="244" t="str">
        <f>IF($A$2="Annual","",IF('Scheduled Intervals'!Z12&lt;&gt;"",IF($A$2/'Scheduled Intervals'!Z12=ROUND($A$2/'Scheduled Intervals'!Z12,0),"Yes",""),""))</f>
        <v>Yes</v>
      </c>
      <c r="AA12" s="244" t="str">
        <f>IF($A$2="Annual","",IF('Scheduled Intervals'!AA12&lt;&gt;"",IF($A$2/'Scheduled Intervals'!AA12=ROUND($A$2/'Scheduled Intervals'!AA12,0),"Yes",""),""))</f>
        <v/>
      </c>
      <c r="AB12" s="244" t="str">
        <f>IF($A$2="Annual","",IF('Scheduled Intervals'!AB12&lt;&gt;"",IF($A$2/'Scheduled Intervals'!AB12=ROUND($A$2/'Scheduled Intervals'!AB12,0),"Yes",""),""))</f>
        <v/>
      </c>
      <c r="AC12" s="244" t="str">
        <f>IF($A$2="Annual","",IF('Scheduled Intervals'!AC12&lt;&gt;"",IF($A$2/'Scheduled Intervals'!AC12=ROUND($A$2/'Scheduled Intervals'!AC12,0),"Yes",""),""))</f>
        <v/>
      </c>
      <c r="AD12" s="244" t="str">
        <f>IF($A$2="Annual","",IF('Scheduled Intervals'!AD12&lt;&gt;"",IF($A$2/'Scheduled Intervals'!AD12=ROUND($A$2/'Scheduled Intervals'!AD12,0),"Yes",""),""))</f>
        <v/>
      </c>
      <c r="AE12" s="244" t="str">
        <f>IF($A$2="Annual","",IF('Scheduled Intervals'!AE12&lt;&gt;"",IF($A$2/'Scheduled Intervals'!AE12=ROUND($A$2/'Scheduled Intervals'!AE12,0),"Yes",""),""))</f>
        <v/>
      </c>
      <c r="AF12" s="244" t="str">
        <f>IF($A$2="Annual","",IF('Scheduled Intervals'!AF12&lt;&gt;"",IF($A$2/'Scheduled Intervals'!AF12=ROUND($A$2/'Scheduled Intervals'!AF12,0),"Yes",""),""))</f>
        <v/>
      </c>
      <c r="AG12" s="244" t="str">
        <f>IF($A$2="Annual","",IF('Scheduled Intervals'!AG12&lt;&gt;"",IF($A$2/'Scheduled Intervals'!AG12=ROUND($A$2/'Scheduled Intervals'!AG12,0),"Yes",""),""))</f>
        <v/>
      </c>
      <c r="AH12" s="244" t="str">
        <f>IF($A$2="Annual","",IF('Scheduled Intervals'!AH12&lt;&gt;"",IF($A$2/'Scheduled Intervals'!AH12=ROUND($A$2/'Scheduled Intervals'!AH12,0),"Yes",""),""))</f>
        <v/>
      </c>
      <c r="AI12" s="244" t="str">
        <f>IF($A$2="Annual","",IF('Scheduled Intervals'!AI12&lt;&gt;"",IF($A$2/'Scheduled Intervals'!AI12=ROUND($A$2/'Scheduled Intervals'!AI12,0),"Yes",""),""))</f>
        <v/>
      </c>
      <c r="AJ12" s="244" t="str">
        <f>IF($A$2="Annual","",IF('Scheduled Intervals'!AJ12&lt;&gt;"",IF($A$2/'Scheduled Intervals'!AJ12=ROUND($A$2/'Scheduled Intervals'!AJ12,0),"Yes",""),""))</f>
        <v/>
      </c>
      <c r="AK12" s="244" t="str">
        <f>IF($A$2="Annual","",IF('Scheduled Intervals'!AK12&lt;&gt;"",IF($A$2/'Scheduled Intervals'!AK12=ROUND($A$2/'Scheduled Intervals'!AK12,0),"Yes",""),""))</f>
        <v/>
      </c>
      <c r="AL12" s="244" t="str">
        <f>IF($A$2="Annual","",IF('Scheduled Intervals'!AL12&lt;&gt;"",IF($A$2/'Scheduled Intervals'!AL12=ROUND($A$2/'Scheduled Intervals'!AL12,0),"Yes",""),""))</f>
        <v/>
      </c>
      <c r="AM12" s="244" t="str">
        <f>IF($A$2="Annual","",IF('Scheduled Intervals'!AM12&lt;&gt;"",IF($A$2/'Scheduled Intervals'!AM12=ROUND($A$2/'Scheduled Intervals'!AM12,0),"Yes",""),""))</f>
        <v/>
      </c>
      <c r="AN12" s="244" t="str">
        <f>IF($A$2="Annual","",IF('Scheduled Intervals'!AN12&lt;&gt;"",IF($A$2/'Scheduled Intervals'!AN12=ROUND($A$2/'Scheduled Intervals'!AN12,0),"Yes",""),""))</f>
        <v/>
      </c>
      <c r="AO12" s="244" t="str">
        <f>IF($A$2="Annual","",IF('Scheduled Intervals'!AO12&lt;&gt;"",IF($A$2/'Scheduled Intervals'!AO12=ROUND($A$2/'Scheduled Intervals'!AO12,0),"Yes",""),""))</f>
        <v/>
      </c>
      <c r="AP12" s="244" t="str">
        <f>IF($A$2="Annual","",IF('Scheduled Intervals'!AP12&lt;&gt;"",IF($A$2/'Scheduled Intervals'!AP12=ROUND($A$2/'Scheduled Intervals'!AP12,0),"Yes",""),""))</f>
        <v>Yes</v>
      </c>
      <c r="AQ12" s="244" t="str">
        <f>IF($A$2="Annual","",IF('Scheduled Intervals'!AQ12&lt;&gt;"",IF($A$2/'Scheduled Intervals'!AQ12=ROUND($A$2/'Scheduled Intervals'!AQ12,0),"Yes",""),""))</f>
        <v>Yes</v>
      </c>
      <c r="AR12" s="244" t="str">
        <f>IF($A$2="Annual","",IF('Scheduled Intervals'!AR12&lt;&gt;"",IF($A$2/'Scheduled Intervals'!AR12=ROUND($A$2/'Scheduled Intervals'!AR12,0),"Yes",""),""))</f>
        <v/>
      </c>
      <c r="AS12" s="244" t="str">
        <f>IF($A$2="Annual","",IF('Scheduled Intervals'!AS12&lt;&gt;"",IF($A$2/'Scheduled Intervals'!AS12=ROUND($A$2/'Scheduled Intervals'!AS12,0),"Yes",""),""))</f>
        <v/>
      </c>
      <c r="AT12" s="244" t="str">
        <f>IF($A$2="Annual","",IF('Scheduled Intervals'!AT12&lt;&gt;"",IF($A$2/'Scheduled Intervals'!AT12=ROUND($A$2/'Scheduled Intervals'!AT12,0),"Yes",""),""))</f>
        <v>Yes</v>
      </c>
      <c r="AU12" s="244" t="str">
        <f>IF($A$2="Annual","",IF('Scheduled Intervals'!AU12&lt;&gt;"",IF($A$2/'Scheduled Intervals'!AU12=ROUND($A$2/'Scheduled Intervals'!AU12,0),"Yes",""),""))</f>
        <v/>
      </c>
      <c r="AV12" s="244" t="str">
        <f>IF($A$2="Annual","",IF('Scheduled Intervals'!AV12&lt;&gt;"",IF($A$2/'Scheduled Intervals'!AV12=ROUND($A$2/'Scheduled Intervals'!AV12,0),"Yes",""),""))</f>
        <v/>
      </c>
      <c r="AW12" s="244" t="str">
        <f>IF($A$2="Annual","",IF('Scheduled Intervals'!AW12&lt;&gt;"",IF($A$2/'Scheduled Intervals'!AW12=ROUND($A$2/'Scheduled Intervals'!AW12,0),"Yes",""),""))</f>
        <v/>
      </c>
      <c r="AX12" s="244" t="str">
        <f>IF($A$2="Annual","",IF('Scheduled Intervals'!AX12&lt;&gt;"",IF($A$2/'Scheduled Intervals'!AX12=ROUND($A$2/'Scheduled Intervals'!AX12,0),"Yes",""),""))</f>
        <v/>
      </c>
      <c r="AY12" s="244" t="str">
        <f>IF($A$2="Annual","",IF('Scheduled Intervals'!AY12&lt;&gt;"",IF($A$2/'Scheduled Intervals'!AY12=ROUND($A$2/'Scheduled Intervals'!AY12,0),"Yes",""),""))</f>
        <v/>
      </c>
      <c r="AZ12" s="244" t="str">
        <f>IF($A$2="Annual","",IF('Scheduled Intervals'!AZ12&lt;&gt;"",IF($A$2/'Scheduled Intervals'!AZ12=ROUND($A$2/'Scheduled Intervals'!AZ12,0),"Yes",""),""))</f>
        <v>Yes</v>
      </c>
      <c r="BA12" s="244" t="str">
        <f>IF($A$2="Annual","",IF('Scheduled Intervals'!BA12&lt;&gt;"",IF($A$2/'Scheduled Intervals'!BA12=ROUND($A$2/'Scheduled Intervals'!BA12,0),"Yes",""),""))</f>
        <v/>
      </c>
      <c r="BB12" s="244" t="str">
        <f>IF($A$2="Annual","",IF('Scheduled Intervals'!BB12&lt;&gt;"",IF($A$2/'Scheduled Intervals'!BB12=ROUND($A$2/'Scheduled Intervals'!BB12,0),"Yes",""),""))</f>
        <v/>
      </c>
      <c r="BC12" s="244" t="str">
        <f>IF($A$2="Annual","",IF('Scheduled Intervals'!BC12&lt;&gt;"",IF($A$2/'Scheduled Intervals'!BC12=ROUND($A$2/'Scheduled Intervals'!BC12,0),"Yes",""),""))</f>
        <v/>
      </c>
      <c r="BD12" s="244" t="str">
        <f>IF($A$2="Annual","",IF('Scheduled Intervals'!BD12&lt;&gt;"",IF($A$2/'Scheduled Intervals'!BD12=ROUND($A$2/'Scheduled Intervals'!BD12,0),"Yes",""),""))</f>
        <v/>
      </c>
      <c r="BE12" s="244" t="str">
        <f>IF($A$2="Annual","",IF('Scheduled Intervals'!BE12&lt;&gt;"",IF($A$2/'Scheduled Intervals'!BE12=ROUND($A$2/'Scheduled Intervals'!BE12,0),"Yes",""),""))</f>
        <v/>
      </c>
      <c r="BF12" s="244" t="str">
        <f>IF($A$2="Annual","",IF('Scheduled Intervals'!BF12&lt;&gt;"",IF($A$2/'Scheduled Intervals'!BF12=ROUND($A$2/'Scheduled Intervals'!BF12,0),"Yes",""),""))</f>
        <v/>
      </c>
      <c r="BG12" s="244" t="str">
        <f>IF($A$2="Annual","",IF('Scheduled Intervals'!BG12&lt;&gt;"",IF($A$2/'Scheduled Intervals'!BG12=ROUND($A$2/'Scheduled Intervals'!BG12,0),"Yes",""),""))</f>
        <v/>
      </c>
      <c r="BH12" s="244" t="str">
        <f>IF($A$2="Annual","",IF('Scheduled Intervals'!BH12&lt;&gt;"",IF($A$2/'Scheduled Intervals'!BH12=ROUND($A$2/'Scheduled Intervals'!BH12,0),"Yes",""),""))</f>
        <v/>
      </c>
      <c r="BI12" s="244" t="str">
        <f>IF($A$2="Annual","",IF('Scheduled Intervals'!BI12&lt;&gt;"",IF($A$2/'Scheduled Intervals'!BI12=ROUND($A$2/'Scheduled Intervals'!BI12,0),"Yes",""),""))</f>
        <v/>
      </c>
      <c r="BJ12" s="244" t="str">
        <f>IF($A$2="Annual","",IF('Scheduled Intervals'!BJ12&lt;&gt;"",IF($A$2/'Scheduled Intervals'!BJ12=ROUND($A$2/'Scheduled Intervals'!BJ12,0),"Yes",""),""))</f>
        <v>Yes</v>
      </c>
      <c r="BK12" s="244" t="str">
        <f>IF($A$2="Annual","",IF('Scheduled Intervals'!BK12&lt;&gt;"",IF($A$2/'Scheduled Intervals'!BK12=ROUND($A$2/'Scheduled Intervals'!BK12,0),"Yes",""),""))</f>
        <v/>
      </c>
      <c r="BL12" s="244" t="str">
        <f>IF($A$2="Annual","",IF('Scheduled Intervals'!BL12&lt;&gt;"",IF($A$2/'Scheduled Intervals'!BL12=ROUND($A$2/'Scheduled Intervals'!BL12,0),"Yes",""),""))</f>
        <v/>
      </c>
      <c r="BM12" s="244" t="str">
        <f>IF($A$2="Annual","",IF('Scheduled Intervals'!BM12&lt;&gt;"",IF($A$2/'Scheduled Intervals'!BM12=ROUND($A$2/'Scheduled Intervals'!BM12,0),"Yes",""),""))</f>
        <v/>
      </c>
      <c r="BN12" s="177" t="str">
        <f>IF(AND($A$2="annual",'Scheduled Intervals'!BN12&lt;&gt;""),"yes","")</f>
        <v/>
      </c>
      <c r="BO12" s="177" t="str">
        <f>IF(AND($A$2="annual",'Scheduled Intervals'!BO12&lt;&gt;""),"yes","")</f>
        <v/>
      </c>
      <c r="BP12" s="177" t="str">
        <f>IF(AND($A$2="annual",'Scheduled Intervals'!BP12&lt;&gt;""),"yes","")</f>
        <v/>
      </c>
    </row>
    <row r="13" spans="1:68" x14ac:dyDescent="0.2">
      <c r="A13" s="133" t="str">
        <f>+'Scheduled Intervals'!A13</f>
        <v>Excavator - over 3.5 ton</v>
      </c>
      <c r="B13" s="134" t="str">
        <f>IF('Scheduled Intervals'!B13&lt;&gt;"",IF($A$2='Scheduled Intervals'!B13,"Yes",""),"")</f>
        <v/>
      </c>
      <c r="C13" s="134" t="str">
        <f>IF('Scheduled Intervals'!C13&lt;&gt;"",IF($A$2='Scheduled Intervals'!C13,"Yes",""),"")</f>
        <v/>
      </c>
      <c r="D13" s="134" t="str">
        <f>IF('Scheduled Intervals'!D13&lt;&gt;"",IF($A$2='Scheduled Intervals'!D13,"Yes",""),"")</f>
        <v/>
      </c>
      <c r="E13" s="134" t="str">
        <f>IF('Scheduled Intervals'!E13&lt;&gt;"",IF($A$2='Scheduled Intervals'!E13,"Yes",""),"")</f>
        <v/>
      </c>
      <c r="F13" s="134" t="str">
        <f>IF('Scheduled Intervals'!F13&lt;&gt;"",IF($A$2='Scheduled Intervals'!F13,"Yes",""),"")</f>
        <v/>
      </c>
      <c r="G13" s="134" t="str">
        <f>IF('Scheduled Intervals'!G13&lt;&gt;"",IF($A$2='Scheduled Intervals'!G13,"Yes",""),"")</f>
        <v/>
      </c>
      <c r="H13" s="134" t="str">
        <f>IF('Scheduled Intervals'!H13&lt;&gt;"",IF($A$2='Scheduled Intervals'!H13,"Yes",""),"")</f>
        <v/>
      </c>
      <c r="I13" s="134" t="str">
        <f>IF('Scheduled Intervals'!I13&lt;&gt;"",IF($A$2='Scheduled Intervals'!I13,"Yes",""),"")</f>
        <v/>
      </c>
      <c r="J13" s="134" t="str">
        <f>IF('Scheduled Intervals'!J13&lt;&gt;"",IF($A$2='Scheduled Intervals'!J13,"Yes",""),"")</f>
        <v/>
      </c>
      <c r="K13" s="134" t="str">
        <f>IF('Scheduled Intervals'!K13&lt;&gt;"",IF($A$2='Scheduled Intervals'!K13,"Yes",""),"")</f>
        <v/>
      </c>
      <c r="L13" s="134" t="str">
        <f>IF('Scheduled Intervals'!L13&lt;&gt;"",IF($A$2='Scheduled Intervals'!L13,"Yes",""),"")</f>
        <v/>
      </c>
      <c r="M13" s="134" t="str">
        <f>IF('Scheduled Intervals'!M13&lt;&gt;"",IF($A$2='Scheduled Intervals'!M13,"Yes",""),"")</f>
        <v/>
      </c>
      <c r="N13" s="134" t="str">
        <f>IF('Scheduled Intervals'!N13&lt;&gt;"",IF($A$2='Scheduled Intervals'!N13,"Yes",""),"")</f>
        <v/>
      </c>
      <c r="O13" s="134" t="str">
        <f>IF('Scheduled Intervals'!O13&lt;&gt;"",IF($A$2='Scheduled Intervals'!O13,"Yes",""),"")</f>
        <v/>
      </c>
      <c r="P13" s="134" t="str">
        <f>IF('Scheduled Intervals'!P13&lt;&gt;"",IF($A$2='Scheduled Intervals'!P13,"Yes",""),"")</f>
        <v/>
      </c>
      <c r="Q13" s="134" t="str">
        <f>IF('Scheduled Intervals'!Q13&lt;&gt;"",IF($A$2='Scheduled Intervals'!Q13,"Yes",""),"")</f>
        <v/>
      </c>
      <c r="R13" s="134" t="str">
        <f>IF('Scheduled Intervals'!R13&lt;&gt;"",IF($A$2='Scheduled Intervals'!R13,"Yes",""),"")</f>
        <v/>
      </c>
      <c r="S13" s="134" t="str">
        <f>IF('Scheduled Intervals'!S13&lt;&gt;"",IF($A$2='Scheduled Intervals'!S13,"Yes",""),"")</f>
        <v/>
      </c>
      <c r="T13" s="134" t="str">
        <f>IF('Scheduled Intervals'!T13&lt;&gt;"",IF($A$2='Scheduled Intervals'!T13,"Yes",""),"")</f>
        <v/>
      </c>
      <c r="U13" s="244" t="str">
        <f>IF($A$2="Annual","",IF('Scheduled Intervals'!U13&lt;&gt;"",IF($A$2/'Scheduled Intervals'!U13=ROUND($A$2/'Scheduled Intervals'!U13,0),"Yes",""),""))</f>
        <v>Yes</v>
      </c>
      <c r="V13" s="244" t="str">
        <f>IF($A$2="Annual","",IF('Scheduled Intervals'!V13&lt;&gt;"",IF($A$2/'Scheduled Intervals'!V13=ROUND($A$2/'Scheduled Intervals'!V13,0),"Yes",""),""))</f>
        <v/>
      </c>
      <c r="W13" s="244" t="str">
        <f>IF($A$2="Annual","",IF('Scheduled Intervals'!W13&lt;&gt;"",IF($A$2/'Scheduled Intervals'!W13=ROUND($A$2/'Scheduled Intervals'!W13,0),"Yes",""),""))</f>
        <v/>
      </c>
      <c r="X13" s="244" t="str">
        <f>IF($A$2="Annual","",IF('Scheduled Intervals'!X13&lt;&gt;"",IF($A$2/'Scheduled Intervals'!X13=ROUND($A$2/'Scheduled Intervals'!X13,0),"Yes",""),""))</f>
        <v>Yes</v>
      </c>
      <c r="Y13" s="244" t="str">
        <f>IF($A$2="Annual","",IF('Scheduled Intervals'!Y13&lt;&gt;"",IF($A$2/'Scheduled Intervals'!Y13=ROUND($A$2/'Scheduled Intervals'!Y13,0),"Yes",""),""))</f>
        <v/>
      </c>
      <c r="Z13" s="244" t="str">
        <f>IF($A$2="Annual","",IF('Scheduled Intervals'!Z13&lt;&gt;"",IF($A$2/'Scheduled Intervals'!Z13=ROUND($A$2/'Scheduled Intervals'!Z13,0),"Yes",""),""))</f>
        <v>Yes</v>
      </c>
      <c r="AA13" s="244" t="str">
        <f>IF($A$2="Annual","",IF('Scheduled Intervals'!AA13&lt;&gt;"",IF($A$2/'Scheduled Intervals'!AA13=ROUND($A$2/'Scheduled Intervals'!AA13,0),"Yes",""),""))</f>
        <v/>
      </c>
      <c r="AB13" s="244" t="str">
        <f>IF($A$2="Annual","",IF('Scheduled Intervals'!AB13&lt;&gt;"",IF($A$2/'Scheduled Intervals'!AB13=ROUND($A$2/'Scheduled Intervals'!AB13,0),"Yes",""),""))</f>
        <v/>
      </c>
      <c r="AC13" s="244" t="str">
        <f>IF($A$2="Annual","",IF('Scheduled Intervals'!AC13&lt;&gt;"",IF($A$2/'Scheduled Intervals'!AC13=ROUND($A$2/'Scheduled Intervals'!AC13,0),"Yes",""),""))</f>
        <v/>
      </c>
      <c r="AD13" s="244" t="str">
        <f>IF($A$2="Annual","",IF('Scheduled Intervals'!AD13&lt;&gt;"",IF($A$2/'Scheduled Intervals'!AD13=ROUND($A$2/'Scheduled Intervals'!AD13,0),"Yes",""),""))</f>
        <v/>
      </c>
      <c r="AE13" s="244" t="str">
        <f>IF($A$2="Annual","",IF('Scheduled Intervals'!AE13&lt;&gt;"",IF($A$2/'Scheduled Intervals'!AE13=ROUND($A$2/'Scheduled Intervals'!AE13,0),"Yes",""),""))</f>
        <v/>
      </c>
      <c r="AF13" s="244" t="str">
        <f>IF($A$2="Annual","",IF('Scheduled Intervals'!AF13&lt;&gt;"",IF($A$2/'Scheduled Intervals'!AF13=ROUND($A$2/'Scheduled Intervals'!AF13,0),"Yes",""),""))</f>
        <v/>
      </c>
      <c r="AG13" s="244" t="str">
        <f>IF($A$2="Annual","",IF('Scheduled Intervals'!AG13&lt;&gt;"",IF($A$2/'Scheduled Intervals'!AG13=ROUND($A$2/'Scheduled Intervals'!AG13,0),"Yes",""),""))</f>
        <v/>
      </c>
      <c r="AH13" s="244" t="str">
        <f>IF($A$2="Annual","",IF('Scheduled Intervals'!AH13&lt;&gt;"",IF($A$2/'Scheduled Intervals'!AH13=ROUND($A$2/'Scheduled Intervals'!AH13,0),"Yes",""),""))</f>
        <v/>
      </c>
      <c r="AI13" s="244" t="str">
        <f>IF($A$2="Annual","",IF('Scheduled Intervals'!AI13&lt;&gt;"",IF($A$2/'Scheduled Intervals'!AI13=ROUND($A$2/'Scheduled Intervals'!AI13,0),"Yes",""),""))</f>
        <v/>
      </c>
      <c r="AJ13" s="244" t="str">
        <f>IF($A$2="Annual","",IF('Scheduled Intervals'!AJ13&lt;&gt;"",IF($A$2/'Scheduled Intervals'!AJ13=ROUND($A$2/'Scheduled Intervals'!AJ13,0),"Yes",""),""))</f>
        <v/>
      </c>
      <c r="AK13" s="244" t="str">
        <f>IF($A$2="Annual","",IF('Scheduled Intervals'!AK13&lt;&gt;"",IF($A$2/'Scheduled Intervals'!AK13=ROUND($A$2/'Scheduled Intervals'!AK13,0),"Yes",""),""))</f>
        <v/>
      </c>
      <c r="AL13" s="244" t="str">
        <f>IF($A$2="Annual","",IF('Scheduled Intervals'!AL13&lt;&gt;"",IF($A$2/'Scheduled Intervals'!AL13=ROUND($A$2/'Scheduled Intervals'!AL13,0),"Yes",""),""))</f>
        <v/>
      </c>
      <c r="AM13" s="244" t="str">
        <f>IF($A$2="Annual","",IF('Scheduled Intervals'!AM13&lt;&gt;"",IF($A$2/'Scheduled Intervals'!AM13=ROUND($A$2/'Scheduled Intervals'!AM13,0),"Yes",""),""))</f>
        <v/>
      </c>
      <c r="AN13" s="244" t="str">
        <f>IF($A$2="Annual","",IF('Scheduled Intervals'!AN13&lt;&gt;"",IF($A$2/'Scheduled Intervals'!AN13=ROUND($A$2/'Scheduled Intervals'!AN13,0),"Yes",""),""))</f>
        <v/>
      </c>
      <c r="AO13" s="244" t="str">
        <f>IF($A$2="Annual","",IF('Scheduled Intervals'!AO13&lt;&gt;"",IF($A$2/'Scheduled Intervals'!AO13=ROUND($A$2/'Scheduled Intervals'!AO13,0),"Yes",""),""))</f>
        <v/>
      </c>
      <c r="AP13" s="244" t="str">
        <f>IF($A$2="Annual","",IF('Scheduled Intervals'!AP13&lt;&gt;"",IF($A$2/'Scheduled Intervals'!AP13=ROUND($A$2/'Scheduled Intervals'!AP13,0),"Yes",""),""))</f>
        <v>Yes</v>
      </c>
      <c r="AQ13" s="244" t="str">
        <f>IF($A$2="Annual","",IF('Scheduled Intervals'!AQ13&lt;&gt;"",IF($A$2/'Scheduled Intervals'!AQ13=ROUND($A$2/'Scheduled Intervals'!AQ13,0),"Yes",""),""))</f>
        <v>Yes</v>
      </c>
      <c r="AR13" s="244" t="str">
        <f>IF($A$2="Annual","",IF('Scheduled Intervals'!AR13&lt;&gt;"",IF($A$2/'Scheduled Intervals'!AR13=ROUND($A$2/'Scheduled Intervals'!AR13,0),"Yes",""),""))</f>
        <v/>
      </c>
      <c r="AS13" s="244" t="str">
        <f>IF($A$2="Annual","",IF('Scheduled Intervals'!AS13&lt;&gt;"",IF($A$2/'Scheduled Intervals'!AS13=ROUND($A$2/'Scheduled Intervals'!AS13,0),"Yes",""),""))</f>
        <v/>
      </c>
      <c r="AT13" s="244" t="str">
        <f>IF($A$2="Annual","",IF('Scheduled Intervals'!AT13&lt;&gt;"",IF($A$2/'Scheduled Intervals'!AT13=ROUND($A$2/'Scheduled Intervals'!AT13,0),"Yes",""),""))</f>
        <v>Yes</v>
      </c>
      <c r="AU13" s="244" t="str">
        <f>IF($A$2="Annual","",IF('Scheduled Intervals'!AU13&lt;&gt;"",IF($A$2/'Scheduled Intervals'!AU13=ROUND($A$2/'Scheduled Intervals'!AU13,0),"Yes",""),""))</f>
        <v/>
      </c>
      <c r="AV13" s="244" t="str">
        <f>IF($A$2="Annual","",IF('Scheduled Intervals'!AV13&lt;&gt;"",IF($A$2/'Scheduled Intervals'!AV13=ROUND($A$2/'Scheduled Intervals'!AV13,0),"Yes",""),""))</f>
        <v/>
      </c>
      <c r="AW13" s="244" t="str">
        <f>IF($A$2="Annual","",IF('Scheduled Intervals'!AW13&lt;&gt;"",IF($A$2/'Scheduled Intervals'!AW13=ROUND($A$2/'Scheduled Intervals'!AW13,0),"Yes",""),""))</f>
        <v/>
      </c>
      <c r="AX13" s="244" t="str">
        <f>IF($A$2="Annual","",IF('Scheduled Intervals'!AX13&lt;&gt;"",IF($A$2/'Scheduled Intervals'!AX13=ROUND($A$2/'Scheduled Intervals'!AX13,0),"Yes",""),""))</f>
        <v/>
      </c>
      <c r="AY13" s="244" t="str">
        <f>IF($A$2="Annual","",IF('Scheduled Intervals'!AY13&lt;&gt;"",IF($A$2/'Scheduled Intervals'!AY13=ROUND($A$2/'Scheduled Intervals'!AY13,0),"Yes",""),""))</f>
        <v/>
      </c>
      <c r="AZ13" s="244" t="str">
        <f>IF($A$2="Annual","",IF('Scheduled Intervals'!AZ13&lt;&gt;"",IF($A$2/'Scheduled Intervals'!AZ13=ROUND($A$2/'Scheduled Intervals'!AZ13,0),"Yes",""),""))</f>
        <v>Yes</v>
      </c>
      <c r="BA13" s="244" t="str">
        <f>IF($A$2="Annual","",IF('Scheduled Intervals'!BA13&lt;&gt;"",IF($A$2/'Scheduled Intervals'!BA13=ROUND($A$2/'Scheduled Intervals'!BA13,0),"Yes",""),""))</f>
        <v/>
      </c>
      <c r="BB13" s="244" t="str">
        <f>IF($A$2="Annual","",IF('Scheduled Intervals'!BB13&lt;&gt;"",IF($A$2/'Scheduled Intervals'!BB13=ROUND($A$2/'Scheduled Intervals'!BB13,0),"Yes",""),""))</f>
        <v>Yes</v>
      </c>
      <c r="BC13" s="244" t="str">
        <f>IF($A$2="Annual","",IF('Scheduled Intervals'!BC13&lt;&gt;"",IF($A$2/'Scheduled Intervals'!BC13=ROUND($A$2/'Scheduled Intervals'!BC13,0),"Yes",""),""))</f>
        <v/>
      </c>
      <c r="BD13" s="244" t="str">
        <f>IF($A$2="Annual","",IF('Scheduled Intervals'!BD13&lt;&gt;"",IF($A$2/'Scheduled Intervals'!BD13=ROUND($A$2/'Scheduled Intervals'!BD13,0),"Yes",""),""))</f>
        <v/>
      </c>
      <c r="BE13" s="244" t="str">
        <f>IF($A$2="Annual","",IF('Scheduled Intervals'!BE13&lt;&gt;"",IF($A$2/'Scheduled Intervals'!BE13=ROUND($A$2/'Scheduled Intervals'!BE13,0),"Yes",""),""))</f>
        <v/>
      </c>
      <c r="BF13" s="244" t="str">
        <f>IF($A$2="Annual","",IF('Scheduled Intervals'!BF13&lt;&gt;"",IF($A$2/'Scheduled Intervals'!BF13=ROUND($A$2/'Scheduled Intervals'!BF13,0),"Yes",""),""))</f>
        <v/>
      </c>
      <c r="BG13" s="244" t="str">
        <f>IF($A$2="Annual","",IF('Scheduled Intervals'!BG13&lt;&gt;"",IF($A$2/'Scheduled Intervals'!BG13=ROUND($A$2/'Scheduled Intervals'!BG13,0),"Yes",""),""))</f>
        <v/>
      </c>
      <c r="BH13" s="244" t="str">
        <f>IF($A$2="Annual","",IF('Scheduled Intervals'!BH13&lt;&gt;"",IF($A$2/'Scheduled Intervals'!BH13=ROUND($A$2/'Scheduled Intervals'!BH13,0),"Yes",""),""))</f>
        <v/>
      </c>
      <c r="BI13" s="244" t="str">
        <f>IF($A$2="Annual","",IF('Scheduled Intervals'!BI13&lt;&gt;"",IF($A$2/'Scheduled Intervals'!BI13=ROUND($A$2/'Scheduled Intervals'!BI13,0),"Yes",""),""))</f>
        <v/>
      </c>
      <c r="BJ13" s="244" t="str">
        <f>IF($A$2="Annual","",IF('Scheduled Intervals'!BJ13&lt;&gt;"",IF($A$2/'Scheduled Intervals'!BJ13=ROUND($A$2/'Scheduled Intervals'!BJ13,0),"Yes",""),""))</f>
        <v>Yes</v>
      </c>
      <c r="BK13" s="244" t="str">
        <f>IF($A$2="Annual","",IF('Scheduled Intervals'!BK13&lt;&gt;"",IF($A$2/'Scheduled Intervals'!BK13=ROUND($A$2/'Scheduled Intervals'!BK13,0),"Yes",""),""))</f>
        <v/>
      </c>
      <c r="BL13" s="244" t="str">
        <f>IF($A$2="Annual","",IF('Scheduled Intervals'!BL13&lt;&gt;"",IF($A$2/'Scheduled Intervals'!BL13=ROUND($A$2/'Scheduled Intervals'!BL13,0),"Yes",""),""))</f>
        <v/>
      </c>
      <c r="BM13" s="244" t="str">
        <f>IF($A$2="Annual","",IF('Scheduled Intervals'!BM13&lt;&gt;"",IF($A$2/'Scheduled Intervals'!BM13=ROUND($A$2/'Scheduled Intervals'!BM13,0),"Yes",""),""))</f>
        <v/>
      </c>
      <c r="BN13" s="177" t="str">
        <f>IF(AND($A$2="annual",'Scheduled Intervals'!BN13&lt;&gt;""),"yes","")</f>
        <v/>
      </c>
      <c r="BO13" s="177" t="str">
        <f>IF(AND($A$2="annual",'Scheduled Intervals'!BO13&lt;&gt;""),"yes","")</f>
        <v/>
      </c>
      <c r="BP13" s="177" t="str">
        <f>IF(AND($A$2="annual",'Scheduled Intervals'!BP13&lt;&gt;""),"yes","")</f>
        <v/>
      </c>
    </row>
    <row r="14" spans="1:68" x14ac:dyDescent="0.2">
      <c r="A14" s="133" t="str">
        <f>+'Scheduled Intervals'!A14</f>
        <v>Wheel Loader</v>
      </c>
      <c r="B14" s="134" t="str">
        <f>IF('Scheduled Intervals'!B14&lt;&gt;"",IF($A$2='Scheduled Intervals'!B14,"Yes",""),"")</f>
        <v/>
      </c>
      <c r="C14" s="134" t="str">
        <f>IF('Scheduled Intervals'!C14&lt;&gt;"",IF($A$2='Scheduled Intervals'!C14,"Yes",""),"")</f>
        <v/>
      </c>
      <c r="D14" s="134" t="str">
        <f>IF('Scheduled Intervals'!D14&lt;&gt;"",IF($A$2='Scheduled Intervals'!D14,"Yes",""),"")</f>
        <v/>
      </c>
      <c r="E14" s="134" t="str">
        <f>IF('Scheduled Intervals'!E14&lt;&gt;"",IF($A$2='Scheduled Intervals'!E14,"Yes",""),"")</f>
        <v/>
      </c>
      <c r="F14" s="134" t="str">
        <f>IF('Scheduled Intervals'!F14&lt;&gt;"",IF($A$2='Scheduled Intervals'!F14,"Yes",""),"")</f>
        <v/>
      </c>
      <c r="G14" s="134" t="str">
        <f>IF('Scheduled Intervals'!G14&lt;&gt;"",IF($A$2='Scheduled Intervals'!G14,"Yes",""),"")</f>
        <v/>
      </c>
      <c r="H14" s="134" t="str">
        <f>IF('Scheduled Intervals'!H14&lt;&gt;"",IF($A$2='Scheduled Intervals'!H14,"Yes",""),"")</f>
        <v/>
      </c>
      <c r="I14" s="134" t="str">
        <f>IF('Scheduled Intervals'!I14&lt;&gt;"",IF($A$2='Scheduled Intervals'!I14,"Yes",""),"")</f>
        <v/>
      </c>
      <c r="J14" s="134" t="str">
        <f>IF('Scheduled Intervals'!J14&lt;&gt;"",IF($A$2='Scheduled Intervals'!J14,"Yes",""),"")</f>
        <v/>
      </c>
      <c r="K14" s="134" t="str">
        <f>IF('Scheduled Intervals'!K14&lt;&gt;"",IF($A$2='Scheduled Intervals'!K14,"Yes",""),"")</f>
        <v/>
      </c>
      <c r="L14" s="134" t="str">
        <f>IF('Scheduled Intervals'!L14&lt;&gt;"",IF($A$2='Scheduled Intervals'!L14,"Yes",""),"")</f>
        <v/>
      </c>
      <c r="M14" s="134" t="str">
        <f>IF('Scheduled Intervals'!M14&lt;&gt;"",IF($A$2='Scheduled Intervals'!M14,"Yes",""),"")</f>
        <v/>
      </c>
      <c r="N14" s="134" t="str">
        <f>IF('Scheduled Intervals'!N14&lt;&gt;"",IF($A$2='Scheduled Intervals'!N14,"Yes",""),"")</f>
        <v/>
      </c>
      <c r="O14" s="134" t="str">
        <f>IF('Scheduled Intervals'!O14&lt;&gt;"",IF($A$2='Scheduled Intervals'!O14,"Yes",""),"")</f>
        <v/>
      </c>
      <c r="P14" s="134" t="str">
        <f>IF('Scheduled Intervals'!P14&lt;&gt;"",IF($A$2='Scheduled Intervals'!P14,"Yes",""),"")</f>
        <v/>
      </c>
      <c r="Q14" s="134" t="str">
        <f>IF('Scheduled Intervals'!Q14&lt;&gt;"",IF($A$2='Scheduled Intervals'!Q14,"Yes",""),"")</f>
        <v/>
      </c>
      <c r="R14" s="134" t="str">
        <f>IF('Scheduled Intervals'!R14&lt;&gt;"",IF($A$2='Scheduled Intervals'!R14,"Yes",""),"")</f>
        <v/>
      </c>
      <c r="S14" s="134" t="str">
        <f>IF('Scheduled Intervals'!S14&lt;&gt;"",IF($A$2='Scheduled Intervals'!S14,"Yes",""),"")</f>
        <v/>
      </c>
      <c r="T14" s="134" t="str">
        <f>IF('Scheduled Intervals'!T14&lt;&gt;"",IF($A$2='Scheduled Intervals'!T14,"Yes",""),"")</f>
        <v/>
      </c>
      <c r="U14" s="244" t="str">
        <f>IF($A$2="Annual","",IF('Scheduled Intervals'!U14&lt;&gt;"",IF($A$2/'Scheduled Intervals'!U14=ROUND($A$2/'Scheduled Intervals'!U14,0),"Yes",""),""))</f>
        <v>Yes</v>
      </c>
      <c r="V14" s="244" t="str">
        <f>IF($A$2="Annual","",IF('Scheduled Intervals'!V14&lt;&gt;"",IF($A$2/'Scheduled Intervals'!V14=ROUND($A$2/'Scheduled Intervals'!V14,0),"Yes",""),""))</f>
        <v/>
      </c>
      <c r="W14" s="244" t="str">
        <f>IF($A$2="Annual","",IF('Scheduled Intervals'!W14&lt;&gt;"",IF($A$2/'Scheduled Intervals'!W14=ROUND($A$2/'Scheduled Intervals'!W14,0),"Yes",""),""))</f>
        <v/>
      </c>
      <c r="X14" s="244" t="str">
        <f>IF($A$2="Annual","",IF('Scheduled Intervals'!X14&lt;&gt;"",IF($A$2/'Scheduled Intervals'!X14=ROUND($A$2/'Scheduled Intervals'!X14,0),"Yes",""),""))</f>
        <v>Yes</v>
      </c>
      <c r="Y14" s="244" t="str">
        <f>IF($A$2="Annual","",IF('Scheduled Intervals'!Y14&lt;&gt;"",IF($A$2/'Scheduled Intervals'!Y14=ROUND($A$2/'Scheduled Intervals'!Y14,0),"Yes",""),""))</f>
        <v/>
      </c>
      <c r="Z14" s="244" t="str">
        <f>IF($A$2="Annual","",IF('Scheduled Intervals'!Z14&lt;&gt;"",IF($A$2/'Scheduled Intervals'!Z14=ROUND($A$2/'Scheduled Intervals'!Z14,0),"Yes",""),""))</f>
        <v>Yes</v>
      </c>
      <c r="AA14" s="244" t="str">
        <f>IF($A$2="Annual","",IF('Scheduled Intervals'!AA14&lt;&gt;"",IF($A$2/'Scheduled Intervals'!AA14=ROUND($A$2/'Scheduled Intervals'!AA14,0),"Yes",""),""))</f>
        <v/>
      </c>
      <c r="AB14" s="244" t="str">
        <f>IF($A$2="Annual","",IF('Scheduled Intervals'!AB14&lt;&gt;"",IF($A$2/'Scheduled Intervals'!AB14=ROUND($A$2/'Scheduled Intervals'!AB14,0),"Yes",""),""))</f>
        <v/>
      </c>
      <c r="AC14" s="244" t="str">
        <f>IF($A$2="Annual","",IF('Scheduled Intervals'!AC14&lt;&gt;"",IF($A$2/'Scheduled Intervals'!AC14=ROUND($A$2/'Scheduled Intervals'!AC14,0),"Yes",""),""))</f>
        <v/>
      </c>
      <c r="AD14" s="244" t="str">
        <f>IF($A$2="Annual","",IF('Scheduled Intervals'!AD14&lt;&gt;"",IF($A$2/'Scheduled Intervals'!AD14=ROUND($A$2/'Scheduled Intervals'!AD14,0),"Yes",""),""))</f>
        <v/>
      </c>
      <c r="AE14" s="244" t="str">
        <f>IF($A$2="Annual","",IF('Scheduled Intervals'!AE14&lt;&gt;"",IF($A$2/'Scheduled Intervals'!AE14=ROUND($A$2/'Scheduled Intervals'!AE14,0),"Yes",""),""))</f>
        <v/>
      </c>
      <c r="AF14" s="244" t="str">
        <f>IF($A$2="Annual","",IF('Scheduled Intervals'!AF14&lt;&gt;"",IF($A$2/'Scheduled Intervals'!AF14=ROUND($A$2/'Scheduled Intervals'!AF14,0),"Yes",""),""))</f>
        <v/>
      </c>
      <c r="AG14" s="244" t="str">
        <f>IF($A$2="Annual","",IF('Scheduled Intervals'!AG14&lt;&gt;"",IF($A$2/'Scheduled Intervals'!AG14=ROUND($A$2/'Scheduled Intervals'!AG14,0),"Yes",""),""))</f>
        <v>Yes</v>
      </c>
      <c r="AH14" s="244" t="str">
        <f>IF($A$2="Annual","",IF('Scheduled Intervals'!AH14&lt;&gt;"",IF($A$2/'Scheduled Intervals'!AH14=ROUND($A$2/'Scheduled Intervals'!AH14,0),"Yes",""),""))</f>
        <v/>
      </c>
      <c r="AI14" s="244" t="str">
        <f>IF($A$2="Annual","",IF('Scheduled Intervals'!AI14&lt;&gt;"",IF($A$2/'Scheduled Intervals'!AI14=ROUND($A$2/'Scheduled Intervals'!AI14,0),"Yes",""),""))</f>
        <v/>
      </c>
      <c r="AJ14" s="244" t="str">
        <f>IF($A$2="Annual","",IF('Scheduled Intervals'!AJ14&lt;&gt;"",IF($A$2/'Scheduled Intervals'!AJ14=ROUND($A$2/'Scheduled Intervals'!AJ14,0),"Yes",""),""))</f>
        <v/>
      </c>
      <c r="AK14" s="244" t="str">
        <f>IF($A$2="Annual","",IF('Scheduled Intervals'!AK14&lt;&gt;"",IF($A$2/'Scheduled Intervals'!AK14=ROUND($A$2/'Scheduled Intervals'!AK14,0),"Yes",""),""))</f>
        <v/>
      </c>
      <c r="AL14" s="244" t="str">
        <f>IF($A$2="Annual","",IF('Scheduled Intervals'!AL14&lt;&gt;"",IF($A$2/'Scheduled Intervals'!AL14=ROUND($A$2/'Scheduled Intervals'!AL14,0),"Yes",""),""))</f>
        <v/>
      </c>
      <c r="AM14" s="244" t="str">
        <f>IF($A$2="Annual","",IF('Scheduled Intervals'!AM14&lt;&gt;"",IF($A$2/'Scheduled Intervals'!AM14=ROUND($A$2/'Scheduled Intervals'!AM14,0),"Yes",""),""))</f>
        <v/>
      </c>
      <c r="AN14" s="244" t="str">
        <f>IF($A$2="Annual","",IF('Scheduled Intervals'!AN14&lt;&gt;"",IF($A$2/'Scheduled Intervals'!AN14=ROUND($A$2/'Scheduled Intervals'!AN14,0),"Yes",""),""))</f>
        <v/>
      </c>
      <c r="AO14" s="244" t="str">
        <f>IF($A$2="Annual","",IF('Scheduled Intervals'!AO14&lt;&gt;"",IF($A$2/'Scheduled Intervals'!AO14=ROUND($A$2/'Scheduled Intervals'!AO14,0),"Yes",""),""))</f>
        <v/>
      </c>
      <c r="AP14" s="244" t="str">
        <f>IF($A$2="Annual","",IF('Scheduled Intervals'!AP14&lt;&gt;"",IF($A$2/'Scheduled Intervals'!AP14=ROUND($A$2/'Scheduled Intervals'!AP14,0),"Yes",""),""))</f>
        <v>Yes</v>
      </c>
      <c r="AQ14" s="244" t="str">
        <f>IF($A$2="Annual","",IF('Scheduled Intervals'!AQ14&lt;&gt;"",IF($A$2/'Scheduled Intervals'!AQ14=ROUND($A$2/'Scheduled Intervals'!AQ14,0),"Yes",""),""))</f>
        <v/>
      </c>
      <c r="AR14" s="244" t="str">
        <f>IF($A$2="Annual","",IF('Scheduled Intervals'!AR14&lt;&gt;"",IF($A$2/'Scheduled Intervals'!AR14=ROUND($A$2/'Scheduled Intervals'!AR14,0),"Yes",""),""))</f>
        <v/>
      </c>
      <c r="AS14" s="244" t="str">
        <f>IF($A$2="Annual","",IF('Scheduled Intervals'!AS14&lt;&gt;"",IF($A$2/'Scheduled Intervals'!AS14=ROUND($A$2/'Scheduled Intervals'!AS14,0),"Yes",""),""))</f>
        <v/>
      </c>
      <c r="AT14" s="244" t="str">
        <f>IF($A$2="Annual","",IF('Scheduled Intervals'!AT14&lt;&gt;"",IF($A$2/'Scheduled Intervals'!AT14=ROUND($A$2/'Scheduled Intervals'!AT14,0),"Yes",""),""))</f>
        <v>Yes</v>
      </c>
      <c r="AU14" s="244" t="str">
        <f>IF($A$2="Annual","",IF('Scheduled Intervals'!AU14&lt;&gt;"",IF($A$2/'Scheduled Intervals'!AU14=ROUND($A$2/'Scheduled Intervals'!AU14,0),"Yes",""),""))</f>
        <v/>
      </c>
      <c r="AV14" s="244" t="str">
        <f>IF($A$2="Annual","",IF('Scheduled Intervals'!AV14&lt;&gt;"",IF($A$2/'Scheduled Intervals'!AV14=ROUND($A$2/'Scheduled Intervals'!AV14,0),"Yes",""),""))</f>
        <v/>
      </c>
      <c r="AW14" s="244" t="str">
        <f>IF($A$2="Annual","",IF('Scheduled Intervals'!AW14&lt;&gt;"",IF($A$2/'Scheduled Intervals'!AW14=ROUND($A$2/'Scheduled Intervals'!AW14,0),"Yes",""),""))</f>
        <v/>
      </c>
      <c r="AX14" s="244" t="str">
        <f>IF($A$2="Annual","",IF('Scheduled Intervals'!AX14&lt;&gt;"",IF($A$2/'Scheduled Intervals'!AX14=ROUND($A$2/'Scheduled Intervals'!AX14,0),"Yes",""),""))</f>
        <v/>
      </c>
      <c r="AY14" s="244" t="str">
        <f>IF($A$2="Annual","",IF('Scheduled Intervals'!AY14&lt;&gt;"",IF($A$2/'Scheduled Intervals'!AY14=ROUND($A$2/'Scheduled Intervals'!AY14,0),"Yes",""),""))</f>
        <v/>
      </c>
      <c r="AZ14" s="244" t="str">
        <f>IF($A$2="Annual","",IF('Scheduled Intervals'!AZ14&lt;&gt;"",IF($A$2/'Scheduled Intervals'!AZ14=ROUND($A$2/'Scheduled Intervals'!AZ14,0),"Yes",""),""))</f>
        <v/>
      </c>
      <c r="BA14" s="244" t="str">
        <f>IF($A$2="Annual","",IF('Scheduled Intervals'!BA14&lt;&gt;"",IF($A$2/'Scheduled Intervals'!BA14=ROUND($A$2/'Scheduled Intervals'!BA14,0),"Yes",""),""))</f>
        <v/>
      </c>
      <c r="BB14" s="244" t="str">
        <f>IF($A$2="Annual","",IF('Scheduled Intervals'!BB14&lt;&gt;"",IF($A$2/'Scheduled Intervals'!BB14=ROUND($A$2/'Scheduled Intervals'!BB14,0),"Yes",""),""))</f>
        <v/>
      </c>
      <c r="BC14" s="244" t="str">
        <f>IF($A$2="Annual","",IF('Scheduled Intervals'!BC14&lt;&gt;"",IF($A$2/'Scheduled Intervals'!BC14=ROUND($A$2/'Scheduled Intervals'!BC14,0),"Yes",""),""))</f>
        <v/>
      </c>
      <c r="BD14" s="244" t="str">
        <f>IF($A$2="Annual","",IF('Scheduled Intervals'!BD14&lt;&gt;"",IF($A$2/'Scheduled Intervals'!BD14=ROUND($A$2/'Scheduled Intervals'!BD14,0),"Yes",""),""))</f>
        <v/>
      </c>
      <c r="BE14" s="244" t="str">
        <f>IF($A$2="Annual","",IF('Scheduled Intervals'!BE14&lt;&gt;"",IF($A$2/'Scheduled Intervals'!BE14=ROUND($A$2/'Scheduled Intervals'!BE14,0),"Yes",""),""))</f>
        <v>Yes</v>
      </c>
      <c r="BF14" s="244" t="str">
        <f>IF($A$2="Annual","",IF('Scheduled Intervals'!BF14&lt;&gt;"",IF($A$2/'Scheduled Intervals'!BF14=ROUND($A$2/'Scheduled Intervals'!BF14,0),"Yes",""),""))</f>
        <v/>
      </c>
      <c r="BG14" s="244" t="str">
        <f>IF($A$2="Annual","",IF('Scheduled Intervals'!BG14&lt;&gt;"",IF($A$2/'Scheduled Intervals'!BG14=ROUND($A$2/'Scheduled Intervals'!BG14,0),"Yes",""),""))</f>
        <v/>
      </c>
      <c r="BH14" s="244" t="str">
        <f>IF($A$2="Annual","",IF('Scheduled Intervals'!BH14&lt;&gt;"",IF($A$2/'Scheduled Intervals'!BH14=ROUND($A$2/'Scheduled Intervals'!BH14,0),"Yes",""),""))</f>
        <v/>
      </c>
      <c r="BI14" s="244" t="str">
        <f>IF($A$2="Annual","",IF('Scheduled Intervals'!BI14&lt;&gt;"",IF($A$2/'Scheduled Intervals'!BI14=ROUND($A$2/'Scheduled Intervals'!BI14,0),"Yes",""),""))</f>
        <v/>
      </c>
      <c r="BJ14" s="244" t="str">
        <f>IF($A$2="Annual","",IF('Scheduled Intervals'!BJ14&lt;&gt;"",IF($A$2/'Scheduled Intervals'!BJ14=ROUND($A$2/'Scheduled Intervals'!BJ14,0),"Yes",""),""))</f>
        <v>Yes</v>
      </c>
      <c r="BK14" s="244" t="str">
        <f>IF($A$2="Annual","",IF('Scheduled Intervals'!BK14&lt;&gt;"",IF($A$2/'Scheduled Intervals'!BK14=ROUND($A$2/'Scheduled Intervals'!BK14,0),"Yes",""),""))</f>
        <v/>
      </c>
      <c r="BL14" s="244" t="str">
        <f>IF($A$2="Annual","",IF('Scheduled Intervals'!BL14&lt;&gt;"",IF($A$2/'Scheduled Intervals'!BL14=ROUND($A$2/'Scheduled Intervals'!BL14,0),"Yes",""),""))</f>
        <v/>
      </c>
      <c r="BM14" s="244" t="str">
        <f>IF($A$2="Annual","",IF('Scheduled Intervals'!BM14&lt;&gt;"",IF($A$2/'Scheduled Intervals'!BM14=ROUND($A$2/'Scheduled Intervals'!BM14,0),"Yes",""),""))</f>
        <v/>
      </c>
      <c r="BN14" s="177" t="str">
        <f>IF(AND($A$2="annual",'Scheduled Intervals'!BN14&lt;&gt;""),"yes","")</f>
        <v/>
      </c>
      <c r="BO14" s="177" t="str">
        <f>IF(AND($A$2="annual",'Scheduled Intervals'!BO14&lt;&gt;""),"yes","")</f>
        <v/>
      </c>
      <c r="BP14" s="177" t="str">
        <f>IF(AND($A$2="annual",'Scheduled Intervals'!BP14&lt;&gt;""),"yes","")</f>
        <v/>
      </c>
    </row>
    <row r="15" spans="1:68" x14ac:dyDescent="0.2">
      <c r="A15" s="133" t="str">
        <f>+'Scheduled Intervals'!A15</f>
        <v>Telehandler</v>
      </c>
      <c r="B15" s="134" t="str">
        <f>IF('Scheduled Intervals'!B15&lt;&gt;"",IF($A$2='Scheduled Intervals'!B15,"Yes",""),"")</f>
        <v/>
      </c>
      <c r="C15" s="134" t="str">
        <f>IF('Scheduled Intervals'!C15&lt;&gt;"",IF($A$2='Scheduled Intervals'!C15,"Yes",""),"")</f>
        <v/>
      </c>
      <c r="D15" s="134" t="str">
        <f>IF('Scheduled Intervals'!D15&lt;&gt;"",IF($A$2='Scheduled Intervals'!D15,"Yes",""),"")</f>
        <v/>
      </c>
      <c r="E15" s="134" t="str">
        <f>IF('Scheduled Intervals'!E15&lt;&gt;"",IF($A$2='Scheduled Intervals'!E15,"Yes",""),"")</f>
        <v/>
      </c>
      <c r="F15" s="134" t="str">
        <f>IF('Scheduled Intervals'!F15&lt;&gt;"",IF($A$2='Scheduled Intervals'!F15,"Yes",""),"")</f>
        <v/>
      </c>
      <c r="G15" s="134" t="str">
        <f>IF('Scheduled Intervals'!G15&lt;&gt;"",IF($A$2='Scheduled Intervals'!G15,"Yes",""),"")</f>
        <v/>
      </c>
      <c r="H15" s="134" t="str">
        <f>IF('Scheduled Intervals'!H15&lt;&gt;"",IF($A$2='Scheduled Intervals'!H15,"Yes",""),"")</f>
        <v/>
      </c>
      <c r="I15" s="134" t="str">
        <f>IF('Scheduled Intervals'!I15&lt;&gt;"",IF($A$2='Scheduled Intervals'!I15,"Yes",""),"")</f>
        <v/>
      </c>
      <c r="J15" s="134" t="str">
        <f>IF('Scheduled Intervals'!J15&lt;&gt;"",IF($A$2='Scheduled Intervals'!J15,"Yes",""),"")</f>
        <v/>
      </c>
      <c r="K15" s="134" t="str">
        <f>IF('Scheduled Intervals'!K15&lt;&gt;"",IF($A$2='Scheduled Intervals'!K15,"Yes",""),"")</f>
        <v/>
      </c>
      <c r="L15" s="134" t="str">
        <f>IF('Scheduled Intervals'!L15&lt;&gt;"",IF($A$2='Scheduled Intervals'!L15,"Yes",""),"")</f>
        <v/>
      </c>
      <c r="M15" s="134" t="str">
        <f>IF('Scheduled Intervals'!M15&lt;&gt;"",IF($A$2='Scheduled Intervals'!M15,"Yes",""),"")</f>
        <v/>
      </c>
      <c r="N15" s="134" t="str">
        <f>IF('Scheduled Intervals'!N15&lt;&gt;"",IF($A$2='Scheduled Intervals'!N15,"Yes",""),"")</f>
        <v/>
      </c>
      <c r="O15" s="134" t="str">
        <f>IF('Scheduled Intervals'!O15&lt;&gt;"",IF($A$2='Scheduled Intervals'!O15,"Yes",""),"")</f>
        <v/>
      </c>
      <c r="P15" s="134" t="str">
        <f>IF('Scheduled Intervals'!P15&lt;&gt;"",IF($A$2='Scheduled Intervals'!P15,"Yes",""),"")</f>
        <v/>
      </c>
      <c r="Q15" s="134" t="str">
        <f>IF('Scheduled Intervals'!Q15&lt;&gt;"",IF($A$2='Scheduled Intervals'!Q15,"Yes",""),"")</f>
        <v/>
      </c>
      <c r="R15" s="134" t="str">
        <f>IF('Scheduled Intervals'!R15&lt;&gt;"",IF($A$2='Scheduled Intervals'!R15,"Yes",""),"")</f>
        <v/>
      </c>
      <c r="S15" s="134" t="str">
        <f>IF('Scheduled Intervals'!S15&lt;&gt;"",IF($A$2='Scheduled Intervals'!S15,"Yes",""),"")</f>
        <v/>
      </c>
      <c r="T15" s="134" t="str">
        <f>IF('Scheduled Intervals'!T15&lt;&gt;"",IF($A$2='Scheduled Intervals'!T15,"Yes",""),"")</f>
        <v/>
      </c>
      <c r="U15" s="244" t="str">
        <f>IF($A$2="Annual","",IF('Scheduled Intervals'!U15&lt;&gt;"",IF($A$2/'Scheduled Intervals'!U15=ROUND($A$2/'Scheduled Intervals'!U15,0),"Yes",""),""))</f>
        <v>Yes</v>
      </c>
      <c r="V15" s="244" t="str">
        <f>IF($A$2="Annual","",IF('Scheduled Intervals'!V15&lt;&gt;"",IF($A$2/'Scheduled Intervals'!V15=ROUND($A$2/'Scheduled Intervals'!V15,0),"Yes",""),""))</f>
        <v/>
      </c>
      <c r="W15" s="244" t="str">
        <f>IF($A$2="Annual","",IF('Scheduled Intervals'!W15&lt;&gt;"",IF($A$2/'Scheduled Intervals'!W15=ROUND($A$2/'Scheduled Intervals'!W15,0),"Yes",""),""))</f>
        <v>Yes</v>
      </c>
      <c r="X15" s="244" t="str">
        <f>IF($A$2="Annual","",IF('Scheduled Intervals'!X15&lt;&gt;"",IF($A$2/'Scheduled Intervals'!X15=ROUND($A$2/'Scheduled Intervals'!X15,0),"Yes",""),""))</f>
        <v>Yes</v>
      </c>
      <c r="Y15" s="244" t="str">
        <f>IF($A$2="Annual","",IF('Scheduled Intervals'!Y15&lt;&gt;"",IF($A$2/'Scheduled Intervals'!Y15=ROUND($A$2/'Scheduled Intervals'!Y15,0),"Yes",""),""))</f>
        <v>Yes</v>
      </c>
      <c r="Z15" s="244" t="str">
        <f>IF($A$2="Annual","",IF('Scheduled Intervals'!Z15&lt;&gt;"",IF($A$2/'Scheduled Intervals'!Z15=ROUND($A$2/'Scheduled Intervals'!Z15,0),"Yes",""),""))</f>
        <v>Yes</v>
      </c>
      <c r="AA15" s="244" t="str">
        <f>IF($A$2="Annual","",IF('Scheduled Intervals'!AA15&lt;&gt;"",IF($A$2/'Scheduled Intervals'!AA15=ROUND($A$2/'Scheduled Intervals'!AA15,0),"Yes",""),""))</f>
        <v/>
      </c>
      <c r="AB15" s="244" t="str">
        <f>IF($A$2="Annual","",IF('Scheduled Intervals'!AB15&lt;&gt;"",IF($A$2/'Scheduled Intervals'!AB15=ROUND($A$2/'Scheduled Intervals'!AB15,0),"Yes",""),""))</f>
        <v/>
      </c>
      <c r="AC15" s="244" t="str">
        <f>IF($A$2="Annual","",IF('Scheduled Intervals'!AC15&lt;&gt;"",IF($A$2/'Scheduled Intervals'!AC15=ROUND($A$2/'Scheduled Intervals'!AC15,0),"Yes",""),""))</f>
        <v/>
      </c>
      <c r="AD15" s="244" t="str">
        <f>IF($A$2="Annual","",IF('Scheduled Intervals'!AD15&lt;&gt;"",IF($A$2/'Scheduled Intervals'!AD15=ROUND($A$2/'Scheduled Intervals'!AD15,0),"Yes",""),""))</f>
        <v/>
      </c>
      <c r="AE15" s="244" t="str">
        <f>IF($A$2="Annual","",IF('Scheduled Intervals'!AE15&lt;&gt;"",IF($A$2/'Scheduled Intervals'!AE15=ROUND($A$2/'Scheduled Intervals'!AE15,0),"Yes",""),""))</f>
        <v/>
      </c>
      <c r="AF15" s="244" t="str">
        <f>IF($A$2="Annual","",IF('Scheduled Intervals'!AF15&lt;&gt;"",IF($A$2/'Scheduled Intervals'!AF15=ROUND($A$2/'Scheduled Intervals'!AF15,0),"Yes",""),""))</f>
        <v/>
      </c>
      <c r="AG15" s="244" t="str">
        <f>IF($A$2="Annual","",IF('Scheduled Intervals'!AG15&lt;&gt;"",IF($A$2/'Scheduled Intervals'!AG15=ROUND($A$2/'Scheduled Intervals'!AG15,0),"Yes",""),""))</f>
        <v>Yes</v>
      </c>
      <c r="AH15" s="244" t="str">
        <f>IF($A$2="Annual","",IF('Scheduled Intervals'!AH15&lt;&gt;"",IF($A$2/'Scheduled Intervals'!AH15=ROUND($A$2/'Scheduled Intervals'!AH15,0),"Yes",""),""))</f>
        <v/>
      </c>
      <c r="AI15" s="244" t="str">
        <f>IF($A$2="Annual","",IF('Scheduled Intervals'!AI15&lt;&gt;"",IF($A$2/'Scheduled Intervals'!AI15=ROUND($A$2/'Scheduled Intervals'!AI15,0),"Yes",""),""))</f>
        <v/>
      </c>
      <c r="AJ15" s="244" t="str">
        <f>IF($A$2="Annual","",IF('Scheduled Intervals'!AJ15&lt;&gt;"",IF($A$2/'Scheduled Intervals'!AJ15=ROUND($A$2/'Scheduled Intervals'!AJ15,0),"Yes",""),""))</f>
        <v/>
      </c>
      <c r="AK15" s="244" t="str">
        <f>IF($A$2="Annual","",IF('Scheduled Intervals'!AK15&lt;&gt;"",IF($A$2/'Scheduled Intervals'!AK15=ROUND($A$2/'Scheduled Intervals'!AK15,0),"Yes",""),""))</f>
        <v/>
      </c>
      <c r="AL15" s="244" t="str">
        <f>IF($A$2="Annual","",IF('Scheduled Intervals'!AL15&lt;&gt;"",IF($A$2/'Scheduled Intervals'!AL15=ROUND($A$2/'Scheduled Intervals'!AL15,0),"Yes",""),""))</f>
        <v/>
      </c>
      <c r="AM15" s="244" t="str">
        <f>IF($A$2="Annual","",IF('Scheduled Intervals'!AM15&lt;&gt;"",IF($A$2/'Scheduled Intervals'!AM15=ROUND($A$2/'Scheduled Intervals'!AM15,0),"Yes",""),""))</f>
        <v/>
      </c>
      <c r="AN15" s="244" t="str">
        <f>IF($A$2="Annual","",IF('Scheduled Intervals'!AN15&lt;&gt;"",IF($A$2/'Scheduled Intervals'!AN15=ROUND($A$2/'Scheduled Intervals'!AN15,0),"Yes",""),""))</f>
        <v/>
      </c>
      <c r="AO15" s="244" t="str">
        <f>IF($A$2="Annual","",IF('Scheduled Intervals'!AO15&lt;&gt;"",IF($A$2/'Scheduled Intervals'!AO15=ROUND($A$2/'Scheduled Intervals'!AO15,0),"Yes",""),""))</f>
        <v/>
      </c>
      <c r="AP15" s="244" t="str">
        <f>IF($A$2="Annual","",IF('Scheduled Intervals'!AP15&lt;&gt;"",IF($A$2/'Scheduled Intervals'!AP15=ROUND($A$2/'Scheduled Intervals'!AP15,0),"Yes",""),""))</f>
        <v>Yes</v>
      </c>
      <c r="AQ15" s="244" t="str">
        <f>IF($A$2="Annual","",IF('Scheduled Intervals'!AQ15&lt;&gt;"",IF($A$2/'Scheduled Intervals'!AQ15=ROUND($A$2/'Scheduled Intervals'!AQ15,0),"Yes",""),""))</f>
        <v/>
      </c>
      <c r="AR15" s="244" t="str">
        <f>IF($A$2="Annual","",IF('Scheduled Intervals'!AR15&lt;&gt;"",IF($A$2/'Scheduled Intervals'!AR15=ROUND($A$2/'Scheduled Intervals'!AR15,0),"Yes",""),""))</f>
        <v/>
      </c>
      <c r="AS15" s="244" t="str">
        <f>IF($A$2="Annual","",IF('Scheduled Intervals'!AS15&lt;&gt;"",IF($A$2/'Scheduled Intervals'!AS15=ROUND($A$2/'Scheduled Intervals'!AS15,0),"Yes",""),""))</f>
        <v/>
      </c>
      <c r="AT15" s="244" t="str">
        <f>IF($A$2="Annual","",IF('Scheduled Intervals'!AT15&lt;&gt;"",IF($A$2/'Scheduled Intervals'!AT15=ROUND($A$2/'Scheduled Intervals'!AT15,0),"Yes",""),""))</f>
        <v>Yes</v>
      </c>
      <c r="AU15" s="244" t="str">
        <f>IF($A$2="Annual","",IF('Scheduled Intervals'!AU15&lt;&gt;"",IF($A$2/'Scheduled Intervals'!AU15=ROUND($A$2/'Scheduled Intervals'!AU15,0),"Yes",""),""))</f>
        <v/>
      </c>
      <c r="AV15" s="244" t="str">
        <f>IF($A$2="Annual","",IF('Scheduled Intervals'!AV15&lt;&gt;"",IF($A$2/'Scheduled Intervals'!AV15=ROUND($A$2/'Scheduled Intervals'!AV15,0),"Yes",""),""))</f>
        <v/>
      </c>
      <c r="AW15" s="244" t="str">
        <f>IF($A$2="Annual","",IF('Scheduled Intervals'!AW15&lt;&gt;"",IF($A$2/'Scheduled Intervals'!AW15=ROUND($A$2/'Scheduled Intervals'!AW15,0),"Yes",""),""))</f>
        <v/>
      </c>
      <c r="AX15" s="244" t="str">
        <f>IF($A$2="Annual","",IF('Scheduled Intervals'!AX15&lt;&gt;"",IF($A$2/'Scheduled Intervals'!AX15=ROUND($A$2/'Scheduled Intervals'!AX15,0),"Yes",""),""))</f>
        <v/>
      </c>
      <c r="AY15" s="244" t="str">
        <f>IF($A$2="Annual","",IF('Scheduled Intervals'!AY15&lt;&gt;"",IF($A$2/'Scheduled Intervals'!AY15=ROUND($A$2/'Scheduled Intervals'!AY15,0),"Yes",""),""))</f>
        <v/>
      </c>
      <c r="AZ15" s="244" t="str">
        <f>IF($A$2="Annual","",IF('Scheduled Intervals'!AZ15&lt;&gt;"",IF($A$2/'Scheduled Intervals'!AZ15=ROUND($A$2/'Scheduled Intervals'!AZ15,0),"Yes",""),""))</f>
        <v/>
      </c>
      <c r="BA15" s="244" t="str">
        <f>IF($A$2="Annual","",IF('Scheduled Intervals'!BA15&lt;&gt;"",IF($A$2/'Scheduled Intervals'!BA15=ROUND($A$2/'Scheduled Intervals'!BA15,0),"Yes",""),""))</f>
        <v/>
      </c>
      <c r="BB15" s="244" t="str">
        <f>IF($A$2="Annual","",IF('Scheduled Intervals'!BB15&lt;&gt;"",IF($A$2/'Scheduled Intervals'!BB15=ROUND($A$2/'Scheduled Intervals'!BB15,0),"Yes",""),""))</f>
        <v/>
      </c>
      <c r="BC15" s="244" t="str">
        <f>IF($A$2="Annual","",IF('Scheduled Intervals'!BC15&lt;&gt;"",IF($A$2/'Scheduled Intervals'!BC15=ROUND($A$2/'Scheduled Intervals'!BC15,0),"Yes",""),""))</f>
        <v/>
      </c>
      <c r="BD15" s="244" t="str">
        <f>IF($A$2="Annual","",IF('Scheduled Intervals'!BD15&lt;&gt;"",IF($A$2/'Scheduled Intervals'!BD15=ROUND($A$2/'Scheduled Intervals'!BD15,0),"Yes",""),""))</f>
        <v/>
      </c>
      <c r="BE15" s="244" t="str">
        <f>IF($A$2="Annual","",IF('Scheduled Intervals'!BE15&lt;&gt;"",IF($A$2/'Scheduled Intervals'!BE15=ROUND($A$2/'Scheduled Intervals'!BE15,0),"Yes",""),""))</f>
        <v>Yes</v>
      </c>
      <c r="BF15" s="244" t="str">
        <f>IF($A$2="Annual","",IF('Scheduled Intervals'!BF15&lt;&gt;"",IF($A$2/'Scheduled Intervals'!BF15=ROUND($A$2/'Scheduled Intervals'!BF15,0),"Yes",""),""))</f>
        <v/>
      </c>
      <c r="BG15" s="244" t="str">
        <f>IF($A$2="Annual","",IF('Scheduled Intervals'!BG15&lt;&gt;"",IF($A$2/'Scheduled Intervals'!BG15=ROUND($A$2/'Scheduled Intervals'!BG15,0),"Yes",""),""))</f>
        <v/>
      </c>
      <c r="BH15" s="244" t="str">
        <f>IF($A$2="Annual","",IF('Scheduled Intervals'!BH15&lt;&gt;"",IF($A$2/'Scheduled Intervals'!BH15=ROUND($A$2/'Scheduled Intervals'!BH15,0),"Yes",""),""))</f>
        <v/>
      </c>
      <c r="BI15" s="244" t="str">
        <f>IF($A$2="Annual","",IF('Scheduled Intervals'!BI15&lt;&gt;"",IF($A$2/'Scheduled Intervals'!BI15=ROUND($A$2/'Scheduled Intervals'!BI15,0),"Yes",""),""))</f>
        <v/>
      </c>
      <c r="BJ15" s="244" t="str">
        <f>IF($A$2="Annual","",IF('Scheduled Intervals'!BJ15&lt;&gt;"",IF($A$2/'Scheduled Intervals'!BJ15=ROUND($A$2/'Scheduled Intervals'!BJ15,0),"Yes",""),""))</f>
        <v>Yes</v>
      </c>
      <c r="BK15" s="244" t="str">
        <f>IF($A$2="Annual","",IF('Scheduled Intervals'!BK15&lt;&gt;"",IF($A$2/'Scheduled Intervals'!BK15=ROUND($A$2/'Scheduled Intervals'!BK15,0),"Yes",""),""))</f>
        <v/>
      </c>
      <c r="BL15" s="244" t="str">
        <f>IF($A$2="Annual","",IF('Scheduled Intervals'!BL15&lt;&gt;"",IF($A$2/'Scheduled Intervals'!BL15=ROUND($A$2/'Scheduled Intervals'!BL15,0),"Yes",""),""))</f>
        <v/>
      </c>
      <c r="BM15" s="244" t="str">
        <f>IF($A$2="Annual","",IF('Scheduled Intervals'!BM15&lt;&gt;"",IF($A$2/'Scheduled Intervals'!BM15=ROUND($A$2/'Scheduled Intervals'!BM15,0),"Yes",""),""))</f>
        <v/>
      </c>
      <c r="BN15" s="177" t="str">
        <f>IF(AND($A$2="annual",'Scheduled Intervals'!BN15&lt;&gt;""),"yes","")</f>
        <v/>
      </c>
      <c r="BO15" s="177" t="str">
        <f>IF(AND($A$2="annual",'Scheduled Intervals'!BO15&lt;&gt;""),"yes","")</f>
        <v/>
      </c>
      <c r="BP15" s="177" t="str">
        <f>IF(AND($A$2="annual",'Scheduled Intervals'!BP15&lt;&gt;""),"yes","")</f>
        <v/>
      </c>
    </row>
    <row r="16" spans="1:68" x14ac:dyDescent="0.2">
      <c r="A16" s="133" t="str">
        <f>+'Scheduled Intervals'!A16</f>
        <v>Mahindra Emax</v>
      </c>
      <c r="B16" s="134" t="str">
        <f>IF('Scheduled Intervals'!B16&lt;&gt;"",IF($A$2='Scheduled Intervals'!B16,"Yes",""),"")</f>
        <v/>
      </c>
      <c r="C16" s="134" t="str">
        <f>IF('Scheduled Intervals'!C16&lt;&gt;"",IF($A$2='Scheduled Intervals'!C16,"Yes",""),"")</f>
        <v/>
      </c>
      <c r="D16" s="134" t="str">
        <f>IF('Scheduled Intervals'!D16&lt;&gt;"",IF($A$2='Scheduled Intervals'!D16,"Yes",""),"")</f>
        <v/>
      </c>
      <c r="E16" s="134" t="str">
        <f>IF('Scheduled Intervals'!E16&lt;&gt;"",IF($A$2='Scheduled Intervals'!E16,"Yes",""),"")</f>
        <v/>
      </c>
      <c r="F16" s="134" t="str">
        <f>IF('Scheduled Intervals'!F16&lt;&gt;"",IF($A$2='Scheduled Intervals'!F16,"Yes",""),"")</f>
        <v/>
      </c>
      <c r="G16" s="134" t="str">
        <f>IF('Scheduled Intervals'!G16&lt;&gt;"",IF($A$2='Scheduled Intervals'!G16,"Yes",""),"")</f>
        <v/>
      </c>
      <c r="H16" s="134" t="str">
        <f>IF('Scheduled Intervals'!H16&lt;&gt;"",IF($A$2='Scheduled Intervals'!H16,"Yes",""),"")</f>
        <v/>
      </c>
      <c r="I16" s="134" t="str">
        <f>IF('Scheduled Intervals'!I16&lt;&gt;"",IF($A$2='Scheduled Intervals'!I16,"Yes",""),"")</f>
        <v/>
      </c>
      <c r="J16" s="134" t="str">
        <f>IF('Scheduled Intervals'!J16&lt;&gt;"",IF($A$2='Scheduled Intervals'!J16,"Yes",""),"")</f>
        <v/>
      </c>
      <c r="K16" s="134" t="str">
        <f>IF('Scheduled Intervals'!K16&lt;&gt;"",IF($A$2='Scheduled Intervals'!K16,"Yes",""),"")</f>
        <v/>
      </c>
      <c r="L16" s="134" t="str">
        <f>IF('Scheduled Intervals'!L16&lt;&gt;"",IF($A$2='Scheduled Intervals'!L16,"Yes",""),"")</f>
        <v/>
      </c>
      <c r="M16" s="134" t="str">
        <f>IF('Scheduled Intervals'!M16&lt;&gt;"",IF($A$2='Scheduled Intervals'!M16,"Yes",""),"")</f>
        <v/>
      </c>
      <c r="N16" s="134" t="str">
        <f>IF('Scheduled Intervals'!N16&lt;&gt;"",IF($A$2='Scheduled Intervals'!N16,"Yes",""),"")</f>
        <v/>
      </c>
      <c r="O16" s="134" t="str">
        <f>IF('Scheduled Intervals'!O16&lt;&gt;"",IF($A$2='Scheduled Intervals'!O16,"Yes",""),"")</f>
        <v/>
      </c>
      <c r="P16" s="134" t="str">
        <f>IF('Scheduled Intervals'!P16&lt;&gt;"",IF($A$2='Scheduled Intervals'!P16,"Yes",""),"")</f>
        <v/>
      </c>
      <c r="Q16" s="134" t="str">
        <f>IF('Scheduled Intervals'!Q16&lt;&gt;"",IF($A$2='Scheduled Intervals'!Q16,"Yes",""),"")</f>
        <v/>
      </c>
      <c r="R16" s="134" t="str">
        <f>IF('Scheduled Intervals'!R16&lt;&gt;"",IF($A$2='Scheduled Intervals'!R16,"Yes",""),"")</f>
        <v/>
      </c>
      <c r="S16" s="134" t="str">
        <f>IF('Scheduled Intervals'!S16&lt;&gt;"",IF($A$2='Scheduled Intervals'!S16,"Yes",""),"")</f>
        <v/>
      </c>
      <c r="T16" s="134" t="str">
        <f>IF('Scheduled Intervals'!T16&lt;&gt;"",IF($A$2='Scheduled Intervals'!T16,"Yes",""),"")</f>
        <v/>
      </c>
      <c r="U16" s="244" t="str">
        <f>IF($A$2="Annual","",IF('Scheduled Intervals'!U16&lt;&gt;"",IF($A$2/'Scheduled Intervals'!U16=ROUND($A$2/'Scheduled Intervals'!U16,0),"Yes",""),""))</f>
        <v>Yes</v>
      </c>
      <c r="V16" s="244" t="str">
        <f>IF($A$2="Annual","",IF('Scheduled Intervals'!V16&lt;&gt;"",IF($A$2/'Scheduled Intervals'!V16=ROUND($A$2/'Scheduled Intervals'!V16,0),"Yes",""),""))</f>
        <v/>
      </c>
      <c r="W16" s="244" t="str">
        <f>IF($A$2="Annual","",IF('Scheduled Intervals'!W16&lt;&gt;"",IF($A$2/'Scheduled Intervals'!W16=ROUND($A$2/'Scheduled Intervals'!W16,0),"Yes",""),""))</f>
        <v/>
      </c>
      <c r="X16" s="244" t="str">
        <f>IF($A$2="Annual","",IF('Scheduled Intervals'!X16&lt;&gt;"",IF($A$2/'Scheduled Intervals'!X16=ROUND($A$2/'Scheduled Intervals'!X16,0),"Yes",""),""))</f>
        <v/>
      </c>
      <c r="Y16" s="244" t="str">
        <f>IF($A$2="Annual","",IF('Scheduled Intervals'!Y16&lt;&gt;"",IF($A$2/'Scheduled Intervals'!Y16=ROUND($A$2/'Scheduled Intervals'!Y16,0),"Yes",""),""))</f>
        <v/>
      </c>
      <c r="Z16" s="244" t="str">
        <f>IF($A$2="Annual","",IF('Scheduled Intervals'!Z16&lt;&gt;"",IF($A$2/'Scheduled Intervals'!Z16=ROUND($A$2/'Scheduled Intervals'!Z16,0),"Yes",""),""))</f>
        <v>Yes</v>
      </c>
      <c r="AA16" s="244" t="str">
        <f>IF($A$2="Annual","",IF('Scheduled Intervals'!AA16&lt;&gt;"",IF($A$2/'Scheduled Intervals'!AA16=ROUND($A$2/'Scheduled Intervals'!AA16,0),"Yes",""),""))</f>
        <v/>
      </c>
      <c r="AB16" s="244" t="str">
        <f>IF($A$2="Annual","",IF('Scheduled Intervals'!AB16&lt;&gt;"",IF($A$2/'Scheduled Intervals'!AB16=ROUND($A$2/'Scheduled Intervals'!AB16,0),"Yes",""),""))</f>
        <v>Yes</v>
      </c>
      <c r="AC16" s="244" t="str">
        <f>IF($A$2="Annual","",IF('Scheduled Intervals'!AC16&lt;&gt;"",IF($A$2/'Scheduled Intervals'!AC16=ROUND($A$2/'Scheduled Intervals'!AC16,0),"Yes",""),""))</f>
        <v/>
      </c>
      <c r="AD16" s="244" t="str">
        <f>IF($A$2="Annual","",IF('Scheduled Intervals'!AD16&lt;&gt;"",IF($A$2/'Scheduled Intervals'!AD16=ROUND($A$2/'Scheduled Intervals'!AD16,0),"Yes",""),""))</f>
        <v/>
      </c>
      <c r="AE16" s="244" t="str">
        <f>IF($A$2="Annual","",IF('Scheduled Intervals'!AE16&lt;&gt;"",IF($A$2/'Scheduled Intervals'!AE16=ROUND($A$2/'Scheduled Intervals'!AE16,0),"Yes",""),""))</f>
        <v>Yes</v>
      </c>
      <c r="AF16" s="244" t="str">
        <f>IF($A$2="Annual","",IF('Scheduled Intervals'!AF16&lt;&gt;"",IF($A$2/'Scheduled Intervals'!AF16=ROUND($A$2/'Scheduled Intervals'!AF16,0),"Yes",""),""))</f>
        <v/>
      </c>
      <c r="AG16" s="244" t="str">
        <f>IF($A$2="Annual","",IF('Scheduled Intervals'!AG16&lt;&gt;"",IF($A$2/'Scheduled Intervals'!AG16=ROUND($A$2/'Scheduled Intervals'!AG16,0),"Yes",""),""))</f>
        <v/>
      </c>
      <c r="AH16" s="244" t="str">
        <f>IF($A$2="Annual","",IF('Scheduled Intervals'!AH16&lt;&gt;"",IF($A$2/'Scheduled Intervals'!AH16=ROUND($A$2/'Scheduled Intervals'!AH16,0),"Yes",""),""))</f>
        <v/>
      </c>
      <c r="AI16" s="244" t="str">
        <f>IF($A$2="Annual","",IF('Scheduled Intervals'!AI16&lt;&gt;"",IF($A$2/'Scheduled Intervals'!AI16=ROUND($A$2/'Scheduled Intervals'!AI16,0),"Yes",""),""))</f>
        <v/>
      </c>
      <c r="AJ16" s="244" t="str">
        <f>IF($A$2="Annual","",IF('Scheduled Intervals'!AJ16&lt;&gt;"",IF($A$2/'Scheduled Intervals'!AJ16=ROUND($A$2/'Scheduled Intervals'!AJ16,0),"Yes",""),""))</f>
        <v/>
      </c>
      <c r="AK16" s="244" t="str">
        <f>IF($A$2="Annual","",IF('Scheduled Intervals'!AK16&lt;&gt;"",IF($A$2/'Scheduled Intervals'!AK16=ROUND($A$2/'Scheduled Intervals'!AK16,0),"Yes",""),""))</f>
        <v/>
      </c>
      <c r="AL16" s="244" t="str">
        <f>IF($A$2="Annual","",IF('Scheduled Intervals'!AL16&lt;&gt;"",IF($A$2/'Scheduled Intervals'!AL16=ROUND($A$2/'Scheduled Intervals'!AL16,0),"Yes",""),""))</f>
        <v>Yes</v>
      </c>
      <c r="AM16" s="244" t="str">
        <f>IF($A$2="Annual","",IF('Scheduled Intervals'!AM16&lt;&gt;"",IF($A$2/'Scheduled Intervals'!AM16=ROUND($A$2/'Scheduled Intervals'!AM16,0),"Yes",""),""))</f>
        <v/>
      </c>
      <c r="AN16" s="244" t="str">
        <f>IF($A$2="Annual","",IF('Scheduled Intervals'!AN16&lt;&gt;"",IF($A$2/'Scheduled Intervals'!AN16=ROUND($A$2/'Scheduled Intervals'!AN16,0),"Yes",""),""))</f>
        <v/>
      </c>
      <c r="AO16" s="244" t="str">
        <f>IF($A$2="Annual","",IF('Scheduled Intervals'!AO16&lt;&gt;"",IF($A$2/'Scheduled Intervals'!AO16=ROUND($A$2/'Scheduled Intervals'!AO16,0),"Yes",""),""))</f>
        <v/>
      </c>
      <c r="AP16" s="244" t="str">
        <f>IF($A$2="Annual","",IF('Scheduled Intervals'!AP16&lt;&gt;"",IF($A$2/'Scheduled Intervals'!AP16=ROUND($A$2/'Scheduled Intervals'!AP16,0),"Yes",""),""))</f>
        <v/>
      </c>
      <c r="AQ16" s="244" t="str">
        <f>IF($A$2="Annual","",IF('Scheduled Intervals'!AQ16&lt;&gt;"",IF($A$2/'Scheduled Intervals'!AQ16=ROUND($A$2/'Scheduled Intervals'!AQ16,0),"Yes",""),""))</f>
        <v/>
      </c>
      <c r="AR16" s="244" t="str">
        <f>IF($A$2="Annual","",IF('Scheduled Intervals'!AR16&lt;&gt;"",IF($A$2/'Scheduled Intervals'!AR16=ROUND($A$2/'Scheduled Intervals'!AR16,0),"Yes",""),""))</f>
        <v/>
      </c>
      <c r="AS16" s="244" t="str">
        <f>IF($A$2="Annual","",IF('Scheduled Intervals'!AS16&lt;&gt;"",IF($A$2/'Scheduled Intervals'!AS16=ROUND($A$2/'Scheduled Intervals'!AS16,0),"Yes",""),""))</f>
        <v/>
      </c>
      <c r="AT16" s="244" t="str">
        <f>IF($A$2="Annual","",IF('Scheduled Intervals'!AT16&lt;&gt;"",IF($A$2/'Scheduled Intervals'!AT16=ROUND($A$2/'Scheduled Intervals'!AT16,0),"Yes",""),""))</f>
        <v>Yes</v>
      </c>
      <c r="AU16" s="244" t="str">
        <f>IF($A$2="Annual","",IF('Scheduled Intervals'!AU16&lt;&gt;"",IF($A$2/'Scheduled Intervals'!AU16=ROUND($A$2/'Scheduled Intervals'!AU16,0),"Yes",""),""))</f>
        <v/>
      </c>
      <c r="AV16" s="244" t="str">
        <f>IF($A$2="Annual","",IF('Scheduled Intervals'!AV16&lt;&gt;"",IF($A$2/'Scheduled Intervals'!AV16=ROUND($A$2/'Scheduled Intervals'!AV16,0),"Yes",""),""))</f>
        <v/>
      </c>
      <c r="AW16" s="244" t="str">
        <f>IF($A$2="Annual","",IF('Scheduled Intervals'!AW16&lt;&gt;"",IF($A$2/'Scheduled Intervals'!AW16=ROUND($A$2/'Scheduled Intervals'!AW16,0),"Yes",""),""))</f>
        <v/>
      </c>
      <c r="AX16" s="244" t="str">
        <f>IF($A$2="Annual","",IF('Scheduled Intervals'!AX16&lt;&gt;"",IF($A$2/'Scheduled Intervals'!AX16=ROUND($A$2/'Scheduled Intervals'!AX16,0),"Yes",""),""))</f>
        <v/>
      </c>
      <c r="AY16" s="244" t="str">
        <f>IF($A$2="Annual","",IF('Scheduled Intervals'!AY16&lt;&gt;"",IF($A$2/'Scheduled Intervals'!AY16=ROUND($A$2/'Scheduled Intervals'!AY16,0),"Yes",""),""))</f>
        <v/>
      </c>
      <c r="AZ16" s="244" t="str">
        <f>IF($A$2="Annual","",IF('Scheduled Intervals'!AZ16&lt;&gt;"",IF($A$2/'Scheduled Intervals'!AZ16=ROUND($A$2/'Scheduled Intervals'!AZ16,0),"Yes",""),""))</f>
        <v/>
      </c>
      <c r="BA16" s="244" t="str">
        <f>IF($A$2="Annual","",IF('Scheduled Intervals'!BA16&lt;&gt;"",IF($A$2/'Scheduled Intervals'!BA16=ROUND($A$2/'Scheduled Intervals'!BA16,0),"Yes",""),""))</f>
        <v/>
      </c>
      <c r="BB16" s="244" t="str">
        <f>IF($A$2="Annual","",IF('Scheduled Intervals'!BB16&lt;&gt;"",IF($A$2/'Scheduled Intervals'!BB16=ROUND($A$2/'Scheduled Intervals'!BB16,0),"Yes",""),""))</f>
        <v>Yes</v>
      </c>
      <c r="BC16" s="244" t="str">
        <f>IF($A$2="Annual","",IF('Scheduled Intervals'!BC16&lt;&gt;"",IF($A$2/'Scheduled Intervals'!BC16=ROUND($A$2/'Scheduled Intervals'!BC16,0),"Yes",""),""))</f>
        <v/>
      </c>
      <c r="BD16" s="244" t="str">
        <f>IF($A$2="Annual","",IF('Scheduled Intervals'!BD16&lt;&gt;"",IF($A$2/'Scheduled Intervals'!BD16=ROUND($A$2/'Scheduled Intervals'!BD16,0),"Yes",""),""))</f>
        <v/>
      </c>
      <c r="BE16" s="244" t="str">
        <f>IF($A$2="Annual","",IF('Scheduled Intervals'!BE16&lt;&gt;"",IF($A$2/'Scheduled Intervals'!BE16=ROUND($A$2/'Scheduled Intervals'!BE16,0),"Yes",""),""))</f>
        <v/>
      </c>
      <c r="BF16" s="244" t="str">
        <f>IF($A$2="Annual","",IF('Scheduled Intervals'!BF16&lt;&gt;"",IF($A$2/'Scheduled Intervals'!BF16=ROUND($A$2/'Scheduled Intervals'!BF16,0),"Yes",""),""))</f>
        <v/>
      </c>
      <c r="BG16" s="244" t="str">
        <f>IF($A$2="Annual","",IF('Scheduled Intervals'!BG16&lt;&gt;"",IF($A$2/'Scheduled Intervals'!BG16=ROUND($A$2/'Scheduled Intervals'!BG16,0),"Yes",""),""))</f>
        <v/>
      </c>
      <c r="BH16" s="244" t="str">
        <f>IF($A$2="Annual","",IF('Scheduled Intervals'!BH16&lt;&gt;"",IF($A$2/'Scheduled Intervals'!BH16=ROUND($A$2/'Scheduled Intervals'!BH16,0),"Yes",""),""))</f>
        <v/>
      </c>
      <c r="BI16" s="244" t="str">
        <f>IF($A$2="Annual","",IF('Scheduled Intervals'!BI16&lt;&gt;"",IF($A$2/'Scheduled Intervals'!BI16=ROUND($A$2/'Scheduled Intervals'!BI16,0),"Yes",""),""))</f>
        <v/>
      </c>
      <c r="BJ16" s="244" t="str">
        <f>IF($A$2="Annual","",IF('Scheduled Intervals'!BJ16&lt;&gt;"",IF($A$2/'Scheduled Intervals'!BJ16=ROUND($A$2/'Scheduled Intervals'!BJ16,0),"Yes",""),""))</f>
        <v>Yes</v>
      </c>
      <c r="BK16" s="244" t="str">
        <f>IF($A$2="Annual","",IF('Scheduled Intervals'!BK16&lt;&gt;"",IF($A$2/'Scheduled Intervals'!BK16=ROUND($A$2/'Scheduled Intervals'!BK16,0),"Yes",""),""))</f>
        <v/>
      </c>
      <c r="BL16" s="244" t="str">
        <f>IF($A$2="Annual","",IF('Scheduled Intervals'!BL16&lt;&gt;"",IF($A$2/'Scheduled Intervals'!BL16=ROUND($A$2/'Scheduled Intervals'!BL16,0),"Yes",""),""))</f>
        <v/>
      </c>
      <c r="BM16" s="244" t="str">
        <f>IF($A$2="Annual","",IF('Scheduled Intervals'!BM16&lt;&gt;"",IF($A$2/'Scheduled Intervals'!BM16=ROUND($A$2/'Scheduled Intervals'!BM16,0),"Yes",""),""))</f>
        <v/>
      </c>
      <c r="BN16" s="177" t="str">
        <f>IF(AND($A$2="annual",'Scheduled Intervals'!BN16&lt;&gt;""),"yes","")</f>
        <v/>
      </c>
      <c r="BO16" s="177" t="str">
        <f>IF(AND($A$2="annual",'Scheduled Intervals'!BO16&lt;&gt;""),"yes","")</f>
        <v/>
      </c>
      <c r="BP16" s="177" t="str">
        <f>IF(AND($A$2="annual",'Scheduled Intervals'!BP16&lt;&gt;""),"yes","")</f>
        <v/>
      </c>
    </row>
    <row r="17" spans="1:68" x14ac:dyDescent="0.2">
      <c r="A17" s="133" t="str">
        <f>+'Scheduled Intervals'!A17</f>
        <v>Mahindra 1600 Series</v>
      </c>
      <c r="B17" s="134" t="str">
        <f>IF('Scheduled Intervals'!B17&lt;&gt;"",IF($A$2='Scheduled Intervals'!B17,"Yes",""),"")</f>
        <v/>
      </c>
      <c r="C17" s="134" t="str">
        <f>IF('Scheduled Intervals'!C17&lt;&gt;"",IF($A$2='Scheduled Intervals'!C17,"Yes",""),"")</f>
        <v/>
      </c>
      <c r="D17" s="134" t="str">
        <f>IF('Scheduled Intervals'!D17&lt;&gt;"",IF($A$2='Scheduled Intervals'!D17,"Yes",""),"")</f>
        <v/>
      </c>
      <c r="E17" s="134" t="str">
        <f>IF('Scheduled Intervals'!E17&lt;&gt;"",IF($A$2='Scheduled Intervals'!E17,"Yes",""),"")</f>
        <v/>
      </c>
      <c r="F17" s="134" t="str">
        <f>IF('Scheduled Intervals'!F17&lt;&gt;"",IF($A$2='Scheduled Intervals'!F17,"Yes",""),"")</f>
        <v/>
      </c>
      <c r="G17" s="134" t="str">
        <f>IF('Scheduled Intervals'!G17&lt;&gt;"",IF($A$2='Scheduled Intervals'!G17,"Yes",""),"")</f>
        <v/>
      </c>
      <c r="H17" s="134" t="str">
        <f>IF('Scheduled Intervals'!H17&lt;&gt;"",IF($A$2='Scheduled Intervals'!H17,"Yes",""),"")</f>
        <v/>
      </c>
      <c r="I17" s="134" t="str">
        <f>IF('Scheduled Intervals'!I17&lt;&gt;"",IF($A$2='Scheduled Intervals'!I17,"Yes",""),"")</f>
        <v/>
      </c>
      <c r="J17" s="134" t="str">
        <f>IF('Scheduled Intervals'!J17&lt;&gt;"",IF($A$2='Scheduled Intervals'!J17,"Yes",""),"")</f>
        <v/>
      </c>
      <c r="K17" s="134" t="str">
        <f>IF('Scheduled Intervals'!K17&lt;&gt;"",IF($A$2='Scheduled Intervals'!K17,"Yes",""),"")</f>
        <v/>
      </c>
      <c r="L17" s="134" t="str">
        <f>IF('Scheduled Intervals'!L17&lt;&gt;"",IF($A$2='Scheduled Intervals'!L17,"Yes",""),"")</f>
        <v/>
      </c>
      <c r="M17" s="134" t="str">
        <f>IF('Scheduled Intervals'!M17&lt;&gt;"",IF($A$2='Scheduled Intervals'!M17,"Yes",""),"")</f>
        <v/>
      </c>
      <c r="N17" s="134" t="str">
        <f>IF('Scheduled Intervals'!N17&lt;&gt;"",IF($A$2='Scheduled Intervals'!N17,"Yes",""),"")</f>
        <v/>
      </c>
      <c r="O17" s="134" t="str">
        <f>IF('Scheduled Intervals'!O17&lt;&gt;"",IF($A$2='Scheduled Intervals'!O17,"Yes",""),"")</f>
        <v/>
      </c>
      <c r="P17" s="134" t="str">
        <f>IF('Scheduled Intervals'!P17&lt;&gt;"",IF($A$2='Scheduled Intervals'!P17,"Yes",""),"")</f>
        <v/>
      </c>
      <c r="Q17" s="134" t="str">
        <f>IF('Scheduled Intervals'!Q17&lt;&gt;"",IF($A$2='Scheduled Intervals'!Q17,"Yes",""),"")</f>
        <v/>
      </c>
      <c r="R17" s="134" t="str">
        <f>IF('Scheduled Intervals'!R17&lt;&gt;"",IF($A$2='Scheduled Intervals'!R17,"Yes",""),"")</f>
        <v/>
      </c>
      <c r="S17" s="134" t="str">
        <f>IF('Scheduled Intervals'!S17&lt;&gt;"",IF($A$2='Scheduled Intervals'!S17,"Yes",""),"")</f>
        <v/>
      </c>
      <c r="T17" s="134" t="str">
        <f>IF('Scheduled Intervals'!T17&lt;&gt;"",IF($A$2='Scheduled Intervals'!T17,"Yes",""),"")</f>
        <v/>
      </c>
      <c r="U17" s="244" t="str">
        <f>IF($A$2="Annual","",IF('Scheduled Intervals'!U17&lt;&gt;"",IF($A$2/'Scheduled Intervals'!U17=ROUND($A$2/'Scheduled Intervals'!U17,0),"Yes",""),""))</f>
        <v>Yes</v>
      </c>
      <c r="V17" s="244" t="str">
        <f>IF($A$2="Annual","",IF('Scheduled Intervals'!V17&lt;&gt;"",IF($A$2/'Scheduled Intervals'!V17=ROUND($A$2/'Scheduled Intervals'!V17,0),"Yes",""),""))</f>
        <v/>
      </c>
      <c r="W17" s="244" t="str">
        <f>IF($A$2="Annual","",IF('Scheduled Intervals'!W17&lt;&gt;"",IF($A$2/'Scheduled Intervals'!W17=ROUND($A$2/'Scheduled Intervals'!W17,0),"Yes",""),""))</f>
        <v>Yes</v>
      </c>
      <c r="X17" s="244" t="str">
        <f>IF($A$2="Annual","",IF('Scheduled Intervals'!X17&lt;&gt;"",IF($A$2/'Scheduled Intervals'!X17=ROUND($A$2/'Scheduled Intervals'!X17,0),"Yes",""),""))</f>
        <v/>
      </c>
      <c r="Y17" s="244" t="str">
        <f>IF($A$2="Annual","",IF('Scheduled Intervals'!Y17&lt;&gt;"",IF($A$2/'Scheduled Intervals'!Y17=ROUND($A$2/'Scheduled Intervals'!Y17,0),"Yes",""),""))</f>
        <v/>
      </c>
      <c r="Z17" s="244" t="str">
        <f>IF($A$2="Annual","",IF('Scheduled Intervals'!Z17&lt;&gt;"",IF($A$2/'Scheduled Intervals'!Z17=ROUND($A$2/'Scheduled Intervals'!Z17,0),"Yes",""),""))</f>
        <v>Yes</v>
      </c>
      <c r="AA17" s="244" t="str">
        <f>IF($A$2="Annual","",IF('Scheduled Intervals'!AA17&lt;&gt;"",IF($A$2/'Scheduled Intervals'!AA17=ROUND($A$2/'Scheduled Intervals'!AA17,0),"Yes",""),""))</f>
        <v/>
      </c>
      <c r="AB17" s="244" t="str">
        <f>IF($A$2="Annual","",IF('Scheduled Intervals'!AB17&lt;&gt;"",IF($A$2/'Scheduled Intervals'!AB17=ROUND($A$2/'Scheduled Intervals'!AB17,0),"Yes",""),""))</f>
        <v/>
      </c>
      <c r="AC17" s="244" t="str">
        <f>IF($A$2="Annual","",IF('Scheduled Intervals'!AC17&lt;&gt;"",IF($A$2/'Scheduled Intervals'!AC17=ROUND($A$2/'Scheduled Intervals'!AC17,0),"Yes",""),""))</f>
        <v/>
      </c>
      <c r="AD17" s="244" t="str">
        <f>IF($A$2="Annual","",IF('Scheduled Intervals'!AD17&lt;&gt;"",IF($A$2/'Scheduled Intervals'!AD17=ROUND($A$2/'Scheduled Intervals'!AD17,0),"Yes",""),""))</f>
        <v/>
      </c>
      <c r="AE17" s="244" t="str">
        <f>IF($A$2="Annual","",IF('Scheduled Intervals'!AE17&lt;&gt;"",IF($A$2/'Scheduled Intervals'!AE17=ROUND($A$2/'Scheduled Intervals'!AE17,0),"Yes",""),""))</f>
        <v/>
      </c>
      <c r="AF17" s="244" t="str">
        <f>IF($A$2="Annual","",IF('Scheduled Intervals'!AF17&lt;&gt;"",IF($A$2/'Scheduled Intervals'!AF17=ROUND($A$2/'Scheduled Intervals'!AF17,0),"Yes",""),""))</f>
        <v/>
      </c>
      <c r="AG17" s="244" t="str">
        <f>IF($A$2="Annual","",IF('Scheduled Intervals'!AG17&lt;&gt;"",IF($A$2/'Scheduled Intervals'!AG17=ROUND($A$2/'Scheduled Intervals'!AG17,0),"Yes",""),""))</f>
        <v/>
      </c>
      <c r="AH17" s="244" t="str">
        <f>IF($A$2="Annual","",IF('Scheduled Intervals'!AH17&lt;&gt;"",IF($A$2/'Scheduled Intervals'!AH17=ROUND($A$2/'Scheduled Intervals'!AH17,0),"Yes",""),""))</f>
        <v/>
      </c>
      <c r="AI17" s="244" t="str">
        <f>IF($A$2="Annual","",IF('Scheduled Intervals'!AI17&lt;&gt;"",IF($A$2/'Scheduled Intervals'!AI17=ROUND($A$2/'Scheduled Intervals'!AI17,0),"Yes",""),""))</f>
        <v/>
      </c>
      <c r="AJ17" s="244" t="str">
        <f>IF($A$2="Annual","",IF('Scheduled Intervals'!AJ17&lt;&gt;"",IF($A$2/'Scheduled Intervals'!AJ17=ROUND($A$2/'Scheduled Intervals'!AJ17,0),"Yes",""),""))</f>
        <v/>
      </c>
      <c r="AK17" s="244" t="str">
        <f>IF($A$2="Annual","",IF('Scheduled Intervals'!AK17&lt;&gt;"",IF($A$2/'Scheduled Intervals'!AK17=ROUND($A$2/'Scheduled Intervals'!AK17,0),"Yes",""),""))</f>
        <v/>
      </c>
      <c r="AL17" s="244" t="str">
        <f>IF($A$2="Annual","",IF('Scheduled Intervals'!AL17&lt;&gt;"",IF($A$2/'Scheduled Intervals'!AL17=ROUND($A$2/'Scheduled Intervals'!AL17,0),"Yes",""),""))</f>
        <v/>
      </c>
      <c r="AM17" s="244" t="str">
        <f>IF($A$2="Annual","",IF('Scheduled Intervals'!AM17&lt;&gt;"",IF($A$2/'Scheduled Intervals'!AM17=ROUND($A$2/'Scheduled Intervals'!AM17,0),"Yes",""),""))</f>
        <v/>
      </c>
      <c r="AN17" s="244" t="str">
        <f>IF($A$2="Annual","",IF('Scheduled Intervals'!AN17&lt;&gt;"",IF($A$2/'Scheduled Intervals'!AN17=ROUND($A$2/'Scheduled Intervals'!AN17,0),"Yes",""),""))</f>
        <v/>
      </c>
      <c r="AO17" s="244" t="str">
        <f>IF($A$2="Annual","",IF('Scheduled Intervals'!AO17&lt;&gt;"",IF($A$2/'Scheduled Intervals'!AO17=ROUND($A$2/'Scheduled Intervals'!AO17,0),"Yes",""),""))</f>
        <v/>
      </c>
      <c r="AP17" s="244" t="str">
        <f>IF($A$2="Annual","",IF('Scheduled Intervals'!AP17&lt;&gt;"",IF($A$2/'Scheduled Intervals'!AP17=ROUND($A$2/'Scheduled Intervals'!AP17,0),"Yes",""),""))</f>
        <v/>
      </c>
      <c r="AQ17" s="244" t="str">
        <f>IF($A$2="Annual","",IF('Scheduled Intervals'!AQ17&lt;&gt;"",IF($A$2/'Scheduled Intervals'!AQ17=ROUND($A$2/'Scheduled Intervals'!AQ17,0),"Yes",""),""))</f>
        <v/>
      </c>
      <c r="AR17" s="244" t="str">
        <f>IF($A$2="Annual","",IF('Scheduled Intervals'!AR17&lt;&gt;"",IF($A$2/'Scheduled Intervals'!AR17=ROUND($A$2/'Scheduled Intervals'!AR17,0),"Yes",""),""))</f>
        <v/>
      </c>
      <c r="AS17" s="244" t="str">
        <f>IF($A$2="Annual","",IF('Scheduled Intervals'!AS17&lt;&gt;"",IF($A$2/'Scheduled Intervals'!AS17=ROUND($A$2/'Scheduled Intervals'!AS17,0),"Yes",""),""))</f>
        <v/>
      </c>
      <c r="AT17" s="244" t="str">
        <f>IF($A$2="Annual","",IF('Scheduled Intervals'!AT17&lt;&gt;"",IF($A$2/'Scheduled Intervals'!AT17=ROUND($A$2/'Scheduled Intervals'!AT17,0),"Yes",""),""))</f>
        <v>Yes</v>
      </c>
      <c r="AU17" s="244" t="str">
        <f>IF($A$2="Annual","",IF('Scheduled Intervals'!AU17&lt;&gt;"",IF($A$2/'Scheduled Intervals'!AU17=ROUND($A$2/'Scheduled Intervals'!AU17,0),"Yes",""),""))</f>
        <v/>
      </c>
      <c r="AV17" s="244" t="str">
        <f>IF($A$2="Annual","",IF('Scheduled Intervals'!AV17&lt;&gt;"",IF($A$2/'Scheduled Intervals'!AV17=ROUND($A$2/'Scheduled Intervals'!AV17,0),"Yes",""),""))</f>
        <v/>
      </c>
      <c r="AW17" s="244" t="str">
        <f>IF($A$2="Annual","",IF('Scheduled Intervals'!AW17&lt;&gt;"",IF($A$2/'Scheduled Intervals'!AW17=ROUND($A$2/'Scheduled Intervals'!AW17,0),"Yes",""),""))</f>
        <v/>
      </c>
      <c r="AX17" s="244" t="str">
        <f>IF($A$2="Annual","",IF('Scheduled Intervals'!AX17&lt;&gt;"",IF($A$2/'Scheduled Intervals'!AX17=ROUND($A$2/'Scheduled Intervals'!AX17,0),"Yes",""),""))</f>
        <v/>
      </c>
      <c r="AY17" s="244" t="str">
        <f>IF($A$2="Annual","",IF('Scheduled Intervals'!AY17&lt;&gt;"",IF($A$2/'Scheduled Intervals'!AY17=ROUND($A$2/'Scheduled Intervals'!AY17,0),"Yes",""),""))</f>
        <v/>
      </c>
      <c r="AZ17" s="244" t="str">
        <f>IF($A$2="Annual","",IF('Scheduled Intervals'!AZ17&lt;&gt;"",IF($A$2/'Scheduled Intervals'!AZ17=ROUND($A$2/'Scheduled Intervals'!AZ17,0),"Yes",""),""))</f>
        <v/>
      </c>
      <c r="BA17" s="244" t="str">
        <f>IF($A$2="Annual","",IF('Scheduled Intervals'!BA17&lt;&gt;"",IF($A$2/'Scheduled Intervals'!BA17=ROUND($A$2/'Scheduled Intervals'!BA17,0),"Yes",""),""))</f>
        <v/>
      </c>
      <c r="BB17" s="244" t="str">
        <f>IF($A$2="Annual","",IF('Scheduled Intervals'!BB17&lt;&gt;"",IF($A$2/'Scheduled Intervals'!BB17=ROUND($A$2/'Scheduled Intervals'!BB17,0),"Yes",""),""))</f>
        <v/>
      </c>
      <c r="BC17" s="244" t="str">
        <f>IF($A$2="Annual","",IF('Scheduled Intervals'!BC17&lt;&gt;"",IF($A$2/'Scheduled Intervals'!BC17=ROUND($A$2/'Scheduled Intervals'!BC17,0),"Yes",""),""))</f>
        <v/>
      </c>
      <c r="BD17" s="244" t="str">
        <f>IF($A$2="Annual","",IF('Scheduled Intervals'!BD17&lt;&gt;"",IF($A$2/'Scheduled Intervals'!BD17=ROUND($A$2/'Scheduled Intervals'!BD17,0),"Yes",""),""))</f>
        <v/>
      </c>
      <c r="BE17" s="244" t="str">
        <f>IF($A$2="Annual","",IF('Scheduled Intervals'!BE17&lt;&gt;"",IF($A$2/'Scheduled Intervals'!BE17=ROUND($A$2/'Scheduled Intervals'!BE17,0),"Yes",""),""))</f>
        <v/>
      </c>
      <c r="BF17" s="244" t="str">
        <f>IF($A$2="Annual","",IF('Scheduled Intervals'!BF17&lt;&gt;"",IF($A$2/'Scheduled Intervals'!BF17=ROUND($A$2/'Scheduled Intervals'!BF17,0),"Yes",""),""))</f>
        <v/>
      </c>
      <c r="BG17" s="244" t="str">
        <f>IF($A$2="Annual","",IF('Scheduled Intervals'!BG17&lt;&gt;"",IF($A$2/'Scheduled Intervals'!BG17=ROUND($A$2/'Scheduled Intervals'!BG17,0),"Yes",""),""))</f>
        <v/>
      </c>
      <c r="BH17" s="244" t="str">
        <f>IF($A$2="Annual","",IF('Scheduled Intervals'!BH17&lt;&gt;"",IF($A$2/'Scheduled Intervals'!BH17=ROUND($A$2/'Scheduled Intervals'!BH17,0),"Yes",""),""))</f>
        <v/>
      </c>
      <c r="BI17" s="244" t="str">
        <f>IF($A$2="Annual","",IF('Scheduled Intervals'!BI17&lt;&gt;"",IF($A$2/'Scheduled Intervals'!BI17=ROUND($A$2/'Scheduled Intervals'!BI17,0),"Yes",""),""))</f>
        <v/>
      </c>
      <c r="BJ17" s="244" t="str">
        <f>IF($A$2="Annual","",IF('Scheduled Intervals'!BJ17&lt;&gt;"",IF($A$2/'Scheduled Intervals'!BJ17=ROUND($A$2/'Scheduled Intervals'!BJ17,0),"Yes",""),""))</f>
        <v>Yes</v>
      </c>
      <c r="BK17" s="244" t="str">
        <f>IF($A$2="Annual","",IF('Scheduled Intervals'!BK17&lt;&gt;"",IF($A$2/'Scheduled Intervals'!BK17=ROUND($A$2/'Scheduled Intervals'!BK17,0),"Yes",""),""))</f>
        <v/>
      </c>
      <c r="BL17" s="244" t="str">
        <f>IF($A$2="Annual","",IF('Scheduled Intervals'!BL17&lt;&gt;"",IF($A$2/'Scheduled Intervals'!BL17=ROUND($A$2/'Scheduled Intervals'!BL17,0),"Yes",""),""))</f>
        <v/>
      </c>
      <c r="BM17" s="244" t="str">
        <f>IF($A$2="Annual","",IF('Scheduled Intervals'!BM17&lt;&gt;"",IF($A$2/'Scheduled Intervals'!BM17=ROUND($A$2/'Scheduled Intervals'!BM17,0),"Yes",""),""))</f>
        <v/>
      </c>
      <c r="BN17" s="177" t="str">
        <f>IF(AND($A$2="annual",'Scheduled Intervals'!BN17&lt;&gt;""),"yes","")</f>
        <v/>
      </c>
      <c r="BO17" s="177" t="str">
        <f>IF(AND($A$2="annual",'Scheduled Intervals'!BO17&lt;&gt;""),"yes","")</f>
        <v/>
      </c>
      <c r="BP17" s="177" t="str">
        <f>IF(AND($A$2="annual",'Scheduled Intervals'!BP17&lt;&gt;""),"yes","")</f>
        <v/>
      </c>
    </row>
    <row r="18" spans="1:68" x14ac:dyDescent="0.2">
      <c r="A18" s="133" t="str">
        <f>+'Scheduled Intervals'!A18</f>
        <v>Mahindra 4500</v>
      </c>
      <c r="B18" s="134" t="str">
        <f>IF('Scheduled Intervals'!B18&lt;&gt;"",IF($A$2='Scheduled Intervals'!B18,"Yes",""),"")</f>
        <v/>
      </c>
      <c r="C18" s="134" t="str">
        <f>IF('Scheduled Intervals'!C18&lt;&gt;"",IF($A$2='Scheduled Intervals'!C18,"Yes",""),"")</f>
        <v/>
      </c>
      <c r="D18" s="134" t="str">
        <f>IF('Scheduled Intervals'!D18&lt;&gt;"",IF($A$2='Scheduled Intervals'!D18,"Yes",""),"")</f>
        <v/>
      </c>
      <c r="E18" s="134" t="str">
        <f>IF('Scheduled Intervals'!E18&lt;&gt;"",IF($A$2='Scheduled Intervals'!E18,"Yes",""),"")</f>
        <v/>
      </c>
      <c r="F18" s="134" t="str">
        <f>IF('Scheduled Intervals'!F18&lt;&gt;"",IF($A$2='Scheduled Intervals'!F18,"Yes",""),"")</f>
        <v/>
      </c>
      <c r="G18" s="134" t="str">
        <f>IF('Scheduled Intervals'!G18&lt;&gt;"",IF($A$2='Scheduled Intervals'!G18,"Yes",""),"")</f>
        <v/>
      </c>
      <c r="H18" s="134" t="str">
        <f>IF('Scheduled Intervals'!H18&lt;&gt;"",IF($A$2='Scheduled Intervals'!H18,"Yes",""),"")</f>
        <v/>
      </c>
      <c r="I18" s="134" t="str">
        <f>IF('Scheduled Intervals'!I18&lt;&gt;"",IF($A$2='Scheduled Intervals'!I18,"Yes",""),"")</f>
        <v/>
      </c>
      <c r="J18" s="134" t="str">
        <f>IF('Scheduled Intervals'!J18&lt;&gt;"",IF($A$2='Scheduled Intervals'!J18,"Yes",""),"")</f>
        <v/>
      </c>
      <c r="K18" s="134" t="str">
        <f>IF('Scheduled Intervals'!K18&lt;&gt;"",IF($A$2='Scheduled Intervals'!K18,"Yes",""),"")</f>
        <v/>
      </c>
      <c r="L18" s="134" t="str">
        <f>IF('Scheduled Intervals'!L18&lt;&gt;"",IF($A$2='Scheduled Intervals'!L18,"Yes",""),"")</f>
        <v/>
      </c>
      <c r="M18" s="134" t="str">
        <f>IF('Scheduled Intervals'!M18&lt;&gt;"",IF($A$2='Scheduled Intervals'!M18,"Yes",""),"")</f>
        <v/>
      </c>
      <c r="N18" s="134" t="str">
        <f>IF('Scheduled Intervals'!N18&lt;&gt;"",IF($A$2='Scheduled Intervals'!N18,"Yes",""),"")</f>
        <v/>
      </c>
      <c r="O18" s="134" t="str">
        <f>IF('Scheduled Intervals'!O18&lt;&gt;"",IF($A$2='Scheduled Intervals'!O18,"Yes",""),"")</f>
        <v/>
      </c>
      <c r="P18" s="134" t="str">
        <f>IF('Scheduled Intervals'!P18&lt;&gt;"",IF($A$2='Scheduled Intervals'!P18,"Yes",""),"")</f>
        <v/>
      </c>
      <c r="Q18" s="134" t="str">
        <f>IF('Scheduled Intervals'!Q18&lt;&gt;"",IF($A$2='Scheduled Intervals'!Q18,"Yes",""),"")</f>
        <v/>
      </c>
      <c r="R18" s="134" t="str">
        <f>IF('Scheduled Intervals'!R18&lt;&gt;"",IF($A$2='Scheduled Intervals'!R18,"Yes",""),"")</f>
        <v/>
      </c>
      <c r="S18" s="134" t="str">
        <f>IF('Scheduled Intervals'!S18&lt;&gt;"",IF($A$2='Scheduled Intervals'!S18,"Yes",""),"")</f>
        <v/>
      </c>
      <c r="T18" s="134" t="str">
        <f>IF('Scheduled Intervals'!T18&lt;&gt;"",IF($A$2='Scheduled Intervals'!T18,"Yes",""),"")</f>
        <v/>
      </c>
      <c r="U18" s="244" t="str">
        <f>IF($A$2="Annual","",IF('Scheduled Intervals'!U18&lt;&gt;"",IF($A$2/'Scheduled Intervals'!U18=ROUND($A$2/'Scheduled Intervals'!U18,0),"Yes",""),""))</f>
        <v/>
      </c>
      <c r="V18" s="244" t="str">
        <f>IF($A$2="Annual","",IF('Scheduled Intervals'!V18&lt;&gt;"",IF($A$2/'Scheduled Intervals'!V18=ROUND($A$2/'Scheduled Intervals'!V18,0),"Yes",""),""))</f>
        <v/>
      </c>
      <c r="W18" s="244" t="str">
        <f>IF($A$2="Annual","",IF('Scheduled Intervals'!W18&lt;&gt;"",IF($A$2/'Scheduled Intervals'!W18=ROUND($A$2/'Scheduled Intervals'!W18,0),"Yes",""),""))</f>
        <v/>
      </c>
      <c r="X18" s="244" t="str">
        <f>IF($A$2="Annual","",IF('Scheduled Intervals'!X18&lt;&gt;"",IF($A$2/'Scheduled Intervals'!X18=ROUND($A$2/'Scheduled Intervals'!X18,0),"Yes",""),""))</f>
        <v/>
      </c>
      <c r="Y18" s="244" t="str">
        <f>IF($A$2="Annual","",IF('Scheduled Intervals'!Y18&lt;&gt;"",IF($A$2/'Scheduled Intervals'!Y18=ROUND($A$2/'Scheduled Intervals'!Y18,0),"Yes",""),""))</f>
        <v/>
      </c>
      <c r="Z18" s="244" t="str">
        <f>IF($A$2="Annual","",IF('Scheduled Intervals'!Z18&lt;&gt;"",IF($A$2/'Scheduled Intervals'!Z18=ROUND($A$2/'Scheduled Intervals'!Z18,0),"Yes",""),""))</f>
        <v/>
      </c>
      <c r="AA18" s="244" t="str">
        <f>IF($A$2="Annual","",IF('Scheduled Intervals'!AA18&lt;&gt;"",IF($A$2/'Scheduled Intervals'!AA18=ROUND($A$2/'Scheduled Intervals'!AA18,0),"Yes",""),""))</f>
        <v/>
      </c>
      <c r="AB18" s="244" t="str">
        <f>IF($A$2="Annual","",IF('Scheduled Intervals'!AB18&lt;&gt;"",IF($A$2/'Scheduled Intervals'!AB18=ROUND($A$2/'Scheduled Intervals'!AB18,0),"Yes",""),""))</f>
        <v/>
      </c>
      <c r="AC18" s="244" t="str">
        <f>IF($A$2="Annual","",IF('Scheduled Intervals'!AC18&lt;&gt;"",IF($A$2/'Scheduled Intervals'!AC18=ROUND($A$2/'Scheduled Intervals'!AC18,0),"Yes",""),""))</f>
        <v/>
      </c>
      <c r="AD18" s="244" t="str">
        <f>IF($A$2="Annual","",IF('Scheduled Intervals'!AD18&lt;&gt;"",IF($A$2/'Scheduled Intervals'!AD18=ROUND($A$2/'Scheduled Intervals'!AD18,0),"Yes",""),""))</f>
        <v/>
      </c>
      <c r="AE18" s="244" t="str">
        <f>IF($A$2="Annual","",IF('Scheduled Intervals'!AE18&lt;&gt;"",IF($A$2/'Scheduled Intervals'!AE18=ROUND($A$2/'Scheduled Intervals'!AE18,0),"Yes",""),""))</f>
        <v/>
      </c>
      <c r="AF18" s="244" t="str">
        <f>IF($A$2="Annual","",IF('Scheduled Intervals'!AF18&lt;&gt;"",IF($A$2/'Scheduled Intervals'!AF18=ROUND($A$2/'Scheduled Intervals'!AF18,0),"Yes",""),""))</f>
        <v/>
      </c>
      <c r="AG18" s="244" t="str">
        <f>IF($A$2="Annual","",IF('Scheduled Intervals'!AG18&lt;&gt;"",IF($A$2/'Scheduled Intervals'!AG18=ROUND($A$2/'Scheduled Intervals'!AG18,0),"Yes",""),""))</f>
        <v/>
      </c>
      <c r="AH18" s="244" t="str">
        <f>IF($A$2="Annual","",IF('Scheduled Intervals'!AH18&lt;&gt;"",IF($A$2/'Scheduled Intervals'!AH18=ROUND($A$2/'Scheduled Intervals'!AH18,0),"Yes",""),""))</f>
        <v/>
      </c>
      <c r="AI18" s="244" t="str">
        <f>IF($A$2="Annual","",IF('Scheduled Intervals'!AI18&lt;&gt;"",IF($A$2/'Scheduled Intervals'!AI18=ROUND($A$2/'Scheduled Intervals'!AI18,0),"Yes",""),""))</f>
        <v/>
      </c>
      <c r="AJ18" s="244" t="str">
        <f>IF($A$2="Annual","",IF('Scheduled Intervals'!AJ18&lt;&gt;"",IF($A$2/'Scheduled Intervals'!AJ18=ROUND($A$2/'Scheduled Intervals'!AJ18,0),"Yes",""),""))</f>
        <v/>
      </c>
      <c r="AK18" s="244" t="str">
        <f>IF($A$2="Annual","",IF('Scheduled Intervals'!AK18&lt;&gt;"",IF($A$2/'Scheduled Intervals'!AK18=ROUND($A$2/'Scheduled Intervals'!AK18,0),"Yes",""),""))</f>
        <v/>
      </c>
      <c r="AL18" s="244" t="str">
        <f>IF($A$2="Annual","",IF('Scheduled Intervals'!AL18&lt;&gt;"",IF($A$2/'Scheduled Intervals'!AL18=ROUND($A$2/'Scheduled Intervals'!AL18,0),"Yes",""),""))</f>
        <v/>
      </c>
      <c r="AM18" s="244" t="str">
        <f>IF($A$2="Annual","",IF('Scheduled Intervals'!AM18&lt;&gt;"",IF($A$2/'Scheduled Intervals'!AM18=ROUND($A$2/'Scheduled Intervals'!AM18,0),"Yes",""),""))</f>
        <v/>
      </c>
      <c r="AN18" s="244" t="str">
        <f>IF($A$2="Annual","",IF('Scheduled Intervals'!AN18&lt;&gt;"",IF($A$2/'Scheduled Intervals'!AN18=ROUND($A$2/'Scheduled Intervals'!AN18,0),"Yes",""),""))</f>
        <v/>
      </c>
      <c r="AO18" s="244" t="str">
        <f>IF($A$2="Annual","",IF('Scheduled Intervals'!AO18&lt;&gt;"",IF($A$2/'Scheduled Intervals'!AO18=ROUND($A$2/'Scheduled Intervals'!AO18,0),"Yes",""),""))</f>
        <v/>
      </c>
      <c r="AP18" s="244" t="str">
        <f>IF($A$2="Annual","",IF('Scheduled Intervals'!AP18&lt;&gt;"",IF($A$2/'Scheduled Intervals'!AP18=ROUND($A$2/'Scheduled Intervals'!AP18,0),"Yes",""),""))</f>
        <v/>
      </c>
      <c r="AQ18" s="244" t="str">
        <f>IF($A$2="Annual","",IF('Scheduled Intervals'!AQ18&lt;&gt;"",IF($A$2/'Scheduled Intervals'!AQ18=ROUND($A$2/'Scheduled Intervals'!AQ18,0),"Yes",""),""))</f>
        <v/>
      </c>
      <c r="AR18" s="244" t="str">
        <f>IF($A$2="Annual","",IF('Scheduled Intervals'!AR18&lt;&gt;"",IF($A$2/'Scheduled Intervals'!AR18=ROUND($A$2/'Scheduled Intervals'!AR18,0),"Yes",""),""))</f>
        <v/>
      </c>
      <c r="AS18" s="244" t="str">
        <f>IF($A$2="Annual","",IF('Scheduled Intervals'!AS18&lt;&gt;"",IF($A$2/'Scheduled Intervals'!AS18=ROUND($A$2/'Scheduled Intervals'!AS18,0),"Yes",""),""))</f>
        <v/>
      </c>
      <c r="AT18" s="244" t="str">
        <f>IF($A$2="Annual","",IF('Scheduled Intervals'!AT18&lt;&gt;"",IF($A$2/'Scheduled Intervals'!AT18=ROUND($A$2/'Scheduled Intervals'!AT18,0),"Yes",""),""))</f>
        <v/>
      </c>
      <c r="AU18" s="244" t="str">
        <f>IF($A$2="Annual","",IF('Scheduled Intervals'!AU18&lt;&gt;"",IF($A$2/'Scheduled Intervals'!AU18=ROUND($A$2/'Scheduled Intervals'!AU18,0),"Yes",""),""))</f>
        <v/>
      </c>
      <c r="AV18" s="244" t="str">
        <f>IF($A$2="Annual","",IF('Scheduled Intervals'!AV18&lt;&gt;"",IF($A$2/'Scheduled Intervals'!AV18=ROUND($A$2/'Scheduled Intervals'!AV18,0),"Yes",""),""))</f>
        <v/>
      </c>
      <c r="AW18" s="244" t="str">
        <f>IF($A$2="Annual","",IF('Scheduled Intervals'!AW18&lt;&gt;"",IF($A$2/'Scheduled Intervals'!AW18=ROUND($A$2/'Scheduled Intervals'!AW18,0),"Yes",""),""))</f>
        <v/>
      </c>
      <c r="AX18" s="244" t="str">
        <f>IF($A$2="Annual","",IF('Scheduled Intervals'!AX18&lt;&gt;"",IF($A$2/'Scheduled Intervals'!AX18=ROUND($A$2/'Scheduled Intervals'!AX18,0),"Yes",""),""))</f>
        <v/>
      </c>
      <c r="AY18" s="244" t="str">
        <f>IF($A$2="Annual","",IF('Scheduled Intervals'!AY18&lt;&gt;"",IF($A$2/'Scheduled Intervals'!AY18=ROUND($A$2/'Scheduled Intervals'!AY18,0),"Yes",""),""))</f>
        <v/>
      </c>
      <c r="AZ18" s="244" t="str">
        <f>IF($A$2="Annual","",IF('Scheduled Intervals'!AZ18&lt;&gt;"",IF($A$2/'Scheduled Intervals'!AZ18=ROUND($A$2/'Scheduled Intervals'!AZ18,0),"Yes",""),""))</f>
        <v/>
      </c>
      <c r="BA18" s="244" t="str">
        <f>IF($A$2="Annual","",IF('Scheduled Intervals'!BA18&lt;&gt;"",IF($A$2/'Scheduled Intervals'!BA18=ROUND($A$2/'Scheduled Intervals'!BA18,0),"Yes",""),""))</f>
        <v/>
      </c>
      <c r="BB18" s="244" t="str">
        <f>IF($A$2="Annual","",IF('Scheduled Intervals'!BB18&lt;&gt;"",IF($A$2/'Scheduled Intervals'!BB18=ROUND($A$2/'Scheduled Intervals'!BB18,0),"Yes",""),""))</f>
        <v/>
      </c>
      <c r="BC18" s="244" t="str">
        <f>IF($A$2="Annual","",IF('Scheduled Intervals'!BC18&lt;&gt;"",IF($A$2/'Scheduled Intervals'!BC18=ROUND($A$2/'Scheduled Intervals'!BC18,0),"Yes",""),""))</f>
        <v/>
      </c>
      <c r="BD18" s="244" t="str">
        <f>IF($A$2="Annual","",IF('Scheduled Intervals'!BD18&lt;&gt;"",IF($A$2/'Scheduled Intervals'!BD18=ROUND($A$2/'Scheduled Intervals'!BD18,0),"Yes",""),""))</f>
        <v/>
      </c>
      <c r="BE18" s="244" t="str">
        <f>IF($A$2="Annual","",IF('Scheduled Intervals'!BE18&lt;&gt;"",IF($A$2/'Scheduled Intervals'!BE18=ROUND($A$2/'Scheduled Intervals'!BE18,0),"Yes",""),""))</f>
        <v/>
      </c>
      <c r="BF18" s="244" t="str">
        <f>IF($A$2="Annual","",IF('Scheduled Intervals'!BF18&lt;&gt;"",IF($A$2/'Scheduled Intervals'!BF18=ROUND($A$2/'Scheduled Intervals'!BF18,0),"Yes",""),""))</f>
        <v/>
      </c>
      <c r="BG18" s="244" t="str">
        <f>IF($A$2="Annual","",IF('Scheduled Intervals'!BG18&lt;&gt;"",IF($A$2/'Scheduled Intervals'!BG18=ROUND($A$2/'Scheduled Intervals'!BG18,0),"Yes",""),""))</f>
        <v/>
      </c>
      <c r="BH18" s="244" t="str">
        <f>IF($A$2="Annual","",IF('Scheduled Intervals'!BH18&lt;&gt;"",IF($A$2/'Scheduled Intervals'!BH18=ROUND($A$2/'Scheduled Intervals'!BH18,0),"Yes",""),""))</f>
        <v/>
      </c>
      <c r="BI18" s="244" t="str">
        <f>IF($A$2="Annual","",IF('Scheduled Intervals'!BI18&lt;&gt;"",IF($A$2/'Scheduled Intervals'!BI18=ROUND($A$2/'Scheduled Intervals'!BI18,0),"Yes",""),""))</f>
        <v/>
      </c>
      <c r="BJ18" s="244" t="str">
        <f>IF($A$2="Annual","",IF('Scheduled Intervals'!BJ18&lt;&gt;"",IF($A$2/'Scheduled Intervals'!BJ18=ROUND($A$2/'Scheduled Intervals'!BJ18,0),"Yes",""),""))</f>
        <v/>
      </c>
      <c r="BK18" s="244" t="str">
        <f>IF($A$2="Annual","",IF('Scheduled Intervals'!BK18&lt;&gt;"",IF($A$2/'Scheduled Intervals'!BK18=ROUND($A$2/'Scheduled Intervals'!BK18,0),"Yes",""),""))</f>
        <v/>
      </c>
      <c r="BL18" s="244" t="str">
        <f>IF($A$2="Annual","",IF('Scheduled Intervals'!BL18&lt;&gt;"",IF($A$2/'Scheduled Intervals'!BL18=ROUND($A$2/'Scheduled Intervals'!BL18,0),"Yes",""),""))</f>
        <v/>
      </c>
      <c r="BM18" s="244" t="str">
        <f>IF($A$2="Annual","",IF('Scheduled Intervals'!BM18&lt;&gt;"",IF($A$2/'Scheduled Intervals'!BM18=ROUND($A$2/'Scheduled Intervals'!BM18,0),"Yes",""),""))</f>
        <v/>
      </c>
      <c r="BN18" s="177" t="str">
        <f>IF(AND($A$2="annual",'Scheduled Intervals'!BN18&lt;&gt;""),"yes","")</f>
        <v/>
      </c>
      <c r="BO18" s="177" t="str">
        <f>IF(AND($A$2="annual",'Scheduled Intervals'!BO18&lt;&gt;""),"yes","")</f>
        <v/>
      </c>
      <c r="BP18" s="177" t="str">
        <f>IF(AND($A$2="annual",'Scheduled Intervals'!BP18&lt;&gt;""),"yes","")</f>
        <v/>
      </c>
    </row>
    <row r="19" spans="1:68" x14ac:dyDescent="0.2">
      <c r="A19" s="133" t="str">
        <f>+'Scheduled Intervals'!A19</f>
        <v>Mahindra 5500</v>
      </c>
      <c r="B19" s="134" t="str">
        <f>IF('Scheduled Intervals'!B19&lt;&gt;"",IF($A$2='Scheduled Intervals'!B19,"Yes",""),"")</f>
        <v/>
      </c>
      <c r="C19" s="134" t="str">
        <f>IF('Scheduled Intervals'!C19&lt;&gt;"",IF($A$2='Scheduled Intervals'!C19,"Yes",""),"")</f>
        <v/>
      </c>
      <c r="D19" s="134" t="str">
        <f>IF('Scheduled Intervals'!D19&lt;&gt;"",IF($A$2='Scheduled Intervals'!D19,"Yes",""),"")</f>
        <v/>
      </c>
      <c r="E19" s="134" t="str">
        <f>IF('Scheduled Intervals'!E19&lt;&gt;"",IF($A$2='Scheduled Intervals'!E19,"Yes",""),"")</f>
        <v/>
      </c>
      <c r="F19" s="134" t="str">
        <f>IF('Scheduled Intervals'!F19&lt;&gt;"",IF($A$2='Scheduled Intervals'!F19,"Yes",""),"")</f>
        <v/>
      </c>
      <c r="G19" s="134" t="str">
        <f>IF('Scheduled Intervals'!G19&lt;&gt;"",IF($A$2='Scheduled Intervals'!G19,"Yes",""),"")</f>
        <v/>
      </c>
      <c r="H19" s="134" t="str">
        <f>IF('Scheduled Intervals'!H19&lt;&gt;"",IF($A$2='Scheduled Intervals'!H19,"Yes",""),"")</f>
        <v/>
      </c>
      <c r="I19" s="134" t="str">
        <f>IF('Scheduled Intervals'!I19&lt;&gt;"",IF($A$2='Scheduled Intervals'!I19,"Yes",""),"")</f>
        <v/>
      </c>
      <c r="J19" s="134" t="str">
        <f>IF('Scheduled Intervals'!J19&lt;&gt;"",IF($A$2='Scheduled Intervals'!J19,"Yes",""),"")</f>
        <v/>
      </c>
      <c r="K19" s="134" t="str">
        <f>IF('Scheduled Intervals'!K19&lt;&gt;"",IF($A$2='Scheduled Intervals'!K19,"Yes",""),"")</f>
        <v/>
      </c>
      <c r="L19" s="134" t="str">
        <f>IF('Scheduled Intervals'!L19&lt;&gt;"",IF($A$2='Scheduled Intervals'!L19,"Yes",""),"")</f>
        <v/>
      </c>
      <c r="M19" s="134" t="str">
        <f>IF('Scheduled Intervals'!M19&lt;&gt;"",IF($A$2='Scheduled Intervals'!M19,"Yes",""),"")</f>
        <v/>
      </c>
      <c r="N19" s="134" t="str">
        <f>IF('Scheduled Intervals'!N19&lt;&gt;"",IF($A$2='Scheduled Intervals'!N19,"Yes",""),"")</f>
        <v/>
      </c>
      <c r="O19" s="134" t="str">
        <f>IF('Scheduled Intervals'!O19&lt;&gt;"",IF($A$2='Scheduled Intervals'!O19,"Yes",""),"")</f>
        <v/>
      </c>
      <c r="P19" s="134" t="str">
        <f>IF('Scheduled Intervals'!P19&lt;&gt;"",IF($A$2='Scheduled Intervals'!P19,"Yes",""),"")</f>
        <v/>
      </c>
      <c r="Q19" s="134" t="str">
        <f>IF('Scheduled Intervals'!Q19&lt;&gt;"",IF($A$2='Scheduled Intervals'!Q19,"Yes",""),"")</f>
        <v/>
      </c>
      <c r="R19" s="134" t="str">
        <f>IF('Scheduled Intervals'!R19&lt;&gt;"",IF($A$2='Scheduled Intervals'!R19,"Yes",""),"")</f>
        <v/>
      </c>
      <c r="S19" s="134" t="str">
        <f>IF('Scheduled Intervals'!S19&lt;&gt;"",IF($A$2='Scheduled Intervals'!S19,"Yes",""),"")</f>
        <v/>
      </c>
      <c r="T19" s="134" t="str">
        <f>IF('Scheduled Intervals'!T19&lt;&gt;"",IF($A$2='Scheduled Intervals'!T19,"Yes",""),"")</f>
        <v/>
      </c>
      <c r="U19" s="244" t="str">
        <f>IF($A$2="Annual","",IF('Scheduled Intervals'!U19&lt;&gt;"",IF($A$2/'Scheduled Intervals'!U19=ROUND($A$2/'Scheduled Intervals'!U19,0),"Yes",""),""))</f>
        <v>Yes</v>
      </c>
      <c r="V19" s="244" t="str">
        <f>IF($A$2="Annual","",IF('Scheduled Intervals'!V19&lt;&gt;"",IF($A$2/'Scheduled Intervals'!V19=ROUND($A$2/'Scheduled Intervals'!V19,0),"Yes",""),""))</f>
        <v/>
      </c>
      <c r="W19" s="244" t="str">
        <f>IF($A$2="Annual","",IF('Scheduled Intervals'!W19&lt;&gt;"",IF($A$2/'Scheduled Intervals'!W19=ROUND($A$2/'Scheduled Intervals'!W19,0),"Yes",""),""))</f>
        <v/>
      </c>
      <c r="X19" s="244" t="str">
        <f>IF($A$2="Annual","",IF('Scheduled Intervals'!X19&lt;&gt;"",IF($A$2/'Scheduled Intervals'!X19=ROUND($A$2/'Scheduled Intervals'!X19,0),"Yes",""),""))</f>
        <v/>
      </c>
      <c r="Y19" s="244" t="str">
        <f>IF($A$2="Annual","",IF('Scheduled Intervals'!Y19&lt;&gt;"",IF($A$2/'Scheduled Intervals'!Y19=ROUND($A$2/'Scheduled Intervals'!Y19,0),"Yes",""),""))</f>
        <v/>
      </c>
      <c r="Z19" s="244" t="str">
        <f>IF($A$2="Annual","",IF('Scheduled Intervals'!Z19&lt;&gt;"",IF($A$2/'Scheduled Intervals'!Z19=ROUND($A$2/'Scheduled Intervals'!Z19,0),"Yes",""),""))</f>
        <v>Yes</v>
      </c>
      <c r="AA19" s="244" t="str">
        <f>IF($A$2="Annual","",IF('Scheduled Intervals'!AA19&lt;&gt;"",IF($A$2/'Scheduled Intervals'!AA19=ROUND($A$2/'Scheduled Intervals'!AA19,0),"Yes",""),""))</f>
        <v/>
      </c>
      <c r="AB19" s="244" t="str">
        <f>IF($A$2="Annual","",IF('Scheduled Intervals'!AB19&lt;&gt;"",IF($A$2/'Scheduled Intervals'!AB19=ROUND($A$2/'Scheduled Intervals'!AB19,0),"Yes",""),""))</f>
        <v/>
      </c>
      <c r="AC19" s="244" t="str">
        <f>IF($A$2="Annual","",IF('Scheduled Intervals'!AC19&lt;&gt;"",IF($A$2/'Scheduled Intervals'!AC19=ROUND($A$2/'Scheduled Intervals'!AC19,0),"Yes",""),""))</f>
        <v/>
      </c>
      <c r="AD19" s="244" t="str">
        <f>IF($A$2="Annual","",IF('Scheduled Intervals'!AD19&lt;&gt;"",IF($A$2/'Scheduled Intervals'!AD19=ROUND($A$2/'Scheduled Intervals'!AD19,0),"Yes",""),""))</f>
        <v/>
      </c>
      <c r="AE19" s="244" t="str">
        <f>IF($A$2="Annual","",IF('Scheduled Intervals'!AE19&lt;&gt;"",IF($A$2/'Scheduled Intervals'!AE19=ROUND($A$2/'Scheduled Intervals'!AE19,0),"Yes",""),""))</f>
        <v/>
      </c>
      <c r="AF19" s="244" t="str">
        <f>IF($A$2="Annual","",IF('Scheduled Intervals'!AF19&lt;&gt;"",IF($A$2/'Scheduled Intervals'!AF19=ROUND($A$2/'Scheduled Intervals'!AF19,0),"Yes",""),""))</f>
        <v/>
      </c>
      <c r="AG19" s="244" t="str">
        <f>IF($A$2="Annual","",IF('Scheduled Intervals'!AG19&lt;&gt;"",IF($A$2/'Scheduled Intervals'!AG19=ROUND($A$2/'Scheduled Intervals'!AG19,0),"Yes",""),""))</f>
        <v/>
      </c>
      <c r="AH19" s="244" t="str">
        <f>IF($A$2="Annual","",IF('Scheduled Intervals'!AH19&lt;&gt;"",IF($A$2/'Scheduled Intervals'!AH19=ROUND($A$2/'Scheduled Intervals'!AH19,0),"Yes",""),""))</f>
        <v/>
      </c>
      <c r="AI19" s="244" t="str">
        <f>IF($A$2="Annual","",IF('Scheduled Intervals'!AI19&lt;&gt;"",IF($A$2/'Scheduled Intervals'!AI19=ROUND($A$2/'Scheduled Intervals'!AI19,0),"Yes",""),""))</f>
        <v/>
      </c>
      <c r="AJ19" s="244" t="str">
        <f>IF($A$2="Annual","",IF('Scheduled Intervals'!AJ19&lt;&gt;"",IF($A$2/'Scheduled Intervals'!AJ19=ROUND($A$2/'Scheduled Intervals'!AJ19,0),"Yes",""),""))</f>
        <v/>
      </c>
      <c r="AK19" s="244" t="str">
        <f>IF($A$2="Annual","",IF('Scheduled Intervals'!AK19&lt;&gt;"",IF($A$2/'Scheduled Intervals'!AK19=ROUND($A$2/'Scheduled Intervals'!AK19,0),"Yes",""),""))</f>
        <v/>
      </c>
      <c r="AL19" s="244" t="str">
        <f>IF($A$2="Annual","",IF('Scheduled Intervals'!AL19&lt;&gt;"",IF($A$2/'Scheduled Intervals'!AL19=ROUND($A$2/'Scheduled Intervals'!AL19,0),"Yes",""),""))</f>
        <v/>
      </c>
      <c r="AM19" s="244" t="str">
        <f>IF($A$2="Annual","",IF('Scheduled Intervals'!AM19&lt;&gt;"",IF($A$2/'Scheduled Intervals'!AM19=ROUND($A$2/'Scheduled Intervals'!AM19,0),"Yes",""),""))</f>
        <v/>
      </c>
      <c r="AN19" s="244" t="str">
        <f>IF($A$2="Annual","",IF('Scheduled Intervals'!AN19&lt;&gt;"",IF($A$2/'Scheduled Intervals'!AN19=ROUND($A$2/'Scheduled Intervals'!AN19,0),"Yes",""),""))</f>
        <v/>
      </c>
      <c r="AO19" s="244" t="str">
        <f>IF($A$2="Annual","",IF('Scheduled Intervals'!AO19&lt;&gt;"",IF($A$2/'Scheduled Intervals'!AO19=ROUND($A$2/'Scheduled Intervals'!AO19,0),"Yes",""),""))</f>
        <v/>
      </c>
      <c r="AP19" s="244" t="str">
        <f>IF($A$2="Annual","",IF('Scheduled Intervals'!AP19&lt;&gt;"",IF($A$2/'Scheduled Intervals'!AP19=ROUND($A$2/'Scheduled Intervals'!AP19,0),"Yes",""),""))</f>
        <v/>
      </c>
      <c r="AQ19" s="244" t="str">
        <f>IF($A$2="Annual","",IF('Scheduled Intervals'!AQ19&lt;&gt;"",IF($A$2/'Scheduled Intervals'!AQ19=ROUND($A$2/'Scheduled Intervals'!AQ19,0),"Yes",""),""))</f>
        <v/>
      </c>
      <c r="AR19" s="244" t="str">
        <f>IF($A$2="Annual","",IF('Scheduled Intervals'!AR19&lt;&gt;"",IF($A$2/'Scheduled Intervals'!AR19=ROUND($A$2/'Scheduled Intervals'!AR19,0),"Yes",""),""))</f>
        <v/>
      </c>
      <c r="AS19" s="244" t="str">
        <f>IF($A$2="Annual","",IF('Scheduled Intervals'!AS19&lt;&gt;"",IF($A$2/'Scheduled Intervals'!AS19=ROUND($A$2/'Scheduled Intervals'!AS19,0),"Yes",""),""))</f>
        <v/>
      </c>
      <c r="AT19" s="244" t="str">
        <f>IF($A$2="Annual","",IF('Scheduled Intervals'!AT19&lt;&gt;"",IF($A$2/'Scheduled Intervals'!AT19=ROUND($A$2/'Scheduled Intervals'!AT19,0),"Yes",""),""))</f>
        <v>Yes</v>
      </c>
      <c r="AU19" s="244" t="str">
        <f>IF($A$2="Annual","",IF('Scheduled Intervals'!AU19&lt;&gt;"",IF($A$2/'Scheduled Intervals'!AU19=ROUND($A$2/'Scheduled Intervals'!AU19,0),"Yes",""),""))</f>
        <v/>
      </c>
      <c r="AV19" s="244" t="str">
        <f>IF($A$2="Annual","",IF('Scheduled Intervals'!AV19&lt;&gt;"",IF($A$2/'Scheduled Intervals'!AV19=ROUND($A$2/'Scheduled Intervals'!AV19,0),"Yes",""),""))</f>
        <v/>
      </c>
      <c r="AW19" s="244" t="str">
        <f>IF($A$2="Annual","",IF('Scheduled Intervals'!AW19&lt;&gt;"",IF($A$2/'Scheduled Intervals'!AW19=ROUND($A$2/'Scheduled Intervals'!AW19,0),"Yes",""),""))</f>
        <v/>
      </c>
      <c r="AX19" s="244" t="str">
        <f>IF($A$2="Annual","",IF('Scheduled Intervals'!AX19&lt;&gt;"",IF($A$2/'Scheduled Intervals'!AX19=ROUND($A$2/'Scheduled Intervals'!AX19,0),"Yes",""),""))</f>
        <v/>
      </c>
      <c r="AY19" s="244" t="str">
        <f>IF($A$2="Annual","",IF('Scheduled Intervals'!AY19&lt;&gt;"",IF($A$2/'Scheduled Intervals'!AY19=ROUND($A$2/'Scheduled Intervals'!AY19,0),"Yes",""),""))</f>
        <v/>
      </c>
      <c r="AZ19" s="244" t="str">
        <f>IF($A$2="Annual","",IF('Scheduled Intervals'!AZ19&lt;&gt;"",IF($A$2/'Scheduled Intervals'!AZ19=ROUND($A$2/'Scheduled Intervals'!AZ19,0),"Yes",""),""))</f>
        <v/>
      </c>
      <c r="BA19" s="244" t="str">
        <f>IF($A$2="Annual","",IF('Scheduled Intervals'!BA19&lt;&gt;"",IF($A$2/'Scheduled Intervals'!BA19=ROUND($A$2/'Scheduled Intervals'!BA19,0),"Yes",""),""))</f>
        <v/>
      </c>
      <c r="BB19" s="244" t="str">
        <f>IF($A$2="Annual","",IF('Scheduled Intervals'!BB19&lt;&gt;"",IF($A$2/'Scheduled Intervals'!BB19=ROUND($A$2/'Scheduled Intervals'!BB19,0),"Yes",""),""))</f>
        <v/>
      </c>
      <c r="BC19" s="244" t="str">
        <f>IF($A$2="Annual","",IF('Scheduled Intervals'!BC19&lt;&gt;"",IF($A$2/'Scheduled Intervals'!BC19=ROUND($A$2/'Scheduled Intervals'!BC19,0),"Yes",""),""))</f>
        <v/>
      </c>
      <c r="BD19" s="244" t="str">
        <f>IF($A$2="Annual","",IF('Scheduled Intervals'!BD19&lt;&gt;"",IF($A$2/'Scheduled Intervals'!BD19=ROUND($A$2/'Scheduled Intervals'!BD19,0),"Yes",""),""))</f>
        <v/>
      </c>
      <c r="BE19" s="244" t="str">
        <f>IF($A$2="Annual","",IF('Scheduled Intervals'!BE19&lt;&gt;"",IF($A$2/'Scheduled Intervals'!BE19=ROUND($A$2/'Scheduled Intervals'!BE19,0),"Yes",""),""))</f>
        <v/>
      </c>
      <c r="BF19" s="244" t="str">
        <f>IF($A$2="Annual","",IF('Scheduled Intervals'!BF19&lt;&gt;"",IF($A$2/'Scheduled Intervals'!BF19=ROUND($A$2/'Scheduled Intervals'!BF19,0),"Yes",""),""))</f>
        <v/>
      </c>
      <c r="BG19" s="244" t="str">
        <f>IF($A$2="Annual","",IF('Scheduled Intervals'!BG19&lt;&gt;"",IF($A$2/'Scheduled Intervals'!BG19=ROUND($A$2/'Scheduled Intervals'!BG19,0),"Yes",""),""))</f>
        <v/>
      </c>
      <c r="BH19" s="244" t="str">
        <f>IF($A$2="Annual","",IF('Scheduled Intervals'!BH19&lt;&gt;"",IF($A$2/'Scheduled Intervals'!BH19=ROUND($A$2/'Scheduled Intervals'!BH19,0),"Yes",""),""))</f>
        <v/>
      </c>
      <c r="BI19" s="244" t="str">
        <f>IF($A$2="Annual","",IF('Scheduled Intervals'!BI19&lt;&gt;"",IF($A$2/'Scheduled Intervals'!BI19=ROUND($A$2/'Scheduled Intervals'!BI19,0),"Yes",""),""))</f>
        <v/>
      </c>
      <c r="BJ19" s="244" t="str">
        <f>IF($A$2="Annual","",IF('Scheduled Intervals'!BJ19&lt;&gt;"",IF($A$2/'Scheduled Intervals'!BJ19=ROUND($A$2/'Scheduled Intervals'!BJ19,0),"Yes",""),""))</f>
        <v>Yes</v>
      </c>
      <c r="BK19" s="244" t="str">
        <f>IF($A$2="Annual","",IF('Scheduled Intervals'!BK19&lt;&gt;"",IF($A$2/'Scheduled Intervals'!BK19=ROUND($A$2/'Scheduled Intervals'!BK19,0),"Yes",""),""))</f>
        <v/>
      </c>
      <c r="BL19" s="244" t="str">
        <f>IF($A$2="Annual","",IF('Scheduled Intervals'!BL19&lt;&gt;"",IF($A$2/'Scheduled Intervals'!BL19=ROUND($A$2/'Scheduled Intervals'!BL19,0),"Yes",""),""))</f>
        <v/>
      </c>
      <c r="BM19" s="244" t="str">
        <f>IF($A$2="Annual","",IF('Scheduled Intervals'!BM19&lt;&gt;"",IF($A$2/'Scheduled Intervals'!BM19=ROUND($A$2/'Scheduled Intervals'!BM19,0),"Yes",""),""))</f>
        <v/>
      </c>
      <c r="BN19" s="177" t="str">
        <f>IF(AND($A$2="annual",'Scheduled Intervals'!BN19&lt;&gt;""),"yes","")</f>
        <v/>
      </c>
      <c r="BO19" s="177" t="str">
        <f>IF(AND($A$2="annual",'Scheduled Intervals'!BO19&lt;&gt;""),"yes","")</f>
        <v/>
      </c>
      <c r="BP19" s="177" t="str">
        <f>IF(AND($A$2="annual",'Scheduled Intervals'!BP19&lt;&gt;""),"yes","")</f>
        <v/>
      </c>
    </row>
    <row r="20" spans="1:68" x14ac:dyDescent="0.2">
      <c r="A20" s="133" t="str">
        <f>+'Scheduled Intervals'!A20</f>
        <v>Mahindra 6000</v>
      </c>
      <c r="B20" s="134" t="str">
        <f>IF('Scheduled Intervals'!B20&lt;&gt;"",IF($A$2='Scheduled Intervals'!B20,"Yes",""),"")</f>
        <v/>
      </c>
      <c r="C20" s="134" t="str">
        <f>IF('Scheduled Intervals'!C20&lt;&gt;"",IF($A$2='Scheduled Intervals'!C20,"Yes",""),"")</f>
        <v/>
      </c>
      <c r="D20" s="134" t="str">
        <f>IF('Scheduled Intervals'!D20&lt;&gt;"",IF($A$2='Scheduled Intervals'!D20,"Yes",""),"")</f>
        <v/>
      </c>
      <c r="E20" s="134" t="str">
        <f>IF('Scheduled Intervals'!E20&lt;&gt;"",IF($A$2='Scheduled Intervals'!E20,"Yes",""),"")</f>
        <v/>
      </c>
      <c r="F20" s="134" t="str">
        <f>IF('Scheduled Intervals'!F20&lt;&gt;"",IF($A$2='Scheduled Intervals'!F20,"Yes",""),"")</f>
        <v/>
      </c>
      <c r="G20" s="134" t="str">
        <f>IF('Scheduled Intervals'!G20&lt;&gt;"",IF($A$2='Scheduled Intervals'!G20,"Yes",""),"")</f>
        <v/>
      </c>
      <c r="H20" s="134" t="str">
        <f>IF('Scheduled Intervals'!H20&lt;&gt;"",IF($A$2='Scheduled Intervals'!H20,"Yes",""),"")</f>
        <v/>
      </c>
      <c r="I20" s="134" t="str">
        <f>IF('Scheduled Intervals'!I20&lt;&gt;"",IF($A$2='Scheduled Intervals'!I20,"Yes",""),"")</f>
        <v/>
      </c>
      <c r="J20" s="134" t="str">
        <f>IF('Scheduled Intervals'!J20&lt;&gt;"",IF($A$2='Scheduled Intervals'!J20,"Yes",""),"")</f>
        <v/>
      </c>
      <c r="K20" s="134" t="str">
        <f>IF('Scheduled Intervals'!K20&lt;&gt;"",IF($A$2='Scheduled Intervals'!K20,"Yes",""),"")</f>
        <v/>
      </c>
      <c r="L20" s="134" t="str">
        <f>IF('Scheduled Intervals'!L20&lt;&gt;"",IF($A$2='Scheduled Intervals'!L20,"Yes",""),"")</f>
        <v/>
      </c>
      <c r="M20" s="134" t="str">
        <f>IF('Scheduled Intervals'!M20&lt;&gt;"",IF($A$2='Scheduled Intervals'!M20,"Yes",""),"")</f>
        <v/>
      </c>
      <c r="N20" s="134" t="str">
        <f>IF('Scheduled Intervals'!N20&lt;&gt;"",IF($A$2='Scheduled Intervals'!N20,"Yes",""),"")</f>
        <v/>
      </c>
      <c r="O20" s="134" t="str">
        <f>IF('Scheduled Intervals'!O20&lt;&gt;"",IF($A$2='Scheduled Intervals'!O20,"Yes",""),"")</f>
        <v/>
      </c>
      <c r="P20" s="134" t="str">
        <f>IF('Scheduled Intervals'!P20&lt;&gt;"",IF($A$2='Scheduled Intervals'!P20,"Yes",""),"")</f>
        <v/>
      </c>
      <c r="Q20" s="134" t="str">
        <f>IF('Scheduled Intervals'!Q20&lt;&gt;"",IF($A$2='Scheduled Intervals'!Q20,"Yes",""),"")</f>
        <v/>
      </c>
      <c r="R20" s="134" t="str">
        <f>IF('Scheduled Intervals'!R20&lt;&gt;"",IF($A$2='Scheduled Intervals'!R20,"Yes",""),"")</f>
        <v/>
      </c>
      <c r="S20" s="134" t="str">
        <f>IF('Scheduled Intervals'!S20&lt;&gt;"",IF($A$2='Scheduled Intervals'!S20,"Yes",""),"")</f>
        <v/>
      </c>
      <c r="T20" s="134" t="str">
        <f>IF('Scheduled Intervals'!T20&lt;&gt;"",IF($A$2='Scheduled Intervals'!T20,"Yes",""),"")</f>
        <v/>
      </c>
      <c r="U20" s="244" t="str">
        <f>IF($A$2="Annual","",IF('Scheduled Intervals'!U20&lt;&gt;"",IF($A$2/'Scheduled Intervals'!U20=ROUND($A$2/'Scheduled Intervals'!U20,0),"Yes",""),""))</f>
        <v>Yes</v>
      </c>
      <c r="V20" s="244" t="str">
        <f>IF($A$2="Annual","",IF('Scheduled Intervals'!V20&lt;&gt;"",IF($A$2/'Scheduled Intervals'!V20=ROUND($A$2/'Scheduled Intervals'!V20,0),"Yes",""),""))</f>
        <v/>
      </c>
      <c r="W20" s="244" t="str">
        <f>IF($A$2="Annual","",IF('Scheduled Intervals'!W20&lt;&gt;"",IF($A$2/'Scheduled Intervals'!W20=ROUND($A$2/'Scheduled Intervals'!W20,0),"Yes",""),""))</f>
        <v/>
      </c>
      <c r="X20" s="244" t="str">
        <f>IF($A$2="Annual","",IF('Scheduled Intervals'!X20&lt;&gt;"",IF($A$2/'Scheduled Intervals'!X20=ROUND($A$2/'Scheduled Intervals'!X20,0),"Yes",""),""))</f>
        <v/>
      </c>
      <c r="Y20" s="244" t="str">
        <f>IF($A$2="Annual","",IF('Scheduled Intervals'!Y20&lt;&gt;"",IF($A$2/'Scheduled Intervals'!Y20=ROUND($A$2/'Scheduled Intervals'!Y20,0),"Yes",""),""))</f>
        <v/>
      </c>
      <c r="Z20" s="244" t="str">
        <f>IF($A$2="Annual","",IF('Scheduled Intervals'!Z20&lt;&gt;"",IF($A$2/'Scheduled Intervals'!Z20=ROUND($A$2/'Scheduled Intervals'!Z20,0),"Yes",""),""))</f>
        <v>Yes</v>
      </c>
      <c r="AA20" s="244" t="str">
        <f>IF($A$2="Annual","",IF('Scheduled Intervals'!AA20&lt;&gt;"",IF($A$2/'Scheduled Intervals'!AA20=ROUND($A$2/'Scheduled Intervals'!AA20,0),"Yes",""),""))</f>
        <v/>
      </c>
      <c r="AB20" s="244" t="str">
        <f>IF($A$2="Annual","",IF('Scheduled Intervals'!AB20&lt;&gt;"",IF($A$2/'Scheduled Intervals'!AB20=ROUND($A$2/'Scheduled Intervals'!AB20,0),"Yes",""),""))</f>
        <v/>
      </c>
      <c r="AC20" s="244" t="str">
        <f>IF($A$2="Annual","",IF('Scheduled Intervals'!AC20&lt;&gt;"",IF($A$2/'Scheduled Intervals'!AC20=ROUND($A$2/'Scheduled Intervals'!AC20,0),"Yes",""),""))</f>
        <v>Yes</v>
      </c>
      <c r="AD20" s="244" t="str">
        <f>IF($A$2="Annual","",IF('Scheduled Intervals'!AD20&lt;&gt;"",IF($A$2/'Scheduled Intervals'!AD20=ROUND($A$2/'Scheduled Intervals'!AD20,0),"Yes",""),""))</f>
        <v/>
      </c>
      <c r="AE20" s="244" t="str">
        <f>IF($A$2="Annual","",IF('Scheduled Intervals'!AE20&lt;&gt;"",IF($A$2/'Scheduled Intervals'!AE20=ROUND($A$2/'Scheduled Intervals'!AE20,0),"Yes",""),""))</f>
        <v/>
      </c>
      <c r="AF20" s="244" t="str">
        <f>IF($A$2="Annual","",IF('Scheduled Intervals'!AF20&lt;&gt;"",IF($A$2/'Scheduled Intervals'!AF20=ROUND($A$2/'Scheduled Intervals'!AF20,0),"Yes",""),""))</f>
        <v/>
      </c>
      <c r="AG20" s="244" t="str">
        <f>IF($A$2="Annual","",IF('Scheduled Intervals'!AG20&lt;&gt;"",IF($A$2/'Scheduled Intervals'!AG20=ROUND($A$2/'Scheduled Intervals'!AG20,0),"Yes",""),""))</f>
        <v/>
      </c>
      <c r="AH20" s="244" t="str">
        <f>IF($A$2="Annual","",IF('Scheduled Intervals'!AH20&lt;&gt;"",IF($A$2/'Scheduled Intervals'!AH20=ROUND($A$2/'Scheduled Intervals'!AH20,0),"Yes",""),""))</f>
        <v/>
      </c>
      <c r="AI20" s="244" t="str">
        <f>IF($A$2="Annual","",IF('Scheduled Intervals'!AI20&lt;&gt;"",IF($A$2/'Scheduled Intervals'!AI20=ROUND($A$2/'Scheduled Intervals'!AI20,0),"Yes",""),""))</f>
        <v>Yes</v>
      </c>
      <c r="AJ20" s="244" t="str">
        <f>IF($A$2="Annual","",IF('Scheduled Intervals'!AJ20&lt;&gt;"",IF($A$2/'Scheduled Intervals'!AJ20=ROUND($A$2/'Scheduled Intervals'!AJ20,0),"Yes",""),""))</f>
        <v/>
      </c>
      <c r="AK20" s="244" t="str">
        <f>IF($A$2="Annual","",IF('Scheduled Intervals'!AK20&lt;&gt;"",IF($A$2/'Scheduled Intervals'!AK20=ROUND($A$2/'Scheduled Intervals'!AK20,0),"Yes",""),""))</f>
        <v/>
      </c>
      <c r="AL20" s="244" t="str">
        <f>IF($A$2="Annual","",IF('Scheduled Intervals'!AL20&lt;&gt;"",IF($A$2/'Scheduled Intervals'!AL20=ROUND($A$2/'Scheduled Intervals'!AL20,0),"Yes",""),""))</f>
        <v>Yes</v>
      </c>
      <c r="AM20" s="244" t="str">
        <f>IF($A$2="Annual","",IF('Scheduled Intervals'!AM20&lt;&gt;"",IF($A$2/'Scheduled Intervals'!AM20=ROUND($A$2/'Scheduled Intervals'!AM20,0),"Yes",""),""))</f>
        <v/>
      </c>
      <c r="AN20" s="244" t="str">
        <f>IF($A$2="Annual","",IF('Scheduled Intervals'!AN20&lt;&gt;"",IF($A$2/'Scheduled Intervals'!AN20=ROUND($A$2/'Scheduled Intervals'!AN20,0),"Yes",""),""))</f>
        <v/>
      </c>
      <c r="AO20" s="244" t="str">
        <f>IF($A$2="Annual","",IF('Scheduled Intervals'!AO20&lt;&gt;"",IF($A$2/'Scheduled Intervals'!AO20=ROUND($A$2/'Scheduled Intervals'!AO20,0),"Yes",""),""))</f>
        <v/>
      </c>
      <c r="AP20" s="244" t="str">
        <f>IF($A$2="Annual","",IF('Scheduled Intervals'!AP20&lt;&gt;"",IF($A$2/'Scheduled Intervals'!AP20=ROUND($A$2/'Scheduled Intervals'!AP20,0),"Yes",""),""))</f>
        <v/>
      </c>
      <c r="AQ20" s="244" t="str">
        <f>IF($A$2="Annual","",IF('Scheduled Intervals'!AQ20&lt;&gt;"",IF($A$2/'Scheduled Intervals'!AQ20=ROUND($A$2/'Scheduled Intervals'!AQ20,0),"Yes",""),""))</f>
        <v/>
      </c>
      <c r="AR20" s="244" t="str">
        <f>IF($A$2="Annual","",IF('Scheduled Intervals'!AR20&lt;&gt;"",IF($A$2/'Scheduled Intervals'!AR20=ROUND($A$2/'Scheduled Intervals'!AR20,0),"Yes",""),""))</f>
        <v/>
      </c>
      <c r="AS20" s="244" t="str">
        <f>IF($A$2="Annual","",IF('Scheduled Intervals'!AS20&lt;&gt;"",IF($A$2/'Scheduled Intervals'!AS20=ROUND($A$2/'Scheduled Intervals'!AS20,0),"Yes",""),""))</f>
        <v/>
      </c>
      <c r="AT20" s="244" t="str">
        <f>IF($A$2="Annual","",IF('Scheduled Intervals'!AT20&lt;&gt;"",IF($A$2/'Scheduled Intervals'!AT20=ROUND($A$2/'Scheduled Intervals'!AT20,0),"Yes",""),""))</f>
        <v>Yes</v>
      </c>
      <c r="AU20" s="244" t="str">
        <f>IF($A$2="Annual","",IF('Scheduled Intervals'!AU20&lt;&gt;"",IF($A$2/'Scheduled Intervals'!AU20=ROUND($A$2/'Scheduled Intervals'!AU20,0),"Yes",""),""))</f>
        <v/>
      </c>
      <c r="AV20" s="244" t="str">
        <f>IF($A$2="Annual","",IF('Scheduled Intervals'!AV20&lt;&gt;"",IF($A$2/'Scheduled Intervals'!AV20=ROUND($A$2/'Scheduled Intervals'!AV20,0),"Yes",""),""))</f>
        <v/>
      </c>
      <c r="AW20" s="244" t="str">
        <f>IF($A$2="Annual","",IF('Scheduled Intervals'!AW20&lt;&gt;"",IF($A$2/'Scheduled Intervals'!AW20=ROUND($A$2/'Scheduled Intervals'!AW20,0),"Yes",""),""))</f>
        <v/>
      </c>
      <c r="AX20" s="244" t="str">
        <f>IF($A$2="Annual","",IF('Scheduled Intervals'!AX20&lt;&gt;"",IF($A$2/'Scheduled Intervals'!AX20=ROUND($A$2/'Scheduled Intervals'!AX20,0),"Yes",""),""))</f>
        <v/>
      </c>
      <c r="AY20" s="244" t="str">
        <f>IF($A$2="Annual","",IF('Scheduled Intervals'!AY20&lt;&gt;"",IF($A$2/'Scheduled Intervals'!AY20=ROUND($A$2/'Scheduled Intervals'!AY20,0),"Yes",""),""))</f>
        <v/>
      </c>
      <c r="AZ20" s="244" t="str">
        <f>IF($A$2="Annual","",IF('Scheduled Intervals'!AZ20&lt;&gt;"",IF($A$2/'Scheduled Intervals'!AZ20=ROUND($A$2/'Scheduled Intervals'!AZ20,0),"Yes",""),""))</f>
        <v/>
      </c>
      <c r="BA20" s="244" t="str">
        <f>IF($A$2="Annual","",IF('Scheduled Intervals'!BA20&lt;&gt;"",IF($A$2/'Scheduled Intervals'!BA20=ROUND($A$2/'Scheduled Intervals'!BA20,0),"Yes",""),""))</f>
        <v/>
      </c>
      <c r="BB20" s="244" t="str">
        <f>IF($A$2="Annual","",IF('Scheduled Intervals'!BB20&lt;&gt;"",IF($A$2/'Scheduled Intervals'!BB20=ROUND($A$2/'Scheduled Intervals'!BB20,0),"Yes",""),""))</f>
        <v/>
      </c>
      <c r="BC20" s="244" t="str">
        <f>IF($A$2="Annual","",IF('Scheduled Intervals'!BC20&lt;&gt;"",IF($A$2/'Scheduled Intervals'!BC20=ROUND($A$2/'Scheduled Intervals'!BC20,0),"Yes",""),""))</f>
        <v/>
      </c>
      <c r="BD20" s="244" t="str">
        <f>IF($A$2="Annual","",IF('Scheduled Intervals'!BD20&lt;&gt;"",IF($A$2/'Scheduled Intervals'!BD20=ROUND($A$2/'Scheduled Intervals'!BD20,0),"Yes",""),""))</f>
        <v/>
      </c>
      <c r="BE20" s="244" t="str">
        <f>IF($A$2="Annual","",IF('Scheduled Intervals'!BE20&lt;&gt;"",IF($A$2/'Scheduled Intervals'!BE20=ROUND($A$2/'Scheduled Intervals'!BE20,0),"Yes",""),""))</f>
        <v/>
      </c>
      <c r="BF20" s="244" t="str">
        <f>IF($A$2="Annual","",IF('Scheduled Intervals'!BF20&lt;&gt;"",IF($A$2/'Scheduled Intervals'!BF20=ROUND($A$2/'Scheduled Intervals'!BF20,0),"Yes",""),""))</f>
        <v/>
      </c>
      <c r="BG20" s="244" t="str">
        <f>IF($A$2="Annual","",IF('Scheduled Intervals'!BG20&lt;&gt;"",IF($A$2/'Scheduled Intervals'!BG20=ROUND($A$2/'Scheduled Intervals'!BG20,0),"Yes",""),""))</f>
        <v/>
      </c>
      <c r="BH20" s="244" t="str">
        <f>IF($A$2="Annual","",IF('Scheduled Intervals'!BH20&lt;&gt;"",IF($A$2/'Scheduled Intervals'!BH20=ROUND($A$2/'Scheduled Intervals'!BH20,0),"Yes",""),""))</f>
        <v/>
      </c>
      <c r="BI20" s="244" t="str">
        <f>IF($A$2="Annual","",IF('Scheduled Intervals'!BI20&lt;&gt;"",IF($A$2/'Scheduled Intervals'!BI20=ROUND($A$2/'Scheduled Intervals'!BI20,0),"Yes",""),""))</f>
        <v/>
      </c>
      <c r="BJ20" s="244" t="str">
        <f>IF($A$2="Annual","",IF('Scheduled Intervals'!BJ20&lt;&gt;"",IF($A$2/'Scheduled Intervals'!BJ20=ROUND($A$2/'Scheduled Intervals'!BJ20,0),"Yes",""),""))</f>
        <v>Yes</v>
      </c>
      <c r="BK20" s="244" t="str">
        <f>IF($A$2="Annual","",IF('Scheduled Intervals'!BK20&lt;&gt;"",IF($A$2/'Scheduled Intervals'!BK20=ROUND($A$2/'Scheduled Intervals'!BK20,0),"Yes",""),""))</f>
        <v/>
      </c>
      <c r="BL20" s="244" t="str">
        <f>IF($A$2="Annual","",IF('Scheduled Intervals'!BL20&lt;&gt;"",IF($A$2/'Scheduled Intervals'!BL20=ROUND($A$2/'Scheduled Intervals'!BL20,0),"Yes",""),""))</f>
        <v/>
      </c>
      <c r="BM20" s="244" t="str">
        <f>IF($A$2="Annual","",IF('Scheduled Intervals'!BM20&lt;&gt;"",IF($A$2/'Scheduled Intervals'!BM20=ROUND($A$2/'Scheduled Intervals'!BM20,0),"Yes",""),""))</f>
        <v/>
      </c>
      <c r="BN20" s="177" t="str">
        <f>IF(AND($A$2="annual",'Scheduled Intervals'!BN20&lt;&gt;""),"yes","")</f>
        <v/>
      </c>
      <c r="BO20" s="177" t="str">
        <f>IF(AND($A$2="annual",'Scheduled Intervals'!BO20&lt;&gt;""),"yes","")</f>
        <v/>
      </c>
      <c r="BP20" s="177" t="str">
        <f>IF(AND($A$2="annual",'Scheduled Intervals'!BP20&lt;&gt;""),"yes","")</f>
        <v/>
      </c>
    </row>
    <row r="21" spans="1:68" x14ac:dyDescent="0.2">
      <c r="A21" s="133" t="str">
        <f>+'Scheduled Intervals'!A21</f>
        <v>Takeuchi TL 8/10/12</v>
      </c>
      <c r="B21" s="134" t="str">
        <f>IF('Scheduled Intervals'!B21&lt;&gt;"",IF($A$2='Scheduled Intervals'!B21,"Yes",""),"")</f>
        <v/>
      </c>
      <c r="C21" s="134" t="str">
        <f>IF('Scheduled Intervals'!C21&lt;&gt;"",IF($A$2='Scheduled Intervals'!C21,"Yes",""),"")</f>
        <v/>
      </c>
      <c r="D21" s="134" t="str">
        <f>IF('Scheduled Intervals'!D21&lt;&gt;"",IF($A$2='Scheduled Intervals'!D21,"Yes",""),"")</f>
        <v/>
      </c>
      <c r="E21" s="134" t="str">
        <f>IF('Scheduled Intervals'!E21&lt;&gt;"",IF($A$2='Scheduled Intervals'!E21,"Yes",""),"")</f>
        <v/>
      </c>
      <c r="F21" s="134" t="str">
        <f>IF('Scheduled Intervals'!F21&lt;&gt;"",IF($A$2='Scheduled Intervals'!F21,"Yes",""),"")</f>
        <v/>
      </c>
      <c r="G21" s="134" t="str">
        <f>IF('Scheduled Intervals'!G21&lt;&gt;"",IF($A$2='Scheduled Intervals'!G21,"Yes",""),"")</f>
        <v/>
      </c>
      <c r="H21" s="134" t="str">
        <f>IF('Scheduled Intervals'!H21&lt;&gt;"",IF($A$2='Scheduled Intervals'!H21,"Yes",""),"")</f>
        <v/>
      </c>
      <c r="I21" s="134" t="str">
        <f>IF('Scheduled Intervals'!I21&lt;&gt;"",IF($A$2='Scheduled Intervals'!I21,"Yes",""),"")</f>
        <v/>
      </c>
      <c r="J21" s="134" t="str">
        <f>IF('Scheduled Intervals'!J21&lt;&gt;"",IF($A$2='Scheduled Intervals'!J21,"Yes",""),"")</f>
        <v/>
      </c>
      <c r="K21" s="134" t="str">
        <f>IF('Scheduled Intervals'!K21&lt;&gt;"",IF($A$2='Scheduled Intervals'!K21,"Yes",""),"")</f>
        <v/>
      </c>
      <c r="L21" s="134" t="str">
        <f>IF('Scheduled Intervals'!L21&lt;&gt;"",IF($A$2='Scheduled Intervals'!L21,"Yes",""),"")</f>
        <v/>
      </c>
      <c r="M21" s="134" t="str">
        <f>IF('Scheduled Intervals'!M21&lt;&gt;"",IF($A$2='Scheduled Intervals'!M21,"Yes",""),"")</f>
        <v/>
      </c>
      <c r="N21" s="134" t="str">
        <f>IF('Scheduled Intervals'!N21&lt;&gt;"",IF($A$2='Scheduled Intervals'!N21,"Yes",""),"")</f>
        <v/>
      </c>
      <c r="O21" s="134" t="str">
        <f>IF('Scheduled Intervals'!O21&lt;&gt;"",IF($A$2='Scheduled Intervals'!O21,"Yes",""),"")</f>
        <v/>
      </c>
      <c r="P21" s="134" t="str">
        <f>IF('Scheduled Intervals'!P21&lt;&gt;"",IF($A$2='Scheduled Intervals'!P21,"Yes",""),"")</f>
        <v/>
      </c>
      <c r="Q21" s="134" t="str">
        <f>IF('Scheduled Intervals'!Q21&lt;&gt;"",IF($A$2='Scheduled Intervals'!Q21,"Yes",""),"")</f>
        <v/>
      </c>
      <c r="R21" s="134" t="str">
        <f>IF('Scheduled Intervals'!R21&lt;&gt;"",IF($A$2='Scheduled Intervals'!R21,"Yes",""),"")</f>
        <v/>
      </c>
      <c r="S21" s="134" t="str">
        <f>IF('Scheduled Intervals'!S21&lt;&gt;"",IF($A$2='Scheduled Intervals'!S21,"Yes",""),"")</f>
        <v/>
      </c>
      <c r="T21" s="134" t="str">
        <f>IF('Scheduled Intervals'!T21&lt;&gt;"",IF($A$2='Scheduled Intervals'!T21,"Yes",""),"")</f>
        <v/>
      </c>
      <c r="U21" s="244" t="str">
        <f>IF($A$2="Annual","",IF('Scheduled Intervals'!U21&lt;&gt;"",IF($A$2/'Scheduled Intervals'!U21=ROUND($A$2/'Scheduled Intervals'!U21,0),"Yes",""),""))</f>
        <v>Yes</v>
      </c>
      <c r="V21" s="244" t="str">
        <f>IF($A$2="Annual","",IF('Scheduled Intervals'!V21&lt;&gt;"",IF($A$2/'Scheduled Intervals'!V21=ROUND($A$2/'Scheduled Intervals'!V21,0),"Yes",""),""))</f>
        <v/>
      </c>
      <c r="W21" s="244" t="str">
        <f>IF($A$2="Annual","",IF('Scheduled Intervals'!W21&lt;&gt;"",IF($A$2/'Scheduled Intervals'!W21=ROUND($A$2/'Scheduled Intervals'!W21,0),"Yes",""),""))</f>
        <v>Yes</v>
      </c>
      <c r="X21" s="244" t="str">
        <f>IF($A$2="Annual","",IF('Scheduled Intervals'!X21&lt;&gt;"",IF($A$2/'Scheduled Intervals'!X21=ROUND($A$2/'Scheduled Intervals'!X21,0),"Yes",""),""))</f>
        <v/>
      </c>
      <c r="Y21" s="244" t="str">
        <f>IF($A$2="Annual","",IF('Scheduled Intervals'!Y21&lt;&gt;"",IF($A$2/'Scheduled Intervals'!Y21=ROUND($A$2/'Scheduled Intervals'!Y21,0),"Yes",""),""))</f>
        <v/>
      </c>
      <c r="Z21" s="244" t="str">
        <f>IF($A$2="Annual","",IF('Scheduled Intervals'!Z21&lt;&gt;"",IF($A$2/'Scheduled Intervals'!Z21=ROUND($A$2/'Scheduled Intervals'!Z21,0),"Yes",""),""))</f>
        <v>Yes</v>
      </c>
      <c r="AA21" s="244" t="str">
        <f>IF($A$2="Annual","",IF('Scheduled Intervals'!AA21&lt;&gt;"",IF($A$2/'Scheduled Intervals'!AA21=ROUND($A$2/'Scheduled Intervals'!AA21,0),"Yes",""),""))</f>
        <v/>
      </c>
      <c r="AB21" s="244" t="str">
        <f>IF($A$2="Annual","",IF('Scheduled Intervals'!AB21&lt;&gt;"",IF($A$2/'Scheduled Intervals'!AB21=ROUND($A$2/'Scheduled Intervals'!AB21,0),"Yes",""),""))</f>
        <v/>
      </c>
      <c r="AC21" s="244" t="str">
        <f>IF($A$2="Annual","",IF('Scheduled Intervals'!AC21&lt;&gt;"",IF($A$2/'Scheduled Intervals'!AC21=ROUND($A$2/'Scheduled Intervals'!AC21,0),"Yes",""),""))</f>
        <v/>
      </c>
      <c r="AD21" s="244" t="str">
        <f>IF($A$2="Annual","",IF('Scheduled Intervals'!AD21&lt;&gt;"",IF($A$2/'Scheduled Intervals'!AD21=ROUND($A$2/'Scheduled Intervals'!AD21,0),"Yes",""),""))</f>
        <v/>
      </c>
      <c r="AE21" s="244" t="str">
        <f>IF($A$2="Annual","",IF('Scheduled Intervals'!AE21&lt;&gt;"",IF($A$2/'Scheduled Intervals'!AE21=ROUND($A$2/'Scheduled Intervals'!AE21,0),"Yes",""),""))</f>
        <v/>
      </c>
      <c r="AF21" s="244" t="str">
        <f>IF($A$2="Annual","",IF('Scheduled Intervals'!AF21&lt;&gt;"",IF($A$2/'Scheduled Intervals'!AF21=ROUND($A$2/'Scheduled Intervals'!AF21,0),"Yes",""),""))</f>
        <v/>
      </c>
      <c r="AG21" s="244" t="str">
        <f>IF($A$2="Annual","",IF('Scheduled Intervals'!AG21&lt;&gt;"",IF($A$2/'Scheduled Intervals'!AG21=ROUND($A$2/'Scheduled Intervals'!AG21,0),"Yes",""),""))</f>
        <v>Yes</v>
      </c>
      <c r="AH21" s="244" t="str">
        <f>IF($A$2="Annual","",IF('Scheduled Intervals'!AH21&lt;&gt;"",IF($A$2/'Scheduled Intervals'!AH21=ROUND($A$2/'Scheduled Intervals'!AH21,0),"Yes",""),""))</f>
        <v>Yes</v>
      </c>
      <c r="AI21" s="244" t="str">
        <f>IF($A$2="Annual","",IF('Scheduled Intervals'!AI21&lt;&gt;"",IF($A$2/'Scheduled Intervals'!AI21=ROUND($A$2/'Scheduled Intervals'!AI21,0),"Yes",""),""))</f>
        <v/>
      </c>
      <c r="AJ21" s="244" t="str">
        <f>IF($A$2="Annual","",IF('Scheduled Intervals'!AJ21&lt;&gt;"",IF($A$2/'Scheduled Intervals'!AJ21=ROUND($A$2/'Scheduled Intervals'!AJ21,0),"Yes",""),""))</f>
        <v/>
      </c>
      <c r="AK21" s="244" t="str">
        <f>IF($A$2="Annual","",IF('Scheduled Intervals'!AK21&lt;&gt;"",IF($A$2/'Scheduled Intervals'!AK21=ROUND($A$2/'Scheduled Intervals'!AK21,0),"Yes",""),""))</f>
        <v/>
      </c>
      <c r="AL21" s="244" t="str">
        <f>IF($A$2="Annual","",IF('Scheduled Intervals'!AL21&lt;&gt;"",IF($A$2/'Scheduled Intervals'!AL21=ROUND($A$2/'Scheduled Intervals'!AL21,0),"Yes",""),""))</f>
        <v>Yes</v>
      </c>
      <c r="AM21" s="244" t="str">
        <f>IF($A$2="Annual","",IF('Scheduled Intervals'!AM21&lt;&gt;"",IF($A$2/'Scheduled Intervals'!AM21=ROUND($A$2/'Scheduled Intervals'!AM21,0),"Yes",""),""))</f>
        <v/>
      </c>
      <c r="AN21" s="244" t="str">
        <f>IF($A$2="Annual","",IF('Scheduled Intervals'!AN21&lt;&gt;"",IF($A$2/'Scheduled Intervals'!AN21=ROUND($A$2/'Scheduled Intervals'!AN21,0),"Yes",""),""))</f>
        <v/>
      </c>
      <c r="AO21" s="244" t="str">
        <f>IF($A$2="Annual","",IF('Scheduled Intervals'!AO21&lt;&gt;"",IF($A$2/'Scheduled Intervals'!AO21=ROUND($A$2/'Scheduled Intervals'!AO21,0),"Yes",""),""))</f>
        <v/>
      </c>
      <c r="AP21" s="244" t="str">
        <f>IF($A$2="Annual","",IF('Scheduled Intervals'!AP21&lt;&gt;"",IF($A$2/'Scheduled Intervals'!AP21=ROUND($A$2/'Scheduled Intervals'!AP21,0),"Yes",""),""))</f>
        <v>Yes</v>
      </c>
      <c r="AQ21" s="244" t="str">
        <f>IF($A$2="Annual","",IF('Scheduled Intervals'!AQ21&lt;&gt;"",IF($A$2/'Scheduled Intervals'!AQ21=ROUND($A$2/'Scheduled Intervals'!AQ21,0),"Yes",""),""))</f>
        <v>Yes</v>
      </c>
      <c r="AR21" s="244" t="str">
        <f>IF($A$2="Annual","",IF('Scheduled Intervals'!AR21&lt;&gt;"",IF($A$2/'Scheduled Intervals'!AR21=ROUND($A$2/'Scheduled Intervals'!AR21,0),"Yes",""),""))</f>
        <v/>
      </c>
      <c r="AS21" s="244" t="str">
        <f>IF($A$2="Annual","",IF('Scheduled Intervals'!AS21&lt;&gt;"",IF($A$2/'Scheduled Intervals'!AS21=ROUND($A$2/'Scheduled Intervals'!AS21,0),"Yes",""),""))</f>
        <v/>
      </c>
      <c r="AT21" s="244" t="str">
        <f>IF($A$2="Annual","",IF('Scheduled Intervals'!AT21&lt;&gt;"",IF($A$2/'Scheduled Intervals'!AT21=ROUND($A$2/'Scheduled Intervals'!AT21,0),"Yes",""),""))</f>
        <v>Yes</v>
      </c>
      <c r="AU21" s="244" t="str">
        <f>IF($A$2="Annual","",IF('Scheduled Intervals'!AU21&lt;&gt;"",IF($A$2/'Scheduled Intervals'!AU21=ROUND($A$2/'Scheduled Intervals'!AU21,0),"Yes",""),""))</f>
        <v/>
      </c>
      <c r="AV21" s="244" t="str">
        <f>IF($A$2="Annual","",IF('Scheduled Intervals'!AV21&lt;&gt;"",IF($A$2/'Scheduled Intervals'!AV21=ROUND($A$2/'Scheduled Intervals'!AV21,0),"Yes",""),""))</f>
        <v/>
      </c>
      <c r="AW21" s="244" t="str">
        <f>IF($A$2="Annual","",IF('Scheduled Intervals'!AW21&lt;&gt;"",IF($A$2/'Scheduled Intervals'!AW21=ROUND($A$2/'Scheduled Intervals'!AW21,0),"Yes",""),""))</f>
        <v/>
      </c>
      <c r="AX21" s="244" t="str">
        <f>IF($A$2="Annual","",IF('Scheduled Intervals'!AX21&lt;&gt;"",IF($A$2/'Scheduled Intervals'!AX21=ROUND($A$2/'Scheduled Intervals'!AX21,0),"Yes",""),""))</f>
        <v/>
      </c>
      <c r="AY21" s="244" t="str">
        <f>IF($A$2="Annual","",IF('Scheduled Intervals'!AY21&lt;&gt;"",IF($A$2/'Scheduled Intervals'!AY21=ROUND($A$2/'Scheduled Intervals'!AY21,0),"Yes",""),""))</f>
        <v/>
      </c>
      <c r="AZ21" s="244" t="str">
        <f>IF($A$2="Annual","",IF('Scheduled Intervals'!AZ21&lt;&gt;"",IF($A$2/'Scheduled Intervals'!AZ21=ROUND($A$2/'Scheduled Intervals'!AZ21,0),"Yes",""),""))</f>
        <v/>
      </c>
      <c r="BA21" s="244" t="str">
        <f>IF($A$2="Annual","",IF('Scheduled Intervals'!BA21&lt;&gt;"",IF($A$2/'Scheduled Intervals'!BA21=ROUND($A$2/'Scheduled Intervals'!BA21,0),"Yes",""),""))</f>
        <v/>
      </c>
      <c r="BB21" s="244" t="str">
        <f>IF($A$2="Annual","",IF('Scheduled Intervals'!BB21&lt;&gt;"",IF($A$2/'Scheduled Intervals'!BB21=ROUND($A$2/'Scheduled Intervals'!BB21,0),"Yes",""),""))</f>
        <v>Yes</v>
      </c>
      <c r="BC21" s="244" t="str">
        <f>IF($A$2="Annual","",IF('Scheduled Intervals'!BC21&lt;&gt;"",IF($A$2/'Scheduled Intervals'!BC21=ROUND($A$2/'Scheduled Intervals'!BC21,0),"Yes",""),""))</f>
        <v/>
      </c>
      <c r="BD21" s="244" t="str">
        <f>IF($A$2="Annual","",IF('Scheduled Intervals'!BD21&lt;&gt;"",IF($A$2/'Scheduled Intervals'!BD21=ROUND($A$2/'Scheduled Intervals'!BD21,0),"Yes",""),""))</f>
        <v/>
      </c>
      <c r="BE21" s="244" t="str">
        <f>IF($A$2="Annual","",IF('Scheduled Intervals'!BE21&lt;&gt;"",IF($A$2/'Scheduled Intervals'!BE21=ROUND($A$2/'Scheduled Intervals'!BE21,0),"Yes",""),""))</f>
        <v/>
      </c>
      <c r="BF21" s="244" t="str">
        <f>IF($A$2="Annual","",IF('Scheduled Intervals'!BF21&lt;&gt;"",IF($A$2/'Scheduled Intervals'!BF21=ROUND($A$2/'Scheduled Intervals'!BF21,0),"Yes",""),""))</f>
        <v/>
      </c>
      <c r="BG21" s="244" t="str">
        <f>IF($A$2="Annual","",IF('Scheduled Intervals'!BG21&lt;&gt;"",IF($A$2/'Scheduled Intervals'!BG21=ROUND($A$2/'Scheduled Intervals'!BG21,0),"Yes",""),""))</f>
        <v/>
      </c>
      <c r="BH21" s="244" t="str">
        <f>IF($A$2="Annual","",IF('Scheduled Intervals'!BH21&lt;&gt;"",IF($A$2/'Scheduled Intervals'!BH21=ROUND($A$2/'Scheduled Intervals'!BH21,0),"Yes",""),""))</f>
        <v/>
      </c>
      <c r="BI21" s="244" t="str">
        <f>IF($A$2="Annual","",IF('Scheduled Intervals'!BI21&lt;&gt;"",IF($A$2/'Scheduled Intervals'!BI21=ROUND($A$2/'Scheduled Intervals'!BI21,0),"Yes",""),""))</f>
        <v/>
      </c>
      <c r="BJ21" s="244" t="str">
        <f>IF($A$2="Annual","",IF('Scheduled Intervals'!BJ21&lt;&gt;"",IF($A$2/'Scheduled Intervals'!BJ21=ROUND($A$2/'Scheduled Intervals'!BJ21,0),"Yes",""),""))</f>
        <v>Yes</v>
      </c>
      <c r="BK21" s="244" t="str">
        <f>IF($A$2="Annual","",IF('Scheduled Intervals'!BK21&lt;&gt;"",IF($A$2/'Scheduled Intervals'!BK21=ROUND($A$2/'Scheduled Intervals'!BK21,0),"Yes",""),""))</f>
        <v/>
      </c>
      <c r="BL21" s="244" t="str">
        <f>IF($A$2="Annual","",IF('Scheduled Intervals'!BL21&lt;&gt;"",IF($A$2/'Scheduled Intervals'!BL21=ROUND($A$2/'Scheduled Intervals'!BL21,0),"Yes",""),""))</f>
        <v/>
      </c>
      <c r="BM21" s="244" t="str">
        <f>IF($A$2="Annual","",IF('Scheduled Intervals'!BM21&lt;&gt;"",IF($A$2/'Scheduled Intervals'!BM21=ROUND($A$2/'Scheduled Intervals'!BM21,0),"Yes",""),""))</f>
        <v/>
      </c>
      <c r="BN21" s="177" t="str">
        <f>IF(AND($A$2="annual",'Scheduled Intervals'!BN21&lt;&gt;""),"yes","")</f>
        <v/>
      </c>
      <c r="BO21" s="177" t="str">
        <f>IF(AND($A$2="annual",'Scheduled Intervals'!BO21&lt;&gt;""),"yes","")</f>
        <v/>
      </c>
      <c r="BP21" s="177" t="str">
        <f>IF(AND($A$2="annual",'Scheduled Intervals'!BP21&lt;&gt;""),"yes","")</f>
        <v/>
      </c>
    </row>
    <row r="22" spans="1:68" x14ac:dyDescent="0.2">
      <c r="A22" s="133" t="str">
        <f>+'Scheduled Intervals'!A22</f>
        <v>Takeuchi 228-235-250</v>
      </c>
      <c r="B22" s="134" t="str">
        <f>IF('Scheduled Intervals'!B22&lt;&gt;"",IF($A$2='Scheduled Intervals'!B22,"Yes",""),"")</f>
        <v/>
      </c>
      <c r="C22" s="134" t="str">
        <f>IF('Scheduled Intervals'!C22&lt;&gt;"",IF($A$2='Scheduled Intervals'!C22,"Yes",""),"")</f>
        <v/>
      </c>
      <c r="D22" s="134" t="str">
        <f>IF('Scheduled Intervals'!D22&lt;&gt;"",IF($A$2='Scheduled Intervals'!D22,"Yes",""),"")</f>
        <v/>
      </c>
      <c r="E22" s="134" t="str">
        <f>IF('Scheduled Intervals'!E22&lt;&gt;"",IF($A$2='Scheduled Intervals'!E22,"Yes",""),"")</f>
        <v/>
      </c>
      <c r="F22" s="134" t="str">
        <f>IF('Scheduled Intervals'!F22&lt;&gt;"",IF($A$2='Scheduled Intervals'!F22,"Yes",""),"")</f>
        <v/>
      </c>
      <c r="G22" s="134" t="str">
        <f>IF('Scheduled Intervals'!G22&lt;&gt;"",IF($A$2='Scheduled Intervals'!G22,"Yes",""),"")</f>
        <v/>
      </c>
      <c r="H22" s="134" t="str">
        <f>IF('Scheduled Intervals'!H22&lt;&gt;"",IF($A$2='Scheduled Intervals'!H22,"Yes",""),"")</f>
        <v/>
      </c>
      <c r="I22" s="134" t="str">
        <f>IF('Scheduled Intervals'!I22&lt;&gt;"",IF($A$2='Scheduled Intervals'!I22,"Yes",""),"")</f>
        <v/>
      </c>
      <c r="J22" s="134" t="str">
        <f>IF('Scheduled Intervals'!J22&lt;&gt;"",IF($A$2='Scheduled Intervals'!J22,"Yes",""),"")</f>
        <v/>
      </c>
      <c r="K22" s="134" t="str">
        <f>IF('Scheduled Intervals'!K22&lt;&gt;"",IF($A$2='Scheduled Intervals'!K22,"Yes",""),"")</f>
        <v/>
      </c>
      <c r="L22" s="134" t="str">
        <f>IF('Scheduled Intervals'!L22&lt;&gt;"",IF($A$2='Scheduled Intervals'!L22,"Yes",""),"")</f>
        <v/>
      </c>
      <c r="M22" s="134" t="str">
        <f>IF('Scheduled Intervals'!M22&lt;&gt;"",IF($A$2='Scheduled Intervals'!M22,"Yes",""),"")</f>
        <v/>
      </c>
      <c r="N22" s="134" t="str">
        <f>IF('Scheduled Intervals'!N22&lt;&gt;"",IF($A$2='Scheduled Intervals'!N22,"Yes",""),"")</f>
        <v/>
      </c>
      <c r="O22" s="134" t="str">
        <f>IF('Scheduled Intervals'!O22&lt;&gt;"",IF($A$2='Scheduled Intervals'!O22,"Yes",""),"")</f>
        <v/>
      </c>
      <c r="P22" s="134" t="str">
        <f>IF('Scheduled Intervals'!P22&lt;&gt;"",IF($A$2='Scheduled Intervals'!P22,"Yes",""),"")</f>
        <v/>
      </c>
      <c r="Q22" s="134" t="str">
        <f>IF('Scheduled Intervals'!Q22&lt;&gt;"",IF($A$2='Scheduled Intervals'!Q22,"Yes",""),"")</f>
        <v/>
      </c>
      <c r="R22" s="134" t="str">
        <f>IF('Scheduled Intervals'!R22&lt;&gt;"",IF($A$2='Scheduled Intervals'!R22,"Yes",""),"")</f>
        <v/>
      </c>
      <c r="S22" s="134" t="str">
        <f>IF('Scheduled Intervals'!S22&lt;&gt;"",IF($A$2='Scheduled Intervals'!S22,"Yes",""),"")</f>
        <v/>
      </c>
      <c r="T22" s="134" t="str">
        <f>IF('Scheduled Intervals'!T22&lt;&gt;"",IF($A$2='Scheduled Intervals'!T22,"Yes",""),"")</f>
        <v/>
      </c>
      <c r="U22" s="244" t="str">
        <f>IF($A$2="Annual","",IF('Scheduled Intervals'!U22&lt;&gt;"",IF($A$2/'Scheduled Intervals'!U22=ROUND($A$2/'Scheduled Intervals'!U22,0),"Yes",""),""))</f>
        <v>Yes</v>
      </c>
      <c r="V22" s="244" t="str">
        <f>IF($A$2="Annual","",IF('Scheduled Intervals'!V22&lt;&gt;"",IF($A$2/'Scheduled Intervals'!V22=ROUND($A$2/'Scheduled Intervals'!V22,0),"Yes",""),""))</f>
        <v/>
      </c>
      <c r="W22" s="244" t="str">
        <f>IF($A$2="Annual","",IF('Scheduled Intervals'!W22&lt;&gt;"",IF($A$2/'Scheduled Intervals'!W22=ROUND($A$2/'Scheduled Intervals'!W22,0),"Yes",""),""))</f>
        <v/>
      </c>
      <c r="X22" s="244" t="str">
        <f>IF($A$2="Annual","",IF('Scheduled Intervals'!X22&lt;&gt;"",IF($A$2/'Scheduled Intervals'!X22=ROUND($A$2/'Scheduled Intervals'!X22,0),"Yes",""),""))</f>
        <v>Yes</v>
      </c>
      <c r="Y22" s="244" t="str">
        <f>IF($A$2="Annual","",IF('Scheduled Intervals'!Y22&lt;&gt;"",IF($A$2/'Scheduled Intervals'!Y22=ROUND($A$2/'Scheduled Intervals'!Y22,0),"Yes",""),""))</f>
        <v/>
      </c>
      <c r="Z22" s="244" t="str">
        <f>IF($A$2="Annual","",IF('Scheduled Intervals'!Z22&lt;&gt;"",IF($A$2/'Scheduled Intervals'!Z22=ROUND($A$2/'Scheduled Intervals'!Z22,0),"Yes",""),""))</f>
        <v>Yes</v>
      </c>
      <c r="AA22" s="244" t="str">
        <f>IF($A$2="Annual","",IF('Scheduled Intervals'!AA22&lt;&gt;"",IF($A$2/'Scheduled Intervals'!AA22=ROUND($A$2/'Scheduled Intervals'!AA22,0),"Yes",""),""))</f>
        <v/>
      </c>
      <c r="AB22" s="244" t="str">
        <f>IF($A$2="Annual","",IF('Scheduled Intervals'!AB22&lt;&gt;"",IF($A$2/'Scheduled Intervals'!AB22=ROUND($A$2/'Scheduled Intervals'!AB22,0),"Yes",""),""))</f>
        <v/>
      </c>
      <c r="AC22" s="244" t="str">
        <f>IF($A$2="Annual","",IF('Scheduled Intervals'!AC22&lt;&gt;"",IF($A$2/'Scheduled Intervals'!AC22=ROUND($A$2/'Scheduled Intervals'!AC22,0),"Yes",""),""))</f>
        <v/>
      </c>
      <c r="AD22" s="244" t="str">
        <f>IF($A$2="Annual","",IF('Scheduled Intervals'!AD22&lt;&gt;"",IF($A$2/'Scheduled Intervals'!AD22=ROUND($A$2/'Scheduled Intervals'!AD22,0),"Yes",""),""))</f>
        <v/>
      </c>
      <c r="AE22" s="244" t="str">
        <f>IF($A$2="Annual","",IF('Scheduled Intervals'!AE22&lt;&gt;"",IF($A$2/'Scheduled Intervals'!AE22=ROUND($A$2/'Scheduled Intervals'!AE22,0),"Yes",""),""))</f>
        <v/>
      </c>
      <c r="AF22" s="244" t="str">
        <f>IF($A$2="Annual","",IF('Scheduled Intervals'!AF22&lt;&gt;"",IF($A$2/'Scheduled Intervals'!AF22=ROUND($A$2/'Scheduled Intervals'!AF22,0),"Yes",""),""))</f>
        <v/>
      </c>
      <c r="AG22" s="244" t="str">
        <f>IF($A$2="Annual","",IF('Scheduled Intervals'!AG22&lt;&gt;"",IF($A$2/'Scheduled Intervals'!AG22=ROUND($A$2/'Scheduled Intervals'!AG22,0),"Yes",""),""))</f>
        <v/>
      </c>
      <c r="AH22" s="244" t="str">
        <f>IF($A$2="Annual","",IF('Scheduled Intervals'!AH22&lt;&gt;"",IF($A$2/'Scheduled Intervals'!AH22=ROUND($A$2/'Scheduled Intervals'!AH22,0),"Yes",""),""))</f>
        <v/>
      </c>
      <c r="AI22" s="244" t="str">
        <f>IF($A$2="Annual","",IF('Scheduled Intervals'!AI22&lt;&gt;"",IF($A$2/'Scheduled Intervals'!AI22=ROUND($A$2/'Scheduled Intervals'!AI22,0),"Yes",""),""))</f>
        <v/>
      </c>
      <c r="AJ22" s="244" t="str">
        <f>IF($A$2="Annual","",IF('Scheduled Intervals'!AJ22&lt;&gt;"",IF($A$2/'Scheduled Intervals'!AJ22=ROUND($A$2/'Scheduled Intervals'!AJ22,0),"Yes",""),""))</f>
        <v/>
      </c>
      <c r="AK22" s="244" t="str">
        <f>IF($A$2="Annual","",IF('Scheduled Intervals'!AK22&lt;&gt;"",IF($A$2/'Scheduled Intervals'!AK22=ROUND($A$2/'Scheduled Intervals'!AK22,0),"Yes",""),""))</f>
        <v/>
      </c>
      <c r="AL22" s="244" t="str">
        <f>IF($A$2="Annual","",IF('Scheduled Intervals'!AL22&lt;&gt;"",IF($A$2/'Scheduled Intervals'!AL22=ROUND($A$2/'Scheduled Intervals'!AL22,0),"Yes",""),""))</f>
        <v/>
      </c>
      <c r="AM22" s="244" t="str">
        <f>IF($A$2="Annual","",IF('Scheduled Intervals'!AM22&lt;&gt;"",IF($A$2/'Scheduled Intervals'!AM22=ROUND($A$2/'Scheduled Intervals'!AM22,0),"Yes",""),""))</f>
        <v/>
      </c>
      <c r="AN22" s="244" t="str">
        <f>IF($A$2="Annual","",IF('Scheduled Intervals'!AN22&lt;&gt;"",IF($A$2/'Scheduled Intervals'!AN22=ROUND($A$2/'Scheduled Intervals'!AN22,0),"Yes",""),""))</f>
        <v/>
      </c>
      <c r="AO22" s="244" t="str">
        <f>IF($A$2="Annual","",IF('Scheduled Intervals'!AO22&lt;&gt;"",IF($A$2/'Scheduled Intervals'!AO22=ROUND($A$2/'Scheduled Intervals'!AO22,0),"Yes",""),""))</f>
        <v/>
      </c>
      <c r="AP22" s="244" t="str">
        <f>IF($A$2="Annual","",IF('Scheduled Intervals'!AP22&lt;&gt;"",IF($A$2/'Scheduled Intervals'!AP22=ROUND($A$2/'Scheduled Intervals'!AP22,0),"Yes",""),""))</f>
        <v>Yes</v>
      </c>
      <c r="AQ22" s="244" t="str">
        <f>IF($A$2="Annual","",IF('Scheduled Intervals'!AQ22&lt;&gt;"",IF($A$2/'Scheduled Intervals'!AQ22=ROUND($A$2/'Scheduled Intervals'!AQ22,0),"Yes",""),""))</f>
        <v/>
      </c>
      <c r="AR22" s="244" t="str">
        <f>IF($A$2="Annual","",IF('Scheduled Intervals'!AR22&lt;&gt;"",IF($A$2/'Scheduled Intervals'!AR22=ROUND($A$2/'Scheduled Intervals'!AR22,0),"Yes",""),""))</f>
        <v/>
      </c>
      <c r="AS22" s="244" t="str">
        <f>IF($A$2="Annual","",IF('Scheduled Intervals'!AS22&lt;&gt;"",IF($A$2/'Scheduled Intervals'!AS22=ROUND($A$2/'Scheduled Intervals'!AS22,0),"Yes",""),""))</f>
        <v/>
      </c>
      <c r="AT22" s="244" t="str">
        <f>IF($A$2="Annual","",IF('Scheduled Intervals'!AT22&lt;&gt;"",IF($A$2/'Scheduled Intervals'!AT22=ROUND($A$2/'Scheduled Intervals'!AT22,0),"Yes",""),""))</f>
        <v>Yes</v>
      </c>
      <c r="AU22" s="244" t="str">
        <f>IF($A$2="Annual","",IF('Scheduled Intervals'!AU22&lt;&gt;"",IF($A$2/'Scheduled Intervals'!AU22=ROUND($A$2/'Scheduled Intervals'!AU22,0),"Yes",""),""))</f>
        <v/>
      </c>
      <c r="AV22" s="244" t="str">
        <f>IF($A$2="Annual","",IF('Scheduled Intervals'!AV22&lt;&gt;"",IF($A$2/'Scheduled Intervals'!AV22=ROUND($A$2/'Scheduled Intervals'!AV22,0),"Yes",""),""))</f>
        <v/>
      </c>
      <c r="AW22" s="244" t="str">
        <f>IF($A$2="Annual","",IF('Scheduled Intervals'!AW22&lt;&gt;"",IF($A$2/'Scheduled Intervals'!AW22=ROUND($A$2/'Scheduled Intervals'!AW22,0),"Yes",""),""))</f>
        <v/>
      </c>
      <c r="AX22" s="244" t="str">
        <f>IF($A$2="Annual","",IF('Scheduled Intervals'!AX22&lt;&gt;"",IF($A$2/'Scheduled Intervals'!AX22=ROUND($A$2/'Scheduled Intervals'!AX22,0),"Yes",""),""))</f>
        <v/>
      </c>
      <c r="AY22" s="244" t="str">
        <f>IF($A$2="Annual","",IF('Scheduled Intervals'!AY22&lt;&gt;"",IF($A$2/'Scheduled Intervals'!AY22=ROUND($A$2/'Scheduled Intervals'!AY22,0),"Yes",""),""))</f>
        <v/>
      </c>
      <c r="AZ22" s="244" t="str">
        <f>IF($A$2="Annual","",IF('Scheduled Intervals'!AZ22&lt;&gt;"",IF($A$2/'Scheduled Intervals'!AZ22=ROUND($A$2/'Scheduled Intervals'!AZ22,0),"Yes",""),""))</f>
        <v/>
      </c>
      <c r="BA22" s="244" t="str">
        <f>IF($A$2="Annual","",IF('Scheduled Intervals'!BA22&lt;&gt;"",IF($A$2/'Scheduled Intervals'!BA22=ROUND($A$2/'Scheduled Intervals'!BA22,0),"Yes",""),""))</f>
        <v/>
      </c>
      <c r="BB22" s="244" t="str">
        <f>IF($A$2="Annual","",IF('Scheduled Intervals'!BB22&lt;&gt;"",IF($A$2/'Scheduled Intervals'!BB22=ROUND($A$2/'Scheduled Intervals'!BB22,0),"Yes",""),""))</f>
        <v/>
      </c>
      <c r="BC22" s="244" t="str">
        <f>IF($A$2="Annual","",IF('Scheduled Intervals'!BC22&lt;&gt;"",IF($A$2/'Scheduled Intervals'!BC22=ROUND($A$2/'Scheduled Intervals'!BC22,0),"Yes",""),""))</f>
        <v/>
      </c>
      <c r="BD22" s="244" t="str">
        <f>IF($A$2="Annual","",IF('Scheduled Intervals'!BD22&lt;&gt;"",IF($A$2/'Scheduled Intervals'!BD22=ROUND($A$2/'Scheduled Intervals'!BD22,0),"Yes",""),""))</f>
        <v/>
      </c>
      <c r="BE22" s="244" t="str">
        <f>IF($A$2="Annual","",IF('Scheduled Intervals'!BE22&lt;&gt;"",IF($A$2/'Scheduled Intervals'!BE22=ROUND($A$2/'Scheduled Intervals'!BE22,0),"Yes",""),""))</f>
        <v/>
      </c>
      <c r="BF22" s="244" t="str">
        <f>IF($A$2="Annual","",IF('Scheduled Intervals'!BF22&lt;&gt;"",IF($A$2/'Scheduled Intervals'!BF22=ROUND($A$2/'Scheduled Intervals'!BF22,0),"Yes",""),""))</f>
        <v/>
      </c>
      <c r="BG22" s="244" t="str">
        <f>IF($A$2="Annual","",IF('Scheduled Intervals'!BG22&lt;&gt;"",IF($A$2/'Scheduled Intervals'!BG22=ROUND($A$2/'Scheduled Intervals'!BG22,0),"Yes",""),""))</f>
        <v/>
      </c>
      <c r="BH22" s="244" t="str">
        <f>IF($A$2="Annual","",IF('Scheduled Intervals'!BH22&lt;&gt;"",IF($A$2/'Scheduled Intervals'!BH22=ROUND($A$2/'Scheduled Intervals'!BH22,0),"Yes",""),""))</f>
        <v/>
      </c>
      <c r="BI22" s="244" t="str">
        <f>IF($A$2="Annual","",IF('Scheduled Intervals'!BI22&lt;&gt;"",IF($A$2/'Scheduled Intervals'!BI22=ROUND($A$2/'Scheduled Intervals'!BI22,0),"Yes",""),""))</f>
        <v/>
      </c>
      <c r="BJ22" s="244" t="str">
        <f>IF($A$2="Annual","",IF('Scheduled Intervals'!BJ22&lt;&gt;"",IF($A$2/'Scheduled Intervals'!BJ22=ROUND($A$2/'Scheduled Intervals'!BJ22,0),"Yes",""),""))</f>
        <v>Yes</v>
      </c>
      <c r="BK22" s="244" t="str">
        <f>IF($A$2="Annual","",IF('Scheduled Intervals'!BK22&lt;&gt;"",IF($A$2/'Scheduled Intervals'!BK22=ROUND($A$2/'Scheduled Intervals'!BK22,0),"Yes",""),""))</f>
        <v/>
      </c>
      <c r="BL22" s="244" t="str">
        <f>IF($A$2="Annual","",IF('Scheduled Intervals'!BL22&lt;&gt;"",IF($A$2/'Scheduled Intervals'!BL22=ROUND($A$2/'Scheduled Intervals'!BL22,0),"Yes",""),""))</f>
        <v/>
      </c>
      <c r="BM22" s="244" t="str">
        <f>IF($A$2="Annual","",IF('Scheduled Intervals'!BM22&lt;&gt;"",IF($A$2/'Scheduled Intervals'!BM22=ROUND($A$2/'Scheduled Intervals'!BM22,0),"Yes",""),""))</f>
        <v/>
      </c>
      <c r="BN22" s="177" t="str">
        <f>IF(AND($A$2="annual",'Scheduled Intervals'!BN22&lt;&gt;""),"yes","")</f>
        <v/>
      </c>
      <c r="BO22" s="177" t="str">
        <f>IF(AND($A$2="annual",'Scheduled Intervals'!BO22&lt;&gt;""),"yes","")</f>
        <v/>
      </c>
      <c r="BP22" s="177" t="str">
        <f>IF(AND($A$2="annual",'Scheduled Intervals'!BP22&lt;&gt;""),"yes","")</f>
        <v/>
      </c>
    </row>
    <row r="23" spans="1:68" x14ac:dyDescent="0.2">
      <c r="A23" s="133" t="str">
        <f>+'Scheduled Intervals'!A23</f>
        <v>Takeuchi 260</v>
      </c>
      <c r="B23" s="134" t="str">
        <f>IF('Scheduled Intervals'!B23&lt;&gt;"",IF($A$2='Scheduled Intervals'!B23,"Yes",""),"")</f>
        <v/>
      </c>
      <c r="C23" s="134" t="str">
        <f>IF('Scheduled Intervals'!C23&lt;&gt;"",IF($A$2='Scheduled Intervals'!C23,"Yes",""),"")</f>
        <v/>
      </c>
      <c r="D23" s="134" t="str">
        <f>IF('Scheduled Intervals'!D23&lt;&gt;"",IF($A$2='Scheduled Intervals'!D23,"Yes",""),"")</f>
        <v/>
      </c>
      <c r="E23" s="134" t="str">
        <f>IF('Scheduled Intervals'!E23&lt;&gt;"",IF($A$2='Scheduled Intervals'!E23,"Yes",""),"")</f>
        <v/>
      </c>
      <c r="F23" s="134" t="str">
        <f>IF('Scheduled Intervals'!F23&lt;&gt;"",IF($A$2='Scheduled Intervals'!F23,"Yes",""),"")</f>
        <v/>
      </c>
      <c r="G23" s="134" t="str">
        <f>IF('Scheduled Intervals'!G23&lt;&gt;"",IF($A$2='Scheduled Intervals'!G23,"Yes",""),"")</f>
        <v/>
      </c>
      <c r="H23" s="134" t="str">
        <f>IF('Scheduled Intervals'!H23&lt;&gt;"",IF($A$2='Scheduled Intervals'!H23,"Yes",""),"")</f>
        <v/>
      </c>
      <c r="I23" s="134" t="str">
        <f>IF('Scheduled Intervals'!I23&lt;&gt;"",IF($A$2='Scheduled Intervals'!I23,"Yes",""),"")</f>
        <v/>
      </c>
      <c r="J23" s="134" t="str">
        <f>IF('Scheduled Intervals'!J23&lt;&gt;"",IF($A$2='Scheduled Intervals'!J23,"Yes",""),"")</f>
        <v/>
      </c>
      <c r="K23" s="134" t="str">
        <f>IF('Scheduled Intervals'!K23&lt;&gt;"",IF($A$2='Scheduled Intervals'!K23,"Yes",""),"")</f>
        <v/>
      </c>
      <c r="L23" s="134" t="str">
        <f>IF('Scheduled Intervals'!L23&lt;&gt;"",IF($A$2='Scheduled Intervals'!L23,"Yes",""),"")</f>
        <v/>
      </c>
      <c r="M23" s="134" t="str">
        <f>IF('Scheduled Intervals'!M23&lt;&gt;"",IF($A$2='Scheduled Intervals'!M23,"Yes",""),"")</f>
        <v/>
      </c>
      <c r="N23" s="134" t="str">
        <f>IF('Scheduled Intervals'!N23&lt;&gt;"",IF($A$2='Scheduled Intervals'!N23,"Yes",""),"")</f>
        <v/>
      </c>
      <c r="O23" s="134" t="str">
        <f>IF('Scheduled Intervals'!O23&lt;&gt;"",IF($A$2='Scheduled Intervals'!O23,"Yes",""),"")</f>
        <v/>
      </c>
      <c r="P23" s="134" t="str">
        <f>IF('Scheduled Intervals'!P23&lt;&gt;"",IF($A$2='Scheduled Intervals'!P23,"Yes",""),"")</f>
        <v/>
      </c>
      <c r="Q23" s="134" t="str">
        <f>IF('Scheduled Intervals'!Q23&lt;&gt;"",IF($A$2='Scheduled Intervals'!Q23,"Yes",""),"")</f>
        <v/>
      </c>
      <c r="R23" s="134" t="str">
        <f>IF('Scheduled Intervals'!R23&lt;&gt;"",IF($A$2='Scheduled Intervals'!R23,"Yes",""),"")</f>
        <v/>
      </c>
      <c r="S23" s="134" t="str">
        <f>IF('Scheduled Intervals'!S23&lt;&gt;"",IF($A$2='Scheduled Intervals'!S23,"Yes",""),"")</f>
        <v/>
      </c>
      <c r="T23" s="134" t="str">
        <f>IF('Scheduled Intervals'!T23&lt;&gt;"",IF($A$2='Scheduled Intervals'!T23,"Yes",""),"")</f>
        <v/>
      </c>
      <c r="U23" s="244" t="str">
        <f>IF($A$2="Annual","",IF('Scheduled Intervals'!U23&lt;&gt;"",IF($A$2/'Scheduled Intervals'!U23=ROUND($A$2/'Scheduled Intervals'!U23,0),"Yes",""),""))</f>
        <v>Yes</v>
      </c>
      <c r="V23" s="244" t="str">
        <f>IF($A$2="Annual","",IF('Scheduled Intervals'!V23&lt;&gt;"",IF($A$2/'Scheduled Intervals'!V23=ROUND($A$2/'Scheduled Intervals'!V23,0),"Yes",""),""))</f>
        <v/>
      </c>
      <c r="W23" s="244" t="str">
        <f>IF($A$2="Annual","",IF('Scheduled Intervals'!W23&lt;&gt;"",IF($A$2/'Scheduled Intervals'!W23=ROUND($A$2/'Scheduled Intervals'!W23,0),"Yes",""),""))</f>
        <v/>
      </c>
      <c r="X23" s="244" t="str">
        <f>IF($A$2="Annual","",IF('Scheduled Intervals'!X23&lt;&gt;"",IF($A$2/'Scheduled Intervals'!X23=ROUND($A$2/'Scheduled Intervals'!X23,0),"Yes",""),""))</f>
        <v>Yes</v>
      </c>
      <c r="Y23" s="244" t="str">
        <f>IF($A$2="Annual","",IF('Scheduled Intervals'!Y23&lt;&gt;"",IF($A$2/'Scheduled Intervals'!Y23=ROUND($A$2/'Scheduled Intervals'!Y23,0),"Yes",""),""))</f>
        <v/>
      </c>
      <c r="Z23" s="244" t="str">
        <f>IF($A$2="Annual","",IF('Scheduled Intervals'!Z23&lt;&gt;"",IF($A$2/'Scheduled Intervals'!Z23=ROUND($A$2/'Scheduled Intervals'!Z23,0),"Yes",""),""))</f>
        <v>Yes</v>
      </c>
      <c r="AA23" s="244" t="str">
        <f>IF($A$2="Annual","",IF('Scheduled Intervals'!AA23&lt;&gt;"",IF($A$2/'Scheduled Intervals'!AA23=ROUND($A$2/'Scheduled Intervals'!AA23,0),"Yes",""),""))</f>
        <v/>
      </c>
      <c r="AB23" s="244" t="str">
        <f>IF($A$2="Annual","",IF('Scheduled Intervals'!AB23&lt;&gt;"",IF($A$2/'Scheduled Intervals'!AB23=ROUND($A$2/'Scheduled Intervals'!AB23,0),"Yes",""),""))</f>
        <v/>
      </c>
      <c r="AC23" s="244" t="str">
        <f>IF($A$2="Annual","",IF('Scheduled Intervals'!AC23&lt;&gt;"",IF($A$2/'Scheduled Intervals'!AC23=ROUND($A$2/'Scheduled Intervals'!AC23,0),"Yes",""),""))</f>
        <v/>
      </c>
      <c r="AD23" s="244" t="str">
        <f>IF($A$2="Annual","",IF('Scheduled Intervals'!AD23&lt;&gt;"",IF($A$2/'Scheduled Intervals'!AD23=ROUND($A$2/'Scheduled Intervals'!AD23,0),"Yes",""),""))</f>
        <v/>
      </c>
      <c r="AE23" s="244" t="str">
        <f>IF($A$2="Annual","",IF('Scheduled Intervals'!AE23&lt;&gt;"",IF($A$2/'Scheduled Intervals'!AE23=ROUND($A$2/'Scheduled Intervals'!AE23,0),"Yes",""),""))</f>
        <v/>
      </c>
      <c r="AF23" s="244" t="str">
        <f>IF($A$2="Annual","",IF('Scheduled Intervals'!AF23&lt;&gt;"",IF($A$2/'Scheduled Intervals'!AF23=ROUND($A$2/'Scheduled Intervals'!AF23,0),"Yes",""),""))</f>
        <v/>
      </c>
      <c r="AG23" s="244" t="str">
        <f>IF($A$2="Annual","",IF('Scheduled Intervals'!AG23&lt;&gt;"",IF($A$2/'Scheduled Intervals'!AG23=ROUND($A$2/'Scheduled Intervals'!AG23,0),"Yes",""),""))</f>
        <v/>
      </c>
      <c r="AH23" s="244" t="str">
        <f>IF($A$2="Annual","",IF('Scheduled Intervals'!AH23&lt;&gt;"",IF($A$2/'Scheduled Intervals'!AH23=ROUND($A$2/'Scheduled Intervals'!AH23,0),"Yes",""),""))</f>
        <v/>
      </c>
      <c r="AI23" s="244" t="str">
        <f>IF($A$2="Annual","",IF('Scheduled Intervals'!AI23&lt;&gt;"",IF($A$2/'Scheduled Intervals'!AI23=ROUND($A$2/'Scheduled Intervals'!AI23,0),"Yes",""),""))</f>
        <v/>
      </c>
      <c r="AJ23" s="244" t="str">
        <f>IF($A$2="Annual","",IF('Scheduled Intervals'!AJ23&lt;&gt;"",IF($A$2/'Scheduled Intervals'!AJ23=ROUND($A$2/'Scheduled Intervals'!AJ23,0),"Yes",""),""))</f>
        <v/>
      </c>
      <c r="AK23" s="244" t="str">
        <f>IF($A$2="Annual","",IF('Scheduled Intervals'!AK23&lt;&gt;"",IF($A$2/'Scheduled Intervals'!AK23=ROUND($A$2/'Scheduled Intervals'!AK23,0),"Yes",""),""))</f>
        <v/>
      </c>
      <c r="AL23" s="244" t="str">
        <f>IF($A$2="Annual","",IF('Scheduled Intervals'!AL23&lt;&gt;"",IF($A$2/'Scheduled Intervals'!AL23=ROUND($A$2/'Scheduled Intervals'!AL23,0),"Yes",""),""))</f>
        <v/>
      </c>
      <c r="AM23" s="244" t="str">
        <f>IF($A$2="Annual","",IF('Scheduled Intervals'!AM23&lt;&gt;"",IF($A$2/'Scheduled Intervals'!AM23=ROUND($A$2/'Scheduled Intervals'!AM23,0),"Yes",""),""))</f>
        <v/>
      </c>
      <c r="AN23" s="244" t="str">
        <f>IF($A$2="Annual","",IF('Scheduled Intervals'!AN23&lt;&gt;"",IF($A$2/'Scheduled Intervals'!AN23=ROUND($A$2/'Scheduled Intervals'!AN23,0),"Yes",""),""))</f>
        <v/>
      </c>
      <c r="AO23" s="244" t="str">
        <f>IF($A$2="Annual","",IF('Scheduled Intervals'!AO23&lt;&gt;"",IF($A$2/'Scheduled Intervals'!AO23=ROUND($A$2/'Scheduled Intervals'!AO23,0),"Yes",""),""))</f>
        <v/>
      </c>
      <c r="AP23" s="244" t="str">
        <f>IF($A$2="Annual","",IF('Scheduled Intervals'!AP23&lt;&gt;"",IF($A$2/'Scheduled Intervals'!AP23=ROUND($A$2/'Scheduled Intervals'!AP23,0),"Yes",""),""))</f>
        <v>Yes</v>
      </c>
      <c r="AQ23" s="244" t="str">
        <f>IF($A$2="Annual","",IF('Scheduled Intervals'!AQ23&lt;&gt;"",IF($A$2/'Scheduled Intervals'!AQ23=ROUND($A$2/'Scheduled Intervals'!AQ23,0),"Yes",""),""))</f>
        <v/>
      </c>
      <c r="AR23" s="244" t="str">
        <f>IF($A$2="Annual","",IF('Scheduled Intervals'!AR23&lt;&gt;"",IF($A$2/'Scheduled Intervals'!AR23=ROUND($A$2/'Scheduled Intervals'!AR23,0),"Yes",""),""))</f>
        <v/>
      </c>
      <c r="AS23" s="244" t="str">
        <f>IF($A$2="Annual","",IF('Scheduled Intervals'!AS23&lt;&gt;"",IF($A$2/'Scheduled Intervals'!AS23=ROUND($A$2/'Scheduled Intervals'!AS23,0),"Yes",""),""))</f>
        <v/>
      </c>
      <c r="AT23" s="244" t="str">
        <f>IF($A$2="Annual","",IF('Scheduled Intervals'!AT23&lt;&gt;"",IF($A$2/'Scheduled Intervals'!AT23=ROUND($A$2/'Scheduled Intervals'!AT23,0),"Yes",""),""))</f>
        <v>Yes</v>
      </c>
      <c r="AU23" s="244" t="str">
        <f>IF($A$2="Annual","",IF('Scheduled Intervals'!AU23&lt;&gt;"",IF($A$2/'Scheduled Intervals'!AU23=ROUND($A$2/'Scheduled Intervals'!AU23,0),"Yes",""),""))</f>
        <v/>
      </c>
      <c r="AV23" s="244" t="str">
        <f>IF($A$2="Annual","",IF('Scheduled Intervals'!AV23&lt;&gt;"",IF($A$2/'Scheduled Intervals'!AV23=ROUND($A$2/'Scheduled Intervals'!AV23,0),"Yes",""),""))</f>
        <v/>
      </c>
      <c r="AW23" s="244" t="str">
        <f>IF($A$2="Annual","",IF('Scheduled Intervals'!AW23&lt;&gt;"",IF($A$2/'Scheduled Intervals'!AW23=ROUND($A$2/'Scheduled Intervals'!AW23,0),"Yes",""),""))</f>
        <v/>
      </c>
      <c r="AX23" s="244" t="str">
        <f>IF($A$2="Annual","",IF('Scheduled Intervals'!AX23&lt;&gt;"",IF($A$2/'Scheduled Intervals'!AX23=ROUND($A$2/'Scheduled Intervals'!AX23,0),"Yes",""),""))</f>
        <v/>
      </c>
      <c r="AY23" s="244" t="str">
        <f>IF($A$2="Annual","",IF('Scheduled Intervals'!AY23&lt;&gt;"",IF($A$2/'Scheduled Intervals'!AY23=ROUND($A$2/'Scheduled Intervals'!AY23,0),"Yes",""),""))</f>
        <v/>
      </c>
      <c r="AZ23" s="244" t="str">
        <f>IF($A$2="Annual","",IF('Scheduled Intervals'!AZ23&lt;&gt;"",IF($A$2/'Scheduled Intervals'!AZ23=ROUND($A$2/'Scheduled Intervals'!AZ23,0),"Yes",""),""))</f>
        <v/>
      </c>
      <c r="BA23" s="244" t="str">
        <f>IF($A$2="Annual","",IF('Scheduled Intervals'!BA23&lt;&gt;"",IF($A$2/'Scheduled Intervals'!BA23=ROUND($A$2/'Scheduled Intervals'!BA23,0),"Yes",""),""))</f>
        <v/>
      </c>
      <c r="BB23" s="244" t="str">
        <f>IF($A$2="Annual","",IF('Scheduled Intervals'!BB23&lt;&gt;"",IF($A$2/'Scheduled Intervals'!BB23=ROUND($A$2/'Scheduled Intervals'!BB23,0),"Yes",""),""))</f>
        <v/>
      </c>
      <c r="BC23" s="244" t="str">
        <f>IF($A$2="Annual","",IF('Scheduled Intervals'!BC23&lt;&gt;"",IF($A$2/'Scheduled Intervals'!BC23=ROUND($A$2/'Scheduled Intervals'!BC23,0),"Yes",""),""))</f>
        <v/>
      </c>
      <c r="BD23" s="244" t="str">
        <f>IF($A$2="Annual","",IF('Scheduled Intervals'!BD23&lt;&gt;"",IF($A$2/'Scheduled Intervals'!BD23=ROUND($A$2/'Scheduled Intervals'!BD23,0),"Yes",""),""))</f>
        <v/>
      </c>
      <c r="BE23" s="244" t="str">
        <f>IF($A$2="Annual","",IF('Scheduled Intervals'!BE23&lt;&gt;"",IF($A$2/'Scheduled Intervals'!BE23=ROUND($A$2/'Scheduled Intervals'!BE23,0),"Yes",""),""))</f>
        <v/>
      </c>
      <c r="BF23" s="244" t="str">
        <f>IF($A$2="Annual","",IF('Scheduled Intervals'!BF23&lt;&gt;"",IF($A$2/'Scheduled Intervals'!BF23=ROUND($A$2/'Scheduled Intervals'!BF23,0),"Yes",""),""))</f>
        <v/>
      </c>
      <c r="BG23" s="244" t="str">
        <f>IF($A$2="Annual","",IF('Scheduled Intervals'!BG23&lt;&gt;"",IF($A$2/'Scheduled Intervals'!BG23=ROUND($A$2/'Scheduled Intervals'!BG23,0),"Yes",""),""))</f>
        <v/>
      </c>
      <c r="BH23" s="244" t="str">
        <f>IF($A$2="Annual","",IF('Scheduled Intervals'!BH23&lt;&gt;"",IF($A$2/'Scheduled Intervals'!BH23=ROUND($A$2/'Scheduled Intervals'!BH23,0),"Yes",""),""))</f>
        <v/>
      </c>
      <c r="BI23" s="244" t="str">
        <f>IF($A$2="Annual","",IF('Scheduled Intervals'!BI23&lt;&gt;"",IF($A$2/'Scheduled Intervals'!BI23=ROUND($A$2/'Scheduled Intervals'!BI23,0),"Yes",""),""))</f>
        <v/>
      </c>
      <c r="BJ23" s="244" t="str">
        <f>IF($A$2="Annual","",IF('Scheduled Intervals'!BJ23&lt;&gt;"",IF($A$2/'Scheduled Intervals'!BJ23=ROUND($A$2/'Scheduled Intervals'!BJ23,0),"Yes",""),""))</f>
        <v>Yes</v>
      </c>
      <c r="BK23" s="244" t="str">
        <f>IF($A$2="Annual","",IF('Scheduled Intervals'!BK23&lt;&gt;"",IF($A$2/'Scheduled Intervals'!BK23=ROUND($A$2/'Scheduled Intervals'!BK23,0),"Yes",""),""))</f>
        <v/>
      </c>
      <c r="BL23" s="244" t="str">
        <f>IF($A$2="Annual","",IF('Scheduled Intervals'!BL23&lt;&gt;"",IF($A$2/'Scheduled Intervals'!BL23=ROUND($A$2/'Scheduled Intervals'!BL23,0),"Yes",""),""))</f>
        <v/>
      </c>
      <c r="BM23" s="244" t="str">
        <f>IF($A$2="Annual","",IF('Scheduled Intervals'!BM23&lt;&gt;"",IF($A$2/'Scheduled Intervals'!BM23=ROUND($A$2/'Scheduled Intervals'!BM23,0),"Yes",""),""))</f>
        <v/>
      </c>
      <c r="BN23" s="177" t="str">
        <f>IF(AND($A$2="annual",'Scheduled Intervals'!BN23&lt;&gt;""),"yes","")</f>
        <v/>
      </c>
      <c r="BO23" s="177" t="str">
        <f>IF(AND($A$2="annual",'Scheduled Intervals'!BO23&lt;&gt;""),"yes","")</f>
        <v/>
      </c>
      <c r="BP23" s="177" t="str">
        <f>IF(AND($A$2="annual",'Scheduled Intervals'!BP23&lt;&gt;""),"yes","")</f>
        <v/>
      </c>
    </row>
    <row r="24" spans="1:68" x14ac:dyDescent="0.2">
      <c r="A24" s="133" t="str">
        <f>+'Scheduled Intervals'!A24</f>
        <v>Takeuchi 335</v>
      </c>
      <c r="B24" s="134" t="str">
        <f>IF('Scheduled Intervals'!B24&lt;&gt;"",IF($A$2='Scheduled Intervals'!B24,"Yes",""),"")</f>
        <v/>
      </c>
      <c r="C24" s="134" t="str">
        <f>IF('Scheduled Intervals'!C24&lt;&gt;"",IF($A$2='Scheduled Intervals'!C24,"Yes",""),"")</f>
        <v/>
      </c>
      <c r="D24" s="134" t="str">
        <f>IF('Scheduled Intervals'!D24&lt;&gt;"",IF($A$2='Scheduled Intervals'!D24,"Yes",""),"")</f>
        <v/>
      </c>
      <c r="E24" s="134" t="str">
        <f>IF('Scheduled Intervals'!E24&lt;&gt;"",IF($A$2='Scheduled Intervals'!E24,"Yes",""),"")</f>
        <v/>
      </c>
      <c r="F24" s="134" t="str">
        <f>IF('Scheduled Intervals'!F24&lt;&gt;"",IF($A$2='Scheduled Intervals'!F24,"Yes",""),"")</f>
        <v/>
      </c>
      <c r="G24" s="134" t="str">
        <f>IF('Scheduled Intervals'!G24&lt;&gt;"",IF($A$2='Scheduled Intervals'!G24,"Yes",""),"")</f>
        <v/>
      </c>
      <c r="H24" s="134" t="str">
        <f>IF('Scheduled Intervals'!H24&lt;&gt;"",IF($A$2='Scheduled Intervals'!H24,"Yes",""),"")</f>
        <v/>
      </c>
      <c r="I24" s="134" t="str">
        <f>IF('Scheduled Intervals'!I24&lt;&gt;"",IF($A$2='Scheduled Intervals'!I24,"Yes",""),"")</f>
        <v/>
      </c>
      <c r="J24" s="134" t="str">
        <f>IF('Scheduled Intervals'!J24&lt;&gt;"",IF($A$2='Scheduled Intervals'!J24,"Yes",""),"")</f>
        <v/>
      </c>
      <c r="K24" s="134" t="str">
        <f>IF('Scheduled Intervals'!K24&lt;&gt;"",IF($A$2='Scheduled Intervals'!K24,"Yes",""),"")</f>
        <v/>
      </c>
      <c r="L24" s="134" t="str">
        <f>IF('Scheduled Intervals'!L24&lt;&gt;"",IF($A$2='Scheduled Intervals'!L24,"Yes",""),"")</f>
        <v/>
      </c>
      <c r="M24" s="134" t="str">
        <f>IF('Scheduled Intervals'!M24&lt;&gt;"",IF($A$2='Scheduled Intervals'!M24,"Yes",""),"")</f>
        <v/>
      </c>
      <c r="N24" s="134" t="str">
        <f>IF('Scheduled Intervals'!N24&lt;&gt;"",IF($A$2='Scheduled Intervals'!N24,"Yes",""),"")</f>
        <v/>
      </c>
      <c r="O24" s="134" t="str">
        <f>IF('Scheduled Intervals'!O24&lt;&gt;"",IF($A$2='Scheduled Intervals'!O24,"Yes",""),"")</f>
        <v/>
      </c>
      <c r="P24" s="134" t="str">
        <f>IF('Scheduled Intervals'!P24&lt;&gt;"",IF($A$2='Scheduled Intervals'!P24,"Yes",""),"")</f>
        <v/>
      </c>
      <c r="Q24" s="134" t="str">
        <f>IF('Scheduled Intervals'!Q24&lt;&gt;"",IF($A$2='Scheduled Intervals'!Q24,"Yes",""),"")</f>
        <v/>
      </c>
      <c r="R24" s="134" t="str">
        <f>IF('Scheduled Intervals'!R24&lt;&gt;"",IF($A$2='Scheduled Intervals'!R24,"Yes",""),"")</f>
        <v/>
      </c>
      <c r="S24" s="134" t="str">
        <f>IF('Scheduled Intervals'!S24&lt;&gt;"",IF($A$2='Scheduled Intervals'!S24,"Yes",""),"")</f>
        <v/>
      </c>
      <c r="T24" s="134" t="str">
        <f>IF('Scheduled Intervals'!T24&lt;&gt;"",IF($A$2='Scheduled Intervals'!T24,"Yes",""),"")</f>
        <v/>
      </c>
      <c r="U24" s="244" t="str">
        <f>IF($A$2="Annual","",IF('Scheduled Intervals'!U24&lt;&gt;"",IF($A$2/'Scheduled Intervals'!U24=ROUND($A$2/'Scheduled Intervals'!U24,0),"Yes",""),""))</f>
        <v>Yes</v>
      </c>
      <c r="V24" s="244" t="str">
        <f>IF($A$2="Annual","",IF('Scheduled Intervals'!V24&lt;&gt;"",IF($A$2/'Scheduled Intervals'!V24=ROUND($A$2/'Scheduled Intervals'!V24,0),"Yes",""),""))</f>
        <v/>
      </c>
      <c r="W24" s="244" t="str">
        <f>IF($A$2="Annual","",IF('Scheduled Intervals'!W24&lt;&gt;"",IF($A$2/'Scheduled Intervals'!W24=ROUND($A$2/'Scheduled Intervals'!W24,0),"Yes",""),""))</f>
        <v/>
      </c>
      <c r="X24" s="244" t="str">
        <f>IF($A$2="Annual","",IF('Scheduled Intervals'!X24&lt;&gt;"",IF($A$2/'Scheduled Intervals'!X24=ROUND($A$2/'Scheduled Intervals'!X24,0),"Yes",""),""))</f>
        <v>Yes</v>
      </c>
      <c r="Y24" s="244" t="str">
        <f>IF($A$2="Annual","",IF('Scheduled Intervals'!Y24&lt;&gt;"",IF($A$2/'Scheduled Intervals'!Y24=ROUND($A$2/'Scheduled Intervals'!Y24,0),"Yes",""),""))</f>
        <v/>
      </c>
      <c r="Z24" s="244" t="str">
        <f>IF($A$2="Annual","",IF('Scheduled Intervals'!Z24&lt;&gt;"",IF($A$2/'Scheduled Intervals'!Z24=ROUND($A$2/'Scheduled Intervals'!Z24,0),"Yes",""),""))</f>
        <v>Yes</v>
      </c>
      <c r="AA24" s="244" t="str">
        <f>IF($A$2="Annual","",IF('Scheduled Intervals'!AA24&lt;&gt;"",IF($A$2/'Scheduled Intervals'!AA24=ROUND($A$2/'Scheduled Intervals'!AA24,0),"Yes",""),""))</f>
        <v/>
      </c>
      <c r="AB24" s="244" t="str">
        <f>IF($A$2="Annual","",IF('Scheduled Intervals'!AB24&lt;&gt;"",IF($A$2/'Scheduled Intervals'!AB24=ROUND($A$2/'Scheduled Intervals'!AB24,0),"Yes",""),""))</f>
        <v/>
      </c>
      <c r="AC24" s="244" t="str">
        <f>IF($A$2="Annual","",IF('Scheduled Intervals'!AC24&lt;&gt;"",IF($A$2/'Scheduled Intervals'!AC24=ROUND($A$2/'Scheduled Intervals'!AC24,0),"Yes",""),""))</f>
        <v/>
      </c>
      <c r="AD24" s="244" t="str">
        <f>IF($A$2="Annual","",IF('Scheduled Intervals'!AD24&lt;&gt;"",IF($A$2/'Scheduled Intervals'!AD24=ROUND($A$2/'Scheduled Intervals'!AD24,0),"Yes",""),""))</f>
        <v/>
      </c>
      <c r="AE24" s="244" t="str">
        <f>IF($A$2="Annual","",IF('Scheduled Intervals'!AE24&lt;&gt;"",IF($A$2/'Scheduled Intervals'!AE24=ROUND($A$2/'Scheduled Intervals'!AE24,0),"Yes",""),""))</f>
        <v/>
      </c>
      <c r="AF24" s="244" t="str">
        <f>IF($A$2="Annual","",IF('Scheduled Intervals'!AF24&lt;&gt;"",IF($A$2/'Scheduled Intervals'!AF24=ROUND($A$2/'Scheduled Intervals'!AF24,0),"Yes",""),""))</f>
        <v/>
      </c>
      <c r="AG24" s="244" t="str">
        <f>IF($A$2="Annual","",IF('Scheduled Intervals'!AG24&lt;&gt;"",IF($A$2/'Scheduled Intervals'!AG24=ROUND($A$2/'Scheduled Intervals'!AG24,0),"Yes",""),""))</f>
        <v/>
      </c>
      <c r="AH24" s="244" t="str">
        <f>IF($A$2="Annual","",IF('Scheduled Intervals'!AH24&lt;&gt;"",IF($A$2/'Scheduled Intervals'!AH24=ROUND($A$2/'Scheduled Intervals'!AH24,0),"Yes",""),""))</f>
        <v/>
      </c>
      <c r="AI24" s="244" t="str">
        <f>IF($A$2="Annual","",IF('Scheduled Intervals'!AI24&lt;&gt;"",IF($A$2/'Scheduled Intervals'!AI24=ROUND($A$2/'Scheduled Intervals'!AI24,0),"Yes",""),""))</f>
        <v/>
      </c>
      <c r="AJ24" s="244" t="str">
        <f>IF($A$2="Annual","",IF('Scheduled Intervals'!AJ24&lt;&gt;"",IF($A$2/'Scheduled Intervals'!AJ24=ROUND($A$2/'Scheduled Intervals'!AJ24,0),"Yes",""),""))</f>
        <v/>
      </c>
      <c r="AK24" s="244" t="str">
        <f>IF($A$2="Annual","",IF('Scheduled Intervals'!AK24&lt;&gt;"",IF($A$2/'Scheduled Intervals'!AK24=ROUND($A$2/'Scheduled Intervals'!AK24,0),"Yes",""),""))</f>
        <v/>
      </c>
      <c r="AL24" s="244" t="str">
        <f>IF($A$2="Annual","",IF('Scheduled Intervals'!AL24&lt;&gt;"",IF($A$2/'Scheduled Intervals'!AL24=ROUND($A$2/'Scheduled Intervals'!AL24,0),"Yes",""),""))</f>
        <v/>
      </c>
      <c r="AM24" s="244" t="str">
        <f>IF($A$2="Annual","",IF('Scheduled Intervals'!AM24&lt;&gt;"",IF($A$2/'Scheduled Intervals'!AM24=ROUND($A$2/'Scheduled Intervals'!AM24,0),"Yes",""),""))</f>
        <v/>
      </c>
      <c r="AN24" s="244" t="str">
        <f>IF($A$2="Annual","",IF('Scheduled Intervals'!AN24&lt;&gt;"",IF($A$2/'Scheduled Intervals'!AN24=ROUND($A$2/'Scheduled Intervals'!AN24,0),"Yes",""),""))</f>
        <v/>
      </c>
      <c r="AO24" s="244" t="str">
        <f>IF($A$2="Annual","",IF('Scheduled Intervals'!AO24&lt;&gt;"",IF($A$2/'Scheduled Intervals'!AO24=ROUND($A$2/'Scheduled Intervals'!AO24,0),"Yes",""),""))</f>
        <v/>
      </c>
      <c r="AP24" s="244" t="str">
        <f>IF($A$2="Annual","",IF('Scheduled Intervals'!AP24&lt;&gt;"",IF($A$2/'Scheduled Intervals'!AP24=ROUND($A$2/'Scheduled Intervals'!AP24,0),"Yes",""),""))</f>
        <v>Yes</v>
      </c>
      <c r="AQ24" s="244" t="str">
        <f>IF($A$2="Annual","",IF('Scheduled Intervals'!AQ24&lt;&gt;"",IF($A$2/'Scheduled Intervals'!AQ24=ROUND($A$2/'Scheduled Intervals'!AQ24,0),"Yes",""),""))</f>
        <v/>
      </c>
      <c r="AR24" s="244" t="str">
        <f>IF($A$2="Annual","",IF('Scheduled Intervals'!AR24&lt;&gt;"",IF($A$2/'Scheduled Intervals'!AR24=ROUND($A$2/'Scheduled Intervals'!AR24,0),"Yes",""),""))</f>
        <v/>
      </c>
      <c r="AS24" s="244" t="str">
        <f>IF($A$2="Annual","",IF('Scheduled Intervals'!AS24&lt;&gt;"",IF($A$2/'Scheduled Intervals'!AS24=ROUND($A$2/'Scheduled Intervals'!AS24,0),"Yes",""),""))</f>
        <v/>
      </c>
      <c r="AT24" s="244" t="str">
        <f>IF($A$2="Annual","",IF('Scheduled Intervals'!AT24&lt;&gt;"",IF($A$2/'Scheduled Intervals'!AT24=ROUND($A$2/'Scheduled Intervals'!AT24,0),"Yes",""),""))</f>
        <v>Yes</v>
      </c>
      <c r="AU24" s="244" t="str">
        <f>IF($A$2="Annual","",IF('Scheduled Intervals'!AU24&lt;&gt;"",IF($A$2/'Scheduled Intervals'!AU24=ROUND($A$2/'Scheduled Intervals'!AU24,0),"Yes",""),""))</f>
        <v/>
      </c>
      <c r="AV24" s="244" t="str">
        <f>IF($A$2="Annual","",IF('Scheduled Intervals'!AV24&lt;&gt;"",IF($A$2/'Scheduled Intervals'!AV24=ROUND($A$2/'Scheduled Intervals'!AV24,0),"Yes",""),""))</f>
        <v/>
      </c>
      <c r="AW24" s="244" t="str">
        <f>IF($A$2="Annual","",IF('Scheduled Intervals'!AW24&lt;&gt;"",IF($A$2/'Scheduled Intervals'!AW24=ROUND($A$2/'Scheduled Intervals'!AW24,0),"Yes",""),""))</f>
        <v/>
      </c>
      <c r="AX24" s="244" t="str">
        <f>IF($A$2="Annual","",IF('Scheduled Intervals'!AX24&lt;&gt;"",IF($A$2/'Scheduled Intervals'!AX24=ROUND($A$2/'Scheduled Intervals'!AX24,0),"Yes",""),""))</f>
        <v/>
      </c>
      <c r="AY24" s="244" t="str">
        <f>IF($A$2="Annual","",IF('Scheduled Intervals'!AY24&lt;&gt;"",IF($A$2/'Scheduled Intervals'!AY24=ROUND($A$2/'Scheduled Intervals'!AY24,0),"Yes",""),""))</f>
        <v/>
      </c>
      <c r="AZ24" s="244" t="str">
        <f>IF($A$2="Annual","",IF('Scheduled Intervals'!AZ24&lt;&gt;"",IF($A$2/'Scheduled Intervals'!AZ24=ROUND($A$2/'Scheduled Intervals'!AZ24,0),"Yes",""),""))</f>
        <v>Yes</v>
      </c>
      <c r="BA24" s="244" t="str">
        <f>IF($A$2="Annual","",IF('Scheduled Intervals'!BA24&lt;&gt;"",IF($A$2/'Scheduled Intervals'!BA24=ROUND($A$2/'Scheduled Intervals'!BA24,0),"Yes",""),""))</f>
        <v/>
      </c>
      <c r="BB24" s="244" t="str">
        <f>IF($A$2="Annual","",IF('Scheduled Intervals'!BB24&lt;&gt;"",IF($A$2/'Scheduled Intervals'!BB24=ROUND($A$2/'Scheduled Intervals'!BB24,0),"Yes",""),""))</f>
        <v>Yes</v>
      </c>
      <c r="BC24" s="244" t="str">
        <f>IF($A$2="Annual","",IF('Scheduled Intervals'!BC24&lt;&gt;"",IF($A$2/'Scheduled Intervals'!BC24=ROUND($A$2/'Scheduled Intervals'!BC24,0),"Yes",""),""))</f>
        <v/>
      </c>
      <c r="BD24" s="244" t="str">
        <f>IF($A$2="Annual","",IF('Scheduled Intervals'!BD24&lt;&gt;"",IF($A$2/'Scheduled Intervals'!BD24=ROUND($A$2/'Scheduled Intervals'!BD24,0),"Yes",""),""))</f>
        <v/>
      </c>
      <c r="BE24" s="244" t="str">
        <f>IF($A$2="Annual","",IF('Scheduled Intervals'!BE24&lt;&gt;"",IF($A$2/'Scheduled Intervals'!BE24=ROUND($A$2/'Scheduled Intervals'!BE24,0),"Yes",""),""))</f>
        <v/>
      </c>
      <c r="BF24" s="244" t="str">
        <f>IF($A$2="Annual","",IF('Scheduled Intervals'!BF24&lt;&gt;"",IF($A$2/'Scheduled Intervals'!BF24=ROUND($A$2/'Scheduled Intervals'!BF24,0),"Yes",""),""))</f>
        <v/>
      </c>
      <c r="BG24" s="244" t="str">
        <f>IF($A$2="Annual","",IF('Scheduled Intervals'!BG24&lt;&gt;"",IF($A$2/'Scheduled Intervals'!BG24=ROUND($A$2/'Scheduled Intervals'!BG24,0),"Yes",""),""))</f>
        <v/>
      </c>
      <c r="BH24" s="244" t="str">
        <f>IF($A$2="Annual","",IF('Scheduled Intervals'!BH24&lt;&gt;"",IF($A$2/'Scheduled Intervals'!BH24=ROUND($A$2/'Scheduled Intervals'!BH24,0),"Yes",""),""))</f>
        <v/>
      </c>
      <c r="BI24" s="244" t="str">
        <f>IF($A$2="Annual","",IF('Scheduled Intervals'!BI24&lt;&gt;"",IF($A$2/'Scheduled Intervals'!BI24=ROUND($A$2/'Scheduled Intervals'!BI24,0),"Yes",""),""))</f>
        <v/>
      </c>
      <c r="BJ24" s="244" t="str">
        <f>IF($A$2="Annual","",IF('Scheduled Intervals'!BJ24&lt;&gt;"",IF($A$2/'Scheduled Intervals'!BJ24=ROUND($A$2/'Scheduled Intervals'!BJ24,0),"Yes",""),""))</f>
        <v>Yes</v>
      </c>
      <c r="BK24" s="244" t="str">
        <f>IF($A$2="Annual","",IF('Scheduled Intervals'!BK24&lt;&gt;"",IF($A$2/'Scheduled Intervals'!BK24=ROUND($A$2/'Scheduled Intervals'!BK24,0),"Yes",""),""))</f>
        <v/>
      </c>
      <c r="BL24" s="244" t="str">
        <f>IF($A$2="Annual","",IF('Scheduled Intervals'!BL24&lt;&gt;"",IF($A$2/'Scheduled Intervals'!BL24=ROUND($A$2/'Scheduled Intervals'!BL24,0),"Yes",""),""))</f>
        <v/>
      </c>
      <c r="BM24" s="244" t="str">
        <f>IF($A$2="Annual","",IF('Scheduled Intervals'!BM24&lt;&gt;"",IF($A$2/'Scheduled Intervals'!BM24=ROUND($A$2/'Scheduled Intervals'!BM24,0),"Yes",""),""))</f>
        <v/>
      </c>
      <c r="BN24" s="177" t="str">
        <f>IF(AND($A$2="annual",'Scheduled Intervals'!BN24&lt;&gt;""),"yes","")</f>
        <v/>
      </c>
      <c r="BO24" s="177" t="str">
        <f>IF(AND($A$2="annual",'Scheduled Intervals'!BO24&lt;&gt;""),"yes","")</f>
        <v/>
      </c>
      <c r="BP24" s="177" t="str">
        <f>IF(AND($A$2="annual",'Scheduled Intervals'!BP24&lt;&gt;""),"yes","")</f>
        <v/>
      </c>
    </row>
    <row r="25" spans="1:68" x14ac:dyDescent="0.2">
      <c r="A25" s="133" t="str">
        <f>+'Scheduled Intervals'!A25</f>
        <v>Sany SY up to 35</v>
      </c>
      <c r="B25" s="134" t="str">
        <f>IF('Scheduled Intervals'!B25&lt;&gt;"",IF($A$2='Scheduled Intervals'!B25,"Yes",""),"")</f>
        <v/>
      </c>
      <c r="C25" s="134" t="str">
        <f>IF('Scheduled Intervals'!C25&lt;&gt;"",IF($A$2='Scheduled Intervals'!C25,"Yes",""),"")</f>
        <v/>
      </c>
      <c r="D25" s="134" t="str">
        <f>IF('Scheduled Intervals'!D25&lt;&gt;"",IF($A$2='Scheduled Intervals'!D25,"Yes",""),"")</f>
        <v/>
      </c>
      <c r="E25" s="134" t="str">
        <f>IF('Scheduled Intervals'!E25&lt;&gt;"",IF($A$2='Scheduled Intervals'!E25,"Yes",""),"")</f>
        <v/>
      </c>
      <c r="F25" s="134" t="str">
        <f>IF('Scheduled Intervals'!F25&lt;&gt;"",IF($A$2='Scheduled Intervals'!F25,"Yes",""),"")</f>
        <v/>
      </c>
      <c r="G25" s="134" t="str">
        <f>IF('Scheduled Intervals'!G25&lt;&gt;"",IF($A$2='Scheduled Intervals'!G25,"Yes",""),"")</f>
        <v/>
      </c>
      <c r="H25" s="134" t="str">
        <f>IF('Scheduled Intervals'!H25&lt;&gt;"",IF($A$2='Scheduled Intervals'!H25,"Yes",""),"")</f>
        <v/>
      </c>
      <c r="I25" s="134" t="str">
        <f>IF('Scheduled Intervals'!I25&lt;&gt;"",IF($A$2='Scheduled Intervals'!I25,"Yes",""),"")</f>
        <v/>
      </c>
      <c r="J25" s="134" t="str">
        <f>IF('Scheduled Intervals'!J25&lt;&gt;"",IF($A$2='Scheduled Intervals'!J25,"Yes",""),"")</f>
        <v/>
      </c>
      <c r="K25" s="134" t="str">
        <f>IF('Scheduled Intervals'!K25&lt;&gt;"",IF($A$2='Scheduled Intervals'!K25,"Yes",""),"")</f>
        <v/>
      </c>
      <c r="L25" s="134" t="str">
        <f>IF('Scheduled Intervals'!L25&lt;&gt;"",IF($A$2='Scheduled Intervals'!L25,"Yes",""),"")</f>
        <v/>
      </c>
      <c r="M25" s="134" t="str">
        <f>IF('Scheduled Intervals'!M25&lt;&gt;"",IF($A$2='Scheduled Intervals'!M25,"Yes",""),"")</f>
        <v/>
      </c>
      <c r="N25" s="134" t="str">
        <f>IF('Scheduled Intervals'!N25&lt;&gt;"",IF($A$2='Scheduled Intervals'!N25,"Yes",""),"")</f>
        <v/>
      </c>
      <c r="O25" s="134" t="str">
        <f>IF('Scheduled Intervals'!O25&lt;&gt;"",IF($A$2='Scheduled Intervals'!O25,"Yes",""),"")</f>
        <v/>
      </c>
      <c r="P25" s="134" t="str">
        <f>IF('Scheduled Intervals'!P25&lt;&gt;"",IF($A$2='Scheduled Intervals'!P25,"Yes",""),"")</f>
        <v/>
      </c>
      <c r="Q25" s="134" t="str">
        <f>IF('Scheduled Intervals'!Q25&lt;&gt;"",IF($A$2='Scheduled Intervals'!Q25,"Yes",""),"")</f>
        <v/>
      </c>
      <c r="R25" s="134" t="str">
        <f>IF('Scheduled Intervals'!R25&lt;&gt;"",IF($A$2='Scheduled Intervals'!R25,"Yes",""),"")</f>
        <v/>
      </c>
      <c r="S25" s="134" t="str">
        <f>IF('Scheduled Intervals'!S25&lt;&gt;"",IF($A$2='Scheduled Intervals'!S25,"Yes",""),"")</f>
        <v/>
      </c>
      <c r="T25" s="134" t="str">
        <f>IF('Scheduled Intervals'!T25&lt;&gt;"",IF($A$2='Scheduled Intervals'!T25,"Yes",""),"")</f>
        <v/>
      </c>
      <c r="U25" s="244" t="str">
        <f>IF($A$2="Annual","",IF('Scheduled Intervals'!U25&lt;&gt;"",IF($A$2/'Scheduled Intervals'!U25=ROUND($A$2/'Scheduled Intervals'!U25,0),"Yes",""),""))</f>
        <v>Yes</v>
      </c>
      <c r="V25" s="244" t="str">
        <f>IF($A$2="Annual","",IF('Scheduled Intervals'!V25&lt;&gt;"",IF($A$2/'Scheduled Intervals'!V25=ROUND($A$2/'Scheduled Intervals'!V25,0),"Yes",""),""))</f>
        <v/>
      </c>
      <c r="W25" s="244" t="str">
        <f>IF($A$2="Annual","",IF('Scheduled Intervals'!W25&lt;&gt;"",IF($A$2/'Scheduled Intervals'!W25=ROUND($A$2/'Scheduled Intervals'!W25,0),"Yes",""),""))</f>
        <v/>
      </c>
      <c r="X25" s="244" t="str">
        <f>IF($A$2="Annual","",IF('Scheduled Intervals'!X25&lt;&gt;"",IF($A$2/'Scheduled Intervals'!X25=ROUND($A$2/'Scheduled Intervals'!X25,0),"Yes",""),""))</f>
        <v>Yes</v>
      </c>
      <c r="Y25" s="244" t="str">
        <f>IF($A$2="Annual","",IF('Scheduled Intervals'!Y25&lt;&gt;"",IF($A$2/'Scheduled Intervals'!Y25=ROUND($A$2/'Scheduled Intervals'!Y25,0),"Yes",""),""))</f>
        <v/>
      </c>
      <c r="Z25" s="244" t="str">
        <f>IF($A$2="Annual","",IF('Scheduled Intervals'!Z25&lt;&gt;"",IF($A$2/'Scheduled Intervals'!Z25=ROUND($A$2/'Scheduled Intervals'!Z25,0),"Yes",""),""))</f>
        <v>Yes</v>
      </c>
      <c r="AA25" s="244" t="str">
        <f>IF($A$2="Annual","",IF('Scheduled Intervals'!AA25&lt;&gt;"",IF($A$2/'Scheduled Intervals'!AA25=ROUND($A$2/'Scheduled Intervals'!AA25,0),"Yes",""),""))</f>
        <v/>
      </c>
      <c r="AB25" s="244" t="str">
        <f>IF($A$2="Annual","",IF('Scheduled Intervals'!AB25&lt;&gt;"",IF($A$2/'Scheduled Intervals'!AB25=ROUND($A$2/'Scheduled Intervals'!AB25,0),"Yes",""),""))</f>
        <v/>
      </c>
      <c r="AC25" s="244" t="str">
        <f>IF($A$2="Annual","",IF('Scheduled Intervals'!AC25&lt;&gt;"",IF($A$2/'Scheduled Intervals'!AC25=ROUND($A$2/'Scheduled Intervals'!AC25,0),"Yes",""),""))</f>
        <v/>
      </c>
      <c r="AD25" s="244" t="str">
        <f>IF($A$2="Annual","",IF('Scheduled Intervals'!AD25&lt;&gt;"",IF($A$2/'Scheduled Intervals'!AD25=ROUND($A$2/'Scheduled Intervals'!AD25,0),"Yes",""),""))</f>
        <v/>
      </c>
      <c r="AE25" s="244" t="str">
        <f>IF($A$2="Annual","",IF('Scheduled Intervals'!AE25&lt;&gt;"",IF($A$2/'Scheduled Intervals'!AE25=ROUND($A$2/'Scheduled Intervals'!AE25,0),"Yes",""),""))</f>
        <v/>
      </c>
      <c r="AF25" s="244" t="str">
        <f>IF($A$2="Annual","",IF('Scheduled Intervals'!AF25&lt;&gt;"",IF($A$2/'Scheduled Intervals'!AF25=ROUND($A$2/'Scheduled Intervals'!AF25,0),"Yes",""),""))</f>
        <v/>
      </c>
      <c r="AG25" s="244" t="str">
        <f>IF($A$2="Annual","",IF('Scheduled Intervals'!AG25&lt;&gt;"",IF($A$2/'Scheduled Intervals'!AG25=ROUND($A$2/'Scheduled Intervals'!AG25,0),"Yes",""),""))</f>
        <v/>
      </c>
      <c r="AH25" s="244" t="str">
        <f>IF($A$2="Annual","",IF('Scheduled Intervals'!AH25&lt;&gt;"",IF($A$2/'Scheduled Intervals'!AH25=ROUND($A$2/'Scheduled Intervals'!AH25,0),"Yes",""),""))</f>
        <v/>
      </c>
      <c r="AI25" s="244" t="str">
        <f>IF($A$2="Annual","",IF('Scheduled Intervals'!AI25&lt;&gt;"",IF($A$2/'Scheduled Intervals'!AI25=ROUND($A$2/'Scheduled Intervals'!AI25,0),"Yes",""),""))</f>
        <v/>
      </c>
      <c r="AJ25" s="244" t="str">
        <f>IF($A$2="Annual","",IF('Scheduled Intervals'!AJ25&lt;&gt;"",IF($A$2/'Scheduled Intervals'!AJ25=ROUND($A$2/'Scheduled Intervals'!AJ25,0),"Yes",""),""))</f>
        <v/>
      </c>
      <c r="AK25" s="244" t="str">
        <f>IF($A$2="Annual","",IF('Scheduled Intervals'!AK25&lt;&gt;"",IF($A$2/'Scheduled Intervals'!AK25=ROUND($A$2/'Scheduled Intervals'!AK25,0),"Yes",""),""))</f>
        <v>Yes</v>
      </c>
      <c r="AL25" s="244" t="str">
        <f>IF($A$2="Annual","",IF('Scheduled Intervals'!AL25&lt;&gt;"",IF($A$2/'Scheduled Intervals'!AL25=ROUND($A$2/'Scheduled Intervals'!AL25,0),"Yes",""),""))</f>
        <v/>
      </c>
      <c r="AM25" s="244" t="str">
        <f>IF($A$2="Annual","",IF('Scheduled Intervals'!AM25&lt;&gt;"",IF($A$2/'Scheduled Intervals'!AM25=ROUND($A$2/'Scheduled Intervals'!AM25,0),"Yes",""),""))</f>
        <v/>
      </c>
      <c r="AN25" s="244" t="str">
        <f>IF($A$2="Annual","",IF('Scheduled Intervals'!AN25&lt;&gt;"",IF($A$2/'Scheduled Intervals'!AN25=ROUND($A$2/'Scheduled Intervals'!AN25,0),"Yes",""),""))</f>
        <v/>
      </c>
      <c r="AO25" s="244" t="str">
        <f>IF($A$2="Annual","",IF('Scheduled Intervals'!AO25&lt;&gt;"",IF($A$2/'Scheduled Intervals'!AO25=ROUND($A$2/'Scheduled Intervals'!AO25,0),"Yes",""),""))</f>
        <v/>
      </c>
      <c r="AP25" s="244" t="str">
        <f>IF($A$2="Annual","",IF('Scheduled Intervals'!AP25&lt;&gt;"",IF($A$2/'Scheduled Intervals'!AP25=ROUND($A$2/'Scheduled Intervals'!AP25,0),"Yes",""),""))</f>
        <v/>
      </c>
      <c r="AQ25" s="244" t="str">
        <f>IF($A$2="Annual","",IF('Scheduled Intervals'!AQ25&lt;&gt;"",IF($A$2/'Scheduled Intervals'!AQ25=ROUND($A$2/'Scheduled Intervals'!AQ25,0),"Yes",""),""))</f>
        <v/>
      </c>
      <c r="AR25" s="244" t="str">
        <f>IF($A$2="Annual","",IF('Scheduled Intervals'!AR25&lt;&gt;"",IF($A$2/'Scheduled Intervals'!AR25=ROUND($A$2/'Scheduled Intervals'!AR25,0),"Yes",""),""))</f>
        <v/>
      </c>
      <c r="AS25" s="244" t="str">
        <f>IF($A$2="Annual","",IF('Scheduled Intervals'!AS25&lt;&gt;"",IF($A$2/'Scheduled Intervals'!AS25=ROUND($A$2/'Scheduled Intervals'!AS25,0),"Yes",""),""))</f>
        <v/>
      </c>
      <c r="AT25" s="244" t="str">
        <f>IF($A$2="Annual","",IF('Scheduled Intervals'!AT25&lt;&gt;"",IF($A$2/'Scheduled Intervals'!AT25=ROUND($A$2/'Scheduled Intervals'!AT25,0),"Yes",""),""))</f>
        <v>Yes</v>
      </c>
      <c r="AU25" s="244" t="str">
        <f>IF($A$2="Annual","",IF('Scheduled Intervals'!AU25&lt;&gt;"",IF($A$2/'Scheduled Intervals'!AU25=ROUND($A$2/'Scheduled Intervals'!AU25,0),"Yes",""),""))</f>
        <v/>
      </c>
      <c r="AV25" s="244" t="str">
        <f>IF($A$2="Annual","",IF('Scheduled Intervals'!AV25&lt;&gt;"",IF($A$2/'Scheduled Intervals'!AV25=ROUND($A$2/'Scheduled Intervals'!AV25,0),"Yes",""),""))</f>
        <v/>
      </c>
      <c r="AW25" s="244" t="str">
        <f>IF($A$2="Annual","",IF('Scheduled Intervals'!AW25&lt;&gt;"",IF($A$2/'Scheduled Intervals'!AW25=ROUND($A$2/'Scheduled Intervals'!AW25,0),"Yes",""),""))</f>
        <v/>
      </c>
      <c r="AX25" s="244" t="str">
        <f>IF($A$2="Annual","",IF('Scheduled Intervals'!AX25&lt;&gt;"",IF($A$2/'Scheduled Intervals'!AX25=ROUND($A$2/'Scheduled Intervals'!AX25,0),"Yes",""),""))</f>
        <v/>
      </c>
      <c r="AY25" s="244" t="str">
        <f>IF($A$2="Annual","",IF('Scheduled Intervals'!AY25&lt;&gt;"",IF($A$2/'Scheduled Intervals'!AY25=ROUND($A$2/'Scheduled Intervals'!AY25,0),"Yes",""),""))</f>
        <v/>
      </c>
      <c r="AZ25" s="244" t="str">
        <f>IF($A$2="Annual","",IF('Scheduled Intervals'!AZ25&lt;&gt;"",IF($A$2/'Scheduled Intervals'!AZ25=ROUND($A$2/'Scheduled Intervals'!AZ25,0),"Yes",""),""))</f>
        <v/>
      </c>
      <c r="BA25" s="244" t="str">
        <f>IF($A$2="Annual","",IF('Scheduled Intervals'!BA25&lt;&gt;"",IF($A$2/'Scheduled Intervals'!BA25=ROUND($A$2/'Scheduled Intervals'!BA25,0),"Yes",""),""))</f>
        <v/>
      </c>
      <c r="BB25" s="244" t="str">
        <f>IF($A$2="Annual","",IF('Scheduled Intervals'!BB25&lt;&gt;"",IF($A$2/'Scheduled Intervals'!BB25=ROUND($A$2/'Scheduled Intervals'!BB25,0),"Yes",""),""))</f>
        <v>Yes</v>
      </c>
      <c r="BC25" s="244" t="str">
        <f>IF($A$2="Annual","",IF('Scheduled Intervals'!BC25&lt;&gt;"",IF($A$2/'Scheduled Intervals'!BC25=ROUND($A$2/'Scheduled Intervals'!BC25,0),"Yes",""),""))</f>
        <v/>
      </c>
      <c r="BD25" s="244" t="str">
        <f>IF($A$2="Annual","",IF('Scheduled Intervals'!BD25&lt;&gt;"",IF($A$2/'Scheduled Intervals'!BD25=ROUND($A$2/'Scheduled Intervals'!BD25,0),"Yes",""),""))</f>
        <v/>
      </c>
      <c r="BE25" s="244" t="str">
        <f>IF($A$2="Annual","",IF('Scheduled Intervals'!BE25&lt;&gt;"",IF($A$2/'Scheduled Intervals'!BE25=ROUND($A$2/'Scheduled Intervals'!BE25,0),"Yes",""),""))</f>
        <v/>
      </c>
      <c r="BF25" s="244" t="str">
        <f>IF($A$2="Annual","",IF('Scheduled Intervals'!BF25&lt;&gt;"",IF($A$2/'Scheduled Intervals'!BF25=ROUND($A$2/'Scheduled Intervals'!BF25,0),"Yes",""),""))</f>
        <v/>
      </c>
      <c r="BG25" s="244" t="str">
        <f>IF($A$2="Annual","",IF('Scheduled Intervals'!BG25&lt;&gt;"",IF($A$2/'Scheduled Intervals'!BG25=ROUND($A$2/'Scheduled Intervals'!BG25,0),"Yes",""),""))</f>
        <v/>
      </c>
      <c r="BH25" s="244" t="str">
        <f>IF($A$2="Annual","",IF('Scheduled Intervals'!BH25&lt;&gt;"",IF($A$2/'Scheduled Intervals'!BH25=ROUND($A$2/'Scheduled Intervals'!BH25,0),"Yes",""),""))</f>
        <v/>
      </c>
      <c r="BI25" s="244" t="str">
        <f>IF($A$2="Annual","",IF('Scheduled Intervals'!BI25&lt;&gt;"",IF($A$2/'Scheduled Intervals'!BI25=ROUND($A$2/'Scheduled Intervals'!BI25,0),"Yes",""),""))</f>
        <v/>
      </c>
      <c r="BJ25" s="244" t="str">
        <f>IF($A$2="Annual","",IF('Scheduled Intervals'!BJ25&lt;&gt;"",IF($A$2/'Scheduled Intervals'!BJ25=ROUND($A$2/'Scheduled Intervals'!BJ25,0),"Yes",""),""))</f>
        <v>Yes</v>
      </c>
      <c r="BK25" s="244" t="str">
        <f>IF($A$2="Annual","",IF('Scheduled Intervals'!BK25&lt;&gt;"",IF($A$2/'Scheduled Intervals'!BK25=ROUND($A$2/'Scheduled Intervals'!BK25,0),"Yes",""),""))</f>
        <v/>
      </c>
      <c r="BL25" s="244" t="str">
        <f>IF($A$2="Annual","",IF('Scheduled Intervals'!BL25&lt;&gt;"",IF($A$2/'Scheduled Intervals'!BL25=ROUND($A$2/'Scheduled Intervals'!BL25,0),"Yes",""),""))</f>
        <v/>
      </c>
      <c r="BM25" s="244" t="str">
        <f>IF($A$2="Annual","",IF('Scheduled Intervals'!BM25&lt;&gt;"",IF($A$2/'Scheduled Intervals'!BM25=ROUND($A$2/'Scheduled Intervals'!BM25,0),"Yes",""),""))</f>
        <v/>
      </c>
      <c r="BN25" s="177" t="str">
        <f>IF(AND($A$2="annual",'Scheduled Intervals'!BN25&lt;&gt;""),"yes","")</f>
        <v/>
      </c>
      <c r="BO25" s="177" t="str">
        <f>IF(AND($A$2="annual",'Scheduled Intervals'!BO25&lt;&gt;""),"yes","")</f>
        <v/>
      </c>
      <c r="BP25" s="177" t="str">
        <f>IF(AND($A$2="annual",'Scheduled Intervals'!BP25&lt;&gt;""),"yes","")</f>
        <v/>
      </c>
    </row>
    <row r="26" spans="1:68" x14ac:dyDescent="0.2">
      <c r="A26" s="133" t="str">
        <f>+'Scheduled Intervals'!A26</f>
        <v>Sany SY up to 60</v>
      </c>
      <c r="B26" s="134" t="str">
        <f>IF('Scheduled Intervals'!B26&lt;&gt;"",IF($A$2='Scheduled Intervals'!B26,"Yes",""),"")</f>
        <v/>
      </c>
      <c r="C26" s="134" t="str">
        <f>IF('Scheduled Intervals'!C26&lt;&gt;"",IF($A$2='Scheduled Intervals'!C26,"Yes",""),"")</f>
        <v/>
      </c>
      <c r="D26" s="134" t="str">
        <f>IF('Scheduled Intervals'!D26&lt;&gt;"",IF($A$2='Scheduled Intervals'!D26,"Yes",""),"")</f>
        <v/>
      </c>
      <c r="E26" s="134" t="str">
        <f>IF('Scheduled Intervals'!E26&lt;&gt;"",IF($A$2='Scheduled Intervals'!E26,"Yes",""),"")</f>
        <v/>
      </c>
      <c r="F26" s="134" t="str">
        <f>IF('Scheduled Intervals'!F26&lt;&gt;"",IF($A$2='Scheduled Intervals'!F26,"Yes",""),"")</f>
        <v/>
      </c>
      <c r="G26" s="134" t="str">
        <f>IF('Scheduled Intervals'!G26&lt;&gt;"",IF($A$2='Scheduled Intervals'!G26,"Yes",""),"")</f>
        <v/>
      </c>
      <c r="H26" s="134" t="str">
        <f>IF('Scheduled Intervals'!H26&lt;&gt;"",IF($A$2='Scheduled Intervals'!H26,"Yes",""),"")</f>
        <v/>
      </c>
      <c r="I26" s="134" t="str">
        <f>IF('Scheduled Intervals'!I26&lt;&gt;"",IF($A$2='Scheduled Intervals'!I26,"Yes",""),"")</f>
        <v/>
      </c>
      <c r="J26" s="134" t="str">
        <f>IF('Scheduled Intervals'!J26&lt;&gt;"",IF($A$2='Scheduled Intervals'!J26,"Yes",""),"")</f>
        <v/>
      </c>
      <c r="K26" s="134" t="str">
        <f>IF('Scheduled Intervals'!K26&lt;&gt;"",IF($A$2='Scheduled Intervals'!K26,"Yes",""),"")</f>
        <v/>
      </c>
      <c r="L26" s="134" t="str">
        <f>IF('Scheduled Intervals'!L26&lt;&gt;"",IF($A$2='Scheduled Intervals'!L26,"Yes",""),"")</f>
        <v/>
      </c>
      <c r="M26" s="134" t="str">
        <f>IF('Scheduled Intervals'!M26&lt;&gt;"",IF($A$2='Scheduled Intervals'!M26,"Yes",""),"")</f>
        <v/>
      </c>
      <c r="N26" s="134" t="str">
        <f>IF('Scheduled Intervals'!N26&lt;&gt;"",IF($A$2='Scheduled Intervals'!N26,"Yes",""),"")</f>
        <v/>
      </c>
      <c r="O26" s="134" t="str">
        <f>IF('Scheduled Intervals'!O26&lt;&gt;"",IF($A$2='Scheduled Intervals'!O26,"Yes",""),"")</f>
        <v/>
      </c>
      <c r="P26" s="134" t="str">
        <f>IF('Scheduled Intervals'!P26&lt;&gt;"",IF($A$2='Scheduled Intervals'!P26,"Yes",""),"")</f>
        <v/>
      </c>
      <c r="Q26" s="134" t="str">
        <f>IF('Scheduled Intervals'!Q26&lt;&gt;"",IF($A$2='Scheduled Intervals'!Q26,"Yes",""),"")</f>
        <v/>
      </c>
      <c r="R26" s="134" t="str">
        <f>IF('Scheduled Intervals'!R26&lt;&gt;"",IF($A$2='Scheduled Intervals'!R26,"Yes",""),"")</f>
        <v/>
      </c>
      <c r="S26" s="134" t="str">
        <f>IF('Scheduled Intervals'!S26&lt;&gt;"",IF($A$2='Scheduled Intervals'!S26,"Yes",""),"")</f>
        <v/>
      </c>
      <c r="T26" s="134" t="str">
        <f>IF('Scheduled Intervals'!T26&lt;&gt;"",IF($A$2='Scheduled Intervals'!T26,"Yes",""),"")</f>
        <v/>
      </c>
      <c r="U26" s="244" t="str">
        <f>IF($A$2="Annual","",IF('Scheduled Intervals'!U26&lt;&gt;"",IF($A$2/'Scheduled Intervals'!U26=ROUND($A$2/'Scheduled Intervals'!U26,0),"Yes",""),""))</f>
        <v>Yes</v>
      </c>
      <c r="V26" s="244" t="str">
        <f>IF($A$2="Annual","",IF('Scheduled Intervals'!V26&lt;&gt;"",IF($A$2/'Scheduled Intervals'!V26=ROUND($A$2/'Scheduled Intervals'!V26,0),"Yes",""),""))</f>
        <v/>
      </c>
      <c r="W26" s="244" t="str">
        <f>IF($A$2="Annual","",IF('Scheduled Intervals'!W26&lt;&gt;"",IF($A$2/'Scheduled Intervals'!W26=ROUND($A$2/'Scheduled Intervals'!W26,0),"Yes",""),""))</f>
        <v/>
      </c>
      <c r="X26" s="244" t="str">
        <f>IF($A$2="Annual","",IF('Scheduled Intervals'!X26&lt;&gt;"",IF($A$2/'Scheduled Intervals'!X26=ROUND($A$2/'Scheduled Intervals'!X26,0),"Yes",""),""))</f>
        <v>Yes</v>
      </c>
      <c r="Y26" s="244" t="str">
        <f>IF($A$2="Annual","",IF('Scheduled Intervals'!Y26&lt;&gt;"",IF($A$2/'Scheduled Intervals'!Y26=ROUND($A$2/'Scheduled Intervals'!Y26,0),"Yes",""),""))</f>
        <v/>
      </c>
      <c r="Z26" s="244" t="str">
        <f>IF($A$2="Annual","",IF('Scheduled Intervals'!Z26&lt;&gt;"",IF($A$2/'Scheduled Intervals'!Z26=ROUND($A$2/'Scheduled Intervals'!Z26,0),"Yes",""),""))</f>
        <v>Yes</v>
      </c>
      <c r="AA26" s="244" t="str">
        <f>IF($A$2="Annual","",IF('Scheduled Intervals'!AA26&lt;&gt;"",IF($A$2/'Scheduled Intervals'!AA26=ROUND($A$2/'Scheduled Intervals'!AA26,0),"Yes",""),""))</f>
        <v/>
      </c>
      <c r="AB26" s="244" t="str">
        <f>IF($A$2="Annual","",IF('Scheduled Intervals'!AB26&lt;&gt;"",IF($A$2/'Scheduled Intervals'!AB26=ROUND($A$2/'Scheduled Intervals'!AB26,0),"Yes",""),""))</f>
        <v/>
      </c>
      <c r="AC26" s="244" t="str">
        <f>IF($A$2="Annual","",IF('Scheduled Intervals'!AC26&lt;&gt;"",IF($A$2/'Scheduled Intervals'!AC26=ROUND($A$2/'Scheduled Intervals'!AC26,0),"Yes",""),""))</f>
        <v/>
      </c>
      <c r="AD26" s="244" t="str">
        <f>IF($A$2="Annual","",IF('Scheduled Intervals'!AD26&lt;&gt;"",IF($A$2/'Scheduled Intervals'!AD26=ROUND($A$2/'Scheduled Intervals'!AD26,0),"Yes",""),""))</f>
        <v/>
      </c>
      <c r="AE26" s="244" t="str">
        <f>IF($A$2="Annual","",IF('Scheduled Intervals'!AE26&lt;&gt;"",IF($A$2/'Scheduled Intervals'!AE26=ROUND($A$2/'Scheduled Intervals'!AE26,0),"Yes",""),""))</f>
        <v/>
      </c>
      <c r="AF26" s="244" t="str">
        <f>IF($A$2="Annual","",IF('Scheduled Intervals'!AF26&lt;&gt;"",IF($A$2/'Scheduled Intervals'!AF26=ROUND($A$2/'Scheduled Intervals'!AF26,0),"Yes",""),""))</f>
        <v/>
      </c>
      <c r="AG26" s="244" t="str">
        <f>IF($A$2="Annual","",IF('Scheduled Intervals'!AG26&lt;&gt;"",IF($A$2/'Scheduled Intervals'!AG26=ROUND($A$2/'Scheduled Intervals'!AG26,0),"Yes",""),""))</f>
        <v/>
      </c>
      <c r="AH26" s="244" t="str">
        <f>IF($A$2="Annual","",IF('Scheduled Intervals'!AH26&lt;&gt;"",IF($A$2/'Scheduled Intervals'!AH26=ROUND($A$2/'Scheduled Intervals'!AH26,0),"Yes",""),""))</f>
        <v/>
      </c>
      <c r="AI26" s="244" t="str">
        <f>IF($A$2="Annual","",IF('Scheduled Intervals'!AI26&lt;&gt;"",IF($A$2/'Scheduled Intervals'!AI26=ROUND($A$2/'Scheduled Intervals'!AI26,0),"Yes",""),""))</f>
        <v/>
      </c>
      <c r="AJ26" s="244" t="str">
        <f>IF($A$2="Annual","",IF('Scheduled Intervals'!AJ26&lt;&gt;"",IF($A$2/'Scheduled Intervals'!AJ26=ROUND($A$2/'Scheduled Intervals'!AJ26,0),"Yes",""),""))</f>
        <v/>
      </c>
      <c r="AK26" s="244" t="str">
        <f>IF($A$2="Annual","",IF('Scheduled Intervals'!AK26&lt;&gt;"",IF($A$2/'Scheduled Intervals'!AK26=ROUND($A$2/'Scheduled Intervals'!AK26,0),"Yes",""),""))</f>
        <v>Yes</v>
      </c>
      <c r="AL26" s="244" t="str">
        <f>IF($A$2="Annual","",IF('Scheduled Intervals'!AL26&lt;&gt;"",IF($A$2/'Scheduled Intervals'!AL26=ROUND($A$2/'Scheduled Intervals'!AL26,0),"Yes",""),""))</f>
        <v/>
      </c>
      <c r="AM26" s="244" t="str">
        <f>IF($A$2="Annual","",IF('Scheduled Intervals'!AM26&lt;&gt;"",IF($A$2/'Scheduled Intervals'!AM26=ROUND($A$2/'Scheduled Intervals'!AM26,0),"Yes",""),""))</f>
        <v/>
      </c>
      <c r="AN26" s="244" t="str">
        <f>IF($A$2="Annual","",IF('Scheduled Intervals'!AN26&lt;&gt;"",IF($A$2/'Scheduled Intervals'!AN26=ROUND($A$2/'Scheduled Intervals'!AN26,0),"Yes",""),""))</f>
        <v/>
      </c>
      <c r="AO26" s="244" t="str">
        <f>IF($A$2="Annual","",IF('Scheduled Intervals'!AO26&lt;&gt;"",IF($A$2/'Scheduled Intervals'!AO26=ROUND($A$2/'Scheduled Intervals'!AO26,0),"Yes",""),""))</f>
        <v/>
      </c>
      <c r="AP26" s="244" t="str">
        <f>IF($A$2="Annual","",IF('Scheduled Intervals'!AP26&lt;&gt;"",IF($A$2/'Scheduled Intervals'!AP26=ROUND($A$2/'Scheduled Intervals'!AP26,0),"Yes",""),""))</f>
        <v/>
      </c>
      <c r="AQ26" s="244" t="str">
        <f>IF($A$2="Annual","",IF('Scheduled Intervals'!AQ26&lt;&gt;"",IF($A$2/'Scheduled Intervals'!AQ26=ROUND($A$2/'Scheduled Intervals'!AQ26,0),"Yes",""),""))</f>
        <v/>
      </c>
      <c r="AR26" s="244" t="str">
        <f>IF($A$2="Annual","",IF('Scheduled Intervals'!AR26&lt;&gt;"",IF($A$2/'Scheduled Intervals'!AR26=ROUND($A$2/'Scheduled Intervals'!AR26,0),"Yes",""),""))</f>
        <v/>
      </c>
      <c r="AS26" s="244" t="str">
        <f>IF($A$2="Annual","",IF('Scheduled Intervals'!AS26&lt;&gt;"",IF($A$2/'Scheduled Intervals'!AS26=ROUND($A$2/'Scheduled Intervals'!AS26,0),"Yes",""),""))</f>
        <v/>
      </c>
      <c r="AT26" s="244" t="str">
        <f>IF($A$2="Annual","",IF('Scheduled Intervals'!AT26&lt;&gt;"",IF($A$2/'Scheduled Intervals'!AT26=ROUND($A$2/'Scheduled Intervals'!AT26,0),"Yes",""),""))</f>
        <v>Yes</v>
      </c>
      <c r="AU26" s="244" t="str">
        <f>IF($A$2="Annual","",IF('Scheduled Intervals'!AU26&lt;&gt;"",IF($A$2/'Scheduled Intervals'!AU26=ROUND($A$2/'Scheduled Intervals'!AU26,0),"Yes",""),""))</f>
        <v/>
      </c>
      <c r="AV26" s="244" t="str">
        <f>IF($A$2="Annual","",IF('Scheduled Intervals'!AV26&lt;&gt;"",IF($A$2/'Scheduled Intervals'!AV26=ROUND($A$2/'Scheduled Intervals'!AV26,0),"Yes",""),""))</f>
        <v/>
      </c>
      <c r="AW26" s="244" t="str">
        <f>IF($A$2="Annual","",IF('Scheduled Intervals'!AW26&lt;&gt;"",IF($A$2/'Scheduled Intervals'!AW26=ROUND($A$2/'Scheduled Intervals'!AW26,0),"Yes",""),""))</f>
        <v/>
      </c>
      <c r="AX26" s="244" t="str">
        <f>IF($A$2="Annual","",IF('Scheduled Intervals'!AX26&lt;&gt;"",IF($A$2/'Scheduled Intervals'!AX26=ROUND($A$2/'Scheduled Intervals'!AX26,0),"Yes",""),""))</f>
        <v/>
      </c>
      <c r="AY26" s="244" t="str">
        <f>IF($A$2="Annual","",IF('Scheduled Intervals'!AY26&lt;&gt;"",IF($A$2/'Scheduled Intervals'!AY26=ROUND($A$2/'Scheduled Intervals'!AY26,0),"Yes",""),""))</f>
        <v/>
      </c>
      <c r="AZ26" s="244" t="str">
        <f>IF($A$2="Annual","",IF('Scheduled Intervals'!AZ26&lt;&gt;"",IF($A$2/'Scheduled Intervals'!AZ26=ROUND($A$2/'Scheduled Intervals'!AZ26,0),"Yes",""),""))</f>
        <v/>
      </c>
      <c r="BA26" s="244" t="str">
        <f>IF($A$2="Annual","",IF('Scheduled Intervals'!BA26&lt;&gt;"",IF($A$2/'Scheduled Intervals'!BA26=ROUND($A$2/'Scheduled Intervals'!BA26,0),"Yes",""),""))</f>
        <v/>
      </c>
      <c r="BB26" s="244" t="str">
        <f>IF($A$2="Annual","",IF('Scheduled Intervals'!BB26&lt;&gt;"",IF($A$2/'Scheduled Intervals'!BB26=ROUND($A$2/'Scheduled Intervals'!BB26,0),"Yes",""),""))</f>
        <v>Yes</v>
      </c>
      <c r="BC26" s="244" t="str">
        <f>IF($A$2="Annual","",IF('Scheduled Intervals'!BC26&lt;&gt;"",IF($A$2/'Scheduled Intervals'!BC26=ROUND($A$2/'Scheduled Intervals'!BC26,0),"Yes",""),""))</f>
        <v/>
      </c>
      <c r="BD26" s="244" t="str">
        <f>IF($A$2="Annual","",IF('Scheduled Intervals'!BD26&lt;&gt;"",IF($A$2/'Scheduled Intervals'!BD26=ROUND($A$2/'Scheduled Intervals'!BD26,0),"Yes",""),""))</f>
        <v/>
      </c>
      <c r="BE26" s="244" t="str">
        <f>IF($A$2="Annual","",IF('Scheduled Intervals'!BE26&lt;&gt;"",IF($A$2/'Scheduled Intervals'!BE26=ROUND($A$2/'Scheduled Intervals'!BE26,0),"Yes",""),""))</f>
        <v/>
      </c>
      <c r="BF26" s="244" t="str">
        <f>IF($A$2="Annual","",IF('Scheduled Intervals'!BF26&lt;&gt;"",IF($A$2/'Scheduled Intervals'!BF26=ROUND($A$2/'Scheduled Intervals'!BF26,0),"Yes",""),""))</f>
        <v/>
      </c>
      <c r="BG26" s="244" t="str">
        <f>IF($A$2="Annual","",IF('Scheduled Intervals'!BG26&lt;&gt;"",IF($A$2/'Scheduled Intervals'!BG26=ROUND($A$2/'Scheduled Intervals'!BG26,0),"Yes",""),""))</f>
        <v/>
      </c>
      <c r="BH26" s="244" t="str">
        <f>IF($A$2="Annual","",IF('Scheduled Intervals'!BH26&lt;&gt;"",IF($A$2/'Scheduled Intervals'!BH26=ROUND($A$2/'Scheduled Intervals'!BH26,0),"Yes",""),""))</f>
        <v/>
      </c>
      <c r="BI26" s="244" t="str">
        <f>IF($A$2="Annual","",IF('Scheduled Intervals'!BI26&lt;&gt;"",IF($A$2/'Scheduled Intervals'!BI26=ROUND($A$2/'Scheduled Intervals'!BI26,0),"Yes",""),""))</f>
        <v/>
      </c>
      <c r="BJ26" s="244" t="str">
        <f>IF($A$2="Annual","",IF('Scheduled Intervals'!BJ26&lt;&gt;"",IF($A$2/'Scheduled Intervals'!BJ26=ROUND($A$2/'Scheduled Intervals'!BJ26,0),"Yes",""),""))</f>
        <v>Yes</v>
      </c>
      <c r="BK26" s="244" t="str">
        <f>IF($A$2="Annual","",IF('Scheduled Intervals'!BK26&lt;&gt;"",IF($A$2/'Scheduled Intervals'!BK26=ROUND($A$2/'Scheduled Intervals'!BK26,0),"Yes",""),""))</f>
        <v/>
      </c>
      <c r="BL26" s="244" t="str">
        <f>IF($A$2="Annual","",IF('Scheduled Intervals'!BL26&lt;&gt;"",IF($A$2/'Scheduled Intervals'!BL26=ROUND($A$2/'Scheduled Intervals'!BL26,0),"Yes",""),""))</f>
        <v/>
      </c>
      <c r="BM26" s="244" t="str">
        <f>IF($A$2="Annual","",IF('Scheduled Intervals'!BM26&lt;&gt;"",IF($A$2/'Scheduled Intervals'!BM26=ROUND($A$2/'Scheduled Intervals'!BM26,0),"Yes",""),""))</f>
        <v/>
      </c>
      <c r="BN26" s="177" t="str">
        <f>IF(AND($A$2="annual",'Scheduled Intervals'!BN26&lt;&gt;""),"yes","")</f>
        <v/>
      </c>
      <c r="BO26" s="177" t="str">
        <f>IF(AND($A$2="annual",'Scheduled Intervals'!BO26&lt;&gt;""),"yes","")</f>
        <v/>
      </c>
      <c r="BP26" s="177" t="str">
        <f>IF(AND($A$2="annual",'Scheduled Intervals'!BP26&lt;&gt;""),"yes","")</f>
        <v/>
      </c>
    </row>
    <row r="27" spans="1:68" x14ac:dyDescent="0.2">
      <c r="A27" s="133" t="str">
        <f>+'Scheduled Intervals'!A27</f>
        <v>Sany SY up to 155</v>
      </c>
      <c r="B27" s="134" t="str">
        <f>IF('Scheduled Intervals'!B27&lt;&gt;"",IF($A$2='Scheduled Intervals'!B27,"Yes",""),"")</f>
        <v/>
      </c>
      <c r="C27" s="134" t="str">
        <f>IF('Scheduled Intervals'!C27&lt;&gt;"",IF($A$2='Scheduled Intervals'!C27,"Yes",""),"")</f>
        <v/>
      </c>
      <c r="D27" s="134" t="str">
        <f>IF('Scheduled Intervals'!D27&lt;&gt;"",IF($A$2='Scheduled Intervals'!D27,"Yes",""),"")</f>
        <v/>
      </c>
      <c r="E27" s="134" t="str">
        <f>IF('Scheduled Intervals'!E27&lt;&gt;"",IF($A$2='Scheduled Intervals'!E27,"Yes",""),"")</f>
        <v/>
      </c>
      <c r="F27" s="134" t="str">
        <f>IF('Scheduled Intervals'!F27&lt;&gt;"",IF($A$2='Scheduled Intervals'!F27,"Yes",""),"")</f>
        <v/>
      </c>
      <c r="G27" s="134" t="str">
        <f>IF('Scheduled Intervals'!G27&lt;&gt;"",IF($A$2='Scheduled Intervals'!G27,"Yes",""),"")</f>
        <v/>
      </c>
      <c r="H27" s="134" t="str">
        <f>IF('Scheduled Intervals'!H27&lt;&gt;"",IF($A$2='Scheduled Intervals'!H27,"Yes",""),"")</f>
        <v/>
      </c>
      <c r="I27" s="134" t="str">
        <f>IF('Scheduled Intervals'!I27&lt;&gt;"",IF($A$2='Scheduled Intervals'!I27,"Yes",""),"")</f>
        <v/>
      </c>
      <c r="J27" s="134" t="str">
        <f>IF('Scheduled Intervals'!J27&lt;&gt;"",IF($A$2='Scheduled Intervals'!J27,"Yes",""),"")</f>
        <v/>
      </c>
      <c r="K27" s="134" t="str">
        <f>IF('Scheduled Intervals'!K27&lt;&gt;"",IF($A$2='Scheduled Intervals'!K27,"Yes",""),"")</f>
        <v/>
      </c>
      <c r="L27" s="134" t="str">
        <f>IF('Scheduled Intervals'!L27&lt;&gt;"",IF($A$2='Scheduled Intervals'!L27,"Yes",""),"")</f>
        <v/>
      </c>
      <c r="M27" s="134" t="str">
        <f>IF('Scheduled Intervals'!M27&lt;&gt;"",IF($A$2='Scheduled Intervals'!M27,"Yes",""),"")</f>
        <v/>
      </c>
      <c r="N27" s="134" t="str">
        <f>IF('Scheduled Intervals'!N27&lt;&gt;"",IF($A$2='Scheduled Intervals'!N27,"Yes",""),"")</f>
        <v/>
      </c>
      <c r="O27" s="134" t="str">
        <f>IF('Scheduled Intervals'!O27&lt;&gt;"",IF($A$2='Scheduled Intervals'!O27,"Yes",""),"")</f>
        <v/>
      </c>
      <c r="P27" s="134" t="str">
        <f>IF('Scheduled Intervals'!P27&lt;&gt;"",IF($A$2='Scheduled Intervals'!P27,"Yes",""),"")</f>
        <v/>
      </c>
      <c r="Q27" s="134" t="str">
        <f>IF('Scheduled Intervals'!Q27&lt;&gt;"",IF($A$2='Scheduled Intervals'!Q27,"Yes",""),"")</f>
        <v/>
      </c>
      <c r="R27" s="134" t="str">
        <f>IF('Scheduled Intervals'!R27&lt;&gt;"",IF($A$2='Scheduled Intervals'!R27,"Yes",""),"")</f>
        <v/>
      </c>
      <c r="S27" s="134" t="str">
        <f>IF('Scheduled Intervals'!S27&lt;&gt;"",IF($A$2='Scheduled Intervals'!S27,"Yes",""),"")</f>
        <v/>
      </c>
      <c r="T27" s="134" t="str">
        <f>IF('Scheduled Intervals'!T27&lt;&gt;"",IF($A$2='Scheduled Intervals'!T27,"Yes",""),"")</f>
        <v/>
      </c>
      <c r="U27" s="244" t="str">
        <f>IF($A$2="Annual","",IF('Scheduled Intervals'!U27&lt;&gt;"",IF($A$2/'Scheduled Intervals'!U27=ROUND($A$2/'Scheduled Intervals'!U27,0),"Yes",""),""))</f>
        <v>Yes</v>
      </c>
      <c r="V27" s="244" t="str">
        <f>IF($A$2="Annual","",IF('Scheduled Intervals'!V27&lt;&gt;"",IF($A$2/'Scheduled Intervals'!V27=ROUND($A$2/'Scheduled Intervals'!V27,0),"Yes",""),""))</f>
        <v/>
      </c>
      <c r="W27" s="244" t="str">
        <f>IF($A$2="Annual","",IF('Scheduled Intervals'!W27&lt;&gt;"",IF($A$2/'Scheduled Intervals'!W27=ROUND($A$2/'Scheduled Intervals'!W27,0),"Yes",""),""))</f>
        <v/>
      </c>
      <c r="X27" s="244" t="str">
        <f>IF($A$2="Annual","",IF('Scheduled Intervals'!X27&lt;&gt;"",IF($A$2/'Scheduled Intervals'!X27=ROUND($A$2/'Scheduled Intervals'!X27,0),"Yes",""),""))</f>
        <v/>
      </c>
      <c r="Y27" s="244" t="str">
        <f>IF($A$2="Annual","",IF('Scheduled Intervals'!Y27&lt;&gt;"",IF($A$2/'Scheduled Intervals'!Y27=ROUND($A$2/'Scheduled Intervals'!Y27,0),"Yes",""),""))</f>
        <v/>
      </c>
      <c r="Z27" s="244" t="str">
        <f>IF($A$2="Annual","",IF('Scheduled Intervals'!Z27&lt;&gt;"",IF($A$2/'Scheduled Intervals'!Z27=ROUND($A$2/'Scheduled Intervals'!Z27,0),"Yes",""),""))</f>
        <v>Yes</v>
      </c>
      <c r="AA27" s="244" t="str">
        <f>IF($A$2="Annual","",IF('Scheduled Intervals'!AA27&lt;&gt;"",IF($A$2/'Scheduled Intervals'!AA27=ROUND($A$2/'Scheduled Intervals'!AA27,0),"Yes",""),""))</f>
        <v/>
      </c>
      <c r="AB27" s="244" t="str">
        <f>IF($A$2="Annual","",IF('Scheduled Intervals'!AB27&lt;&gt;"",IF($A$2/'Scheduled Intervals'!AB27=ROUND($A$2/'Scheduled Intervals'!AB27,0),"Yes",""),""))</f>
        <v/>
      </c>
      <c r="AC27" s="244" t="str">
        <f>IF($A$2="Annual","",IF('Scheduled Intervals'!AC27&lt;&gt;"",IF($A$2/'Scheduled Intervals'!AC27=ROUND($A$2/'Scheduled Intervals'!AC27,0),"Yes",""),""))</f>
        <v/>
      </c>
      <c r="AD27" s="244" t="str">
        <f>IF($A$2="Annual","",IF('Scheduled Intervals'!AD27&lt;&gt;"",IF($A$2/'Scheduled Intervals'!AD27=ROUND($A$2/'Scheduled Intervals'!AD27,0),"Yes",""),""))</f>
        <v/>
      </c>
      <c r="AE27" s="244" t="str">
        <f>IF($A$2="Annual","",IF('Scheduled Intervals'!AE27&lt;&gt;"",IF($A$2/'Scheduled Intervals'!AE27=ROUND($A$2/'Scheduled Intervals'!AE27,0),"Yes",""),""))</f>
        <v/>
      </c>
      <c r="AF27" s="244" t="str">
        <f>IF($A$2="Annual","",IF('Scheduled Intervals'!AF27&lt;&gt;"",IF($A$2/'Scheduled Intervals'!AF27=ROUND($A$2/'Scheduled Intervals'!AF27,0),"Yes",""),""))</f>
        <v>Yes</v>
      </c>
      <c r="AG27" s="244" t="str">
        <f>IF($A$2="Annual","",IF('Scheduled Intervals'!AG27&lt;&gt;"",IF($A$2/'Scheduled Intervals'!AG27=ROUND($A$2/'Scheduled Intervals'!AG27,0),"Yes",""),""))</f>
        <v/>
      </c>
      <c r="AH27" s="244" t="str">
        <f>IF($A$2="Annual","",IF('Scheduled Intervals'!AH27&lt;&gt;"",IF($A$2/'Scheduled Intervals'!AH27=ROUND($A$2/'Scheduled Intervals'!AH27,0),"Yes",""),""))</f>
        <v/>
      </c>
      <c r="AI27" s="244" t="str">
        <f>IF($A$2="Annual","",IF('Scheduled Intervals'!AI27&lt;&gt;"",IF($A$2/'Scheduled Intervals'!AI27=ROUND($A$2/'Scheduled Intervals'!AI27,0),"Yes",""),""))</f>
        <v/>
      </c>
      <c r="AJ27" s="244" t="str">
        <f>IF($A$2="Annual","",IF('Scheduled Intervals'!AJ27&lt;&gt;"",IF($A$2/'Scheduled Intervals'!AJ27=ROUND($A$2/'Scheduled Intervals'!AJ27,0),"Yes",""),""))</f>
        <v/>
      </c>
      <c r="AK27" s="244" t="str">
        <f>IF($A$2="Annual","",IF('Scheduled Intervals'!AK27&lt;&gt;"",IF($A$2/'Scheduled Intervals'!AK27=ROUND($A$2/'Scheduled Intervals'!AK27,0),"Yes",""),""))</f>
        <v/>
      </c>
      <c r="AL27" s="244" t="str">
        <f>IF($A$2="Annual","",IF('Scheduled Intervals'!AL27&lt;&gt;"",IF($A$2/'Scheduled Intervals'!AL27=ROUND($A$2/'Scheduled Intervals'!AL27,0),"Yes",""),""))</f>
        <v/>
      </c>
      <c r="AM27" s="244" t="str">
        <f>IF($A$2="Annual","",IF('Scheduled Intervals'!AM27&lt;&gt;"",IF($A$2/'Scheduled Intervals'!AM27=ROUND($A$2/'Scheduled Intervals'!AM27,0),"Yes",""),""))</f>
        <v/>
      </c>
      <c r="AN27" s="244" t="str">
        <f>IF($A$2="Annual","",IF('Scheduled Intervals'!AN27&lt;&gt;"",IF($A$2/'Scheduled Intervals'!AN27=ROUND($A$2/'Scheduled Intervals'!AN27,0),"Yes",""),""))</f>
        <v/>
      </c>
      <c r="AO27" s="244" t="str">
        <f>IF($A$2="Annual","",IF('Scheduled Intervals'!AO27&lt;&gt;"",IF($A$2/'Scheduled Intervals'!AO27=ROUND($A$2/'Scheduled Intervals'!AO27,0),"Yes",""),""))</f>
        <v/>
      </c>
      <c r="AP27" s="244" t="str">
        <f>IF($A$2="Annual","",IF('Scheduled Intervals'!AP27&lt;&gt;"",IF($A$2/'Scheduled Intervals'!AP27=ROUND($A$2/'Scheduled Intervals'!AP27,0),"Yes",""),""))</f>
        <v/>
      </c>
      <c r="AQ27" s="244" t="str">
        <f>IF($A$2="Annual","",IF('Scheduled Intervals'!AQ27&lt;&gt;"",IF($A$2/'Scheduled Intervals'!AQ27=ROUND($A$2/'Scheduled Intervals'!AQ27,0),"Yes",""),""))</f>
        <v/>
      </c>
      <c r="AR27" s="244" t="str">
        <f>IF($A$2="Annual","",IF('Scheduled Intervals'!AR27&lt;&gt;"",IF($A$2/'Scheduled Intervals'!AR27=ROUND($A$2/'Scheduled Intervals'!AR27,0),"Yes",""),""))</f>
        <v/>
      </c>
      <c r="AS27" s="244" t="str">
        <f>IF($A$2="Annual","",IF('Scheduled Intervals'!AS27&lt;&gt;"",IF($A$2/'Scheduled Intervals'!AS27=ROUND($A$2/'Scheduled Intervals'!AS27,0),"Yes",""),""))</f>
        <v/>
      </c>
      <c r="AT27" s="244" t="str">
        <f>IF($A$2="Annual","",IF('Scheduled Intervals'!AT27&lt;&gt;"",IF($A$2/'Scheduled Intervals'!AT27=ROUND($A$2/'Scheduled Intervals'!AT27,0),"Yes",""),""))</f>
        <v>Yes</v>
      </c>
      <c r="AU27" s="244" t="str">
        <f>IF($A$2="Annual","",IF('Scheduled Intervals'!AU27&lt;&gt;"",IF($A$2/'Scheduled Intervals'!AU27=ROUND($A$2/'Scheduled Intervals'!AU27,0),"Yes",""),""))</f>
        <v/>
      </c>
      <c r="AV27" s="244" t="str">
        <f>IF($A$2="Annual","",IF('Scheduled Intervals'!AV27&lt;&gt;"",IF($A$2/'Scheduled Intervals'!AV27=ROUND($A$2/'Scheduled Intervals'!AV27,0),"Yes",""),""))</f>
        <v/>
      </c>
      <c r="AW27" s="244" t="str">
        <f>IF($A$2="Annual","",IF('Scheduled Intervals'!AW27&lt;&gt;"",IF($A$2/'Scheduled Intervals'!AW27=ROUND($A$2/'Scheduled Intervals'!AW27,0),"Yes",""),""))</f>
        <v/>
      </c>
      <c r="AX27" s="244" t="str">
        <f>IF($A$2="Annual","",IF('Scheduled Intervals'!AX27&lt;&gt;"",IF($A$2/'Scheduled Intervals'!AX27=ROUND($A$2/'Scheduled Intervals'!AX27,0),"Yes",""),""))</f>
        <v/>
      </c>
      <c r="AY27" s="244" t="str">
        <f>IF($A$2="Annual","",IF('Scheduled Intervals'!AY27&lt;&gt;"",IF($A$2/'Scheduled Intervals'!AY27=ROUND($A$2/'Scheduled Intervals'!AY27,0),"Yes",""),""))</f>
        <v/>
      </c>
      <c r="AZ27" s="244" t="str">
        <f>IF($A$2="Annual","",IF('Scheduled Intervals'!AZ27&lt;&gt;"",IF($A$2/'Scheduled Intervals'!AZ27=ROUND($A$2/'Scheduled Intervals'!AZ27,0),"Yes",""),""))</f>
        <v/>
      </c>
      <c r="BA27" s="244" t="str">
        <f>IF($A$2="Annual","",IF('Scheduled Intervals'!BA27&lt;&gt;"",IF($A$2/'Scheduled Intervals'!BA27=ROUND($A$2/'Scheduled Intervals'!BA27,0),"Yes",""),""))</f>
        <v/>
      </c>
      <c r="BB27" s="244" t="str">
        <f>IF($A$2="Annual","",IF('Scheduled Intervals'!BB27&lt;&gt;"",IF($A$2/'Scheduled Intervals'!BB27=ROUND($A$2/'Scheduled Intervals'!BB27,0),"Yes",""),""))</f>
        <v>Yes</v>
      </c>
      <c r="BC27" s="244" t="str">
        <f>IF($A$2="Annual","",IF('Scheduled Intervals'!BC27&lt;&gt;"",IF($A$2/'Scheduled Intervals'!BC27=ROUND($A$2/'Scheduled Intervals'!BC27,0),"Yes",""),""))</f>
        <v/>
      </c>
      <c r="BD27" s="244" t="str">
        <f>IF($A$2="Annual","",IF('Scheduled Intervals'!BD27&lt;&gt;"",IF($A$2/'Scheduled Intervals'!BD27=ROUND($A$2/'Scheduled Intervals'!BD27,0),"Yes",""),""))</f>
        <v/>
      </c>
      <c r="BE27" s="244" t="str">
        <f>IF($A$2="Annual","",IF('Scheduled Intervals'!BE27&lt;&gt;"",IF($A$2/'Scheduled Intervals'!BE27=ROUND($A$2/'Scheduled Intervals'!BE27,0),"Yes",""),""))</f>
        <v/>
      </c>
      <c r="BF27" s="244" t="str">
        <f>IF($A$2="Annual","",IF('Scheduled Intervals'!BF27&lt;&gt;"",IF($A$2/'Scheduled Intervals'!BF27=ROUND($A$2/'Scheduled Intervals'!BF27,0),"Yes",""),""))</f>
        <v/>
      </c>
      <c r="BG27" s="244" t="str">
        <f>IF($A$2="Annual","",IF('Scheduled Intervals'!BG27&lt;&gt;"",IF($A$2/'Scheduled Intervals'!BG27=ROUND($A$2/'Scheduled Intervals'!BG27,0),"Yes",""),""))</f>
        <v/>
      </c>
      <c r="BH27" s="244" t="str">
        <f>IF($A$2="Annual","",IF('Scheduled Intervals'!BH27&lt;&gt;"",IF($A$2/'Scheduled Intervals'!BH27=ROUND($A$2/'Scheduled Intervals'!BH27,0),"Yes",""),""))</f>
        <v/>
      </c>
      <c r="BI27" s="244" t="str">
        <f>IF($A$2="Annual","",IF('Scheduled Intervals'!BI27&lt;&gt;"",IF($A$2/'Scheduled Intervals'!BI27=ROUND($A$2/'Scheduled Intervals'!BI27,0),"Yes",""),""))</f>
        <v/>
      </c>
      <c r="BJ27" s="244" t="str">
        <f>IF($A$2="Annual","",IF('Scheduled Intervals'!BJ27&lt;&gt;"",IF($A$2/'Scheduled Intervals'!BJ27=ROUND($A$2/'Scheduled Intervals'!BJ27,0),"Yes",""),""))</f>
        <v>Yes</v>
      </c>
      <c r="BK27" s="244" t="str">
        <f>IF($A$2="Annual","",IF('Scheduled Intervals'!BK27&lt;&gt;"",IF($A$2/'Scheduled Intervals'!BK27=ROUND($A$2/'Scheduled Intervals'!BK27,0),"Yes",""),""))</f>
        <v/>
      </c>
      <c r="BL27" s="244" t="str">
        <f>IF($A$2="Annual","",IF('Scheduled Intervals'!BL27&lt;&gt;"",IF($A$2/'Scheduled Intervals'!BL27=ROUND($A$2/'Scheduled Intervals'!BL27,0),"Yes",""),""))</f>
        <v/>
      </c>
      <c r="BM27" s="244" t="str">
        <f>IF($A$2="Annual","",IF('Scheduled Intervals'!BM27&lt;&gt;"",IF($A$2/'Scheduled Intervals'!BM27=ROUND($A$2/'Scheduled Intervals'!BM27,0),"Yes",""),""))</f>
        <v/>
      </c>
      <c r="BN27" s="177" t="str">
        <f>IF(AND($A$2="annual",'Scheduled Intervals'!BN27&lt;&gt;""),"yes","")</f>
        <v/>
      </c>
      <c r="BO27" s="177" t="str">
        <f>IF(AND($A$2="annual",'Scheduled Intervals'!BO27&lt;&gt;""),"yes","")</f>
        <v/>
      </c>
      <c r="BP27" s="177" t="str">
        <f>IF(AND($A$2="annual",'Scheduled Intervals'!BP27&lt;&gt;""),"yes","")</f>
        <v/>
      </c>
    </row>
    <row r="28" spans="1:68" x14ac:dyDescent="0.2">
      <c r="A28" s="133" t="str">
        <f>+'Scheduled Intervals'!A28</f>
        <v>Sany SY up to 215</v>
      </c>
      <c r="B28" s="134" t="str">
        <f>IF('Scheduled Intervals'!B28&lt;&gt;"",IF($A$2='Scheduled Intervals'!B28,"Yes",""),"")</f>
        <v/>
      </c>
      <c r="C28" s="134" t="str">
        <f>IF('Scheduled Intervals'!C28&lt;&gt;"",IF($A$2='Scheduled Intervals'!C28,"Yes",""),"")</f>
        <v/>
      </c>
      <c r="D28" s="134" t="str">
        <f>IF('Scheduled Intervals'!D28&lt;&gt;"",IF($A$2='Scheduled Intervals'!D28,"Yes",""),"")</f>
        <v/>
      </c>
      <c r="E28" s="134" t="str">
        <f>IF('Scheduled Intervals'!E28&lt;&gt;"",IF($A$2='Scheduled Intervals'!E28,"Yes",""),"")</f>
        <v/>
      </c>
      <c r="F28" s="134" t="str">
        <f>IF('Scheduled Intervals'!F28&lt;&gt;"",IF($A$2='Scheduled Intervals'!F28,"Yes",""),"")</f>
        <v/>
      </c>
      <c r="G28" s="134" t="str">
        <f>IF('Scheduled Intervals'!G28&lt;&gt;"",IF($A$2='Scheduled Intervals'!G28,"Yes",""),"")</f>
        <v/>
      </c>
      <c r="H28" s="134" t="str">
        <f>IF('Scheduled Intervals'!H28&lt;&gt;"",IF($A$2='Scheduled Intervals'!H28,"Yes",""),"")</f>
        <v/>
      </c>
      <c r="I28" s="134" t="str">
        <f>IF('Scheduled Intervals'!I28&lt;&gt;"",IF($A$2='Scheduled Intervals'!I28,"Yes",""),"")</f>
        <v/>
      </c>
      <c r="J28" s="134" t="str">
        <f>IF('Scheduled Intervals'!J28&lt;&gt;"",IF($A$2='Scheduled Intervals'!J28,"Yes",""),"")</f>
        <v/>
      </c>
      <c r="K28" s="134" t="str">
        <f>IF('Scheduled Intervals'!K28&lt;&gt;"",IF($A$2='Scheduled Intervals'!K28,"Yes",""),"")</f>
        <v/>
      </c>
      <c r="L28" s="134" t="str">
        <f>IF('Scheduled Intervals'!L28&lt;&gt;"",IF($A$2='Scheduled Intervals'!L28,"Yes",""),"")</f>
        <v/>
      </c>
      <c r="M28" s="134" t="str">
        <f>IF('Scheduled Intervals'!M28&lt;&gt;"",IF($A$2='Scheduled Intervals'!M28,"Yes",""),"")</f>
        <v/>
      </c>
      <c r="N28" s="134" t="str">
        <f>IF('Scheduled Intervals'!N28&lt;&gt;"",IF($A$2='Scheduled Intervals'!N28,"Yes",""),"")</f>
        <v/>
      </c>
      <c r="O28" s="134" t="str">
        <f>IF('Scheduled Intervals'!O28&lt;&gt;"",IF($A$2='Scheduled Intervals'!O28,"Yes",""),"")</f>
        <v/>
      </c>
      <c r="P28" s="134" t="str">
        <f>IF('Scheduled Intervals'!P28&lt;&gt;"",IF($A$2='Scheduled Intervals'!P28,"Yes",""),"")</f>
        <v/>
      </c>
      <c r="Q28" s="134" t="str">
        <f>IF('Scheduled Intervals'!Q28&lt;&gt;"",IF($A$2='Scheduled Intervals'!Q28,"Yes",""),"")</f>
        <v/>
      </c>
      <c r="R28" s="134" t="str">
        <f>IF('Scheduled Intervals'!R28&lt;&gt;"",IF($A$2='Scheduled Intervals'!R28,"Yes",""),"")</f>
        <v/>
      </c>
      <c r="S28" s="134" t="str">
        <f>IF('Scheduled Intervals'!S28&lt;&gt;"",IF($A$2='Scheduled Intervals'!S28,"Yes",""),"")</f>
        <v/>
      </c>
      <c r="T28" s="134" t="str">
        <f>IF('Scheduled Intervals'!T28&lt;&gt;"",IF($A$2='Scheduled Intervals'!T28,"Yes",""),"")</f>
        <v/>
      </c>
      <c r="U28" s="244" t="str">
        <f>IF($A$2="Annual","",IF('Scheduled Intervals'!U28&lt;&gt;"",IF($A$2/'Scheduled Intervals'!U28=ROUND($A$2/'Scheduled Intervals'!U28,0),"Yes",""),""))</f>
        <v>Yes</v>
      </c>
      <c r="V28" s="244" t="str">
        <f>IF($A$2="Annual","",IF('Scheduled Intervals'!V28&lt;&gt;"",IF($A$2/'Scheduled Intervals'!V28=ROUND($A$2/'Scheduled Intervals'!V28,0),"Yes",""),""))</f>
        <v/>
      </c>
      <c r="W28" s="244" t="str">
        <f>IF($A$2="Annual","",IF('Scheduled Intervals'!W28&lt;&gt;"",IF($A$2/'Scheduled Intervals'!W28=ROUND($A$2/'Scheduled Intervals'!W28,0),"Yes",""),""))</f>
        <v/>
      </c>
      <c r="X28" s="244" t="str">
        <f>IF($A$2="Annual","",IF('Scheduled Intervals'!X28&lt;&gt;"",IF($A$2/'Scheduled Intervals'!X28=ROUND($A$2/'Scheduled Intervals'!X28,0),"Yes",""),""))</f>
        <v/>
      </c>
      <c r="Y28" s="244" t="str">
        <f>IF($A$2="Annual","",IF('Scheduled Intervals'!Y28&lt;&gt;"",IF($A$2/'Scheduled Intervals'!Y28=ROUND($A$2/'Scheduled Intervals'!Y28,0),"Yes",""),""))</f>
        <v/>
      </c>
      <c r="Z28" s="244" t="str">
        <f>IF($A$2="Annual","",IF('Scheduled Intervals'!Z28&lt;&gt;"",IF($A$2/'Scheduled Intervals'!Z28=ROUND($A$2/'Scheduled Intervals'!Z28,0),"Yes",""),""))</f>
        <v>Yes</v>
      </c>
      <c r="AA28" s="244" t="str">
        <f>IF($A$2="Annual","",IF('Scheduled Intervals'!AA28&lt;&gt;"",IF($A$2/'Scheduled Intervals'!AA28=ROUND($A$2/'Scheduled Intervals'!AA28,0),"Yes",""),""))</f>
        <v/>
      </c>
      <c r="AB28" s="244" t="str">
        <f>IF($A$2="Annual","",IF('Scheduled Intervals'!AB28&lt;&gt;"",IF($A$2/'Scheduled Intervals'!AB28=ROUND($A$2/'Scheduled Intervals'!AB28,0),"Yes",""),""))</f>
        <v/>
      </c>
      <c r="AC28" s="244" t="str">
        <f>IF($A$2="Annual","",IF('Scheduled Intervals'!AC28&lt;&gt;"",IF($A$2/'Scheduled Intervals'!AC28=ROUND($A$2/'Scheduled Intervals'!AC28,0),"Yes",""),""))</f>
        <v/>
      </c>
      <c r="AD28" s="244" t="str">
        <f>IF($A$2="Annual","",IF('Scheduled Intervals'!AD28&lt;&gt;"",IF($A$2/'Scheduled Intervals'!AD28=ROUND($A$2/'Scheduled Intervals'!AD28,0),"Yes",""),""))</f>
        <v/>
      </c>
      <c r="AE28" s="244" t="str">
        <f>IF($A$2="Annual","",IF('Scheduled Intervals'!AE28&lt;&gt;"",IF($A$2/'Scheduled Intervals'!AE28=ROUND($A$2/'Scheduled Intervals'!AE28,0),"Yes",""),""))</f>
        <v/>
      </c>
      <c r="AF28" s="244" t="str">
        <f>IF($A$2="Annual","",IF('Scheduled Intervals'!AF28&lt;&gt;"",IF($A$2/'Scheduled Intervals'!AF28=ROUND($A$2/'Scheduled Intervals'!AF28,0),"Yes",""),""))</f>
        <v>Yes</v>
      </c>
      <c r="AG28" s="244" t="str">
        <f>IF($A$2="Annual","",IF('Scheduled Intervals'!AG28&lt;&gt;"",IF($A$2/'Scheduled Intervals'!AG28=ROUND($A$2/'Scheduled Intervals'!AG28,0),"Yes",""),""))</f>
        <v/>
      </c>
      <c r="AH28" s="244" t="str">
        <f>IF($A$2="Annual","",IF('Scheduled Intervals'!AH28&lt;&gt;"",IF($A$2/'Scheduled Intervals'!AH28=ROUND($A$2/'Scheduled Intervals'!AH28,0),"Yes",""),""))</f>
        <v>Yes</v>
      </c>
      <c r="AI28" s="244" t="str">
        <f>IF($A$2="Annual","",IF('Scheduled Intervals'!AI28&lt;&gt;"",IF($A$2/'Scheduled Intervals'!AI28=ROUND($A$2/'Scheduled Intervals'!AI28,0),"Yes",""),""))</f>
        <v/>
      </c>
      <c r="AJ28" s="244" t="str">
        <f>IF($A$2="Annual","",IF('Scheduled Intervals'!AJ28&lt;&gt;"",IF($A$2/'Scheduled Intervals'!AJ28=ROUND($A$2/'Scheduled Intervals'!AJ28,0),"Yes",""),""))</f>
        <v>Yes</v>
      </c>
      <c r="AK28" s="244" t="str">
        <f>IF($A$2="Annual","",IF('Scheduled Intervals'!AK28&lt;&gt;"",IF($A$2/'Scheduled Intervals'!AK28=ROUND($A$2/'Scheduled Intervals'!AK28,0),"Yes",""),""))</f>
        <v/>
      </c>
      <c r="AL28" s="244" t="str">
        <f>IF($A$2="Annual","",IF('Scheduled Intervals'!AL28&lt;&gt;"",IF($A$2/'Scheduled Intervals'!AL28=ROUND($A$2/'Scheduled Intervals'!AL28,0),"Yes",""),""))</f>
        <v/>
      </c>
      <c r="AM28" s="244" t="str">
        <f>IF($A$2="Annual","",IF('Scheduled Intervals'!AM28&lt;&gt;"",IF($A$2/'Scheduled Intervals'!AM28=ROUND($A$2/'Scheduled Intervals'!AM28,0),"Yes",""),""))</f>
        <v/>
      </c>
      <c r="AN28" s="244" t="str">
        <f>IF($A$2="Annual","",IF('Scheduled Intervals'!AN28&lt;&gt;"",IF($A$2/'Scheduled Intervals'!AN28=ROUND($A$2/'Scheduled Intervals'!AN28,0),"Yes",""),""))</f>
        <v/>
      </c>
      <c r="AO28" s="244" t="str">
        <f>IF($A$2="Annual","",IF('Scheduled Intervals'!AO28&lt;&gt;"",IF($A$2/'Scheduled Intervals'!AO28=ROUND($A$2/'Scheduled Intervals'!AO28,0),"Yes",""),""))</f>
        <v/>
      </c>
      <c r="AP28" s="244" t="str">
        <f>IF($A$2="Annual","",IF('Scheduled Intervals'!AP28&lt;&gt;"",IF($A$2/'Scheduled Intervals'!AP28=ROUND($A$2/'Scheduled Intervals'!AP28,0),"Yes",""),""))</f>
        <v/>
      </c>
      <c r="AQ28" s="244" t="str">
        <f>IF($A$2="Annual","",IF('Scheduled Intervals'!AQ28&lt;&gt;"",IF($A$2/'Scheduled Intervals'!AQ28=ROUND($A$2/'Scheduled Intervals'!AQ28,0),"Yes",""),""))</f>
        <v/>
      </c>
      <c r="AR28" s="244" t="str">
        <f>IF($A$2="Annual","",IF('Scheduled Intervals'!AR28&lt;&gt;"",IF($A$2/'Scheduled Intervals'!AR28=ROUND($A$2/'Scheduled Intervals'!AR28,0),"Yes",""),""))</f>
        <v/>
      </c>
      <c r="AS28" s="244" t="str">
        <f>IF($A$2="Annual","",IF('Scheduled Intervals'!AS28&lt;&gt;"",IF($A$2/'Scheduled Intervals'!AS28=ROUND($A$2/'Scheduled Intervals'!AS28,0),"Yes",""),""))</f>
        <v/>
      </c>
      <c r="AT28" s="244" t="str">
        <f>IF($A$2="Annual","",IF('Scheduled Intervals'!AT28&lt;&gt;"",IF($A$2/'Scheduled Intervals'!AT28=ROUND($A$2/'Scheduled Intervals'!AT28,0),"Yes",""),""))</f>
        <v>Yes</v>
      </c>
      <c r="AU28" s="244" t="str">
        <f>IF($A$2="Annual","",IF('Scheduled Intervals'!AU28&lt;&gt;"",IF($A$2/'Scheduled Intervals'!AU28=ROUND($A$2/'Scheduled Intervals'!AU28,0),"Yes",""),""))</f>
        <v/>
      </c>
      <c r="AV28" s="244" t="str">
        <f>IF($A$2="Annual","",IF('Scheduled Intervals'!AV28&lt;&gt;"",IF($A$2/'Scheduled Intervals'!AV28=ROUND($A$2/'Scheduled Intervals'!AV28,0),"Yes",""),""))</f>
        <v/>
      </c>
      <c r="AW28" s="244" t="str">
        <f>IF($A$2="Annual","",IF('Scheduled Intervals'!AW28&lt;&gt;"",IF($A$2/'Scheduled Intervals'!AW28=ROUND($A$2/'Scheduled Intervals'!AW28,0),"Yes",""),""))</f>
        <v/>
      </c>
      <c r="AX28" s="244" t="str">
        <f>IF($A$2="Annual","",IF('Scheduled Intervals'!AX28&lt;&gt;"",IF($A$2/'Scheduled Intervals'!AX28=ROUND($A$2/'Scheduled Intervals'!AX28,0),"Yes",""),""))</f>
        <v/>
      </c>
      <c r="AY28" s="244" t="str">
        <f>IF($A$2="Annual","",IF('Scheduled Intervals'!AY28&lt;&gt;"",IF($A$2/'Scheduled Intervals'!AY28=ROUND($A$2/'Scheduled Intervals'!AY28,0),"Yes",""),""))</f>
        <v/>
      </c>
      <c r="AZ28" s="244" t="str">
        <f>IF($A$2="Annual","",IF('Scheduled Intervals'!AZ28&lt;&gt;"",IF($A$2/'Scheduled Intervals'!AZ28=ROUND($A$2/'Scheduled Intervals'!AZ28,0),"Yes",""),""))</f>
        <v/>
      </c>
      <c r="BA28" s="244" t="str">
        <f>IF($A$2="Annual","",IF('Scheduled Intervals'!BA28&lt;&gt;"",IF($A$2/'Scheduled Intervals'!BA28=ROUND($A$2/'Scheduled Intervals'!BA28,0),"Yes",""),""))</f>
        <v/>
      </c>
      <c r="BB28" s="244" t="str">
        <f>IF($A$2="Annual","",IF('Scheduled Intervals'!BB28&lt;&gt;"",IF($A$2/'Scheduled Intervals'!BB28=ROUND($A$2/'Scheduled Intervals'!BB28,0),"Yes",""),""))</f>
        <v>Yes</v>
      </c>
      <c r="BC28" s="244" t="str">
        <f>IF($A$2="Annual","",IF('Scheduled Intervals'!BC28&lt;&gt;"",IF($A$2/'Scheduled Intervals'!BC28=ROUND($A$2/'Scheduled Intervals'!BC28,0),"Yes",""),""))</f>
        <v/>
      </c>
      <c r="BD28" s="244" t="str">
        <f>IF($A$2="Annual","",IF('Scheduled Intervals'!BD28&lt;&gt;"",IF($A$2/'Scheduled Intervals'!BD28=ROUND($A$2/'Scheduled Intervals'!BD28,0),"Yes",""),""))</f>
        <v/>
      </c>
      <c r="BE28" s="244" t="str">
        <f>IF($A$2="Annual","",IF('Scheduled Intervals'!BE28&lt;&gt;"",IF($A$2/'Scheduled Intervals'!BE28=ROUND($A$2/'Scheduled Intervals'!BE28,0),"Yes",""),""))</f>
        <v/>
      </c>
      <c r="BF28" s="244" t="str">
        <f>IF($A$2="Annual","",IF('Scheduled Intervals'!BF28&lt;&gt;"",IF($A$2/'Scheduled Intervals'!BF28=ROUND($A$2/'Scheduled Intervals'!BF28,0),"Yes",""),""))</f>
        <v/>
      </c>
      <c r="BG28" s="244" t="str">
        <f>IF($A$2="Annual","",IF('Scheduled Intervals'!BG28&lt;&gt;"",IF($A$2/'Scheduled Intervals'!BG28=ROUND($A$2/'Scheduled Intervals'!BG28,0),"Yes",""),""))</f>
        <v/>
      </c>
      <c r="BH28" s="244" t="str">
        <f>IF($A$2="Annual","",IF('Scheduled Intervals'!BH28&lt;&gt;"",IF($A$2/'Scheduled Intervals'!BH28=ROUND($A$2/'Scheduled Intervals'!BH28,0),"Yes",""),""))</f>
        <v/>
      </c>
      <c r="BI28" s="244" t="str">
        <f>IF($A$2="Annual","",IF('Scheduled Intervals'!BI28&lt;&gt;"",IF($A$2/'Scheduled Intervals'!BI28=ROUND($A$2/'Scheduled Intervals'!BI28,0),"Yes",""),""))</f>
        <v/>
      </c>
      <c r="BJ28" s="244" t="str">
        <f>IF($A$2="Annual","",IF('Scheduled Intervals'!BJ28&lt;&gt;"",IF($A$2/'Scheduled Intervals'!BJ28=ROUND($A$2/'Scheduled Intervals'!BJ28,0),"Yes",""),""))</f>
        <v>Yes</v>
      </c>
      <c r="BK28" s="244" t="str">
        <f>IF($A$2="Annual","",IF('Scheduled Intervals'!BK28&lt;&gt;"",IF($A$2/'Scheduled Intervals'!BK28=ROUND($A$2/'Scheduled Intervals'!BK28,0),"Yes",""),""))</f>
        <v/>
      </c>
      <c r="BL28" s="244" t="str">
        <f>IF($A$2="Annual","",IF('Scheduled Intervals'!BL28&lt;&gt;"",IF($A$2/'Scheduled Intervals'!BL28=ROUND($A$2/'Scheduled Intervals'!BL28,0),"Yes",""),""))</f>
        <v/>
      </c>
      <c r="BM28" s="244" t="str">
        <f>IF($A$2="Annual","",IF('Scheduled Intervals'!BM28&lt;&gt;"",IF($A$2/'Scheduled Intervals'!BM28=ROUND($A$2/'Scheduled Intervals'!BM28,0),"Yes",""),""))</f>
        <v/>
      </c>
      <c r="BN28" s="177" t="str">
        <f>IF(AND($A$2="annual",'Scheduled Intervals'!BN28&lt;&gt;""),"yes","")</f>
        <v/>
      </c>
      <c r="BO28" s="177" t="str">
        <f>IF(AND($A$2="annual",'Scheduled Intervals'!BO28&lt;&gt;""),"yes","")</f>
        <v/>
      </c>
      <c r="BP28" s="177" t="str">
        <f>IF(AND($A$2="annual",'Scheduled Intervals'!BP28&lt;&gt;""),"yes","")</f>
        <v/>
      </c>
    </row>
    <row r="29" spans="1:68" x14ac:dyDescent="0.2">
      <c r="A29" s="133" t="str">
        <f>+'Scheduled Intervals'!A29</f>
        <v>Sany SY up to 500</v>
      </c>
      <c r="B29" s="134" t="str">
        <f>IF('Scheduled Intervals'!B29&lt;&gt;"",IF($A$2='Scheduled Intervals'!B29,"Yes",""),"")</f>
        <v/>
      </c>
      <c r="C29" s="134" t="str">
        <f>IF('Scheduled Intervals'!C29&lt;&gt;"",IF($A$2='Scheduled Intervals'!C29,"Yes",""),"")</f>
        <v/>
      </c>
      <c r="D29" s="134" t="str">
        <f>IF('Scheduled Intervals'!D29&lt;&gt;"",IF($A$2='Scheduled Intervals'!D29,"Yes",""),"")</f>
        <v/>
      </c>
      <c r="E29" s="134" t="str">
        <f>IF('Scheduled Intervals'!E29&lt;&gt;"",IF($A$2='Scheduled Intervals'!E29,"Yes",""),"")</f>
        <v/>
      </c>
      <c r="F29" s="134" t="str">
        <f>IF('Scheduled Intervals'!F29&lt;&gt;"",IF($A$2='Scheduled Intervals'!F29,"Yes",""),"")</f>
        <v/>
      </c>
      <c r="G29" s="134" t="str">
        <f>IF('Scheduled Intervals'!G29&lt;&gt;"",IF($A$2='Scheduled Intervals'!G29,"Yes",""),"")</f>
        <v/>
      </c>
      <c r="H29" s="134" t="str">
        <f>IF('Scheduled Intervals'!H29&lt;&gt;"",IF($A$2='Scheduled Intervals'!H29,"Yes",""),"")</f>
        <v/>
      </c>
      <c r="I29" s="134" t="str">
        <f>IF('Scheduled Intervals'!I29&lt;&gt;"",IF($A$2='Scheduled Intervals'!I29,"Yes",""),"")</f>
        <v/>
      </c>
      <c r="J29" s="134" t="str">
        <f>IF('Scheduled Intervals'!J29&lt;&gt;"",IF($A$2='Scheduled Intervals'!J29,"Yes",""),"")</f>
        <v/>
      </c>
      <c r="K29" s="134" t="str">
        <f>IF('Scheduled Intervals'!K29&lt;&gt;"",IF($A$2='Scheduled Intervals'!K29,"Yes",""),"")</f>
        <v/>
      </c>
      <c r="L29" s="134" t="str">
        <f>IF('Scheduled Intervals'!L29&lt;&gt;"",IF($A$2='Scheduled Intervals'!L29,"Yes",""),"")</f>
        <v/>
      </c>
      <c r="M29" s="134" t="str">
        <f>IF('Scheduled Intervals'!M29&lt;&gt;"",IF($A$2='Scheduled Intervals'!M29,"Yes",""),"")</f>
        <v/>
      </c>
      <c r="N29" s="134" t="str">
        <f>IF('Scheduled Intervals'!N29&lt;&gt;"",IF($A$2='Scheduled Intervals'!N29,"Yes",""),"")</f>
        <v/>
      </c>
      <c r="O29" s="134" t="str">
        <f>IF('Scheduled Intervals'!O29&lt;&gt;"",IF($A$2='Scheduled Intervals'!O29,"Yes",""),"")</f>
        <v/>
      </c>
      <c r="P29" s="134" t="str">
        <f>IF('Scheduled Intervals'!P29&lt;&gt;"",IF($A$2='Scheduled Intervals'!P29,"Yes",""),"")</f>
        <v/>
      </c>
      <c r="Q29" s="134" t="str">
        <f>IF('Scheduled Intervals'!Q29&lt;&gt;"",IF($A$2='Scheduled Intervals'!Q29,"Yes",""),"")</f>
        <v/>
      </c>
      <c r="R29" s="134" t="str">
        <f>IF('Scheduled Intervals'!R29&lt;&gt;"",IF($A$2='Scheduled Intervals'!R29,"Yes",""),"")</f>
        <v/>
      </c>
      <c r="S29" s="134" t="str">
        <f>IF('Scheduled Intervals'!S29&lt;&gt;"",IF($A$2='Scheduled Intervals'!S29,"Yes",""),"")</f>
        <v/>
      </c>
      <c r="T29" s="134" t="str">
        <f>IF('Scheduled Intervals'!T29&lt;&gt;"",IF($A$2='Scheduled Intervals'!T29,"Yes",""),"")</f>
        <v/>
      </c>
      <c r="U29" s="244" t="str">
        <f>IF($A$2="Annual","",IF('Scheduled Intervals'!U29&lt;&gt;"",IF($A$2/'Scheduled Intervals'!U29=ROUND($A$2/'Scheduled Intervals'!U29,0),"Yes",""),""))</f>
        <v>Yes</v>
      </c>
      <c r="V29" s="244" t="str">
        <f>IF($A$2="Annual","",IF('Scheduled Intervals'!V29&lt;&gt;"",IF($A$2/'Scheduled Intervals'!V29=ROUND($A$2/'Scheduled Intervals'!V29,0),"Yes",""),""))</f>
        <v/>
      </c>
      <c r="W29" s="244" t="str">
        <f>IF($A$2="Annual","",IF('Scheduled Intervals'!W29&lt;&gt;"",IF($A$2/'Scheduled Intervals'!W29=ROUND($A$2/'Scheduled Intervals'!W29,0),"Yes",""),""))</f>
        <v/>
      </c>
      <c r="X29" s="244" t="str">
        <f>IF($A$2="Annual","",IF('Scheduled Intervals'!X29&lt;&gt;"",IF($A$2/'Scheduled Intervals'!X29=ROUND($A$2/'Scheduled Intervals'!X29,0),"Yes",""),""))</f>
        <v/>
      </c>
      <c r="Y29" s="244" t="str">
        <f>IF($A$2="Annual","",IF('Scheduled Intervals'!Y29&lt;&gt;"",IF($A$2/'Scheduled Intervals'!Y29=ROUND($A$2/'Scheduled Intervals'!Y29,0),"Yes",""),""))</f>
        <v/>
      </c>
      <c r="Z29" s="244" t="str">
        <f>IF($A$2="Annual","",IF('Scheduled Intervals'!Z29&lt;&gt;"",IF($A$2/'Scheduled Intervals'!Z29=ROUND($A$2/'Scheduled Intervals'!Z29,0),"Yes",""),""))</f>
        <v>Yes</v>
      </c>
      <c r="AA29" s="244" t="str">
        <f>IF($A$2="Annual","",IF('Scheduled Intervals'!AA29&lt;&gt;"",IF($A$2/'Scheduled Intervals'!AA29=ROUND($A$2/'Scheduled Intervals'!AA29,0),"Yes",""),""))</f>
        <v/>
      </c>
      <c r="AB29" s="244" t="str">
        <f>IF($A$2="Annual","",IF('Scheduled Intervals'!AB29&lt;&gt;"",IF($A$2/'Scheduled Intervals'!AB29=ROUND($A$2/'Scheduled Intervals'!AB29,0),"Yes",""),""))</f>
        <v/>
      </c>
      <c r="AC29" s="244" t="str">
        <f>IF($A$2="Annual","",IF('Scheduled Intervals'!AC29&lt;&gt;"",IF($A$2/'Scheduled Intervals'!AC29=ROUND($A$2/'Scheduled Intervals'!AC29,0),"Yes",""),""))</f>
        <v/>
      </c>
      <c r="AD29" s="244" t="str">
        <f>IF($A$2="Annual","",IF('Scheduled Intervals'!AD29&lt;&gt;"",IF($A$2/'Scheduled Intervals'!AD29=ROUND($A$2/'Scheduled Intervals'!AD29,0),"Yes",""),""))</f>
        <v/>
      </c>
      <c r="AE29" s="244" t="str">
        <f>IF($A$2="Annual","",IF('Scheduled Intervals'!AE29&lt;&gt;"",IF($A$2/'Scheduled Intervals'!AE29=ROUND($A$2/'Scheduled Intervals'!AE29,0),"Yes",""),""))</f>
        <v/>
      </c>
      <c r="AF29" s="244" t="str">
        <f>IF($A$2="Annual","",IF('Scheduled Intervals'!AF29&lt;&gt;"",IF($A$2/'Scheduled Intervals'!AF29=ROUND($A$2/'Scheduled Intervals'!AF29,0),"Yes",""),""))</f>
        <v/>
      </c>
      <c r="AG29" s="244" t="str">
        <f>IF($A$2="Annual","",IF('Scheduled Intervals'!AG29&lt;&gt;"",IF($A$2/'Scheduled Intervals'!AG29=ROUND($A$2/'Scheduled Intervals'!AG29,0),"Yes",""),""))</f>
        <v/>
      </c>
      <c r="AH29" s="244" t="str">
        <f>IF($A$2="Annual","",IF('Scheduled Intervals'!AH29&lt;&gt;"",IF($A$2/'Scheduled Intervals'!AH29=ROUND($A$2/'Scheduled Intervals'!AH29,0),"Yes",""),""))</f>
        <v/>
      </c>
      <c r="AI29" s="244" t="str">
        <f>IF($A$2="Annual","",IF('Scheduled Intervals'!AI29&lt;&gt;"",IF($A$2/'Scheduled Intervals'!AI29=ROUND($A$2/'Scheduled Intervals'!AI29,0),"Yes",""),""))</f>
        <v/>
      </c>
      <c r="AJ29" s="244" t="str">
        <f>IF($A$2="Annual","",IF('Scheduled Intervals'!AJ29&lt;&gt;"",IF($A$2/'Scheduled Intervals'!AJ29=ROUND($A$2/'Scheduled Intervals'!AJ29,0),"Yes",""),""))</f>
        <v/>
      </c>
      <c r="AK29" s="244" t="str">
        <f>IF($A$2="Annual","",IF('Scheduled Intervals'!AK29&lt;&gt;"",IF($A$2/'Scheduled Intervals'!AK29=ROUND($A$2/'Scheduled Intervals'!AK29,0),"Yes",""),""))</f>
        <v/>
      </c>
      <c r="AL29" s="244" t="str">
        <f>IF($A$2="Annual","",IF('Scheduled Intervals'!AL29&lt;&gt;"",IF($A$2/'Scheduled Intervals'!AL29=ROUND($A$2/'Scheduled Intervals'!AL29,0),"Yes",""),""))</f>
        <v/>
      </c>
      <c r="AM29" s="244" t="str">
        <f>IF($A$2="Annual","",IF('Scheduled Intervals'!AM29&lt;&gt;"",IF($A$2/'Scheduled Intervals'!AM29=ROUND($A$2/'Scheduled Intervals'!AM29,0),"Yes",""),""))</f>
        <v/>
      </c>
      <c r="AN29" s="244" t="str">
        <f>IF($A$2="Annual","",IF('Scheduled Intervals'!AN29&lt;&gt;"",IF($A$2/'Scheduled Intervals'!AN29=ROUND($A$2/'Scheduled Intervals'!AN29,0),"Yes",""),""))</f>
        <v/>
      </c>
      <c r="AO29" s="244" t="str">
        <f>IF($A$2="Annual","",IF('Scheduled Intervals'!AO29&lt;&gt;"",IF($A$2/'Scheduled Intervals'!AO29=ROUND($A$2/'Scheduled Intervals'!AO29,0),"Yes",""),""))</f>
        <v/>
      </c>
      <c r="AP29" s="244" t="str">
        <f>IF($A$2="Annual","",IF('Scheduled Intervals'!AP29&lt;&gt;"",IF($A$2/'Scheduled Intervals'!AP29=ROUND($A$2/'Scheduled Intervals'!AP29,0),"Yes",""),""))</f>
        <v/>
      </c>
      <c r="AQ29" s="244" t="str">
        <f>IF($A$2="Annual","",IF('Scheduled Intervals'!AQ29&lt;&gt;"",IF($A$2/'Scheduled Intervals'!AQ29=ROUND($A$2/'Scheduled Intervals'!AQ29,0),"Yes",""),""))</f>
        <v/>
      </c>
      <c r="AR29" s="244" t="str">
        <f>IF($A$2="Annual","",IF('Scheduled Intervals'!AR29&lt;&gt;"",IF($A$2/'Scheduled Intervals'!AR29=ROUND($A$2/'Scheduled Intervals'!AR29,0),"Yes",""),""))</f>
        <v/>
      </c>
      <c r="AS29" s="244" t="str">
        <f>IF($A$2="Annual","",IF('Scheduled Intervals'!AS29&lt;&gt;"",IF($A$2/'Scheduled Intervals'!AS29=ROUND($A$2/'Scheduled Intervals'!AS29,0),"Yes",""),""))</f>
        <v/>
      </c>
      <c r="AT29" s="244" t="str">
        <f>IF($A$2="Annual","",IF('Scheduled Intervals'!AT29&lt;&gt;"",IF($A$2/'Scheduled Intervals'!AT29=ROUND($A$2/'Scheduled Intervals'!AT29,0),"Yes",""),""))</f>
        <v>Yes</v>
      </c>
      <c r="AU29" s="244" t="str">
        <f>IF($A$2="Annual","",IF('Scheduled Intervals'!AU29&lt;&gt;"",IF($A$2/'Scheduled Intervals'!AU29=ROUND($A$2/'Scheduled Intervals'!AU29,0),"Yes",""),""))</f>
        <v/>
      </c>
      <c r="AV29" s="244" t="str">
        <f>IF($A$2="Annual","",IF('Scheduled Intervals'!AV29&lt;&gt;"",IF($A$2/'Scheduled Intervals'!AV29=ROUND($A$2/'Scheduled Intervals'!AV29,0),"Yes",""),""))</f>
        <v/>
      </c>
      <c r="AW29" s="244" t="str">
        <f>IF($A$2="Annual","",IF('Scheduled Intervals'!AW29&lt;&gt;"",IF($A$2/'Scheduled Intervals'!AW29=ROUND($A$2/'Scheduled Intervals'!AW29,0),"Yes",""),""))</f>
        <v/>
      </c>
      <c r="AX29" s="244" t="str">
        <f>IF($A$2="Annual","",IF('Scheduled Intervals'!AX29&lt;&gt;"",IF($A$2/'Scheduled Intervals'!AX29=ROUND($A$2/'Scheduled Intervals'!AX29,0),"Yes",""),""))</f>
        <v/>
      </c>
      <c r="AY29" s="244" t="str">
        <f>IF($A$2="Annual","",IF('Scheduled Intervals'!AY29&lt;&gt;"",IF($A$2/'Scheduled Intervals'!AY29=ROUND($A$2/'Scheduled Intervals'!AY29,0),"Yes",""),""))</f>
        <v/>
      </c>
      <c r="AZ29" s="244" t="str">
        <f>IF($A$2="Annual","",IF('Scheduled Intervals'!AZ29&lt;&gt;"",IF($A$2/'Scheduled Intervals'!AZ29=ROUND($A$2/'Scheduled Intervals'!AZ29,0),"Yes",""),""))</f>
        <v/>
      </c>
      <c r="BA29" s="244" t="str">
        <f>IF($A$2="Annual","",IF('Scheduled Intervals'!BA29&lt;&gt;"",IF($A$2/'Scheduled Intervals'!BA29=ROUND($A$2/'Scheduled Intervals'!BA29,0),"Yes",""),""))</f>
        <v/>
      </c>
      <c r="BB29" s="244" t="str">
        <f>IF($A$2="Annual","",IF('Scheduled Intervals'!BB29&lt;&gt;"",IF($A$2/'Scheduled Intervals'!BB29=ROUND($A$2/'Scheduled Intervals'!BB29,0),"Yes",""),""))</f>
        <v>Yes</v>
      </c>
      <c r="BC29" s="244" t="str">
        <f>IF($A$2="Annual","",IF('Scheduled Intervals'!BC29&lt;&gt;"",IF($A$2/'Scheduled Intervals'!BC29=ROUND($A$2/'Scheduled Intervals'!BC29,0),"Yes",""),""))</f>
        <v>Yes</v>
      </c>
      <c r="BD29" s="244" t="str">
        <f>IF($A$2="Annual","",IF('Scheduled Intervals'!BD29&lt;&gt;"",IF($A$2/'Scheduled Intervals'!BD29=ROUND($A$2/'Scheduled Intervals'!BD29,0),"Yes",""),""))</f>
        <v/>
      </c>
      <c r="BE29" s="244" t="str">
        <f>IF($A$2="Annual","",IF('Scheduled Intervals'!BE29&lt;&gt;"",IF($A$2/'Scheduled Intervals'!BE29=ROUND($A$2/'Scheduled Intervals'!BE29,0),"Yes",""),""))</f>
        <v/>
      </c>
      <c r="BF29" s="244" t="str">
        <f>IF($A$2="Annual","",IF('Scheduled Intervals'!BF29&lt;&gt;"",IF($A$2/'Scheduled Intervals'!BF29=ROUND($A$2/'Scheduled Intervals'!BF29,0),"Yes",""),""))</f>
        <v/>
      </c>
      <c r="BG29" s="244" t="str">
        <f>IF($A$2="Annual","",IF('Scheduled Intervals'!BG29&lt;&gt;"",IF($A$2/'Scheduled Intervals'!BG29=ROUND($A$2/'Scheduled Intervals'!BG29,0),"Yes",""),""))</f>
        <v/>
      </c>
      <c r="BH29" s="244" t="str">
        <f>IF($A$2="Annual","",IF('Scheduled Intervals'!BH29&lt;&gt;"",IF($A$2/'Scheduled Intervals'!BH29=ROUND($A$2/'Scheduled Intervals'!BH29,0),"Yes",""),""))</f>
        <v/>
      </c>
      <c r="BI29" s="244" t="str">
        <f>IF($A$2="Annual","",IF('Scheduled Intervals'!BI29&lt;&gt;"",IF($A$2/'Scheduled Intervals'!BI29=ROUND($A$2/'Scheduled Intervals'!BI29,0),"Yes",""),""))</f>
        <v/>
      </c>
      <c r="BJ29" s="244" t="str">
        <f>IF($A$2="Annual","",IF('Scheduled Intervals'!BJ29&lt;&gt;"",IF($A$2/'Scheduled Intervals'!BJ29=ROUND($A$2/'Scheduled Intervals'!BJ29,0),"Yes",""),""))</f>
        <v>Yes</v>
      </c>
      <c r="BK29" s="244" t="str">
        <f>IF($A$2="Annual","",IF('Scheduled Intervals'!BK29&lt;&gt;"",IF($A$2/'Scheduled Intervals'!BK29=ROUND($A$2/'Scheduled Intervals'!BK29,0),"Yes",""),""))</f>
        <v/>
      </c>
      <c r="BL29" s="244" t="str">
        <f>IF($A$2="Annual","",IF('Scheduled Intervals'!BL29&lt;&gt;"",IF($A$2/'Scheduled Intervals'!BL29=ROUND($A$2/'Scheduled Intervals'!BL29,0),"Yes",""),""))</f>
        <v/>
      </c>
      <c r="BM29" s="244" t="str">
        <f>IF($A$2="Annual","",IF('Scheduled Intervals'!BM29&lt;&gt;"",IF($A$2/'Scheduled Intervals'!BM29=ROUND($A$2/'Scheduled Intervals'!BM29,0),"Yes",""),""))</f>
        <v>Yes</v>
      </c>
      <c r="BN29" s="177" t="str">
        <f>IF(AND($A$2="annual",'Scheduled Intervals'!BN29&lt;&gt;""),"yes","")</f>
        <v/>
      </c>
      <c r="BO29" s="177" t="str">
        <f>IF(AND($A$2="annual",'Scheduled Intervals'!BO29&lt;&gt;""),"yes","")</f>
        <v/>
      </c>
      <c r="BP29" s="177" t="str">
        <f>IF(AND($A$2="annual",'Scheduled Intervals'!BP29&lt;&gt;""),"yes","")</f>
        <v/>
      </c>
    </row>
    <row r="30" spans="1:68" x14ac:dyDescent="0.2">
      <c r="A30" s="133" t="str">
        <f>+'Scheduled Intervals'!A30</f>
        <v>Sany SW up to 305</v>
      </c>
      <c r="B30" s="134" t="str">
        <f>IF('Scheduled Intervals'!B30&lt;&gt;"",IF($A$2='Scheduled Intervals'!B30,"Yes",""),"")</f>
        <v/>
      </c>
      <c r="C30" s="134" t="str">
        <f>IF('Scheduled Intervals'!C30&lt;&gt;"",IF($A$2='Scheduled Intervals'!C30,"Yes",""),"")</f>
        <v/>
      </c>
      <c r="D30" s="134" t="str">
        <f>IF('Scheduled Intervals'!D30&lt;&gt;"",IF($A$2='Scheduled Intervals'!D30,"Yes",""),"")</f>
        <v/>
      </c>
      <c r="E30" s="134" t="str">
        <f>IF('Scheduled Intervals'!E30&lt;&gt;"",IF($A$2='Scheduled Intervals'!E30,"Yes",""),"")</f>
        <v/>
      </c>
      <c r="F30" s="134" t="str">
        <f>IF('Scheduled Intervals'!F30&lt;&gt;"",IF($A$2='Scheduled Intervals'!F30,"Yes",""),"")</f>
        <v/>
      </c>
      <c r="G30" s="134" t="str">
        <f>IF('Scheduled Intervals'!G30&lt;&gt;"",IF($A$2='Scheduled Intervals'!G30,"Yes",""),"")</f>
        <v/>
      </c>
      <c r="H30" s="134" t="str">
        <f>IF('Scheduled Intervals'!H30&lt;&gt;"",IF($A$2='Scheduled Intervals'!H30,"Yes",""),"")</f>
        <v/>
      </c>
      <c r="I30" s="134" t="str">
        <f>IF('Scheduled Intervals'!I30&lt;&gt;"",IF($A$2='Scheduled Intervals'!I30,"Yes",""),"")</f>
        <v/>
      </c>
      <c r="J30" s="134" t="str">
        <f>IF('Scheduled Intervals'!J30&lt;&gt;"",IF($A$2='Scheduled Intervals'!J30,"Yes",""),"")</f>
        <v/>
      </c>
      <c r="K30" s="134" t="str">
        <f>IF('Scheduled Intervals'!K30&lt;&gt;"",IF($A$2='Scheduled Intervals'!K30,"Yes",""),"")</f>
        <v/>
      </c>
      <c r="L30" s="134" t="str">
        <f>IF('Scheduled Intervals'!L30&lt;&gt;"",IF($A$2='Scheduled Intervals'!L30,"Yes",""),"")</f>
        <v/>
      </c>
      <c r="M30" s="134" t="str">
        <f>IF('Scheduled Intervals'!M30&lt;&gt;"",IF($A$2='Scheduled Intervals'!M30,"Yes",""),"")</f>
        <v/>
      </c>
      <c r="N30" s="134" t="str">
        <f>IF('Scheduled Intervals'!N30&lt;&gt;"",IF($A$2='Scheduled Intervals'!N30,"Yes",""),"")</f>
        <v/>
      </c>
      <c r="O30" s="134" t="str">
        <f>IF('Scheduled Intervals'!O30&lt;&gt;"",IF($A$2='Scheduled Intervals'!O30,"Yes",""),"")</f>
        <v/>
      </c>
      <c r="P30" s="134" t="str">
        <f>IF('Scheduled Intervals'!P30&lt;&gt;"",IF($A$2='Scheduled Intervals'!P30,"Yes",""),"")</f>
        <v/>
      </c>
      <c r="Q30" s="134" t="str">
        <f>IF('Scheduled Intervals'!Q30&lt;&gt;"",IF($A$2='Scheduled Intervals'!Q30,"Yes",""),"")</f>
        <v/>
      </c>
      <c r="R30" s="134" t="str">
        <f>IF('Scheduled Intervals'!R30&lt;&gt;"",IF($A$2='Scheduled Intervals'!R30,"Yes",""),"")</f>
        <v/>
      </c>
      <c r="S30" s="134" t="str">
        <f>IF('Scheduled Intervals'!S30&lt;&gt;"",IF($A$2='Scheduled Intervals'!S30,"Yes",""),"")</f>
        <v/>
      </c>
      <c r="T30" s="134" t="str">
        <f>IF('Scheduled Intervals'!T30&lt;&gt;"",IF($A$2='Scheduled Intervals'!T30,"Yes",""),"")</f>
        <v/>
      </c>
      <c r="U30" s="244" t="str">
        <f>IF($A$2="Annual","",IF('Scheduled Intervals'!U30&lt;&gt;"",IF($A$2/'Scheduled Intervals'!U30=ROUND($A$2/'Scheduled Intervals'!U30,0),"Yes",""),""))</f>
        <v>Yes</v>
      </c>
      <c r="V30" s="244" t="str">
        <f>IF($A$2="Annual","",IF('Scheduled Intervals'!V30&lt;&gt;"",IF($A$2/'Scheduled Intervals'!V30=ROUND($A$2/'Scheduled Intervals'!V30,0),"Yes",""),""))</f>
        <v/>
      </c>
      <c r="W30" s="244" t="str">
        <f>IF($A$2="Annual","",IF('Scheduled Intervals'!W30&lt;&gt;"",IF($A$2/'Scheduled Intervals'!W30=ROUND($A$2/'Scheduled Intervals'!W30,0),"Yes",""),""))</f>
        <v/>
      </c>
      <c r="X30" s="244" t="str">
        <f>IF($A$2="Annual","",IF('Scheduled Intervals'!X30&lt;&gt;"",IF($A$2/'Scheduled Intervals'!X30=ROUND($A$2/'Scheduled Intervals'!X30,0),"Yes",""),""))</f>
        <v/>
      </c>
      <c r="Y30" s="244" t="str">
        <f>IF($A$2="Annual","",IF('Scheduled Intervals'!Y30&lt;&gt;"",IF($A$2/'Scheduled Intervals'!Y30=ROUND($A$2/'Scheduled Intervals'!Y30,0),"Yes",""),""))</f>
        <v/>
      </c>
      <c r="Z30" s="244" t="str">
        <f>IF($A$2="Annual","",IF('Scheduled Intervals'!Z30&lt;&gt;"",IF($A$2/'Scheduled Intervals'!Z30=ROUND($A$2/'Scheduled Intervals'!Z30,0),"Yes",""),""))</f>
        <v>Yes</v>
      </c>
      <c r="AA30" s="244" t="str">
        <f>IF($A$2="Annual","",IF('Scheduled Intervals'!AA30&lt;&gt;"",IF($A$2/'Scheduled Intervals'!AA30=ROUND($A$2/'Scheduled Intervals'!AA30,0),"Yes",""),""))</f>
        <v/>
      </c>
      <c r="AB30" s="244" t="str">
        <f>IF($A$2="Annual","",IF('Scheduled Intervals'!AB30&lt;&gt;"",IF($A$2/'Scheduled Intervals'!AB30=ROUND($A$2/'Scheduled Intervals'!AB30,0),"Yes",""),""))</f>
        <v/>
      </c>
      <c r="AC30" s="244" t="str">
        <f>IF($A$2="Annual","",IF('Scheduled Intervals'!AC30&lt;&gt;"",IF($A$2/'Scheduled Intervals'!AC30=ROUND($A$2/'Scheduled Intervals'!AC30,0),"Yes",""),""))</f>
        <v/>
      </c>
      <c r="AD30" s="244" t="str">
        <f>IF($A$2="Annual","",IF('Scheduled Intervals'!AD30&lt;&gt;"",IF($A$2/'Scheduled Intervals'!AD30=ROUND($A$2/'Scheduled Intervals'!AD30,0),"Yes",""),""))</f>
        <v/>
      </c>
      <c r="AE30" s="244" t="str">
        <f>IF($A$2="Annual","",IF('Scheduled Intervals'!AE30&lt;&gt;"",IF($A$2/'Scheduled Intervals'!AE30=ROUND($A$2/'Scheduled Intervals'!AE30,0),"Yes",""),""))</f>
        <v/>
      </c>
      <c r="AF30" s="244" t="str">
        <f>IF($A$2="Annual","",IF('Scheduled Intervals'!AF30&lt;&gt;"",IF($A$2/'Scheduled Intervals'!AF30=ROUND($A$2/'Scheduled Intervals'!AF30,0),"Yes",""),""))</f>
        <v>Yes</v>
      </c>
      <c r="AG30" s="244" t="str">
        <f>IF($A$2="Annual","",IF('Scheduled Intervals'!AG30&lt;&gt;"",IF($A$2/'Scheduled Intervals'!AG30=ROUND($A$2/'Scheduled Intervals'!AG30,0),"Yes",""),""))</f>
        <v/>
      </c>
      <c r="AH30" s="244" t="str">
        <f>IF($A$2="Annual","",IF('Scheduled Intervals'!AH30&lt;&gt;"",IF($A$2/'Scheduled Intervals'!AH30=ROUND($A$2/'Scheduled Intervals'!AH30,0),"Yes",""),""))</f>
        <v/>
      </c>
      <c r="AI30" s="244" t="str">
        <f>IF($A$2="Annual","",IF('Scheduled Intervals'!AI30&lt;&gt;"",IF($A$2/'Scheduled Intervals'!AI30=ROUND($A$2/'Scheduled Intervals'!AI30,0),"Yes",""),""))</f>
        <v/>
      </c>
      <c r="AJ30" s="244" t="str">
        <f>IF($A$2="Annual","",IF('Scheduled Intervals'!AJ30&lt;&gt;"",IF($A$2/'Scheduled Intervals'!AJ30=ROUND($A$2/'Scheduled Intervals'!AJ30,0),"Yes",""),""))</f>
        <v/>
      </c>
      <c r="AK30" s="244" t="str">
        <f>IF($A$2="Annual","",IF('Scheduled Intervals'!AK30&lt;&gt;"",IF($A$2/'Scheduled Intervals'!AK30=ROUND($A$2/'Scheduled Intervals'!AK30,0),"Yes",""),""))</f>
        <v/>
      </c>
      <c r="AL30" s="244" t="str">
        <f>IF($A$2="Annual","",IF('Scheduled Intervals'!AL30&lt;&gt;"",IF($A$2/'Scheduled Intervals'!AL30=ROUND($A$2/'Scheduled Intervals'!AL30,0),"Yes",""),""))</f>
        <v/>
      </c>
      <c r="AM30" s="244" t="str">
        <f>IF($A$2="Annual","",IF('Scheduled Intervals'!AM30&lt;&gt;"",IF($A$2/'Scheduled Intervals'!AM30=ROUND($A$2/'Scheduled Intervals'!AM30,0),"Yes",""),""))</f>
        <v/>
      </c>
      <c r="AN30" s="244" t="str">
        <f>IF($A$2="Annual","",IF('Scheduled Intervals'!AN30&lt;&gt;"",IF($A$2/'Scheduled Intervals'!AN30=ROUND($A$2/'Scheduled Intervals'!AN30,0),"Yes",""),""))</f>
        <v/>
      </c>
      <c r="AO30" s="244" t="str">
        <f>IF($A$2="Annual","",IF('Scheduled Intervals'!AO30&lt;&gt;"",IF($A$2/'Scheduled Intervals'!AO30=ROUND($A$2/'Scheduled Intervals'!AO30,0),"Yes",""),""))</f>
        <v/>
      </c>
      <c r="AP30" s="244" t="str">
        <f>IF($A$2="Annual","",IF('Scheduled Intervals'!AP30&lt;&gt;"",IF($A$2/'Scheduled Intervals'!AP30=ROUND($A$2/'Scheduled Intervals'!AP30,0),"Yes",""),""))</f>
        <v/>
      </c>
      <c r="AQ30" s="244" t="str">
        <f>IF($A$2="Annual","",IF('Scheduled Intervals'!AQ30&lt;&gt;"",IF($A$2/'Scheduled Intervals'!AQ30=ROUND($A$2/'Scheduled Intervals'!AQ30,0),"Yes",""),""))</f>
        <v/>
      </c>
      <c r="AR30" s="244" t="str">
        <f>IF($A$2="Annual","",IF('Scheduled Intervals'!AR30&lt;&gt;"",IF($A$2/'Scheduled Intervals'!AR30=ROUND($A$2/'Scheduled Intervals'!AR30,0),"Yes",""),""))</f>
        <v/>
      </c>
      <c r="AS30" s="244" t="str">
        <f>IF($A$2="Annual","",IF('Scheduled Intervals'!AS30&lt;&gt;"",IF($A$2/'Scheduled Intervals'!AS30=ROUND($A$2/'Scheduled Intervals'!AS30,0),"Yes",""),""))</f>
        <v/>
      </c>
      <c r="AT30" s="244" t="str">
        <f>IF($A$2="Annual","",IF('Scheduled Intervals'!AT30&lt;&gt;"",IF($A$2/'Scheduled Intervals'!AT30=ROUND($A$2/'Scheduled Intervals'!AT30,0),"Yes",""),""))</f>
        <v>Yes</v>
      </c>
      <c r="AU30" s="244" t="str">
        <f>IF($A$2="Annual","",IF('Scheduled Intervals'!AU30&lt;&gt;"",IF($A$2/'Scheduled Intervals'!AU30=ROUND($A$2/'Scheduled Intervals'!AU30,0),"Yes",""),""))</f>
        <v/>
      </c>
      <c r="AV30" s="244" t="str">
        <f>IF($A$2="Annual","",IF('Scheduled Intervals'!AV30&lt;&gt;"",IF($A$2/'Scheduled Intervals'!AV30=ROUND($A$2/'Scheduled Intervals'!AV30,0),"Yes",""),""))</f>
        <v/>
      </c>
      <c r="AW30" s="244" t="str">
        <f>IF($A$2="Annual","",IF('Scheduled Intervals'!AW30&lt;&gt;"",IF($A$2/'Scheduled Intervals'!AW30=ROUND($A$2/'Scheduled Intervals'!AW30,0),"Yes",""),""))</f>
        <v/>
      </c>
      <c r="AX30" s="244" t="str">
        <f>IF($A$2="Annual","",IF('Scheduled Intervals'!AX30&lt;&gt;"",IF($A$2/'Scheduled Intervals'!AX30=ROUND($A$2/'Scheduled Intervals'!AX30,0),"Yes",""),""))</f>
        <v/>
      </c>
      <c r="AY30" s="244" t="str">
        <f>IF($A$2="Annual","",IF('Scheduled Intervals'!AY30&lt;&gt;"",IF($A$2/'Scheduled Intervals'!AY30=ROUND($A$2/'Scheduled Intervals'!AY30,0),"Yes",""),""))</f>
        <v/>
      </c>
      <c r="AZ30" s="244" t="str">
        <f>IF($A$2="Annual","",IF('Scheduled Intervals'!AZ30&lt;&gt;"",IF($A$2/'Scheduled Intervals'!AZ30=ROUND($A$2/'Scheduled Intervals'!AZ30,0),"Yes",""),""))</f>
        <v/>
      </c>
      <c r="BA30" s="244" t="str">
        <f>IF($A$2="Annual","",IF('Scheduled Intervals'!BA30&lt;&gt;"",IF($A$2/'Scheduled Intervals'!BA30=ROUND($A$2/'Scheduled Intervals'!BA30,0),"Yes",""),""))</f>
        <v/>
      </c>
      <c r="BB30" s="244" t="str">
        <f>IF($A$2="Annual","",IF('Scheduled Intervals'!BB30&lt;&gt;"",IF($A$2/'Scheduled Intervals'!BB30=ROUND($A$2/'Scheduled Intervals'!BB30,0),"Yes",""),""))</f>
        <v/>
      </c>
      <c r="BC30" s="244" t="str">
        <f>IF($A$2="Annual","",IF('Scheduled Intervals'!BC30&lt;&gt;"",IF($A$2/'Scheduled Intervals'!BC30=ROUND($A$2/'Scheduled Intervals'!BC30,0),"Yes",""),""))</f>
        <v/>
      </c>
      <c r="BD30" s="244" t="str">
        <f>IF($A$2="Annual","",IF('Scheduled Intervals'!BD30&lt;&gt;"",IF($A$2/'Scheduled Intervals'!BD30=ROUND($A$2/'Scheduled Intervals'!BD30,0),"Yes",""),""))</f>
        <v/>
      </c>
      <c r="BE30" s="244" t="str">
        <f>IF($A$2="Annual","",IF('Scheduled Intervals'!BE30&lt;&gt;"",IF($A$2/'Scheduled Intervals'!BE30=ROUND($A$2/'Scheduled Intervals'!BE30,0),"Yes",""),""))</f>
        <v/>
      </c>
      <c r="BF30" s="244" t="str">
        <f>IF($A$2="Annual","",IF('Scheduled Intervals'!BF30&lt;&gt;"",IF($A$2/'Scheduled Intervals'!BF30=ROUND($A$2/'Scheduled Intervals'!BF30,0),"Yes",""),""))</f>
        <v/>
      </c>
      <c r="BG30" s="244" t="str">
        <f>IF($A$2="Annual","",IF('Scheduled Intervals'!BG30&lt;&gt;"",IF($A$2/'Scheduled Intervals'!BG30=ROUND($A$2/'Scheduled Intervals'!BG30,0),"Yes",""),""))</f>
        <v/>
      </c>
      <c r="BH30" s="244" t="str">
        <f>IF($A$2="Annual","",IF('Scheduled Intervals'!BH30&lt;&gt;"",IF($A$2/'Scheduled Intervals'!BH30=ROUND($A$2/'Scheduled Intervals'!BH30,0),"Yes",""),""))</f>
        <v/>
      </c>
      <c r="BI30" s="244" t="str">
        <f>IF($A$2="Annual","",IF('Scheduled Intervals'!BI30&lt;&gt;"",IF($A$2/'Scheduled Intervals'!BI30=ROUND($A$2/'Scheduled Intervals'!BI30,0),"Yes",""),""))</f>
        <v/>
      </c>
      <c r="BJ30" s="244" t="str">
        <f>IF($A$2="Annual","",IF('Scheduled Intervals'!BJ30&lt;&gt;"",IF($A$2/'Scheduled Intervals'!BJ30=ROUND($A$2/'Scheduled Intervals'!BJ30,0),"Yes",""),""))</f>
        <v>Yes</v>
      </c>
      <c r="BK30" s="244" t="str">
        <f>IF($A$2="Annual","",IF('Scheduled Intervals'!BK30&lt;&gt;"",IF($A$2/'Scheduled Intervals'!BK30=ROUND($A$2/'Scheduled Intervals'!BK30,0),"Yes",""),""))</f>
        <v/>
      </c>
      <c r="BL30" s="244" t="str">
        <f>IF($A$2="Annual","",IF('Scheduled Intervals'!BL30&lt;&gt;"",IF($A$2/'Scheduled Intervals'!BL30=ROUND($A$2/'Scheduled Intervals'!BL30,0),"Yes",""),""))</f>
        <v/>
      </c>
      <c r="BM30" s="244" t="str">
        <f>IF($A$2="Annual","",IF('Scheduled Intervals'!BM30&lt;&gt;"",IF($A$2/'Scheduled Intervals'!BM30=ROUND($A$2/'Scheduled Intervals'!BM30,0),"Yes",""),""))</f>
        <v/>
      </c>
      <c r="BN30" s="177" t="str">
        <f>IF(AND($A$2="annual",'Scheduled Intervals'!BN30&lt;&gt;""),"yes","")</f>
        <v/>
      </c>
      <c r="BO30" s="177" t="str">
        <f>IF(AND($A$2="annual",'Scheduled Intervals'!BO30&lt;&gt;""),"yes","")</f>
        <v/>
      </c>
      <c r="BP30" s="177" t="str">
        <f>IF(AND($A$2="annual",'Scheduled Intervals'!BP30&lt;&gt;""),"yes","")</f>
        <v/>
      </c>
    </row>
    <row r="31" spans="1:68" x14ac:dyDescent="0.2">
      <c r="A31" s="133" t="str">
        <f>+'Scheduled Intervals'!A31</f>
        <v>SCL - DIESEL</v>
      </c>
      <c r="B31" s="134" t="str">
        <f>IF('Scheduled Intervals'!B31&lt;&gt;"",IF($A$2='Scheduled Intervals'!B31,"Yes",""),"")</f>
        <v/>
      </c>
      <c r="C31" s="134" t="str">
        <f>IF('Scheduled Intervals'!C31&lt;&gt;"",IF($A$2='Scheduled Intervals'!C31,"Yes",""),"")</f>
        <v/>
      </c>
      <c r="D31" s="134" t="str">
        <f>IF('Scheduled Intervals'!D31&lt;&gt;"",IF($A$2='Scheduled Intervals'!D31,"Yes",""),"")</f>
        <v/>
      </c>
      <c r="E31" s="134" t="str">
        <f>IF('Scheduled Intervals'!E31&lt;&gt;"",IF($A$2='Scheduled Intervals'!E31,"Yes",""),"")</f>
        <v/>
      </c>
      <c r="F31" s="134" t="str">
        <f>IF('Scheduled Intervals'!F31&lt;&gt;"",IF($A$2='Scheduled Intervals'!F31,"Yes",""),"")</f>
        <v/>
      </c>
      <c r="G31" s="134" t="str">
        <f>IF('Scheduled Intervals'!G31&lt;&gt;"",IF($A$2='Scheduled Intervals'!G31,"Yes",""),"")</f>
        <v/>
      </c>
      <c r="H31" s="134" t="str">
        <f>IF('Scheduled Intervals'!H31&lt;&gt;"",IF($A$2='Scheduled Intervals'!H31,"Yes",""),"")</f>
        <v/>
      </c>
      <c r="I31" s="134" t="str">
        <f>IF('Scheduled Intervals'!I31&lt;&gt;"",IF($A$2='Scheduled Intervals'!I31,"Yes",""),"")</f>
        <v/>
      </c>
      <c r="J31" s="134" t="str">
        <f>IF('Scheduled Intervals'!J31&lt;&gt;"",IF($A$2='Scheduled Intervals'!J31,"Yes",""),"")</f>
        <v/>
      </c>
      <c r="K31" s="134" t="str">
        <f>IF('Scheduled Intervals'!K31&lt;&gt;"",IF($A$2='Scheduled Intervals'!K31,"Yes",""),"")</f>
        <v/>
      </c>
      <c r="L31" s="134" t="str">
        <f>IF('Scheduled Intervals'!L31&lt;&gt;"",IF($A$2='Scheduled Intervals'!L31,"Yes",""),"")</f>
        <v/>
      </c>
      <c r="M31" s="134" t="str">
        <f>IF('Scheduled Intervals'!M31&lt;&gt;"",IF($A$2='Scheduled Intervals'!M31,"Yes",""),"")</f>
        <v/>
      </c>
      <c r="N31" s="134" t="str">
        <f>IF('Scheduled Intervals'!N31&lt;&gt;"",IF($A$2='Scheduled Intervals'!N31,"Yes",""),"")</f>
        <v/>
      </c>
      <c r="O31" s="134" t="str">
        <f>IF('Scheduled Intervals'!O31&lt;&gt;"",IF($A$2='Scheduled Intervals'!O31,"Yes",""),"")</f>
        <v/>
      </c>
      <c r="P31" s="134" t="str">
        <f>IF('Scheduled Intervals'!P31&lt;&gt;"",IF($A$2='Scheduled Intervals'!P31,"Yes",""),"")</f>
        <v/>
      </c>
      <c r="Q31" s="134" t="str">
        <f>IF('Scheduled Intervals'!Q31&lt;&gt;"",IF($A$2='Scheduled Intervals'!Q31,"Yes",""),"")</f>
        <v/>
      </c>
      <c r="R31" s="134" t="str">
        <f>IF('Scheduled Intervals'!R31&lt;&gt;"",IF($A$2='Scheduled Intervals'!R31,"Yes",""),"")</f>
        <v/>
      </c>
      <c r="S31" s="134" t="str">
        <f>IF('Scheduled Intervals'!S31&lt;&gt;"",IF($A$2='Scheduled Intervals'!S31,"Yes",""),"")</f>
        <v/>
      </c>
      <c r="T31" s="134" t="str">
        <f>IF('Scheduled Intervals'!T31&lt;&gt;"",IF($A$2='Scheduled Intervals'!T31,"Yes",""),"")</f>
        <v/>
      </c>
      <c r="U31" s="244" t="str">
        <f>IF($A$2="Annual","",IF('Scheduled Intervals'!U31&lt;&gt;"",IF($A$2/'Scheduled Intervals'!U31=ROUND($A$2/'Scheduled Intervals'!U31,0),"Yes",""),""))</f>
        <v/>
      </c>
      <c r="V31" s="244" t="str">
        <f>IF($A$2="Annual","",IF('Scheduled Intervals'!V31&lt;&gt;"",IF($A$2/'Scheduled Intervals'!V31=ROUND($A$2/'Scheduled Intervals'!V31,0),"Yes",""),""))</f>
        <v/>
      </c>
      <c r="W31" s="244" t="str">
        <f>IF($A$2="Annual","",IF('Scheduled Intervals'!W31&lt;&gt;"",IF($A$2/'Scheduled Intervals'!W31=ROUND($A$2/'Scheduled Intervals'!W31,0),"Yes",""),""))</f>
        <v/>
      </c>
      <c r="X31" s="244" t="str">
        <f>IF($A$2="Annual","",IF('Scheduled Intervals'!X31&lt;&gt;"",IF($A$2/'Scheduled Intervals'!X31=ROUND($A$2/'Scheduled Intervals'!X31,0),"Yes",""),""))</f>
        <v/>
      </c>
      <c r="Y31" s="244" t="str">
        <f>IF($A$2="Annual","",IF('Scheduled Intervals'!Y31&lt;&gt;"",IF($A$2/'Scheduled Intervals'!Y31=ROUND($A$2/'Scheduled Intervals'!Y31,0),"Yes",""),""))</f>
        <v/>
      </c>
      <c r="Z31" s="244" t="str">
        <f>IF($A$2="Annual","",IF('Scheduled Intervals'!Z31&lt;&gt;"",IF($A$2/'Scheduled Intervals'!Z31=ROUND($A$2/'Scheduled Intervals'!Z31,0),"Yes",""),""))</f>
        <v/>
      </c>
      <c r="AA31" s="244" t="str">
        <f>IF($A$2="Annual","",IF('Scheduled Intervals'!AA31&lt;&gt;"",IF($A$2/'Scheduled Intervals'!AA31=ROUND($A$2/'Scheduled Intervals'!AA31,0),"Yes",""),""))</f>
        <v/>
      </c>
      <c r="AB31" s="244" t="str">
        <f>IF($A$2="Annual","",IF('Scheduled Intervals'!AB31&lt;&gt;"",IF($A$2/'Scheduled Intervals'!AB31=ROUND($A$2/'Scheduled Intervals'!AB31,0),"Yes",""),""))</f>
        <v/>
      </c>
      <c r="AC31" s="244" t="str">
        <f>IF($A$2="Annual","",IF('Scheduled Intervals'!AC31&lt;&gt;"",IF($A$2/'Scheduled Intervals'!AC31=ROUND($A$2/'Scheduled Intervals'!AC31,0),"Yes",""),""))</f>
        <v/>
      </c>
      <c r="AD31" s="244" t="str">
        <f>IF($A$2="Annual","",IF('Scheduled Intervals'!AD31&lt;&gt;"",IF($A$2/'Scheduled Intervals'!AD31=ROUND($A$2/'Scheduled Intervals'!AD31,0),"Yes",""),""))</f>
        <v/>
      </c>
      <c r="AE31" s="244" t="str">
        <f>IF($A$2="Annual","",IF('Scheduled Intervals'!AE31&lt;&gt;"",IF($A$2/'Scheduled Intervals'!AE31=ROUND($A$2/'Scheduled Intervals'!AE31,0),"Yes",""),""))</f>
        <v/>
      </c>
      <c r="AF31" s="244" t="str">
        <f>IF($A$2="Annual","",IF('Scheduled Intervals'!AF31&lt;&gt;"",IF($A$2/'Scheduled Intervals'!AF31=ROUND($A$2/'Scheduled Intervals'!AF31,0),"Yes",""),""))</f>
        <v/>
      </c>
      <c r="AG31" s="244" t="str">
        <f>IF($A$2="Annual","",IF('Scheduled Intervals'!AG31&lt;&gt;"",IF($A$2/'Scheduled Intervals'!AG31=ROUND($A$2/'Scheduled Intervals'!AG31,0),"Yes",""),""))</f>
        <v/>
      </c>
      <c r="AH31" s="244" t="str">
        <f>IF($A$2="Annual","",IF('Scheduled Intervals'!AH31&lt;&gt;"",IF($A$2/'Scheduled Intervals'!AH31=ROUND($A$2/'Scheduled Intervals'!AH31,0),"Yes",""),""))</f>
        <v/>
      </c>
      <c r="AI31" s="244" t="str">
        <f>IF($A$2="Annual","",IF('Scheduled Intervals'!AI31&lt;&gt;"",IF($A$2/'Scheduled Intervals'!AI31=ROUND($A$2/'Scheduled Intervals'!AI31,0),"Yes",""),""))</f>
        <v/>
      </c>
      <c r="AJ31" s="244" t="str">
        <f>IF($A$2="Annual","",IF('Scheduled Intervals'!AJ31&lt;&gt;"",IF($A$2/'Scheduled Intervals'!AJ31=ROUND($A$2/'Scheduled Intervals'!AJ31,0),"Yes",""),""))</f>
        <v/>
      </c>
      <c r="AK31" s="244" t="str">
        <f>IF($A$2="Annual","",IF('Scheduled Intervals'!AK31&lt;&gt;"",IF($A$2/'Scheduled Intervals'!AK31=ROUND($A$2/'Scheduled Intervals'!AK31,0),"Yes",""),""))</f>
        <v/>
      </c>
      <c r="AL31" s="244" t="str">
        <f>IF($A$2="Annual","",IF('Scheduled Intervals'!AL31&lt;&gt;"",IF($A$2/'Scheduled Intervals'!AL31=ROUND($A$2/'Scheduled Intervals'!AL31,0),"Yes",""),""))</f>
        <v/>
      </c>
      <c r="AM31" s="244" t="str">
        <f>IF($A$2="Annual","",IF('Scheduled Intervals'!AM31&lt;&gt;"",IF($A$2/'Scheduled Intervals'!AM31=ROUND($A$2/'Scheduled Intervals'!AM31,0),"Yes",""),""))</f>
        <v/>
      </c>
      <c r="AN31" s="244" t="str">
        <f>IF($A$2="Annual","",IF('Scheduled Intervals'!AN31&lt;&gt;"",IF($A$2/'Scheduled Intervals'!AN31=ROUND($A$2/'Scheduled Intervals'!AN31,0),"Yes",""),""))</f>
        <v/>
      </c>
      <c r="AO31" s="244" t="str">
        <f>IF($A$2="Annual","",IF('Scheduled Intervals'!AO31&lt;&gt;"",IF($A$2/'Scheduled Intervals'!AO31=ROUND($A$2/'Scheduled Intervals'!AO31,0),"Yes",""),""))</f>
        <v/>
      </c>
      <c r="AP31" s="244" t="str">
        <f>IF($A$2="Annual","",IF('Scheduled Intervals'!AP31&lt;&gt;"",IF($A$2/'Scheduled Intervals'!AP31=ROUND($A$2/'Scheduled Intervals'!AP31,0),"Yes",""),""))</f>
        <v/>
      </c>
      <c r="AQ31" s="244" t="str">
        <f>IF($A$2="Annual","",IF('Scheduled Intervals'!AQ31&lt;&gt;"",IF($A$2/'Scheduled Intervals'!AQ31=ROUND($A$2/'Scheduled Intervals'!AQ31,0),"Yes",""),""))</f>
        <v/>
      </c>
      <c r="AR31" s="244" t="str">
        <f>IF($A$2="Annual","",IF('Scheduled Intervals'!AR31&lt;&gt;"",IF($A$2/'Scheduled Intervals'!AR31=ROUND($A$2/'Scheduled Intervals'!AR31,0),"Yes",""),""))</f>
        <v/>
      </c>
      <c r="AS31" s="244" t="str">
        <f>IF($A$2="Annual","",IF('Scheduled Intervals'!AS31&lt;&gt;"",IF($A$2/'Scheduled Intervals'!AS31=ROUND($A$2/'Scheduled Intervals'!AS31,0),"Yes",""),""))</f>
        <v/>
      </c>
      <c r="AT31" s="244" t="str">
        <f>IF($A$2="Annual","",IF('Scheduled Intervals'!AT31&lt;&gt;"",IF($A$2/'Scheduled Intervals'!AT31=ROUND($A$2/'Scheduled Intervals'!AT31,0),"Yes",""),""))</f>
        <v/>
      </c>
      <c r="AU31" s="244" t="str">
        <f>IF($A$2="Annual","",IF('Scheduled Intervals'!AU31&lt;&gt;"",IF($A$2/'Scheduled Intervals'!AU31=ROUND($A$2/'Scheduled Intervals'!AU31,0),"Yes",""),""))</f>
        <v/>
      </c>
      <c r="AV31" s="244" t="str">
        <f>IF($A$2="Annual","",IF('Scheduled Intervals'!AV31&lt;&gt;"",IF($A$2/'Scheduled Intervals'!AV31=ROUND($A$2/'Scheduled Intervals'!AV31,0),"Yes",""),""))</f>
        <v/>
      </c>
      <c r="AW31" s="244" t="str">
        <f>IF($A$2="Annual","",IF('Scheduled Intervals'!AW31&lt;&gt;"",IF($A$2/'Scheduled Intervals'!AW31=ROUND($A$2/'Scheduled Intervals'!AW31,0),"Yes",""),""))</f>
        <v/>
      </c>
      <c r="AX31" s="244" t="str">
        <f>IF($A$2="Annual","",IF('Scheduled Intervals'!AX31&lt;&gt;"",IF($A$2/'Scheduled Intervals'!AX31=ROUND($A$2/'Scheduled Intervals'!AX31,0),"Yes",""),""))</f>
        <v/>
      </c>
      <c r="AY31" s="244" t="str">
        <f>IF($A$2="Annual","",IF('Scheduled Intervals'!AY31&lt;&gt;"",IF($A$2/'Scheduled Intervals'!AY31=ROUND($A$2/'Scheduled Intervals'!AY31,0),"Yes",""),""))</f>
        <v/>
      </c>
      <c r="AZ31" s="244" t="str">
        <f>IF($A$2="Annual","",IF('Scheduled Intervals'!AZ31&lt;&gt;"",IF($A$2/'Scheduled Intervals'!AZ31=ROUND($A$2/'Scheduled Intervals'!AZ31,0),"Yes",""),""))</f>
        <v/>
      </c>
      <c r="BA31" s="244" t="str">
        <f>IF($A$2="Annual","",IF('Scheduled Intervals'!BA31&lt;&gt;"",IF($A$2/'Scheduled Intervals'!BA31=ROUND($A$2/'Scheduled Intervals'!BA31,0),"Yes",""),""))</f>
        <v/>
      </c>
      <c r="BB31" s="244" t="str">
        <f>IF($A$2="Annual","",IF('Scheduled Intervals'!BB31&lt;&gt;"",IF($A$2/'Scheduled Intervals'!BB31=ROUND($A$2/'Scheduled Intervals'!BB31,0),"Yes",""),""))</f>
        <v/>
      </c>
      <c r="BC31" s="244" t="str">
        <f>IF($A$2="Annual","",IF('Scheduled Intervals'!BC31&lt;&gt;"",IF($A$2/'Scheduled Intervals'!BC31=ROUND($A$2/'Scheduled Intervals'!BC31,0),"Yes",""),""))</f>
        <v/>
      </c>
      <c r="BD31" s="244" t="str">
        <f>IF($A$2="Annual","",IF('Scheduled Intervals'!BD31&lt;&gt;"",IF($A$2/'Scheduled Intervals'!BD31=ROUND($A$2/'Scheduled Intervals'!BD31,0),"Yes",""),""))</f>
        <v/>
      </c>
      <c r="BE31" s="244" t="str">
        <f>IF($A$2="Annual","",IF('Scheduled Intervals'!BE31&lt;&gt;"",IF($A$2/'Scheduled Intervals'!BE31=ROUND($A$2/'Scheduled Intervals'!BE31,0),"Yes",""),""))</f>
        <v/>
      </c>
      <c r="BF31" s="244" t="str">
        <f>IF($A$2="Annual","",IF('Scheduled Intervals'!BF31&lt;&gt;"",IF($A$2/'Scheduled Intervals'!BF31=ROUND($A$2/'Scheduled Intervals'!BF31,0),"Yes",""),""))</f>
        <v/>
      </c>
      <c r="BG31" s="244" t="str">
        <f>IF($A$2="Annual","",IF('Scheduled Intervals'!BG31&lt;&gt;"",IF($A$2/'Scheduled Intervals'!BG31=ROUND($A$2/'Scheduled Intervals'!BG31,0),"Yes",""),""))</f>
        <v/>
      </c>
      <c r="BH31" s="244" t="str">
        <f>IF($A$2="Annual","",IF('Scheduled Intervals'!BH31&lt;&gt;"",IF($A$2/'Scheduled Intervals'!BH31=ROUND($A$2/'Scheduled Intervals'!BH31,0),"Yes",""),""))</f>
        <v/>
      </c>
      <c r="BI31" s="244" t="str">
        <f>IF($A$2="Annual","",IF('Scheduled Intervals'!BI31&lt;&gt;"",IF($A$2/'Scheduled Intervals'!BI31=ROUND($A$2/'Scheduled Intervals'!BI31,0),"Yes",""),""))</f>
        <v/>
      </c>
      <c r="BJ31" s="244" t="str">
        <f>IF($A$2="Annual","",IF('Scheduled Intervals'!BJ31&lt;&gt;"",IF($A$2/'Scheduled Intervals'!BJ31=ROUND($A$2/'Scheduled Intervals'!BJ31,0),"Yes",""),""))</f>
        <v/>
      </c>
      <c r="BK31" s="244" t="str">
        <f>IF($A$2="Annual","",IF('Scheduled Intervals'!BK31&lt;&gt;"",IF($A$2/'Scheduled Intervals'!BK31=ROUND($A$2/'Scheduled Intervals'!BK31,0),"Yes",""),""))</f>
        <v/>
      </c>
      <c r="BL31" s="244" t="str">
        <f>IF($A$2="Annual","",IF('Scheduled Intervals'!BL31&lt;&gt;"",IF($A$2/'Scheduled Intervals'!BL31=ROUND($A$2/'Scheduled Intervals'!BL31,0),"Yes",""),""))</f>
        <v/>
      </c>
      <c r="BM31" s="244" t="str">
        <f>IF($A$2="Annual","",IF('Scheduled Intervals'!BM31&lt;&gt;"",IF($A$2/'Scheduled Intervals'!BM31=ROUND($A$2/'Scheduled Intervals'!BM31,0),"Yes",""),""))</f>
        <v/>
      </c>
      <c r="BN31" s="177" t="str">
        <f>IF(AND($A$2="annual",'Scheduled Intervals'!BN31&lt;&gt;""),"yes","")</f>
        <v/>
      </c>
      <c r="BO31" s="177" t="str">
        <f>IF(AND($A$2="annual",'Scheduled Intervals'!BO31&lt;&gt;""),"yes","")</f>
        <v/>
      </c>
      <c r="BP31" s="177" t="str">
        <f>IF(AND($A$2="annual",'Scheduled Intervals'!BP31&lt;&gt;""),"yes","")</f>
        <v/>
      </c>
    </row>
    <row r="32" spans="1:68" x14ac:dyDescent="0.2">
      <c r="A32" s="133" t="str">
        <f>+'Scheduled Intervals'!A32</f>
        <v>SCL -  Gas</v>
      </c>
      <c r="B32" s="134" t="str">
        <f>IF('Scheduled Intervals'!B32&lt;&gt;"",IF($A$2='Scheduled Intervals'!B32,"Yes",""),"")</f>
        <v/>
      </c>
      <c r="C32" s="134" t="str">
        <f>IF('Scheduled Intervals'!C32&lt;&gt;"",IF($A$2='Scheduled Intervals'!C32,"Yes",""),"")</f>
        <v/>
      </c>
      <c r="D32" s="134" t="str">
        <f>IF('Scheduled Intervals'!D32&lt;&gt;"",IF($A$2='Scheduled Intervals'!D32,"Yes",""),"")</f>
        <v/>
      </c>
      <c r="E32" s="134" t="str">
        <f>IF('Scheduled Intervals'!E32&lt;&gt;"",IF($A$2='Scheduled Intervals'!E32,"Yes",""),"")</f>
        <v/>
      </c>
      <c r="F32" s="134" t="str">
        <f>IF('Scheduled Intervals'!F32&lt;&gt;"",IF($A$2='Scheduled Intervals'!F32,"Yes",""),"")</f>
        <v/>
      </c>
      <c r="G32" s="134" t="str">
        <f>IF('Scheduled Intervals'!G32&lt;&gt;"",IF($A$2='Scheduled Intervals'!G32,"Yes",""),"")</f>
        <v/>
      </c>
      <c r="H32" s="134" t="str">
        <f>IF('Scheduled Intervals'!H32&lt;&gt;"",IF($A$2='Scheduled Intervals'!H32,"Yes",""),"")</f>
        <v/>
      </c>
      <c r="I32" s="134" t="str">
        <f>IF('Scheduled Intervals'!I32&lt;&gt;"",IF($A$2='Scheduled Intervals'!I32,"Yes",""),"")</f>
        <v/>
      </c>
      <c r="J32" s="134" t="str">
        <f>IF('Scheduled Intervals'!J32&lt;&gt;"",IF($A$2='Scheduled Intervals'!J32,"Yes",""),"")</f>
        <v/>
      </c>
      <c r="K32" s="134" t="str">
        <f>IF('Scheduled Intervals'!K32&lt;&gt;"",IF($A$2='Scheduled Intervals'!K32,"Yes",""),"")</f>
        <v/>
      </c>
      <c r="L32" s="134" t="str">
        <f>IF('Scheduled Intervals'!L32&lt;&gt;"",IF($A$2='Scheduled Intervals'!L32,"Yes",""),"")</f>
        <v/>
      </c>
      <c r="M32" s="134" t="str">
        <f>IF('Scheduled Intervals'!M32&lt;&gt;"",IF($A$2='Scheduled Intervals'!M32,"Yes",""),"")</f>
        <v/>
      </c>
      <c r="N32" s="134" t="str">
        <f>IF('Scheduled Intervals'!N32&lt;&gt;"",IF($A$2='Scheduled Intervals'!N32,"Yes",""),"")</f>
        <v/>
      </c>
      <c r="O32" s="134" t="str">
        <f>IF('Scheduled Intervals'!O32&lt;&gt;"",IF($A$2='Scheduled Intervals'!O32,"Yes",""),"")</f>
        <v/>
      </c>
      <c r="P32" s="134" t="str">
        <f>IF('Scheduled Intervals'!P32&lt;&gt;"",IF($A$2='Scheduled Intervals'!P32,"Yes",""),"")</f>
        <v/>
      </c>
      <c r="Q32" s="134" t="str">
        <f>IF('Scheduled Intervals'!Q32&lt;&gt;"",IF($A$2='Scheduled Intervals'!Q32,"Yes",""),"")</f>
        <v/>
      </c>
      <c r="R32" s="134" t="str">
        <f>IF('Scheduled Intervals'!R32&lt;&gt;"",IF($A$2='Scheduled Intervals'!R32,"Yes",""),"")</f>
        <v/>
      </c>
      <c r="S32" s="134" t="str">
        <f>IF('Scheduled Intervals'!S32&lt;&gt;"",IF($A$2='Scheduled Intervals'!S32,"Yes",""),"")</f>
        <v/>
      </c>
      <c r="T32" s="134" t="str">
        <f>IF('Scheduled Intervals'!T32&lt;&gt;"",IF($A$2='Scheduled Intervals'!T32,"Yes",""),"")</f>
        <v/>
      </c>
      <c r="U32" s="244" t="str">
        <f>IF($A$2="Annual","",IF('Scheduled Intervals'!U32&lt;&gt;"",IF($A$2/'Scheduled Intervals'!U32=ROUND($A$2/'Scheduled Intervals'!U32,0),"Yes",""),""))</f>
        <v>Yes</v>
      </c>
      <c r="V32" s="244" t="str">
        <f>IF($A$2="Annual","",IF('Scheduled Intervals'!V32&lt;&gt;"",IF($A$2/'Scheduled Intervals'!V32=ROUND($A$2/'Scheduled Intervals'!V32,0),"Yes",""),""))</f>
        <v/>
      </c>
      <c r="W32" s="244" t="str">
        <f>IF($A$2="Annual","",IF('Scheduled Intervals'!W32&lt;&gt;"",IF($A$2/'Scheduled Intervals'!W32=ROUND($A$2/'Scheduled Intervals'!W32,0),"Yes",""),""))</f>
        <v/>
      </c>
      <c r="X32" s="244" t="str">
        <f>IF($A$2="Annual","",IF('Scheduled Intervals'!X32&lt;&gt;"",IF($A$2/'Scheduled Intervals'!X32=ROUND($A$2/'Scheduled Intervals'!X32,0),"Yes",""),""))</f>
        <v/>
      </c>
      <c r="Y32" s="244" t="str">
        <f>IF($A$2="Annual","",IF('Scheduled Intervals'!Y32&lt;&gt;"",IF($A$2/'Scheduled Intervals'!Y32=ROUND($A$2/'Scheduled Intervals'!Y32,0),"Yes",""),""))</f>
        <v/>
      </c>
      <c r="Z32" s="244" t="str">
        <f>IF($A$2="Annual","",IF('Scheduled Intervals'!Z32&lt;&gt;"",IF($A$2/'Scheduled Intervals'!Z32=ROUND($A$2/'Scheduled Intervals'!Z32,0),"Yes",""),""))</f>
        <v>Yes</v>
      </c>
      <c r="AA32" s="244" t="str">
        <f>IF($A$2="Annual","",IF('Scheduled Intervals'!AA32&lt;&gt;"",IF($A$2/'Scheduled Intervals'!AA32=ROUND($A$2/'Scheduled Intervals'!AA32,0),"Yes",""),""))</f>
        <v/>
      </c>
      <c r="AB32" s="244" t="str">
        <f>IF($A$2="Annual","",IF('Scheduled Intervals'!AB32&lt;&gt;"",IF($A$2/'Scheduled Intervals'!AB32=ROUND($A$2/'Scheduled Intervals'!AB32,0),"Yes",""),""))</f>
        <v/>
      </c>
      <c r="AC32" s="244" t="str">
        <f>IF($A$2="Annual","",IF('Scheduled Intervals'!AC32&lt;&gt;"",IF($A$2/'Scheduled Intervals'!AC32=ROUND($A$2/'Scheduled Intervals'!AC32,0),"Yes",""),""))</f>
        <v/>
      </c>
      <c r="AD32" s="244" t="str">
        <f>IF($A$2="Annual","",IF('Scheduled Intervals'!AD32&lt;&gt;"",IF($A$2/'Scheduled Intervals'!AD32=ROUND($A$2/'Scheduled Intervals'!AD32,0),"Yes",""),""))</f>
        <v/>
      </c>
      <c r="AE32" s="244" t="str">
        <f>IF($A$2="Annual","",IF('Scheduled Intervals'!AE32&lt;&gt;"",IF($A$2/'Scheduled Intervals'!AE32=ROUND($A$2/'Scheduled Intervals'!AE32,0),"Yes",""),""))</f>
        <v/>
      </c>
      <c r="AF32" s="244" t="str">
        <f>IF($A$2="Annual","",IF('Scheduled Intervals'!AF32&lt;&gt;"",IF($A$2/'Scheduled Intervals'!AF32=ROUND($A$2/'Scheduled Intervals'!AF32,0),"Yes",""),""))</f>
        <v/>
      </c>
      <c r="AG32" s="244" t="str">
        <f>IF($A$2="Annual","",IF('Scheduled Intervals'!AG32&lt;&gt;"",IF($A$2/'Scheduled Intervals'!AG32=ROUND($A$2/'Scheduled Intervals'!AG32,0),"Yes",""),""))</f>
        <v/>
      </c>
      <c r="AH32" s="244" t="str">
        <f>IF($A$2="Annual","",IF('Scheduled Intervals'!AH32&lt;&gt;"",IF($A$2/'Scheduled Intervals'!AH32=ROUND($A$2/'Scheduled Intervals'!AH32,0),"Yes",""),""))</f>
        <v/>
      </c>
      <c r="AI32" s="244" t="str">
        <f>IF($A$2="Annual","",IF('Scheduled Intervals'!AI32&lt;&gt;"",IF($A$2/'Scheduled Intervals'!AI32=ROUND($A$2/'Scheduled Intervals'!AI32,0),"Yes",""),""))</f>
        <v/>
      </c>
      <c r="AJ32" s="244" t="str">
        <f>IF($A$2="Annual","",IF('Scheduled Intervals'!AJ32&lt;&gt;"",IF($A$2/'Scheduled Intervals'!AJ32=ROUND($A$2/'Scheduled Intervals'!AJ32,0),"Yes",""),""))</f>
        <v/>
      </c>
      <c r="AK32" s="244" t="str">
        <f>IF($A$2="Annual","",IF('Scheduled Intervals'!AK32&lt;&gt;"",IF($A$2/'Scheduled Intervals'!AK32=ROUND($A$2/'Scheduled Intervals'!AK32,0),"Yes",""),""))</f>
        <v/>
      </c>
      <c r="AL32" s="244" t="str">
        <f>IF($A$2="Annual","",IF('Scheduled Intervals'!AL32&lt;&gt;"",IF($A$2/'Scheduled Intervals'!AL32=ROUND($A$2/'Scheduled Intervals'!AL32,0),"Yes",""),""))</f>
        <v/>
      </c>
      <c r="AM32" s="244" t="str">
        <f>IF($A$2="Annual","",IF('Scheduled Intervals'!AM32&lt;&gt;"",IF($A$2/'Scheduled Intervals'!AM32=ROUND($A$2/'Scheduled Intervals'!AM32,0),"Yes",""),""))</f>
        <v/>
      </c>
      <c r="AN32" s="244" t="str">
        <f>IF($A$2="Annual","",IF('Scheduled Intervals'!AN32&lt;&gt;"",IF($A$2/'Scheduled Intervals'!AN32=ROUND($A$2/'Scheduled Intervals'!AN32,0),"Yes",""),""))</f>
        <v/>
      </c>
      <c r="AO32" s="244" t="str">
        <f>IF($A$2="Annual","",IF('Scheduled Intervals'!AO32&lt;&gt;"",IF($A$2/'Scheduled Intervals'!AO32=ROUND($A$2/'Scheduled Intervals'!AO32,0),"Yes",""),""))</f>
        <v/>
      </c>
      <c r="AP32" s="244" t="str">
        <f>IF($A$2="Annual","",IF('Scheduled Intervals'!AP32&lt;&gt;"",IF($A$2/'Scheduled Intervals'!AP32=ROUND($A$2/'Scheduled Intervals'!AP32,0),"Yes",""),""))</f>
        <v/>
      </c>
      <c r="AQ32" s="244" t="str">
        <f>IF($A$2="Annual","",IF('Scheduled Intervals'!AQ32&lt;&gt;"",IF($A$2/'Scheduled Intervals'!AQ32=ROUND($A$2/'Scheduled Intervals'!AQ32,0),"Yes",""),""))</f>
        <v/>
      </c>
      <c r="AR32" s="244" t="str">
        <f>IF($A$2="Annual","",IF('Scheduled Intervals'!AR32&lt;&gt;"",IF($A$2/'Scheduled Intervals'!AR32=ROUND($A$2/'Scheduled Intervals'!AR32,0),"Yes",""),""))</f>
        <v/>
      </c>
      <c r="AS32" s="244" t="str">
        <f>IF($A$2="Annual","",IF('Scheduled Intervals'!AS32&lt;&gt;"",IF($A$2/'Scheduled Intervals'!AS32=ROUND($A$2/'Scheduled Intervals'!AS32,0),"Yes",""),""))</f>
        <v/>
      </c>
      <c r="AT32" s="244" t="str">
        <f>IF($A$2="Annual","",IF('Scheduled Intervals'!AT32&lt;&gt;"",IF($A$2/'Scheduled Intervals'!AT32=ROUND($A$2/'Scheduled Intervals'!AT32,0),"Yes",""),""))</f>
        <v>Yes</v>
      </c>
      <c r="AU32" s="244" t="str">
        <f>IF($A$2="Annual","",IF('Scheduled Intervals'!AU32&lt;&gt;"",IF($A$2/'Scheduled Intervals'!AU32=ROUND($A$2/'Scheduled Intervals'!AU32,0),"Yes",""),""))</f>
        <v/>
      </c>
      <c r="AV32" s="244" t="str">
        <f>IF($A$2="Annual","",IF('Scheduled Intervals'!AV32&lt;&gt;"",IF($A$2/'Scheduled Intervals'!AV32=ROUND($A$2/'Scheduled Intervals'!AV32,0),"Yes",""),""))</f>
        <v/>
      </c>
      <c r="AW32" s="244" t="str">
        <f>IF($A$2="Annual","",IF('Scheduled Intervals'!AW32&lt;&gt;"",IF($A$2/'Scheduled Intervals'!AW32=ROUND($A$2/'Scheduled Intervals'!AW32,0),"Yes",""),""))</f>
        <v/>
      </c>
      <c r="AX32" s="244" t="str">
        <f>IF($A$2="Annual","",IF('Scheduled Intervals'!AX32&lt;&gt;"",IF($A$2/'Scheduled Intervals'!AX32=ROUND($A$2/'Scheduled Intervals'!AX32,0),"Yes",""),""))</f>
        <v/>
      </c>
      <c r="AY32" s="244" t="str">
        <f>IF($A$2="Annual","",IF('Scheduled Intervals'!AY32&lt;&gt;"",IF($A$2/'Scheduled Intervals'!AY32=ROUND($A$2/'Scheduled Intervals'!AY32,0),"Yes",""),""))</f>
        <v/>
      </c>
      <c r="AZ32" s="244" t="str">
        <f>IF($A$2="Annual","",IF('Scheduled Intervals'!AZ32&lt;&gt;"",IF($A$2/'Scheduled Intervals'!AZ32=ROUND($A$2/'Scheduled Intervals'!AZ32,0),"Yes",""),""))</f>
        <v/>
      </c>
      <c r="BA32" s="244" t="str">
        <f>IF($A$2="Annual","",IF('Scheduled Intervals'!BA32&lt;&gt;"",IF($A$2/'Scheduled Intervals'!BA32=ROUND($A$2/'Scheduled Intervals'!BA32,0),"Yes",""),""))</f>
        <v/>
      </c>
      <c r="BB32" s="244" t="str">
        <f>IF($A$2="Annual","",IF('Scheduled Intervals'!BB32&lt;&gt;"",IF($A$2/'Scheduled Intervals'!BB32=ROUND($A$2/'Scheduled Intervals'!BB32,0),"Yes",""),""))</f>
        <v>Yes</v>
      </c>
      <c r="BC32" s="244" t="str">
        <f>IF($A$2="Annual","",IF('Scheduled Intervals'!BC32&lt;&gt;"",IF($A$2/'Scheduled Intervals'!BC32=ROUND($A$2/'Scheduled Intervals'!BC32,0),"Yes",""),""))</f>
        <v/>
      </c>
      <c r="BD32" s="244" t="str">
        <f>IF($A$2="Annual","",IF('Scheduled Intervals'!BD32&lt;&gt;"",IF($A$2/'Scheduled Intervals'!BD32=ROUND($A$2/'Scheduled Intervals'!BD32,0),"Yes",""),""))</f>
        <v>Yes</v>
      </c>
      <c r="BE32" s="244" t="str">
        <f>IF($A$2="Annual","",IF('Scheduled Intervals'!BE32&lt;&gt;"",IF($A$2/'Scheduled Intervals'!BE32=ROUND($A$2/'Scheduled Intervals'!BE32,0),"Yes",""),""))</f>
        <v/>
      </c>
      <c r="BF32" s="244" t="str">
        <f>IF($A$2="Annual","",IF('Scheduled Intervals'!BF32&lt;&gt;"",IF($A$2/'Scheduled Intervals'!BF32=ROUND($A$2/'Scheduled Intervals'!BF32,0),"Yes",""),""))</f>
        <v/>
      </c>
      <c r="BG32" s="244" t="str">
        <f>IF($A$2="Annual","",IF('Scheduled Intervals'!BG32&lt;&gt;"",IF($A$2/'Scheduled Intervals'!BG32=ROUND($A$2/'Scheduled Intervals'!BG32,0),"Yes",""),""))</f>
        <v/>
      </c>
      <c r="BH32" s="244" t="str">
        <f>IF($A$2="Annual","",IF('Scheduled Intervals'!BH32&lt;&gt;"",IF($A$2/'Scheduled Intervals'!BH32=ROUND($A$2/'Scheduled Intervals'!BH32,0),"Yes",""),""))</f>
        <v>Yes</v>
      </c>
      <c r="BI32" s="244" t="str">
        <f>IF($A$2="Annual","",IF('Scheduled Intervals'!BI32&lt;&gt;"",IF($A$2/'Scheduled Intervals'!BI32=ROUND($A$2/'Scheduled Intervals'!BI32,0),"Yes",""),""))</f>
        <v>Yes</v>
      </c>
      <c r="BJ32" s="244" t="str">
        <f>IF($A$2="Annual","",IF('Scheduled Intervals'!BJ32&lt;&gt;"",IF($A$2/'Scheduled Intervals'!BJ32=ROUND($A$2/'Scheduled Intervals'!BJ32,0),"Yes",""),""))</f>
        <v>Yes</v>
      </c>
      <c r="BK32" s="244" t="str">
        <f>IF($A$2="Annual","",IF('Scheduled Intervals'!BK32&lt;&gt;"",IF($A$2/'Scheduled Intervals'!BK32=ROUND($A$2/'Scheduled Intervals'!BK32,0),"Yes",""),""))</f>
        <v/>
      </c>
      <c r="BL32" s="244" t="str">
        <f>IF($A$2="Annual","",IF('Scheduled Intervals'!BL32&lt;&gt;"",IF($A$2/'Scheduled Intervals'!BL32=ROUND($A$2/'Scheduled Intervals'!BL32,0),"Yes",""),""))</f>
        <v/>
      </c>
      <c r="BM32" s="244" t="str">
        <f>IF($A$2="Annual","",IF('Scheduled Intervals'!BM32&lt;&gt;"",IF($A$2/'Scheduled Intervals'!BM32=ROUND($A$2/'Scheduled Intervals'!BM32,0),"Yes",""),""))</f>
        <v/>
      </c>
      <c r="BN32" s="177" t="str">
        <f>IF(AND($A$2="annual",'Scheduled Intervals'!BN32&lt;&gt;""),"yes","")</f>
        <v/>
      </c>
      <c r="BO32" s="177" t="str">
        <f>IF(AND($A$2="annual",'Scheduled Intervals'!BO32&lt;&gt;""),"yes","")</f>
        <v/>
      </c>
      <c r="BP32" s="177" t="str">
        <f>IF(AND($A$2="annual",'Scheduled Intervals'!BP32&lt;&gt;""),"yes","")</f>
        <v/>
      </c>
    </row>
    <row r="33" spans="1:68" x14ac:dyDescent="0.2">
      <c r="A33" s="133" t="str">
        <f>+'Scheduled Intervals'!A33</f>
        <v>Mini Excavator</v>
      </c>
      <c r="B33" s="134" t="str">
        <f>IF('Scheduled Intervals'!B33&lt;&gt;"",IF($A$2='Scheduled Intervals'!B33,"Yes",""),"")</f>
        <v/>
      </c>
      <c r="C33" s="134" t="str">
        <f>IF('Scheduled Intervals'!C33&lt;&gt;"",IF($A$2='Scheduled Intervals'!C33,"Yes",""),"")</f>
        <v/>
      </c>
      <c r="D33" s="134" t="str">
        <f>IF('Scheduled Intervals'!D33&lt;&gt;"",IF($A$2='Scheduled Intervals'!D33,"Yes",""),"")</f>
        <v/>
      </c>
      <c r="E33" s="134" t="str">
        <f>IF('Scheduled Intervals'!E33&lt;&gt;"",IF($A$2='Scheduled Intervals'!E33,"Yes",""),"")</f>
        <v/>
      </c>
      <c r="F33" s="134" t="str">
        <f>IF('Scheduled Intervals'!F33&lt;&gt;"",IF($A$2='Scheduled Intervals'!F33,"Yes",""),"")</f>
        <v/>
      </c>
      <c r="G33" s="134" t="str">
        <f>IF('Scheduled Intervals'!G33&lt;&gt;"",IF($A$2='Scheduled Intervals'!G33,"Yes",""),"")</f>
        <v/>
      </c>
      <c r="H33" s="134" t="str">
        <f>IF('Scheduled Intervals'!H33&lt;&gt;"",IF($A$2='Scheduled Intervals'!H33,"Yes",""),"")</f>
        <v/>
      </c>
      <c r="I33" s="134" t="str">
        <f>IF('Scheduled Intervals'!I33&lt;&gt;"",IF($A$2='Scheduled Intervals'!I33,"Yes",""),"")</f>
        <v/>
      </c>
      <c r="J33" s="134" t="str">
        <f>IF('Scheduled Intervals'!J33&lt;&gt;"",IF($A$2='Scheduled Intervals'!J33,"Yes",""),"")</f>
        <v/>
      </c>
      <c r="K33" s="134" t="str">
        <f>IF('Scheduled Intervals'!K33&lt;&gt;"",IF($A$2='Scheduled Intervals'!K33,"Yes",""),"")</f>
        <v/>
      </c>
      <c r="L33" s="134" t="str">
        <f>IF('Scheduled Intervals'!L33&lt;&gt;"",IF($A$2='Scheduled Intervals'!L33,"Yes",""),"")</f>
        <v/>
      </c>
      <c r="M33" s="134" t="str">
        <f>IF('Scheduled Intervals'!M33&lt;&gt;"",IF($A$2='Scheduled Intervals'!M33,"Yes",""),"")</f>
        <v/>
      </c>
      <c r="N33" s="134" t="str">
        <f>IF('Scheduled Intervals'!N33&lt;&gt;"",IF($A$2='Scheduled Intervals'!N33,"Yes",""),"")</f>
        <v/>
      </c>
      <c r="O33" s="134" t="str">
        <f>IF('Scheduled Intervals'!O33&lt;&gt;"",IF($A$2='Scheduled Intervals'!O33,"Yes",""),"")</f>
        <v/>
      </c>
      <c r="P33" s="134" t="str">
        <f>IF('Scheduled Intervals'!P33&lt;&gt;"",IF($A$2='Scheduled Intervals'!P33,"Yes",""),"")</f>
        <v/>
      </c>
      <c r="Q33" s="134" t="str">
        <f>IF('Scheduled Intervals'!Q33&lt;&gt;"",IF($A$2='Scheduled Intervals'!Q33,"Yes",""),"")</f>
        <v/>
      </c>
      <c r="R33" s="134" t="str">
        <f>IF('Scheduled Intervals'!R33&lt;&gt;"",IF($A$2='Scheduled Intervals'!R33,"Yes",""),"")</f>
        <v/>
      </c>
      <c r="S33" s="134" t="str">
        <f>IF('Scheduled Intervals'!S33&lt;&gt;"",IF($A$2='Scheduled Intervals'!S33,"Yes",""),"")</f>
        <v/>
      </c>
      <c r="T33" s="134" t="str">
        <f>IF('Scheduled Intervals'!T33&lt;&gt;"",IF($A$2='Scheduled Intervals'!T33,"Yes",""),"")</f>
        <v/>
      </c>
      <c r="U33" s="244" t="str">
        <f>IF($A$2="Annual","",IF('Scheduled Intervals'!U33&lt;&gt;"",IF($A$2/'Scheduled Intervals'!U33=ROUND($A$2/'Scheduled Intervals'!U33,0),"Yes",""),""))</f>
        <v>Yes</v>
      </c>
      <c r="V33" s="244" t="str">
        <f>IF($A$2="Annual","",IF('Scheduled Intervals'!V33&lt;&gt;"",IF($A$2/'Scheduled Intervals'!V33=ROUND($A$2/'Scheduled Intervals'!V33,0),"Yes",""),""))</f>
        <v/>
      </c>
      <c r="W33" s="244" t="str">
        <f>IF($A$2="Annual","",IF('Scheduled Intervals'!W33&lt;&gt;"",IF($A$2/'Scheduled Intervals'!W33=ROUND($A$2/'Scheduled Intervals'!W33,0),"Yes",""),""))</f>
        <v/>
      </c>
      <c r="X33" s="244" t="str">
        <f>IF($A$2="Annual","",IF('Scheduled Intervals'!X33&lt;&gt;"",IF($A$2/'Scheduled Intervals'!X33=ROUND($A$2/'Scheduled Intervals'!X33,0),"Yes",""),""))</f>
        <v/>
      </c>
      <c r="Y33" s="244" t="str">
        <f>IF($A$2="Annual","",IF('Scheduled Intervals'!Y33&lt;&gt;"",IF($A$2/'Scheduled Intervals'!Y33=ROUND($A$2/'Scheduled Intervals'!Y33,0),"Yes",""),""))</f>
        <v/>
      </c>
      <c r="Z33" s="244" t="str">
        <f>IF($A$2="Annual","",IF('Scheduled Intervals'!Z33&lt;&gt;"",IF($A$2/'Scheduled Intervals'!Z33=ROUND($A$2/'Scheduled Intervals'!Z33,0),"Yes",""),""))</f>
        <v>Yes</v>
      </c>
      <c r="AA33" s="244" t="str">
        <f>IF($A$2="Annual","",IF('Scheduled Intervals'!AA33&lt;&gt;"",IF($A$2/'Scheduled Intervals'!AA33=ROUND($A$2/'Scheduled Intervals'!AA33,0),"Yes",""),""))</f>
        <v/>
      </c>
      <c r="AB33" s="244" t="str">
        <f>IF($A$2="Annual","",IF('Scheduled Intervals'!AB33&lt;&gt;"",IF($A$2/'Scheduled Intervals'!AB33=ROUND($A$2/'Scheduled Intervals'!AB33,0),"Yes",""),""))</f>
        <v/>
      </c>
      <c r="AC33" s="244" t="str">
        <f>IF($A$2="Annual","",IF('Scheduled Intervals'!AC33&lt;&gt;"",IF($A$2/'Scheduled Intervals'!AC33=ROUND($A$2/'Scheduled Intervals'!AC33,0),"Yes",""),""))</f>
        <v/>
      </c>
      <c r="AD33" s="244" t="str">
        <f>IF($A$2="Annual","",IF('Scheduled Intervals'!AD33&lt;&gt;"",IF($A$2/'Scheduled Intervals'!AD33=ROUND($A$2/'Scheduled Intervals'!AD33,0),"Yes",""),""))</f>
        <v/>
      </c>
      <c r="AE33" s="244" t="str">
        <f>IF($A$2="Annual","",IF('Scheduled Intervals'!AE33&lt;&gt;"",IF($A$2/'Scheduled Intervals'!AE33=ROUND($A$2/'Scheduled Intervals'!AE33,0),"Yes",""),""))</f>
        <v/>
      </c>
      <c r="AF33" s="244" t="str">
        <f>IF($A$2="Annual","",IF('Scheduled Intervals'!AF33&lt;&gt;"",IF($A$2/'Scheduled Intervals'!AF33=ROUND($A$2/'Scheduled Intervals'!AF33,0),"Yes",""),""))</f>
        <v/>
      </c>
      <c r="AG33" s="244" t="str">
        <f>IF($A$2="Annual","",IF('Scheduled Intervals'!AG33&lt;&gt;"",IF($A$2/'Scheduled Intervals'!AG33=ROUND($A$2/'Scheduled Intervals'!AG33,0),"Yes",""),""))</f>
        <v>Yes</v>
      </c>
      <c r="AH33" s="244" t="str">
        <f>IF($A$2="Annual","",IF('Scheduled Intervals'!AH33&lt;&gt;"",IF($A$2/'Scheduled Intervals'!AH33=ROUND($A$2/'Scheduled Intervals'!AH33,0),"Yes",""),""))</f>
        <v/>
      </c>
      <c r="AI33" s="244" t="str">
        <f>IF($A$2="Annual","",IF('Scheduled Intervals'!AI33&lt;&gt;"",IF($A$2/'Scheduled Intervals'!AI33=ROUND($A$2/'Scheduled Intervals'!AI33,0),"Yes",""),""))</f>
        <v>Yes</v>
      </c>
      <c r="AJ33" s="244" t="str">
        <f>IF($A$2="Annual","",IF('Scheduled Intervals'!AJ33&lt;&gt;"",IF($A$2/'Scheduled Intervals'!AJ33=ROUND($A$2/'Scheduled Intervals'!AJ33,0),"Yes",""),""))</f>
        <v/>
      </c>
      <c r="AK33" s="244" t="str">
        <f>IF($A$2="Annual","",IF('Scheduled Intervals'!AK33&lt;&gt;"",IF($A$2/'Scheduled Intervals'!AK33=ROUND($A$2/'Scheduled Intervals'!AK33,0),"Yes",""),""))</f>
        <v/>
      </c>
      <c r="AL33" s="244" t="str">
        <f>IF($A$2="Annual","",IF('Scheduled Intervals'!AL33&lt;&gt;"",IF($A$2/'Scheduled Intervals'!AL33=ROUND($A$2/'Scheduled Intervals'!AL33,0),"Yes",""),""))</f>
        <v/>
      </c>
      <c r="AM33" s="244" t="str">
        <f>IF($A$2="Annual","",IF('Scheduled Intervals'!AM33&lt;&gt;"",IF($A$2/'Scheduled Intervals'!AM33=ROUND($A$2/'Scheduled Intervals'!AM33,0),"Yes",""),""))</f>
        <v/>
      </c>
      <c r="AN33" s="244" t="str">
        <f>IF($A$2="Annual","",IF('Scheduled Intervals'!AN33&lt;&gt;"",IF($A$2/'Scheduled Intervals'!AN33=ROUND($A$2/'Scheduled Intervals'!AN33,0),"Yes",""),""))</f>
        <v/>
      </c>
      <c r="AO33" s="244" t="str">
        <f>IF($A$2="Annual","",IF('Scheduled Intervals'!AO33&lt;&gt;"",IF($A$2/'Scheduled Intervals'!AO33=ROUND($A$2/'Scheduled Intervals'!AO33,0),"Yes",""),""))</f>
        <v/>
      </c>
      <c r="AP33" s="244" t="str">
        <f>IF($A$2="Annual","",IF('Scheduled Intervals'!AP33&lt;&gt;"",IF($A$2/'Scheduled Intervals'!AP33=ROUND($A$2/'Scheduled Intervals'!AP33,0),"Yes",""),""))</f>
        <v/>
      </c>
      <c r="AQ33" s="244" t="str">
        <f>IF($A$2="Annual","",IF('Scheduled Intervals'!AQ33&lt;&gt;"",IF($A$2/'Scheduled Intervals'!AQ33=ROUND($A$2/'Scheduled Intervals'!AQ33,0),"Yes",""),""))</f>
        <v/>
      </c>
      <c r="AR33" s="244" t="str">
        <f>IF($A$2="Annual","",IF('Scheduled Intervals'!AR33&lt;&gt;"",IF($A$2/'Scheduled Intervals'!AR33=ROUND($A$2/'Scheduled Intervals'!AR33,0),"Yes",""),""))</f>
        <v/>
      </c>
      <c r="AS33" s="244" t="str">
        <f>IF($A$2="Annual","",IF('Scheduled Intervals'!AS33&lt;&gt;"",IF($A$2/'Scheduled Intervals'!AS33=ROUND($A$2/'Scheduled Intervals'!AS33,0),"Yes",""),""))</f>
        <v/>
      </c>
      <c r="AT33" s="244" t="str">
        <f>IF($A$2="Annual","",IF('Scheduled Intervals'!AT33&lt;&gt;"",IF($A$2/'Scheduled Intervals'!AT33=ROUND($A$2/'Scheduled Intervals'!AT33,0),"Yes",""),""))</f>
        <v>Yes</v>
      </c>
      <c r="AU33" s="244" t="str">
        <f>IF($A$2="Annual","",IF('Scheduled Intervals'!AU33&lt;&gt;"",IF($A$2/'Scheduled Intervals'!AU33=ROUND($A$2/'Scheduled Intervals'!AU33,0),"Yes",""),""))</f>
        <v/>
      </c>
      <c r="AV33" s="244" t="str">
        <f>IF($A$2="Annual","",IF('Scheduled Intervals'!AV33&lt;&gt;"",IF($A$2/'Scheduled Intervals'!AV33=ROUND($A$2/'Scheduled Intervals'!AV33,0),"Yes",""),""))</f>
        <v/>
      </c>
      <c r="AW33" s="244" t="str">
        <f>IF($A$2="Annual","",IF('Scheduled Intervals'!AW33&lt;&gt;"",IF($A$2/'Scheduled Intervals'!AW33=ROUND($A$2/'Scheduled Intervals'!AW33,0),"Yes",""),""))</f>
        <v/>
      </c>
      <c r="AX33" s="244" t="str">
        <f>IF($A$2="Annual","",IF('Scheduled Intervals'!AX33&lt;&gt;"",IF($A$2/'Scheduled Intervals'!AX33=ROUND($A$2/'Scheduled Intervals'!AX33,0),"Yes",""),""))</f>
        <v/>
      </c>
      <c r="AY33" s="244" t="str">
        <f>IF($A$2="Annual","",IF('Scheduled Intervals'!AY33&lt;&gt;"",IF($A$2/'Scheduled Intervals'!AY33=ROUND($A$2/'Scheduled Intervals'!AY33,0),"Yes",""),""))</f>
        <v/>
      </c>
      <c r="AZ33" s="244" t="str">
        <f>IF($A$2="Annual","",IF('Scheduled Intervals'!AZ33&lt;&gt;"",IF($A$2/'Scheduled Intervals'!AZ33=ROUND($A$2/'Scheduled Intervals'!AZ33,0),"Yes",""),""))</f>
        <v/>
      </c>
      <c r="BA33" s="244" t="str">
        <f>IF($A$2="Annual","",IF('Scheduled Intervals'!BA33&lt;&gt;"",IF($A$2/'Scheduled Intervals'!BA33=ROUND($A$2/'Scheduled Intervals'!BA33,0),"Yes",""),""))</f>
        <v/>
      </c>
      <c r="BB33" s="244" t="str">
        <f>IF($A$2="Annual","",IF('Scheduled Intervals'!BB33&lt;&gt;"",IF($A$2/'Scheduled Intervals'!BB33=ROUND($A$2/'Scheduled Intervals'!BB33,0),"Yes",""),""))</f>
        <v>Yes</v>
      </c>
      <c r="BC33" s="244" t="str">
        <f>IF($A$2="Annual","",IF('Scheduled Intervals'!BC33&lt;&gt;"",IF($A$2/'Scheduled Intervals'!BC33=ROUND($A$2/'Scheduled Intervals'!BC33,0),"Yes",""),""))</f>
        <v>Yes</v>
      </c>
      <c r="BD33" s="244" t="str">
        <f>IF($A$2="Annual","",IF('Scheduled Intervals'!BD33&lt;&gt;"",IF($A$2/'Scheduled Intervals'!BD33=ROUND($A$2/'Scheduled Intervals'!BD33,0),"Yes",""),""))</f>
        <v/>
      </c>
      <c r="BE33" s="244" t="str">
        <f>IF($A$2="Annual","",IF('Scheduled Intervals'!BE33&lt;&gt;"",IF($A$2/'Scheduled Intervals'!BE33=ROUND($A$2/'Scheduled Intervals'!BE33,0),"Yes",""),""))</f>
        <v/>
      </c>
      <c r="BF33" s="244" t="str">
        <f>IF($A$2="Annual","",IF('Scheduled Intervals'!BF33&lt;&gt;"",IF($A$2/'Scheduled Intervals'!BF33=ROUND($A$2/'Scheduled Intervals'!BF33,0),"Yes",""),""))</f>
        <v/>
      </c>
      <c r="BG33" s="244" t="str">
        <f>IF($A$2="Annual","",IF('Scheduled Intervals'!BG33&lt;&gt;"",IF($A$2/'Scheduled Intervals'!BG33=ROUND($A$2/'Scheduled Intervals'!BG33,0),"Yes",""),""))</f>
        <v/>
      </c>
      <c r="BH33" s="244" t="str">
        <f>IF($A$2="Annual","",IF('Scheduled Intervals'!BH33&lt;&gt;"",IF($A$2/'Scheduled Intervals'!BH33=ROUND($A$2/'Scheduled Intervals'!BH33,0),"Yes",""),""))</f>
        <v/>
      </c>
      <c r="BI33" s="244" t="str">
        <f>IF($A$2="Annual","",IF('Scheduled Intervals'!BI33&lt;&gt;"",IF($A$2/'Scheduled Intervals'!BI33=ROUND($A$2/'Scheduled Intervals'!BI33,0),"Yes",""),""))</f>
        <v/>
      </c>
      <c r="BJ33" s="244" t="str">
        <f>IF($A$2="Annual","",IF('Scheduled Intervals'!BJ33&lt;&gt;"",IF($A$2/'Scheduled Intervals'!BJ33=ROUND($A$2/'Scheduled Intervals'!BJ33,0),"Yes",""),""))</f>
        <v>Yes</v>
      </c>
      <c r="BK33" s="244" t="str">
        <f>IF($A$2="Annual","",IF('Scheduled Intervals'!BK33&lt;&gt;"",IF($A$2/'Scheduled Intervals'!BK33=ROUND($A$2/'Scheduled Intervals'!BK33,0),"Yes",""),""))</f>
        <v/>
      </c>
      <c r="BL33" s="244" t="str">
        <f>IF($A$2="Annual","",IF('Scheduled Intervals'!BL33&lt;&gt;"",IF($A$2/'Scheduled Intervals'!BL33=ROUND($A$2/'Scheduled Intervals'!BL33,0),"Yes",""),""))</f>
        <v/>
      </c>
      <c r="BM33" s="244" t="str">
        <f>IF($A$2="Annual","",IF('Scheduled Intervals'!BM33&lt;&gt;"",IF($A$2/'Scheduled Intervals'!BM33=ROUND($A$2/'Scheduled Intervals'!BM33,0),"Yes",""),""))</f>
        <v/>
      </c>
      <c r="BN33" s="177" t="str">
        <f>IF(AND($A$2="annual",'Scheduled Intervals'!BN33&lt;&gt;""),"yes","")</f>
        <v/>
      </c>
      <c r="BO33" s="177" t="str">
        <f>IF(AND($A$2="annual",'Scheduled Intervals'!BO33&lt;&gt;""),"yes","")</f>
        <v/>
      </c>
      <c r="BP33" s="177" t="str">
        <f>IF(AND($A$2="annual",'Scheduled Intervals'!BP33&lt;&gt;""),"yes","")</f>
        <v/>
      </c>
    </row>
    <row r="34" spans="1:68" x14ac:dyDescent="0.2">
      <c r="A34" s="133" t="str">
        <f>+'Scheduled Intervals'!A34</f>
        <v>Sub Compact BX</v>
      </c>
      <c r="B34" s="134" t="str">
        <f>IF('Scheduled Intervals'!B34&lt;&gt;"",IF($A$2='Scheduled Intervals'!B34,"Yes",""),"")</f>
        <v/>
      </c>
      <c r="C34" s="134" t="str">
        <f>IF('Scheduled Intervals'!C34&lt;&gt;"",IF($A$2='Scheduled Intervals'!C34,"Yes",""),"")</f>
        <v/>
      </c>
      <c r="D34" s="134" t="str">
        <f>IF('Scheduled Intervals'!D34&lt;&gt;"",IF($A$2='Scheduled Intervals'!D34,"Yes",""),"")</f>
        <v/>
      </c>
      <c r="E34" s="134" t="str">
        <f>IF('Scheduled Intervals'!E34&lt;&gt;"",IF($A$2='Scheduled Intervals'!E34,"Yes",""),"")</f>
        <v/>
      </c>
      <c r="F34" s="134" t="str">
        <f>IF('Scheduled Intervals'!F34&lt;&gt;"",IF($A$2='Scheduled Intervals'!F34,"Yes",""),"")</f>
        <v/>
      </c>
      <c r="G34" s="134" t="str">
        <f>IF('Scheduled Intervals'!G34&lt;&gt;"",IF($A$2='Scheduled Intervals'!G34,"Yes",""),"")</f>
        <v/>
      </c>
      <c r="H34" s="134" t="str">
        <f>IF('Scheduled Intervals'!H34&lt;&gt;"",IF($A$2='Scheduled Intervals'!H34,"Yes",""),"")</f>
        <v/>
      </c>
      <c r="I34" s="134" t="str">
        <f>IF('Scheduled Intervals'!I34&lt;&gt;"",IF($A$2='Scheduled Intervals'!I34,"Yes",""),"")</f>
        <v/>
      </c>
      <c r="J34" s="134" t="str">
        <f>IF('Scheduled Intervals'!J34&lt;&gt;"",IF($A$2='Scheduled Intervals'!J34,"Yes",""),"")</f>
        <v/>
      </c>
      <c r="K34" s="134" t="str">
        <f>IF('Scheduled Intervals'!K34&lt;&gt;"",IF($A$2='Scheduled Intervals'!K34,"Yes",""),"")</f>
        <v/>
      </c>
      <c r="L34" s="134" t="str">
        <f>IF('Scheduled Intervals'!L34&lt;&gt;"",IF($A$2='Scheduled Intervals'!L34,"Yes",""),"")</f>
        <v/>
      </c>
      <c r="M34" s="134" t="str">
        <f>IF('Scheduled Intervals'!M34&lt;&gt;"",IF($A$2='Scheduled Intervals'!M34,"Yes",""),"")</f>
        <v/>
      </c>
      <c r="N34" s="134" t="str">
        <f>IF('Scheduled Intervals'!N34&lt;&gt;"",IF($A$2='Scheduled Intervals'!N34,"Yes",""),"")</f>
        <v/>
      </c>
      <c r="O34" s="134" t="str">
        <f>IF('Scheduled Intervals'!O34&lt;&gt;"",IF($A$2='Scheduled Intervals'!O34,"Yes",""),"")</f>
        <v/>
      </c>
      <c r="P34" s="134" t="str">
        <f>IF('Scheduled Intervals'!P34&lt;&gt;"",IF($A$2='Scheduled Intervals'!P34,"Yes",""),"")</f>
        <v/>
      </c>
      <c r="Q34" s="134" t="str">
        <f>IF('Scheduled Intervals'!Q34&lt;&gt;"",IF($A$2='Scheduled Intervals'!Q34,"Yes",""),"")</f>
        <v/>
      </c>
      <c r="R34" s="134" t="str">
        <f>IF('Scheduled Intervals'!R34&lt;&gt;"",IF($A$2='Scheduled Intervals'!R34,"Yes",""),"")</f>
        <v/>
      </c>
      <c r="S34" s="134" t="str">
        <f>IF('Scheduled Intervals'!S34&lt;&gt;"",IF($A$2='Scheduled Intervals'!S34,"Yes",""),"")</f>
        <v/>
      </c>
      <c r="T34" s="134" t="str">
        <f>IF('Scheduled Intervals'!T34&lt;&gt;"",IF($A$2='Scheduled Intervals'!T34,"Yes",""),"")</f>
        <v/>
      </c>
      <c r="U34" s="244" t="str">
        <f>IF($A$2="Annual","",IF('Scheduled Intervals'!U34&lt;&gt;"",IF($A$2/'Scheduled Intervals'!U34=ROUND($A$2/'Scheduled Intervals'!U34,0),"Yes",""),""))</f>
        <v/>
      </c>
      <c r="V34" s="244" t="str">
        <f>IF($A$2="Annual","",IF('Scheduled Intervals'!V34&lt;&gt;"",IF($A$2/'Scheduled Intervals'!V34=ROUND($A$2/'Scheduled Intervals'!V34,0),"Yes",""),""))</f>
        <v/>
      </c>
      <c r="W34" s="244" t="str">
        <f>IF($A$2="Annual","",IF('Scheduled Intervals'!W34&lt;&gt;"",IF($A$2/'Scheduled Intervals'!W34=ROUND($A$2/'Scheduled Intervals'!W34,0),"Yes",""),""))</f>
        <v/>
      </c>
      <c r="X34" s="244" t="str">
        <f>IF($A$2="Annual","",IF('Scheduled Intervals'!X34&lt;&gt;"",IF($A$2/'Scheduled Intervals'!X34=ROUND($A$2/'Scheduled Intervals'!X34,0),"Yes",""),""))</f>
        <v/>
      </c>
      <c r="Y34" s="244" t="str">
        <f>IF($A$2="Annual","",IF('Scheduled Intervals'!Y34&lt;&gt;"",IF($A$2/'Scheduled Intervals'!Y34=ROUND($A$2/'Scheduled Intervals'!Y34,0),"Yes",""),""))</f>
        <v/>
      </c>
      <c r="Z34" s="244" t="str">
        <f>IF($A$2="Annual","",IF('Scheduled Intervals'!Z34&lt;&gt;"",IF($A$2/'Scheduled Intervals'!Z34=ROUND($A$2/'Scheduled Intervals'!Z34,0),"Yes",""),""))</f>
        <v/>
      </c>
      <c r="AA34" s="244" t="str">
        <f>IF($A$2="Annual","",IF('Scheduled Intervals'!AA34&lt;&gt;"",IF($A$2/'Scheduled Intervals'!AA34=ROUND($A$2/'Scheduled Intervals'!AA34,0),"Yes",""),""))</f>
        <v/>
      </c>
      <c r="AB34" s="244" t="str">
        <f>IF($A$2="Annual","",IF('Scheduled Intervals'!AB34&lt;&gt;"",IF($A$2/'Scheduled Intervals'!AB34=ROUND($A$2/'Scheduled Intervals'!AB34,0),"Yes",""),""))</f>
        <v/>
      </c>
      <c r="AC34" s="244" t="str">
        <f>IF($A$2="Annual","",IF('Scheduled Intervals'!AC34&lt;&gt;"",IF($A$2/'Scheduled Intervals'!AC34=ROUND($A$2/'Scheduled Intervals'!AC34,0),"Yes",""),""))</f>
        <v/>
      </c>
      <c r="AD34" s="244" t="str">
        <f>IF($A$2="Annual","",IF('Scheduled Intervals'!AD34&lt;&gt;"",IF($A$2/'Scheduled Intervals'!AD34=ROUND($A$2/'Scheduled Intervals'!AD34,0),"Yes",""),""))</f>
        <v/>
      </c>
      <c r="AE34" s="244" t="str">
        <f>IF($A$2="Annual","",IF('Scheduled Intervals'!AE34&lt;&gt;"",IF($A$2/'Scheduled Intervals'!AE34=ROUND($A$2/'Scheduled Intervals'!AE34,0),"Yes",""),""))</f>
        <v/>
      </c>
      <c r="AF34" s="244" t="str">
        <f>IF($A$2="Annual","",IF('Scheduled Intervals'!AF34&lt;&gt;"",IF($A$2/'Scheduled Intervals'!AF34=ROUND($A$2/'Scheduled Intervals'!AF34,0),"Yes",""),""))</f>
        <v/>
      </c>
      <c r="AG34" s="244" t="str">
        <f>IF($A$2="Annual","",IF('Scheduled Intervals'!AG34&lt;&gt;"",IF($A$2/'Scheduled Intervals'!AG34=ROUND($A$2/'Scheduled Intervals'!AG34,0),"Yes",""),""))</f>
        <v/>
      </c>
      <c r="AH34" s="244" t="str">
        <f>IF($A$2="Annual","",IF('Scheduled Intervals'!AH34&lt;&gt;"",IF($A$2/'Scheduled Intervals'!AH34=ROUND($A$2/'Scheduled Intervals'!AH34,0),"Yes",""),""))</f>
        <v/>
      </c>
      <c r="AI34" s="244" t="str">
        <f>IF($A$2="Annual","",IF('Scheduled Intervals'!AI34&lt;&gt;"",IF($A$2/'Scheduled Intervals'!AI34=ROUND($A$2/'Scheduled Intervals'!AI34,0),"Yes",""),""))</f>
        <v/>
      </c>
      <c r="AJ34" s="244" t="str">
        <f>IF($A$2="Annual","",IF('Scheduled Intervals'!AJ34&lt;&gt;"",IF($A$2/'Scheduled Intervals'!AJ34=ROUND($A$2/'Scheduled Intervals'!AJ34,0),"Yes",""),""))</f>
        <v/>
      </c>
      <c r="AK34" s="244" t="str">
        <f>IF($A$2="Annual","",IF('Scheduled Intervals'!AK34&lt;&gt;"",IF($A$2/'Scheduled Intervals'!AK34=ROUND($A$2/'Scheduled Intervals'!AK34,0),"Yes",""),""))</f>
        <v/>
      </c>
      <c r="AL34" s="244" t="str">
        <f>IF($A$2="Annual","",IF('Scheduled Intervals'!AL34&lt;&gt;"",IF($A$2/'Scheduled Intervals'!AL34=ROUND($A$2/'Scheduled Intervals'!AL34,0),"Yes",""),""))</f>
        <v/>
      </c>
      <c r="AM34" s="244" t="str">
        <f>IF($A$2="Annual","",IF('Scheduled Intervals'!AM34&lt;&gt;"",IF($A$2/'Scheduled Intervals'!AM34=ROUND($A$2/'Scheduled Intervals'!AM34,0),"Yes",""),""))</f>
        <v/>
      </c>
      <c r="AN34" s="244" t="str">
        <f>IF($A$2="Annual","",IF('Scheduled Intervals'!AN34&lt;&gt;"",IF($A$2/'Scheduled Intervals'!AN34=ROUND($A$2/'Scheduled Intervals'!AN34,0),"Yes",""),""))</f>
        <v/>
      </c>
      <c r="AO34" s="244" t="str">
        <f>IF($A$2="Annual","",IF('Scheduled Intervals'!AO34&lt;&gt;"",IF($A$2/'Scheduled Intervals'!AO34=ROUND($A$2/'Scheduled Intervals'!AO34,0),"Yes",""),""))</f>
        <v/>
      </c>
      <c r="AP34" s="244" t="str">
        <f>IF($A$2="Annual","",IF('Scheduled Intervals'!AP34&lt;&gt;"",IF($A$2/'Scheduled Intervals'!AP34=ROUND($A$2/'Scheduled Intervals'!AP34,0),"Yes",""),""))</f>
        <v/>
      </c>
      <c r="AQ34" s="244" t="str">
        <f>IF($A$2="Annual","",IF('Scheduled Intervals'!AQ34&lt;&gt;"",IF($A$2/'Scheduled Intervals'!AQ34=ROUND($A$2/'Scheduled Intervals'!AQ34,0),"Yes",""),""))</f>
        <v/>
      </c>
      <c r="AR34" s="244" t="str">
        <f>IF($A$2="Annual","",IF('Scheduled Intervals'!AR34&lt;&gt;"",IF($A$2/'Scheduled Intervals'!AR34=ROUND($A$2/'Scheduled Intervals'!AR34,0),"Yes",""),""))</f>
        <v/>
      </c>
      <c r="AS34" s="244" t="str">
        <f>IF($A$2="Annual","",IF('Scheduled Intervals'!AS34&lt;&gt;"",IF($A$2/'Scheduled Intervals'!AS34=ROUND($A$2/'Scheduled Intervals'!AS34,0),"Yes",""),""))</f>
        <v/>
      </c>
      <c r="AT34" s="244" t="str">
        <f>IF($A$2="Annual","",IF('Scheduled Intervals'!AT34&lt;&gt;"",IF($A$2/'Scheduled Intervals'!AT34=ROUND($A$2/'Scheduled Intervals'!AT34,0),"Yes",""),""))</f>
        <v/>
      </c>
      <c r="AU34" s="244" t="str">
        <f>IF($A$2="Annual","",IF('Scheduled Intervals'!AU34&lt;&gt;"",IF($A$2/'Scheduled Intervals'!AU34=ROUND($A$2/'Scheduled Intervals'!AU34,0),"Yes",""),""))</f>
        <v/>
      </c>
      <c r="AV34" s="244" t="str">
        <f>IF($A$2="Annual","",IF('Scheduled Intervals'!AV34&lt;&gt;"",IF($A$2/'Scheduled Intervals'!AV34=ROUND($A$2/'Scheduled Intervals'!AV34,0),"Yes",""),""))</f>
        <v/>
      </c>
      <c r="AW34" s="244" t="str">
        <f>IF($A$2="Annual","",IF('Scheduled Intervals'!AW34&lt;&gt;"",IF($A$2/'Scheduled Intervals'!AW34=ROUND($A$2/'Scheduled Intervals'!AW34,0),"Yes",""),""))</f>
        <v/>
      </c>
      <c r="AX34" s="244" t="str">
        <f>IF($A$2="Annual","",IF('Scheduled Intervals'!AX34&lt;&gt;"",IF($A$2/'Scheduled Intervals'!AX34=ROUND($A$2/'Scheduled Intervals'!AX34,0),"Yes",""),""))</f>
        <v/>
      </c>
      <c r="AY34" s="244" t="str">
        <f>IF($A$2="Annual","",IF('Scheduled Intervals'!AY34&lt;&gt;"",IF($A$2/'Scheduled Intervals'!AY34=ROUND($A$2/'Scheduled Intervals'!AY34,0),"Yes",""),""))</f>
        <v/>
      </c>
      <c r="AZ34" s="244" t="str">
        <f>IF($A$2="Annual","",IF('Scheduled Intervals'!AZ34&lt;&gt;"",IF($A$2/'Scheduled Intervals'!AZ34=ROUND($A$2/'Scheduled Intervals'!AZ34,0),"Yes",""),""))</f>
        <v/>
      </c>
      <c r="BA34" s="244" t="str">
        <f>IF($A$2="Annual","",IF('Scheduled Intervals'!BA34&lt;&gt;"",IF($A$2/'Scheduled Intervals'!BA34=ROUND($A$2/'Scheduled Intervals'!BA34,0),"Yes",""),""))</f>
        <v/>
      </c>
      <c r="BB34" s="244" t="str">
        <f>IF($A$2="Annual","",IF('Scheduled Intervals'!BB34&lt;&gt;"",IF($A$2/'Scheduled Intervals'!BB34=ROUND($A$2/'Scheduled Intervals'!BB34,0),"Yes",""),""))</f>
        <v/>
      </c>
      <c r="BC34" s="244" t="str">
        <f>IF($A$2="Annual","",IF('Scheduled Intervals'!BC34&lt;&gt;"",IF($A$2/'Scheduled Intervals'!BC34=ROUND($A$2/'Scheduled Intervals'!BC34,0),"Yes",""),""))</f>
        <v/>
      </c>
      <c r="BD34" s="244" t="str">
        <f>IF($A$2="Annual","",IF('Scheduled Intervals'!BD34&lt;&gt;"",IF($A$2/'Scheduled Intervals'!BD34=ROUND($A$2/'Scheduled Intervals'!BD34,0),"Yes",""),""))</f>
        <v/>
      </c>
      <c r="BE34" s="244" t="str">
        <f>IF($A$2="Annual","",IF('Scheduled Intervals'!BE34&lt;&gt;"",IF($A$2/'Scheduled Intervals'!BE34=ROUND($A$2/'Scheduled Intervals'!BE34,0),"Yes",""),""))</f>
        <v/>
      </c>
      <c r="BF34" s="244" t="str">
        <f>IF($A$2="Annual","",IF('Scheduled Intervals'!BF34&lt;&gt;"",IF($A$2/'Scheduled Intervals'!BF34=ROUND($A$2/'Scheduled Intervals'!BF34,0),"Yes",""),""))</f>
        <v/>
      </c>
      <c r="BG34" s="244" t="str">
        <f>IF($A$2="Annual","",IF('Scheduled Intervals'!BG34&lt;&gt;"",IF($A$2/'Scheduled Intervals'!BG34=ROUND($A$2/'Scheduled Intervals'!BG34,0),"Yes",""),""))</f>
        <v/>
      </c>
      <c r="BH34" s="244" t="str">
        <f>IF($A$2="Annual","",IF('Scheduled Intervals'!BH34&lt;&gt;"",IF($A$2/'Scheduled Intervals'!BH34=ROUND($A$2/'Scheduled Intervals'!BH34,0),"Yes",""),""))</f>
        <v/>
      </c>
      <c r="BI34" s="244" t="str">
        <f>IF($A$2="Annual","",IF('Scheduled Intervals'!BI34&lt;&gt;"",IF($A$2/'Scheduled Intervals'!BI34=ROUND($A$2/'Scheduled Intervals'!BI34,0),"Yes",""),""))</f>
        <v/>
      </c>
      <c r="BJ34" s="244" t="str">
        <f>IF($A$2="Annual","",IF('Scheduled Intervals'!BJ34&lt;&gt;"",IF($A$2/'Scheduled Intervals'!BJ34=ROUND($A$2/'Scheduled Intervals'!BJ34,0),"Yes",""),""))</f>
        <v/>
      </c>
      <c r="BK34" s="244" t="str">
        <f>IF($A$2="Annual","",IF('Scheduled Intervals'!BK34&lt;&gt;"",IF($A$2/'Scheduled Intervals'!BK34=ROUND($A$2/'Scheduled Intervals'!BK34,0),"Yes",""),""))</f>
        <v/>
      </c>
      <c r="BL34" s="244" t="str">
        <f>IF($A$2="Annual","",IF('Scheduled Intervals'!BL34&lt;&gt;"",IF($A$2/'Scheduled Intervals'!BL34=ROUND($A$2/'Scheduled Intervals'!BL34,0),"Yes",""),""))</f>
        <v/>
      </c>
      <c r="BM34" s="244" t="str">
        <f>IF($A$2="Annual","",IF('Scheduled Intervals'!BM34&lt;&gt;"",IF($A$2/'Scheduled Intervals'!BM34=ROUND($A$2/'Scheduled Intervals'!BM34,0),"Yes",""),""))</f>
        <v/>
      </c>
      <c r="BN34" s="177" t="str">
        <f>IF(AND($A$2="annual",'Scheduled Intervals'!BN34&lt;&gt;""),"yes","")</f>
        <v/>
      </c>
      <c r="BO34" s="177" t="str">
        <f>IF(AND($A$2="annual",'Scheduled Intervals'!BO34&lt;&gt;""),"yes","")</f>
        <v/>
      </c>
      <c r="BP34" s="177" t="str">
        <f>IF(AND($A$2="annual",'Scheduled Intervals'!BP34&lt;&gt;""),"yes","")</f>
        <v/>
      </c>
    </row>
    <row r="35" spans="1:68" x14ac:dyDescent="0.2">
      <c r="A35" s="133"/>
      <c r="B35" s="245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3"/>
      <c r="BK35" s="133"/>
      <c r="BL35" s="133"/>
      <c r="BM35" s="133"/>
      <c r="BN35" s="133"/>
      <c r="BO35" s="133"/>
      <c r="BP35" s="133"/>
    </row>
    <row r="36" spans="1:68" x14ac:dyDescent="0.2">
      <c r="A36" s="1" t="str">
        <f>'Interval Summary'!C3</f>
        <v>Skid Steer</v>
      </c>
      <c r="B36" s="17" t="str">
        <f>_xlfn.XLOOKUP($A$36,$A$4:$A$34,B4:B34)</f>
        <v/>
      </c>
      <c r="C36" s="17" t="str">
        <f t="shared" ref="C36:BN36" si="0">_xlfn.XLOOKUP($A$36,$A$4:$A$34,C4:C34)</f>
        <v/>
      </c>
      <c r="D36" s="17" t="str">
        <f t="shared" si="0"/>
        <v/>
      </c>
      <c r="E36" s="17" t="str">
        <f t="shared" si="0"/>
        <v/>
      </c>
      <c r="F36" s="17" t="str">
        <f t="shared" si="0"/>
        <v/>
      </c>
      <c r="G36" s="17" t="str">
        <f t="shared" si="0"/>
        <v/>
      </c>
      <c r="H36" s="17" t="str">
        <f t="shared" si="0"/>
        <v/>
      </c>
      <c r="I36" s="17" t="str">
        <f t="shared" si="0"/>
        <v/>
      </c>
      <c r="J36" s="17" t="str">
        <f t="shared" si="0"/>
        <v/>
      </c>
      <c r="K36" s="17" t="str">
        <f t="shared" si="0"/>
        <v/>
      </c>
      <c r="L36" s="17" t="str">
        <f t="shared" si="0"/>
        <v/>
      </c>
      <c r="M36" s="17" t="str">
        <f t="shared" si="0"/>
        <v/>
      </c>
      <c r="N36" s="17" t="str">
        <f t="shared" si="0"/>
        <v/>
      </c>
      <c r="O36" s="17" t="str">
        <f t="shared" si="0"/>
        <v/>
      </c>
      <c r="P36" s="17" t="str">
        <f t="shared" si="0"/>
        <v/>
      </c>
      <c r="Q36" s="17" t="str">
        <f t="shared" si="0"/>
        <v/>
      </c>
      <c r="R36" s="17" t="str">
        <f t="shared" si="0"/>
        <v/>
      </c>
      <c r="S36" s="17" t="str">
        <f t="shared" si="0"/>
        <v/>
      </c>
      <c r="T36" s="17" t="str">
        <f t="shared" si="0"/>
        <v/>
      </c>
      <c r="U36" s="17" t="str">
        <f t="shared" si="0"/>
        <v>Yes</v>
      </c>
      <c r="V36" s="17" t="str">
        <f t="shared" si="0"/>
        <v/>
      </c>
      <c r="W36" s="17" t="str">
        <f t="shared" si="0"/>
        <v/>
      </c>
      <c r="X36" s="17" t="str">
        <f t="shared" si="0"/>
        <v/>
      </c>
      <c r="Y36" s="17" t="str">
        <f t="shared" si="0"/>
        <v>Yes</v>
      </c>
      <c r="Z36" s="17" t="str">
        <f t="shared" si="0"/>
        <v>Yes</v>
      </c>
      <c r="AA36" s="17" t="str">
        <f t="shared" si="0"/>
        <v/>
      </c>
      <c r="AB36" s="17" t="str">
        <f t="shared" si="0"/>
        <v/>
      </c>
      <c r="AC36" s="17" t="str">
        <f t="shared" si="0"/>
        <v/>
      </c>
      <c r="AD36" s="17" t="str">
        <f t="shared" si="0"/>
        <v/>
      </c>
      <c r="AE36" s="17" t="str">
        <f t="shared" si="0"/>
        <v>Yes</v>
      </c>
      <c r="AF36" s="17" t="str">
        <f t="shared" si="0"/>
        <v>Yes</v>
      </c>
      <c r="AG36" s="17" t="str">
        <f t="shared" si="0"/>
        <v>Yes</v>
      </c>
      <c r="AH36" s="17" t="str">
        <f t="shared" si="0"/>
        <v/>
      </c>
      <c r="AI36" s="17" t="str">
        <f t="shared" si="0"/>
        <v/>
      </c>
      <c r="AJ36" s="17" t="str">
        <f t="shared" si="0"/>
        <v/>
      </c>
      <c r="AK36" s="17" t="str">
        <f t="shared" si="0"/>
        <v/>
      </c>
      <c r="AL36" s="17" t="str">
        <f t="shared" si="0"/>
        <v/>
      </c>
      <c r="AM36" s="17" t="str">
        <f t="shared" si="0"/>
        <v/>
      </c>
      <c r="AN36" s="17" t="str">
        <f t="shared" si="0"/>
        <v/>
      </c>
      <c r="AO36" s="17" t="str">
        <f t="shared" si="0"/>
        <v/>
      </c>
      <c r="AP36" s="17" t="str">
        <f t="shared" si="0"/>
        <v/>
      </c>
      <c r="AQ36" s="17" t="str">
        <f t="shared" si="0"/>
        <v/>
      </c>
      <c r="AR36" s="17" t="str">
        <f t="shared" si="0"/>
        <v/>
      </c>
      <c r="AS36" s="17" t="str">
        <f t="shared" si="0"/>
        <v>Yes</v>
      </c>
      <c r="AT36" s="17" t="str">
        <f t="shared" si="0"/>
        <v>Yes</v>
      </c>
      <c r="AU36" s="17" t="str">
        <f t="shared" si="0"/>
        <v/>
      </c>
      <c r="AV36" s="17" t="str">
        <f t="shared" si="0"/>
        <v/>
      </c>
      <c r="AW36" s="17" t="str">
        <f t="shared" si="0"/>
        <v/>
      </c>
      <c r="AX36" s="17" t="str">
        <f t="shared" si="0"/>
        <v/>
      </c>
      <c r="AY36" s="17" t="str">
        <f t="shared" si="0"/>
        <v/>
      </c>
      <c r="AZ36" s="17" t="str">
        <f t="shared" si="0"/>
        <v/>
      </c>
      <c r="BA36" s="17" t="str">
        <f t="shared" si="0"/>
        <v/>
      </c>
      <c r="BB36" s="17" t="str">
        <f t="shared" si="0"/>
        <v>Yes</v>
      </c>
      <c r="BC36" s="17" t="str">
        <f t="shared" si="0"/>
        <v/>
      </c>
      <c r="BD36" s="17" t="str">
        <f t="shared" si="0"/>
        <v/>
      </c>
      <c r="BE36" s="17" t="str">
        <f t="shared" si="0"/>
        <v/>
      </c>
      <c r="BF36" s="17" t="str">
        <f t="shared" si="0"/>
        <v/>
      </c>
      <c r="BG36" s="17" t="str">
        <f t="shared" si="0"/>
        <v/>
      </c>
      <c r="BH36" s="17" t="str">
        <f t="shared" si="0"/>
        <v/>
      </c>
      <c r="BI36" s="17" t="str">
        <f t="shared" si="0"/>
        <v/>
      </c>
      <c r="BJ36" s="17" t="str">
        <f t="shared" si="0"/>
        <v>Yes</v>
      </c>
      <c r="BK36" s="17" t="str">
        <f t="shared" si="0"/>
        <v/>
      </c>
      <c r="BL36" s="17" t="str">
        <f t="shared" si="0"/>
        <v/>
      </c>
      <c r="BM36" s="17" t="str">
        <f t="shared" si="0"/>
        <v/>
      </c>
      <c r="BN36" s="17" t="str">
        <f t="shared" si="0"/>
        <v/>
      </c>
      <c r="BO36" s="17" t="str">
        <f t="shared" ref="BO36:BP36" si="1">_xlfn.XLOOKUP($A$36,$A$4:$A$34,BO4:BO34)</f>
        <v/>
      </c>
      <c r="BP36" s="17" t="str">
        <f t="shared" si="1"/>
        <v/>
      </c>
    </row>
    <row r="37" spans="1:68" x14ac:dyDescent="0.2">
      <c r="B37" s="1" t="str">
        <f t="shared" ref="B37:BP37" si="2">IF(B36="yes",B2,"")</f>
        <v/>
      </c>
      <c r="C37" s="1" t="str">
        <f t="shared" si="2"/>
        <v/>
      </c>
      <c r="D37" s="1" t="str">
        <f t="shared" si="2"/>
        <v/>
      </c>
      <c r="E37" s="1" t="str">
        <f t="shared" si="2"/>
        <v/>
      </c>
      <c r="F37" s="1" t="str">
        <f t="shared" si="2"/>
        <v/>
      </c>
      <c r="G37" s="1" t="str">
        <f t="shared" si="2"/>
        <v/>
      </c>
      <c r="H37" s="1" t="str">
        <f t="shared" si="2"/>
        <v/>
      </c>
      <c r="I37" s="1" t="str">
        <f t="shared" si="2"/>
        <v/>
      </c>
      <c r="J37" s="1" t="str">
        <f t="shared" si="2"/>
        <v/>
      </c>
      <c r="K37" s="1" t="str">
        <f t="shared" si="2"/>
        <v/>
      </c>
      <c r="L37" s="1" t="str">
        <f t="shared" si="2"/>
        <v/>
      </c>
      <c r="M37" s="1" t="str">
        <f t="shared" si="2"/>
        <v/>
      </c>
      <c r="N37" s="1" t="str">
        <f t="shared" si="2"/>
        <v/>
      </c>
      <c r="O37" s="1" t="str">
        <f t="shared" si="2"/>
        <v/>
      </c>
      <c r="P37" s="1" t="str">
        <f t="shared" si="2"/>
        <v/>
      </c>
      <c r="Q37" s="1" t="str">
        <f t="shared" si="2"/>
        <v/>
      </c>
      <c r="R37" s="1" t="str">
        <f t="shared" si="2"/>
        <v/>
      </c>
      <c r="S37" s="1" t="str">
        <f t="shared" si="2"/>
        <v/>
      </c>
      <c r="T37" s="1" t="str">
        <f t="shared" si="2"/>
        <v/>
      </c>
      <c r="U37" s="1" t="str">
        <f t="shared" si="2"/>
        <v>Perform Oil and Filter Change</v>
      </c>
      <c r="V37" s="1" t="str">
        <f t="shared" si="2"/>
        <v/>
      </c>
      <c r="W37" s="1" t="str">
        <f t="shared" si="2"/>
        <v/>
      </c>
      <c r="X37" s="1" t="str">
        <f t="shared" si="2"/>
        <v/>
      </c>
      <c r="Y37" s="1" t="str">
        <f t="shared" si="2"/>
        <v>Drain Water from Fuel Tank</v>
      </c>
      <c r="Z37" s="1" t="str">
        <f t="shared" si="2"/>
        <v>Change fuel Filter Element</v>
      </c>
      <c r="AA37" s="1" t="str">
        <f t="shared" si="2"/>
        <v/>
      </c>
      <c r="AB37" s="1" t="str">
        <f t="shared" si="2"/>
        <v/>
      </c>
      <c r="AC37" s="1" t="str">
        <f t="shared" si="2"/>
        <v/>
      </c>
      <c r="AD37" s="1" t="str">
        <f t="shared" si="2"/>
        <v/>
      </c>
      <c r="AE37" s="1" t="str">
        <f t="shared" si="2"/>
        <v>Change Hydraulic Oil Filter</v>
      </c>
      <c r="AF37" s="1" t="str">
        <f t="shared" si="2"/>
        <v xml:space="preserve">Change or Clean Hydraulic Breather Element </v>
      </c>
      <c r="AG37" s="1" t="str">
        <f t="shared" si="2"/>
        <v xml:space="preserve">Change or Clean Hydraulic return  Filter </v>
      </c>
      <c r="AH37" s="1" t="str">
        <f t="shared" si="2"/>
        <v/>
      </c>
      <c r="AI37" s="1" t="str">
        <f t="shared" si="2"/>
        <v/>
      </c>
      <c r="AJ37" s="1" t="str">
        <f t="shared" si="2"/>
        <v/>
      </c>
      <c r="AK37" s="1" t="str">
        <f t="shared" si="2"/>
        <v/>
      </c>
      <c r="AL37" s="1" t="str">
        <f t="shared" si="2"/>
        <v/>
      </c>
      <c r="AM37" s="1" t="str">
        <f t="shared" si="2"/>
        <v/>
      </c>
      <c r="AN37" s="1" t="str">
        <f t="shared" si="2"/>
        <v/>
      </c>
      <c r="AO37" s="1" t="str">
        <f t="shared" si="2"/>
        <v/>
      </c>
      <c r="AP37" s="1" t="str">
        <f t="shared" si="2"/>
        <v/>
      </c>
      <c r="AQ37" s="1" t="str">
        <f t="shared" si="2"/>
        <v/>
      </c>
      <c r="AR37" s="1" t="str">
        <f t="shared" si="2"/>
        <v/>
      </c>
      <c r="AS37" s="1" t="str">
        <f t="shared" si="2"/>
        <v>Change or Clean Cabin Air Filter</v>
      </c>
      <c r="AT37" s="1" t="str">
        <f t="shared" si="2"/>
        <v>Grease Machine at Assorted Lubrication Points</v>
      </c>
      <c r="AU37" s="1" t="str">
        <f t="shared" si="2"/>
        <v/>
      </c>
      <c r="AV37" s="1" t="str">
        <f t="shared" si="2"/>
        <v/>
      </c>
      <c r="AW37" s="1" t="str">
        <f t="shared" si="2"/>
        <v/>
      </c>
      <c r="AX37" s="1" t="str">
        <f t="shared" si="2"/>
        <v/>
      </c>
      <c r="AY37" s="1" t="str">
        <f t="shared" si="2"/>
        <v/>
      </c>
      <c r="AZ37" s="1" t="str">
        <f t="shared" si="2"/>
        <v/>
      </c>
      <c r="BA37" s="1" t="str">
        <f t="shared" si="2"/>
        <v/>
      </c>
      <c r="BB37" s="1" t="str">
        <f t="shared" si="2"/>
        <v>Replace Air Cleaner element</v>
      </c>
      <c r="BC37" s="1" t="str">
        <f t="shared" si="2"/>
        <v/>
      </c>
      <c r="BD37" s="1" t="str">
        <f t="shared" si="2"/>
        <v/>
      </c>
      <c r="BE37" s="1" t="str">
        <f t="shared" si="2"/>
        <v/>
      </c>
      <c r="BF37" s="1" t="str">
        <f t="shared" si="2"/>
        <v/>
      </c>
      <c r="BG37" s="1" t="str">
        <f t="shared" si="2"/>
        <v/>
      </c>
      <c r="BH37" s="1" t="str">
        <f t="shared" si="2"/>
        <v/>
      </c>
      <c r="BI37" s="1" t="str">
        <f t="shared" si="2"/>
        <v/>
      </c>
      <c r="BJ37" s="1" t="str">
        <f t="shared" si="2"/>
        <v>Conduct Multi Point Inpection and Make Minor Adjustments</v>
      </c>
      <c r="BK37" s="1" t="str">
        <f t="shared" si="2"/>
        <v/>
      </c>
      <c r="BL37" s="1" t="str">
        <f t="shared" si="2"/>
        <v/>
      </c>
      <c r="BM37" s="1" t="str">
        <f t="shared" si="2"/>
        <v/>
      </c>
      <c r="BN37" s="1" t="str">
        <f t="shared" si="2"/>
        <v/>
      </c>
      <c r="BO37" s="1" t="str">
        <f t="shared" si="2"/>
        <v/>
      </c>
      <c r="BP37" s="1" t="str">
        <f t="shared" si="2"/>
        <v/>
      </c>
    </row>
    <row r="39" spans="1:68" x14ac:dyDescent="0.2">
      <c r="B39" s="1" t="str">
        <f t="array" ref="B39:B105">TRANSPOSE(B37:BP37)</f>
        <v/>
      </c>
    </row>
    <row r="40" spans="1:68" x14ac:dyDescent="0.2">
      <c r="B40" s="1" t="str">
        <v/>
      </c>
    </row>
    <row r="41" spans="1:68" x14ac:dyDescent="0.2">
      <c r="B41" s="1" t="str">
        <v/>
      </c>
    </row>
    <row r="42" spans="1:68" x14ac:dyDescent="0.2">
      <c r="B42" s="1" t="str">
        <v/>
      </c>
    </row>
    <row r="43" spans="1:68" x14ac:dyDescent="0.2">
      <c r="B43" s="1" t="str">
        <v/>
      </c>
    </row>
    <row r="44" spans="1:68" x14ac:dyDescent="0.2">
      <c r="B44" s="1" t="str">
        <v/>
      </c>
    </row>
    <row r="45" spans="1:68" x14ac:dyDescent="0.2">
      <c r="B45" s="1" t="str">
        <v/>
      </c>
    </row>
    <row r="46" spans="1:68" x14ac:dyDescent="0.2">
      <c r="B46" s="1" t="str">
        <v/>
      </c>
    </row>
    <row r="47" spans="1:68" x14ac:dyDescent="0.2">
      <c r="B47" s="1" t="str">
        <v/>
      </c>
    </row>
    <row r="48" spans="1:68" x14ac:dyDescent="0.2">
      <c r="B48" s="1" t="str">
        <v/>
      </c>
    </row>
    <row r="49" spans="2:2" x14ac:dyDescent="0.2">
      <c r="B49" s="1" t="str">
        <v/>
      </c>
    </row>
    <row r="50" spans="2:2" x14ac:dyDescent="0.2">
      <c r="B50" s="1" t="str">
        <v/>
      </c>
    </row>
    <row r="51" spans="2:2" x14ac:dyDescent="0.2">
      <c r="B51" s="1" t="str">
        <v/>
      </c>
    </row>
    <row r="52" spans="2:2" x14ac:dyDescent="0.2">
      <c r="B52" s="1" t="str">
        <v/>
      </c>
    </row>
    <row r="53" spans="2:2" x14ac:dyDescent="0.2">
      <c r="B53" s="1" t="str">
        <v/>
      </c>
    </row>
    <row r="54" spans="2:2" x14ac:dyDescent="0.2">
      <c r="B54" s="1" t="str">
        <v/>
      </c>
    </row>
    <row r="55" spans="2:2" x14ac:dyDescent="0.2">
      <c r="B55" s="1" t="str">
        <v/>
      </c>
    </row>
    <row r="56" spans="2:2" x14ac:dyDescent="0.2">
      <c r="B56" s="1" t="str">
        <v/>
      </c>
    </row>
    <row r="57" spans="2:2" x14ac:dyDescent="0.2">
      <c r="B57" s="1" t="str">
        <v/>
      </c>
    </row>
    <row r="58" spans="2:2" x14ac:dyDescent="0.2">
      <c r="B58" s="1" t="str">
        <v>Perform Oil and Filter Change</v>
      </c>
    </row>
    <row r="59" spans="2:2" x14ac:dyDescent="0.2">
      <c r="B59" s="1" t="str">
        <v/>
      </c>
    </row>
    <row r="60" spans="2:2" x14ac:dyDescent="0.2">
      <c r="B60" s="1" t="str">
        <v/>
      </c>
    </row>
    <row r="61" spans="2:2" x14ac:dyDescent="0.2">
      <c r="B61" s="1" t="str">
        <v/>
      </c>
    </row>
    <row r="62" spans="2:2" x14ac:dyDescent="0.2">
      <c r="B62" s="1" t="str">
        <v>Drain Water from Fuel Tank</v>
      </c>
    </row>
    <row r="63" spans="2:2" x14ac:dyDescent="0.2">
      <c r="B63" s="1" t="str">
        <v>Change fuel Filter Element</v>
      </c>
    </row>
    <row r="64" spans="2:2" x14ac:dyDescent="0.2">
      <c r="B64" s="1" t="str">
        <v/>
      </c>
    </row>
    <row r="65" spans="2:2" x14ac:dyDescent="0.2">
      <c r="B65" s="1" t="str">
        <v/>
      </c>
    </row>
    <row r="66" spans="2:2" x14ac:dyDescent="0.2">
      <c r="B66" s="1" t="str">
        <v/>
      </c>
    </row>
    <row r="67" spans="2:2" x14ac:dyDescent="0.2">
      <c r="B67" s="1" t="str">
        <v/>
      </c>
    </row>
    <row r="68" spans="2:2" x14ac:dyDescent="0.2">
      <c r="B68" s="1" t="str">
        <v>Change Hydraulic Oil Filter</v>
      </c>
    </row>
    <row r="69" spans="2:2" x14ac:dyDescent="0.2">
      <c r="B69" s="1" t="str">
        <v xml:space="preserve">Change or Clean Hydraulic Breather Element </v>
      </c>
    </row>
    <row r="70" spans="2:2" x14ac:dyDescent="0.2">
      <c r="B70" s="1" t="str">
        <v xml:space="preserve">Change or Clean Hydraulic return  Filter </v>
      </c>
    </row>
    <row r="71" spans="2:2" x14ac:dyDescent="0.2">
      <c r="B71" s="1" t="str">
        <v/>
      </c>
    </row>
    <row r="72" spans="2:2" x14ac:dyDescent="0.2">
      <c r="B72" s="1" t="str">
        <v/>
      </c>
    </row>
    <row r="73" spans="2:2" x14ac:dyDescent="0.2">
      <c r="B73" s="1" t="str">
        <v/>
      </c>
    </row>
    <row r="74" spans="2:2" x14ac:dyDescent="0.2">
      <c r="B74" s="1" t="str">
        <v/>
      </c>
    </row>
    <row r="75" spans="2:2" x14ac:dyDescent="0.2">
      <c r="B75" s="1" t="str">
        <v/>
      </c>
    </row>
    <row r="76" spans="2:2" x14ac:dyDescent="0.2">
      <c r="B76" s="1" t="str">
        <v/>
      </c>
    </row>
    <row r="77" spans="2:2" x14ac:dyDescent="0.2">
      <c r="B77" s="1" t="str">
        <v/>
      </c>
    </row>
    <row r="78" spans="2:2" x14ac:dyDescent="0.2">
      <c r="B78" s="1" t="str">
        <v/>
      </c>
    </row>
    <row r="79" spans="2:2" x14ac:dyDescent="0.2">
      <c r="B79" s="1" t="str">
        <v/>
      </c>
    </row>
    <row r="80" spans="2:2" x14ac:dyDescent="0.2">
      <c r="B80" s="1" t="str">
        <v/>
      </c>
    </row>
    <row r="81" spans="2:2" x14ac:dyDescent="0.2">
      <c r="B81" s="1" t="str">
        <v/>
      </c>
    </row>
    <row r="82" spans="2:2" x14ac:dyDescent="0.2">
      <c r="B82" s="1" t="str">
        <v>Change or Clean Cabin Air Filter</v>
      </c>
    </row>
    <row r="83" spans="2:2" x14ac:dyDescent="0.2">
      <c r="B83" s="1" t="str">
        <v>Grease Machine at Assorted Lubrication Points</v>
      </c>
    </row>
    <row r="84" spans="2:2" x14ac:dyDescent="0.2">
      <c r="B84" s="1" t="str">
        <v/>
      </c>
    </row>
    <row r="85" spans="2:2" x14ac:dyDescent="0.2">
      <c r="B85" s="1" t="str">
        <v/>
      </c>
    </row>
    <row r="86" spans="2:2" x14ac:dyDescent="0.2">
      <c r="B86" s="1" t="str">
        <v/>
      </c>
    </row>
    <row r="87" spans="2:2" x14ac:dyDescent="0.2">
      <c r="B87" s="1" t="str">
        <v/>
      </c>
    </row>
    <row r="88" spans="2:2" x14ac:dyDescent="0.2">
      <c r="B88" s="1" t="str">
        <v/>
      </c>
    </row>
    <row r="89" spans="2:2" x14ac:dyDescent="0.2">
      <c r="B89" s="1" t="str">
        <v/>
      </c>
    </row>
    <row r="90" spans="2:2" x14ac:dyDescent="0.2">
      <c r="B90" s="1" t="str">
        <v/>
      </c>
    </row>
    <row r="91" spans="2:2" x14ac:dyDescent="0.2">
      <c r="B91" s="1" t="str">
        <v>Replace Air Cleaner element</v>
      </c>
    </row>
    <row r="92" spans="2:2" x14ac:dyDescent="0.2">
      <c r="B92" s="1" t="str">
        <v/>
      </c>
    </row>
    <row r="93" spans="2:2" x14ac:dyDescent="0.2">
      <c r="B93" s="1" t="str">
        <v/>
      </c>
    </row>
    <row r="94" spans="2:2" x14ac:dyDescent="0.2">
      <c r="B94" s="1" t="str">
        <v/>
      </c>
    </row>
    <row r="95" spans="2:2" x14ac:dyDescent="0.2">
      <c r="B95" s="1" t="str">
        <v/>
      </c>
    </row>
    <row r="96" spans="2:2" x14ac:dyDescent="0.2">
      <c r="B96" s="1" t="str">
        <v/>
      </c>
    </row>
    <row r="97" spans="2:2" x14ac:dyDescent="0.2">
      <c r="B97" s="1" t="str">
        <v/>
      </c>
    </row>
    <row r="98" spans="2:2" x14ac:dyDescent="0.2">
      <c r="B98" s="1" t="str">
        <v/>
      </c>
    </row>
    <row r="99" spans="2:2" x14ac:dyDescent="0.2">
      <c r="B99" s="1" t="str">
        <v>Conduct Multi Point Inpection and Make Minor Adjustments</v>
      </c>
    </row>
    <row r="100" spans="2:2" x14ac:dyDescent="0.2">
      <c r="B100" s="1" t="str">
        <v/>
      </c>
    </row>
    <row r="101" spans="2:2" x14ac:dyDescent="0.2">
      <c r="B101" s="1" t="str">
        <v/>
      </c>
    </row>
    <row r="102" spans="2:2" x14ac:dyDescent="0.2">
      <c r="B102" s="1" t="str">
        <v/>
      </c>
    </row>
    <row r="103" spans="2:2" x14ac:dyDescent="0.2">
      <c r="B103" s="1" t="str">
        <v/>
      </c>
    </row>
    <row r="104" spans="2:2" x14ac:dyDescent="0.2">
      <c r="B104" s="1" t="str">
        <v/>
      </c>
    </row>
    <row r="105" spans="2:2" x14ac:dyDescent="0.2">
      <c r="B105" s="1" t="str">
        <v/>
      </c>
    </row>
  </sheetData>
  <mergeCells count="3">
    <mergeCell ref="B1:P1"/>
    <mergeCell ref="Q1:T1"/>
    <mergeCell ref="U1:BP1"/>
  </mergeCells>
  <dataValidations count="1">
    <dataValidation type="list" allowBlank="1" showErrorMessage="1" sqref="B3:T3" xr:uid="{00000000-0002-0000-0600-000000000000}">
      <formula1>"Labor Only,Parts Only,Parts and Labor"</formula1>
    </dataValidation>
  </dataValidation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R1003"/>
  <sheetViews>
    <sheetView topLeftCell="A8" workbookViewId="0">
      <selection activeCell="A32" sqref="A32"/>
    </sheetView>
  </sheetViews>
  <sheetFormatPr baseColWidth="10" defaultColWidth="11.1640625" defaultRowHeight="15" customHeight="1" x14ac:dyDescent="0.2"/>
  <cols>
    <col min="1" max="1" width="20.1640625" customWidth="1"/>
    <col min="2" max="15" width="10.83203125" customWidth="1"/>
    <col min="16" max="16" width="11" customWidth="1"/>
    <col min="17" max="58" width="10.83203125" customWidth="1"/>
    <col min="59" max="70" width="11" customWidth="1"/>
  </cols>
  <sheetData>
    <row r="1" spans="1:70" x14ac:dyDescent="0.2">
      <c r="A1" s="1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</row>
    <row r="2" spans="1:70" x14ac:dyDescent="0.2">
      <c r="A2" s="29"/>
      <c r="B2" s="114" t="str">
        <f>+'Scheduled Intervals'!B2</f>
        <v>Perform Oil and Filter Change</v>
      </c>
      <c r="C2" s="115" t="str">
        <f>+'Scheduled Intervals'!C2</f>
        <v xml:space="preserve">Clean Water seperator </v>
      </c>
      <c r="D2" s="115" t="str">
        <f>+'Scheduled Intervals'!D2</f>
        <v xml:space="preserve">Drain Water from Fuel Tank </v>
      </c>
      <c r="E2" s="115" t="str">
        <f>+'Scheduled Intervals'!E2</f>
        <v>Perform Transmission Filter and Fluid Service</v>
      </c>
      <c r="F2" s="115" t="str">
        <f>+'Scheduled Intervals'!F2</f>
        <v xml:space="preserve">Change HST Oil Filter </v>
      </c>
      <c r="G2" s="115" t="str">
        <f>+'Scheduled Intervals'!G2</f>
        <v>Change Hydraulic Fluid</v>
      </c>
      <c r="H2" s="115" t="str">
        <f>+'Scheduled Intervals'!H2</f>
        <v>Grease Machine at required lubrication fittings</v>
      </c>
      <c r="I2" s="115" t="str">
        <f>+'Scheduled Intervals'!I2</f>
        <v>Conduct Multi Point Inpection and make minor adjustments</v>
      </c>
      <c r="J2" s="115" t="str">
        <f>+'Scheduled Intervals'!J2</f>
        <v>Perform Track Tension Adjustment</v>
      </c>
      <c r="K2" s="115" t="str">
        <f>+'Scheduled Intervals'!K2</f>
        <v xml:space="preserve">Change fuel filter element </v>
      </c>
      <c r="L2" s="115" t="str">
        <f>+'Scheduled Intervals'!L2</f>
        <v>Change final drive fluid</v>
      </c>
      <c r="M2" s="115" t="str">
        <f>+'Scheduled Intervals'!M2</f>
        <v>Change hydraulic return filter</v>
      </c>
      <c r="N2" s="116" t="str">
        <f>+'Scheduled Intervals'!N2</f>
        <v>Change final drive fluid</v>
      </c>
      <c r="O2" s="116" t="str">
        <f>+'Scheduled Intervals'!O2</f>
        <v>Change final drive fluid</v>
      </c>
      <c r="P2" s="117" t="str">
        <f>+'Scheduled Intervals'!P2</f>
        <v>Change Hydraulic suction return filter</v>
      </c>
      <c r="Q2" s="118" t="str">
        <f>+'Scheduled Intervals'!Q2</f>
        <v xml:space="preserve"> Change Hydraulic Oil Filter and Oil</v>
      </c>
      <c r="R2" s="119" t="str">
        <f>+'Scheduled Intervals'!R2</f>
        <v xml:space="preserve">Final Drive or Hydrostatic Oil Change </v>
      </c>
      <c r="S2" s="119" t="str">
        <f>+'Scheduled Intervals'!S2</f>
        <v>Change Transmission Fluid and filters</v>
      </c>
      <c r="T2" s="120" t="str">
        <f>+'Scheduled Intervals'!T2</f>
        <v>Change Hydraulic fluid</v>
      </c>
      <c r="U2" s="121" t="str">
        <f>+'Scheduled Intervals'!U2</f>
        <v>Perform Oil and Filter Change</v>
      </c>
      <c r="V2" s="122" t="str">
        <f>+'Scheduled Intervals'!V2</f>
        <v>Change Oil Seperator Element</v>
      </c>
      <c r="W2" s="122" t="str">
        <f>+'Scheduled Intervals'!W2</f>
        <v>Clean Water seperator</v>
      </c>
      <c r="X2" s="122" t="str">
        <f>+'Scheduled Intervals'!X2</f>
        <v>Replace Water Seperator Element</v>
      </c>
      <c r="Y2" s="122" t="str">
        <f>+'Scheduled Intervals'!Y2</f>
        <v>Drain Water from Fuel Tank</v>
      </c>
      <c r="Z2" s="122" t="str">
        <f>+'Scheduled Intervals'!Z2</f>
        <v>Change fuel Filter Element</v>
      </c>
      <c r="AA2" s="122" t="str">
        <f>+'Scheduled Intervals'!AA2</f>
        <v>Change Fuel Pump Filter and/or PCV Element</v>
      </c>
      <c r="AB2" s="122" t="str">
        <f>+'Scheduled Intervals'!AB2</f>
        <v xml:space="preserve">Perform Transmission Fluid and Tank Service </v>
      </c>
      <c r="AC2" s="122" t="str">
        <f>+'Scheduled Intervals'!AC2</f>
        <v>Replace Transmission Oil Filters</v>
      </c>
      <c r="AD2" s="122">
        <f>+'Scheduled Intervals'!AD2</f>
        <v>0</v>
      </c>
      <c r="AE2" s="122" t="str">
        <f>+'Scheduled Intervals'!AE2</f>
        <v>Change Hydraulic Oil Filter</v>
      </c>
      <c r="AF2" s="122" t="str">
        <f>+'Scheduled Intervals'!AF2</f>
        <v xml:space="preserve">Change or Clean Hydraulic Breather Element </v>
      </c>
      <c r="AG2" s="122" t="str">
        <f>+'Scheduled Intervals'!AG2</f>
        <v xml:space="preserve">Change or Clean Hydraulic return  Filter </v>
      </c>
      <c r="AH2" s="122" t="str">
        <f>+'Scheduled Intervals'!AH2</f>
        <v>Change Hydraulic Pilot Filters and O-Ring</v>
      </c>
      <c r="AI2" s="122" t="str">
        <f>+'Scheduled Intervals'!AI2</f>
        <v>Change Suction  Elements and Hydraulic Fluid</v>
      </c>
      <c r="AJ2" s="122" t="str">
        <f>+'Scheduled Intervals'!AJ2</f>
        <v xml:space="preserve">Change Drive Oil  - Front and Rear or Hydrostatic </v>
      </c>
      <c r="AK2" s="122" t="str">
        <f>+'Scheduled Intervals'!AK2</f>
        <v>Change Drive Oil Rear</v>
      </c>
      <c r="AL2" s="122" t="str">
        <f>+'Scheduled Intervals'!AL2</f>
        <v xml:space="preserve">Change Drive Oil Front </v>
      </c>
      <c r="AM2" s="122" t="str">
        <f>+'Scheduled Intervals'!AM2</f>
        <v>Change Gear Box Oil and Filter</v>
      </c>
      <c r="AN2" s="122" t="str">
        <f>+'Scheduled Intervals'!AN2</f>
        <v>Change Gear Box Seals</v>
      </c>
      <c r="AO2" s="122" t="str">
        <f>+'Scheduled Intervals'!AO2</f>
        <v>Grease Crank Shaft</v>
      </c>
      <c r="AP2" s="122" t="str">
        <f>+'Scheduled Intervals'!AP2</f>
        <v>Clean AC Condensor</v>
      </c>
      <c r="AQ2" s="122" t="str">
        <f>+'Scheduled Intervals'!AQ2</f>
        <v>Clean Cabin Air Filter</v>
      </c>
      <c r="AR2" s="122" t="str">
        <f>+'Scheduled Intervals'!AR2</f>
        <v>Change Breather Foam</v>
      </c>
      <c r="AS2" s="122" t="str">
        <f>+'Scheduled Intervals'!AS2</f>
        <v>Change or Clean Cabin Air Filter</v>
      </c>
      <c r="AT2" s="122" t="str">
        <f>+'Scheduled Intervals'!AT2</f>
        <v>Grease Machine at Assorted Lubrication Points</v>
      </c>
      <c r="AU2" s="122" t="str">
        <f>+'Scheduled Intervals'!AU2</f>
        <v>Lubricate and Oil Throttle Cable</v>
      </c>
      <c r="AV2" s="122" t="str">
        <f>+'Scheduled Intervals'!AV2</f>
        <v>Adjust Track Tension</v>
      </c>
      <c r="AW2" s="122" t="str">
        <f>+'Scheduled Intervals'!AW2</f>
        <v>Check and Adjust Valve Clearance</v>
      </c>
      <c r="AX2" s="122">
        <f>+'Scheduled Intervals'!AX2</f>
        <v>0</v>
      </c>
      <c r="AY2" s="122" t="str">
        <f>+'Scheduled Intervals'!AY2</f>
        <v>Adjust Electonic Clutch</v>
      </c>
      <c r="AZ2" s="122" t="str">
        <f>+'Scheduled Intervals'!AZ2</f>
        <v>Replace Fan/ Drive Belt</v>
      </c>
      <c r="BA2" s="122" t="str">
        <f>+'Scheduled Intervals'!BA2</f>
        <v>Replace or Replenish Power Steering Fluid</v>
      </c>
      <c r="BB2" s="122" t="str">
        <f>+'Scheduled Intervals'!BB2</f>
        <v>Replace Air Cleaner element</v>
      </c>
      <c r="BC2" s="122" t="str">
        <f>+'Scheduled Intervals'!BC2</f>
        <v>Replace Inner Air Filter</v>
      </c>
      <c r="BD2" s="122" t="str">
        <f>+'Scheduled Intervals'!BD2</f>
        <v>Replace Spark Plugs</v>
      </c>
      <c r="BE2" s="122" t="str">
        <f>+'Scheduled Intervals'!BE2</f>
        <v>Check End Play of  Center Shaft and Make minor Adjustment</v>
      </c>
      <c r="BF2" s="122" t="str">
        <f>+'Scheduled Intervals'!BF2</f>
        <v xml:space="preserve">Check PCV and EGR Valves and Check Fuel Injectors </v>
      </c>
      <c r="BG2" s="122" t="str">
        <f>+'Scheduled Intervals'!BG2</f>
        <v xml:space="preserve">Check DEF Injector Tips and Line </v>
      </c>
      <c r="BH2" s="122" t="str">
        <f>+'Scheduled Intervals'!BH2</f>
        <v>Perform Coolant System Flush</v>
      </c>
      <c r="BI2" s="122" t="str">
        <f>+'Scheduled Intervals'!BI2</f>
        <v>Inspect and Sharpen Blades</v>
      </c>
      <c r="BJ2" s="122" t="str">
        <f>+'Scheduled Intervals'!BJ2</f>
        <v>Conduct Multi Point Inpection and Make Minor Adjustments</v>
      </c>
      <c r="BK2" s="122" t="str">
        <f>+'Scheduled Intervals'!BK2</f>
        <v>Change DEF Suction and Pump Filters</v>
      </c>
      <c r="BL2" s="122" t="str">
        <f>+'Scheduled Intervals'!BL2</f>
        <v>Perform Brake Fluid Service</v>
      </c>
      <c r="BM2" s="122" t="str">
        <f>+'Scheduled Intervals'!BM2</f>
        <v>Change Swing Drive Oil</v>
      </c>
      <c r="BN2" s="122" t="str">
        <f>+'Scheduled Intervals'!BN2</f>
        <v>Perform Annual Oil and Filter Change</v>
      </c>
      <c r="BO2" s="122" t="str">
        <f>+'Scheduled Intervals'!BO2</f>
        <v>Annually Grease Machine at Assorted Lubrication Points</v>
      </c>
      <c r="BP2" s="123" t="str">
        <f>+'Scheduled Intervals'!BP2</f>
        <v>Conduct Annual Multi Point Inpection and Make Minor Adjustments</v>
      </c>
      <c r="BQ2" s="29" t="s">
        <v>105</v>
      </c>
      <c r="BR2" s="29"/>
    </row>
    <row r="3" spans="1:70" x14ac:dyDescent="0.2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</row>
    <row r="4" spans="1:70" x14ac:dyDescent="0.2">
      <c r="A4" s="18" t="str">
        <f>+'Scheduled Intervals'!A4</f>
        <v>RTV</v>
      </c>
      <c r="B4" s="246">
        <f>ROUND(IF('Included @ Interval'!B4="yes",'Hours Per Job'!B4*'Interval Reimb'!$B$38+'Parts Cost Per Job'!B4*((1+'Interval Reimb'!$B$39)*'Interval Reimb'!$B$40),0),2)</f>
        <v>0</v>
      </c>
      <c r="C4" s="246">
        <f>ROUND(IF('Included @ Interval'!C4="yes",'Hours Per Job'!C4*'Interval Reimb'!$B$38+'Parts Cost Per Job'!C4*((1+'Interval Reimb'!$B$39)*'Interval Reimb'!$B$40),0),2)</f>
        <v>0</v>
      </c>
      <c r="D4" s="246">
        <f>ROUND(IF('Included @ Interval'!D4="yes",'Hours Per Job'!D4*'Interval Reimb'!$B$38+'Parts Cost Per Job'!D4*((1+'Interval Reimb'!$B$39)*'Interval Reimb'!$B$40),0),2)</f>
        <v>0</v>
      </c>
      <c r="E4" s="246">
        <f>ROUND(IF('Included @ Interval'!E4="yes",'Hours Per Job'!E4*'Interval Reimb'!$B$38+'Parts Cost Per Job'!E4*((1+'Interval Reimb'!$B$39)*'Interval Reimb'!$B$40),0),2)</f>
        <v>0</v>
      </c>
      <c r="F4" s="246">
        <f>ROUND(IF('Included @ Interval'!F4="yes",'Hours Per Job'!F4*'Interval Reimb'!$B$38+'Parts Cost Per Job'!F4*((1+'Interval Reimb'!$B$39)*'Interval Reimb'!$B$40),0),2)</f>
        <v>0</v>
      </c>
      <c r="G4" s="246">
        <f>ROUND(IF('Included @ Interval'!G4="yes",'Hours Per Job'!G4*'Interval Reimb'!$B$38+'Parts Cost Per Job'!G4*((1+'Interval Reimb'!$B$39)*'Interval Reimb'!$B$40),0),2)</f>
        <v>0</v>
      </c>
      <c r="H4" s="246">
        <f>ROUND(IF('Included @ Interval'!H4="yes",'Hours Per Job'!H4*'Interval Reimb'!$B$38+'Parts Cost Per Job'!H4*((1+'Interval Reimb'!$B$39)*'Interval Reimb'!$B$40),0),2)</f>
        <v>0</v>
      </c>
      <c r="I4" s="246">
        <f>ROUND(IF('Included @ Interval'!I4="yes",'Hours Per Job'!I4*'Interval Reimb'!$B$38+'Parts Cost Per Job'!I4*((1+'Interval Reimb'!$B$39)*'Interval Reimb'!$B$40),0),2)</f>
        <v>0</v>
      </c>
      <c r="J4" s="246">
        <f>ROUND(IF('Included @ Interval'!J4="yes",'Hours Per Job'!J4*'Interval Reimb'!$B$38+'Parts Cost Per Job'!J4*((1+'Interval Reimb'!$B$39)*'Interval Reimb'!$B$40),0),2)</f>
        <v>0</v>
      </c>
      <c r="K4" s="246">
        <f>ROUND(IF('Included @ Interval'!K4="yes",'Hours Per Job'!K4*'Interval Reimb'!$B$38+'Parts Cost Per Job'!K4*((1+'Interval Reimb'!$B$39)*'Interval Reimb'!$B$40),0),2)</f>
        <v>0</v>
      </c>
      <c r="L4" s="246">
        <f>ROUND(IF('Included @ Interval'!L4="yes",'Hours Per Job'!L4*'Interval Reimb'!$B$38+'Parts Cost Per Job'!L4*((1+'Interval Reimb'!$B$39)*'Interval Reimb'!$B$40),0),2)</f>
        <v>0</v>
      </c>
      <c r="M4" s="246">
        <f>ROUND(IF('Included @ Interval'!M4="yes",'Hours Per Job'!M4*'Interval Reimb'!$B$38+'Parts Cost Per Job'!M4*((1+'Interval Reimb'!$B$39)*'Interval Reimb'!$B$40),0),2)</f>
        <v>0</v>
      </c>
      <c r="N4" s="246">
        <f>ROUND(IF('Included @ Interval'!N4="yes",'Hours Per Job'!N4*'Interval Reimb'!$B$38+'Parts Cost Per Job'!N4*((1+'Interval Reimb'!$B$39)*'Interval Reimb'!$B$40),0),2)</f>
        <v>0</v>
      </c>
      <c r="O4" s="246">
        <f>ROUND(IF('Included @ Interval'!O4="yes",'Hours Per Job'!O4*'Interval Reimb'!$B$38+'Parts Cost Per Job'!O4*((1+'Interval Reimb'!$B$39)*'Interval Reimb'!$B$40),0),2)</f>
        <v>0</v>
      </c>
      <c r="P4" s="246">
        <f>ROUND(IF('Included @ Interval'!P4="yes",'Hours Per Job'!P4*'Interval Reimb'!$B$38+'Parts Cost Per Job'!P4*((1+'Interval Reimb'!$B$39)*'Interval Reimb'!$B$40),0),2)</f>
        <v>0</v>
      </c>
      <c r="Q4" s="246">
        <f>ROUND(IF('Included @ Interval'!Q4="yes",'Hours Per Job'!Q4*'Interval Reimb'!$B$38+'Parts Cost Per Job'!Q4*((1+'Interval Reimb'!$B$39)*'Interval Reimb'!$B$40),0),2)</f>
        <v>0</v>
      </c>
      <c r="R4" s="246">
        <f>ROUND(IF('Included @ Interval'!R4="yes",'Hours Per Job'!R4*'Interval Reimb'!$B$38+'Parts Cost Per Job'!R4*((1+'Interval Reimb'!$B$39)*'Interval Reimb'!$B$40),0),2)</f>
        <v>0</v>
      </c>
      <c r="S4" s="246">
        <f>ROUND(IF('Included @ Interval'!S4="yes",'Hours Per Job'!S4*'Interval Reimb'!$B$38+'Parts Cost Per Job'!S4*((1+'Interval Reimb'!$B$39)*'Interval Reimb'!$B$40),0),2)</f>
        <v>0</v>
      </c>
      <c r="T4" s="246">
        <f>ROUND(IF('Included @ Interval'!T4="yes",'Hours Per Job'!T4*'Interval Reimb'!$B$38+'Parts Cost Per Job'!T4*((1+'Interval Reimb'!$B$39)*'Interval Reimb'!$B$40),0),2)</f>
        <v>0</v>
      </c>
      <c r="U4" s="246">
        <f>ROUND(IF('Included @ Interval'!U4="yes",'Hours Per Job'!U4*'Interval Reimb'!$B$38+'Parts Cost Per Job'!U4*((1+'Interval Reimb'!$B$39)*'Interval Reimb'!$B$40),0),2)</f>
        <v>0</v>
      </c>
      <c r="V4" s="246">
        <f>ROUND(IF('Included @ Interval'!V4="yes",'Hours Per Job'!V4*'Interval Reimb'!$B$38+'Parts Cost Per Job'!V4*((1+'Interval Reimb'!$B$39)*'Interval Reimb'!$B$40),0),2)</f>
        <v>0</v>
      </c>
      <c r="W4" s="246">
        <f>ROUND(IF('Included @ Interval'!W4="yes",'Hours Per Job'!W4*'Interval Reimb'!$B$38+'Parts Cost Per Job'!W4*((1+'Interval Reimb'!$B$39)*'Interval Reimb'!$B$40),0),2)</f>
        <v>0</v>
      </c>
      <c r="X4" s="246">
        <f>ROUND(IF('Included @ Interval'!X4="yes",'Hours Per Job'!X4*'Interval Reimb'!$B$38+'Parts Cost Per Job'!X4*((1+'Interval Reimb'!$B$39)*'Interval Reimb'!$B$40),0),2)</f>
        <v>0</v>
      </c>
      <c r="Y4" s="246">
        <f>ROUND(IF('Included @ Interval'!Y4="yes",'Hours Per Job'!Y4*'Interval Reimb'!$B$38+'Parts Cost Per Job'!Y4*((1+'Interval Reimb'!$B$39)*'Interval Reimb'!$B$40),0),2)</f>
        <v>0</v>
      </c>
      <c r="Z4" s="246">
        <f>ROUND(IF('Included @ Interval'!Z4="yes",'Hours Per Job'!Z4*'Interval Reimb'!$B$38+'Parts Cost Per Job'!Z4*((1+'Interval Reimb'!$B$39)*'Interval Reimb'!$B$40),0),2)</f>
        <v>0</v>
      </c>
      <c r="AA4" s="246">
        <f>ROUND(IF('Included @ Interval'!AA4="yes",'Hours Per Job'!AA4*'Interval Reimb'!$B$38+'Parts Cost Per Job'!AA4*((1+'Interval Reimb'!$B$39)*'Interval Reimb'!$B$40),0),2)</f>
        <v>0</v>
      </c>
      <c r="AB4" s="246">
        <f>ROUND(IF('Included @ Interval'!AB4="yes",'Hours Per Job'!AB4*'Interval Reimb'!$B$38+'Parts Cost Per Job'!AB4*((1+'Interval Reimb'!$B$39)*'Interval Reimb'!$B$40),0),2)</f>
        <v>0</v>
      </c>
      <c r="AC4" s="246">
        <f>ROUND(IF('Included @ Interval'!AC4="yes",'Hours Per Job'!AC4*'Interval Reimb'!$B$38+'Parts Cost Per Job'!AC4*((1+'Interval Reimb'!$B$39)*'Interval Reimb'!$B$40),0),2)</f>
        <v>0</v>
      </c>
      <c r="AD4" s="246">
        <f>ROUND(IF('Included @ Interval'!AD4="yes",'Hours Per Job'!AD4*'Interval Reimb'!$B$38+'Parts Cost Per Job'!AD4*((1+'Interval Reimb'!$B$39)*'Interval Reimb'!$B$40),0),2)</f>
        <v>0</v>
      </c>
      <c r="AE4" s="246">
        <f>ROUND(IF('Included @ Interval'!AE4="yes",'Hours Per Job'!AE4*'Interval Reimb'!$B$38+'Parts Cost Per Job'!AE4*((1+'Interval Reimb'!$B$39)*'Interval Reimb'!$B$40),0),2)</f>
        <v>0</v>
      </c>
      <c r="AF4" s="246">
        <f>ROUND(IF('Included @ Interval'!AF4="yes",'Hours Per Job'!AF4*'Interval Reimb'!$B$38+'Parts Cost Per Job'!AF4*((1+'Interval Reimb'!$B$39)*'Interval Reimb'!$B$40),0),2)</f>
        <v>0</v>
      </c>
      <c r="AG4" s="246">
        <f>ROUND(IF('Included @ Interval'!AG4="yes",'Hours Per Job'!AG4*'Interval Reimb'!$B$38+'Parts Cost Per Job'!AG4*((1+'Interval Reimb'!$B$39)*'Interval Reimb'!$B$40),0),2)</f>
        <v>0</v>
      </c>
      <c r="AH4" s="246">
        <f>ROUND(IF('Included @ Interval'!AH4="yes",'Hours Per Job'!AH4*'Interval Reimb'!$B$38+'Parts Cost Per Job'!AH4*((1+'Interval Reimb'!$B$39)*'Interval Reimb'!$B$40),0),2)</f>
        <v>0</v>
      </c>
      <c r="AI4" s="246">
        <f>ROUND(IF('Included @ Interval'!AI4="yes",'Hours Per Job'!AI4*'Interval Reimb'!$B$38+'Parts Cost Per Job'!AI4*((1+'Interval Reimb'!$B$39)*'Interval Reimb'!$B$40),0),2)</f>
        <v>0</v>
      </c>
      <c r="AJ4" s="246">
        <f>ROUND(IF('Included @ Interval'!AJ4="yes",'Hours Per Job'!AJ4*'Interval Reimb'!$B$38+'Parts Cost Per Job'!AJ4*((1+'Interval Reimb'!$B$39)*'Interval Reimb'!$B$40),0),2)</f>
        <v>0</v>
      </c>
      <c r="AK4" s="246">
        <f>ROUND(IF('Included @ Interval'!AK4="yes",'Hours Per Job'!AK4*'Interval Reimb'!$B$38+'Parts Cost Per Job'!AK4*((1+'Interval Reimb'!$B$39)*'Interval Reimb'!$B$40),0),2)</f>
        <v>0</v>
      </c>
      <c r="AL4" s="246">
        <f>ROUND(IF('Included @ Interval'!AL4="yes",'Hours Per Job'!AL4*'Interval Reimb'!$B$38+'Parts Cost Per Job'!AL4*((1+'Interval Reimb'!$B$39)*'Interval Reimb'!$B$40),0),2)</f>
        <v>0</v>
      </c>
      <c r="AM4" s="246">
        <f>ROUND(IF('Included @ Interval'!AM4="yes",'Hours Per Job'!AM4*'Interval Reimb'!$B$38+'Parts Cost Per Job'!AM4*((1+'Interval Reimb'!$B$39)*'Interval Reimb'!$B$40),0),2)</f>
        <v>0</v>
      </c>
      <c r="AN4" s="246">
        <f>ROUND(IF('Included @ Interval'!AN4="yes",'Hours Per Job'!AN4*'Interval Reimb'!$B$38+'Parts Cost Per Job'!AN4*((1+'Interval Reimb'!$B$39)*'Interval Reimb'!$B$40),0),2)</f>
        <v>0</v>
      </c>
      <c r="AO4" s="246">
        <f>ROUND(IF('Included @ Interval'!AO4="yes",'Hours Per Job'!AO4*'Interval Reimb'!$B$38+'Parts Cost Per Job'!AO4*((1+'Interval Reimb'!$B$39)*'Interval Reimb'!$B$40),0),2)</f>
        <v>0</v>
      </c>
      <c r="AP4" s="246">
        <f>ROUND(IF('Included @ Interval'!AP4="yes",'Hours Per Job'!AP4*'Interval Reimb'!$B$38+'Parts Cost Per Job'!AP4*((1+'Interval Reimb'!$B$39)*'Interval Reimb'!$B$40),0),2)</f>
        <v>0</v>
      </c>
      <c r="AQ4" s="246">
        <f>ROUND(IF('Included @ Interval'!AQ4="yes",'Hours Per Job'!AQ4*'Interval Reimb'!$B$38+'Parts Cost Per Job'!AQ4*((1+'Interval Reimb'!$B$39)*'Interval Reimb'!$B$40),0),2)</f>
        <v>0</v>
      </c>
      <c r="AR4" s="246">
        <f>ROUND(IF('Included @ Interval'!AR4="yes",'Hours Per Job'!AR4*'Interval Reimb'!$B$38+'Parts Cost Per Job'!AR4*((1+'Interval Reimb'!$B$39)*'Interval Reimb'!$B$40),0),2)</f>
        <v>0</v>
      </c>
      <c r="AS4" s="246">
        <f>ROUND(IF('Included @ Interval'!AS4="yes",'Hours Per Job'!AS4*'Interval Reimb'!$B$38+'Parts Cost Per Job'!AS4*((1+'Interval Reimb'!$B$39)*'Interval Reimb'!$B$40),0),2)</f>
        <v>0</v>
      </c>
      <c r="AT4" s="246">
        <f>ROUND(IF('Included @ Interval'!AT4="yes",'Hours Per Job'!AT4*'Interval Reimb'!$B$38+'Parts Cost Per Job'!AT4*((1+'Interval Reimb'!$B$39)*'Interval Reimb'!$B$40),0),2)</f>
        <v>0</v>
      </c>
      <c r="AU4" s="246">
        <f>ROUND(IF('Included @ Interval'!AU4="yes",'Hours Per Job'!AU4*'Interval Reimb'!$B$38+'Parts Cost Per Job'!AU4*((1+'Interval Reimb'!$B$39)*'Interval Reimb'!$B$40),0),2)</f>
        <v>0</v>
      </c>
      <c r="AV4" s="246">
        <f>ROUND(IF('Included @ Interval'!AV4="yes",'Hours Per Job'!AV4*'Interval Reimb'!$B$38+'Parts Cost Per Job'!AV4*((1+'Interval Reimb'!$B$39)*'Interval Reimb'!$B$40),0),2)</f>
        <v>0</v>
      </c>
      <c r="AW4" s="246">
        <f>ROUND(IF('Included @ Interval'!AW4="yes",'Hours Per Job'!AW4*'Interval Reimb'!$B$38+'Parts Cost Per Job'!AW4*((1+'Interval Reimb'!$B$39)*'Interval Reimb'!$B$40),0),2)</f>
        <v>0</v>
      </c>
      <c r="AX4" s="246">
        <f>ROUND(IF('Included @ Interval'!AX4="yes",'Hours Per Job'!AX4*'Interval Reimb'!$B$38+'Parts Cost Per Job'!AX4*((1+'Interval Reimb'!$B$39)*'Interval Reimb'!$B$40),0),2)</f>
        <v>0</v>
      </c>
      <c r="AY4" s="246">
        <f>ROUND(IF('Included @ Interval'!AY4="yes",'Hours Per Job'!AY4*'Interval Reimb'!$B$38+'Parts Cost Per Job'!AY4*((1+'Interval Reimb'!$B$39)*'Interval Reimb'!$B$40),0),2)</f>
        <v>0</v>
      </c>
      <c r="AZ4" s="246">
        <f>ROUND(IF('Included @ Interval'!AZ4="yes",'Hours Per Job'!AZ4*'Interval Reimb'!$B$38+'Parts Cost Per Job'!AZ4*((1+'Interval Reimb'!$B$39)*'Interval Reimb'!$B$40),0),2)</f>
        <v>0</v>
      </c>
      <c r="BA4" s="246">
        <f>ROUND(IF('Included @ Interval'!BA4="yes",'Hours Per Job'!BA4*'Interval Reimb'!$B$38+'Parts Cost Per Job'!BA4*((1+'Interval Reimb'!$B$39)*'Interval Reimb'!$B$40),0),2)</f>
        <v>0</v>
      </c>
      <c r="BB4" s="246">
        <f>ROUND(IF('Included @ Interval'!BB4="yes",'Hours Per Job'!BB4*'Interval Reimb'!$B$38+'Parts Cost Per Job'!BB4*((1+'Interval Reimb'!$B$39)*'Interval Reimb'!$B$40),0),2)</f>
        <v>0</v>
      </c>
      <c r="BC4" s="246">
        <f>ROUND(IF('Included @ Interval'!BC4="yes",'Hours Per Job'!BC4*'Interval Reimb'!$B$38+'Parts Cost Per Job'!BC4*((1+'Interval Reimb'!$B$39)*'Interval Reimb'!$B$40),0),2)</f>
        <v>0</v>
      </c>
      <c r="BD4" s="246">
        <f>ROUND(IF('Included @ Interval'!BD4="yes",'Hours Per Job'!BD4*'Interval Reimb'!$B$38+'Parts Cost Per Job'!BD4*((1+'Interval Reimb'!$B$39)*'Interval Reimb'!$B$40),0),2)</f>
        <v>78.87</v>
      </c>
      <c r="BE4" s="246">
        <f>ROUND(IF('Included @ Interval'!BE4="yes",'Hours Per Job'!BE4*'Interval Reimb'!$B$38+'Parts Cost Per Job'!BE4*((1+'Interval Reimb'!$B$39)*'Interval Reimb'!$B$40),0),2)</f>
        <v>0</v>
      </c>
      <c r="BF4" s="246">
        <f>ROUND(IF('Included @ Interval'!BF4="yes",'Hours Per Job'!BF4*'Interval Reimb'!$B$38+'Parts Cost Per Job'!BF4*((1+'Interval Reimb'!$B$39)*'Interval Reimb'!$B$40),0),2)</f>
        <v>0</v>
      </c>
      <c r="BG4" s="246">
        <f>ROUND(IF('Included @ Interval'!BG4="yes",'Hours Per Job'!BG4*'Interval Reimb'!$B$38+'Parts Cost Per Job'!BG4*((1+'Interval Reimb'!$B$39)*'Interval Reimb'!$B$40),0),2)</f>
        <v>0</v>
      </c>
      <c r="BH4" s="246">
        <f>ROUND(IF('Included @ Interval'!BH4="yes",'Hours Per Job'!BH4*'Interval Reimb'!$B$38+'Parts Cost Per Job'!BH4*((1+'Interval Reimb'!$B$39)*'Interval Reimb'!$B$40),0),2)</f>
        <v>0</v>
      </c>
      <c r="BI4" s="246">
        <f>ROUND(IF('Included @ Interval'!BI4="yes",'Hours Per Job'!BI4*'Interval Reimb'!$B$38+'Parts Cost Per Job'!BI4*((1+'Interval Reimb'!$B$39)*'Interval Reimb'!$B$40),0),2)</f>
        <v>0</v>
      </c>
      <c r="BJ4" s="246">
        <f>ROUND(IF('Included @ Interval'!BJ4="yes",'Hours Per Job'!BJ4*'Interval Reimb'!$B$38+'Parts Cost Per Job'!BJ4*((1+'Interval Reimb'!$B$39)*'Interval Reimb'!$B$40),0),2)</f>
        <v>0</v>
      </c>
      <c r="BK4" s="246">
        <f>ROUND(IF('Included @ Interval'!BK4="yes",'Hours Per Job'!BK4*'Interval Reimb'!$B$38+'Parts Cost Per Job'!BK4*((1+'Interval Reimb'!$B$39)*'Interval Reimb'!$B$40),0),2)</f>
        <v>0</v>
      </c>
      <c r="BL4" s="246">
        <f>ROUND(IF('Included @ Interval'!BL4="yes",'Hours Per Job'!BL4*'Interval Reimb'!$B$38+'Parts Cost Per Job'!BL4*((1+'Interval Reimb'!$B$39)*'Interval Reimb'!$B$40),0),2)</f>
        <v>0</v>
      </c>
      <c r="BM4" s="246">
        <f>ROUND(IF('Included @ Interval'!BM4="yes",'Hours Per Job'!BM4*'Interval Reimb'!$B$38+'Parts Cost Per Job'!BM4*((1+'Interval Reimb'!$B$39)*'Interval Reimb'!$B$40),0),2)</f>
        <v>0</v>
      </c>
      <c r="BN4" s="246">
        <f>ROUND(IF('Included @ Interval'!BN4="yes",'Hours Per Job'!BN4*'Interval Reimb'!$B$38+'Parts Cost Per Job'!BN4*((1+'Interval Reimb'!$B$39)*'Interval Reimb'!$B$40),0),2)</f>
        <v>0</v>
      </c>
      <c r="BO4" s="246">
        <f>ROUND(IF('Included @ Interval'!BO4="yes",'Hours Per Job'!BO4*'Interval Reimb'!$B$38+'Parts Cost Per Job'!BO4*((1+'Interval Reimb'!$B$39)*'Interval Reimb'!$B$40),0),2)</f>
        <v>0</v>
      </c>
      <c r="BP4" s="246">
        <f>ROUND(IF('Included @ Interval'!BP4="yes",'Hours Per Job'!BP4*'Interval Reimb'!$B$38+'Parts Cost Per Job'!BP4*((1+'Interval Reimb'!$B$39)*'Interval Reimb'!$B$40),0),2)</f>
        <v>0</v>
      </c>
      <c r="BQ4" s="9">
        <f t="shared" ref="BQ4:BQ34" si="0">SUM(B4:BP4)</f>
        <v>78.87</v>
      </c>
      <c r="BR4" s="9">
        <f t="shared" ref="BR4:BR31" si="1">BQ42</f>
        <v>0.4</v>
      </c>
    </row>
    <row r="5" spans="1:70" x14ac:dyDescent="0.2">
      <c r="A5" s="18" t="str">
        <f>+'Scheduled Intervals'!A5</f>
        <v>Zero Turn Gas</v>
      </c>
      <c r="B5" s="246">
        <f>ROUND(IF('Included @ Interval'!B5="yes",'Hours Per Job'!B5*'Interval Reimb'!$B$38+'Parts Cost Per Job'!B5*((1+'Interval Reimb'!$B$39)*'Interval Reimb'!$B$40),0),2)</f>
        <v>0</v>
      </c>
      <c r="C5" s="246">
        <f>ROUND(IF('Included @ Interval'!C5="yes",'Hours Per Job'!C5*'Interval Reimb'!$B$38+'Parts Cost Per Job'!C5*((1+'Interval Reimb'!$B$39)*'Interval Reimb'!$B$40),0),2)</f>
        <v>0</v>
      </c>
      <c r="D5" s="246">
        <f>ROUND(IF('Included @ Interval'!D5="yes",'Hours Per Job'!D5*'Interval Reimb'!$B$38+'Parts Cost Per Job'!D5*((1+'Interval Reimb'!$B$39)*'Interval Reimb'!$B$40),0),2)</f>
        <v>0</v>
      </c>
      <c r="E5" s="246">
        <f>ROUND(IF('Included @ Interval'!E5="yes",'Hours Per Job'!E5*'Interval Reimb'!$B$38+'Parts Cost Per Job'!E5*((1+'Interval Reimb'!$B$39)*'Interval Reimb'!$B$40),0),2)</f>
        <v>0</v>
      </c>
      <c r="F5" s="246">
        <f>ROUND(IF('Included @ Interval'!F5="yes",'Hours Per Job'!F5*'Interval Reimb'!$B$38+'Parts Cost Per Job'!F5*((1+'Interval Reimb'!$B$39)*'Interval Reimb'!$B$40),0),2)</f>
        <v>0</v>
      </c>
      <c r="G5" s="246">
        <f>ROUND(IF('Included @ Interval'!G5="yes",'Hours Per Job'!G5*'Interval Reimb'!$B$38+'Parts Cost Per Job'!G5*((1+'Interval Reimb'!$B$39)*'Interval Reimb'!$B$40),0),2)</f>
        <v>0</v>
      </c>
      <c r="H5" s="246">
        <f>ROUND(IF('Included @ Interval'!H5="yes",'Hours Per Job'!H5*'Interval Reimb'!$B$38+'Parts Cost Per Job'!H5*((1+'Interval Reimb'!$B$39)*'Interval Reimb'!$B$40),0),2)</f>
        <v>0</v>
      </c>
      <c r="I5" s="246">
        <f>ROUND(IF('Included @ Interval'!I5="yes",'Hours Per Job'!I5*'Interval Reimb'!$B$38+'Parts Cost Per Job'!I5*((1+'Interval Reimb'!$B$39)*'Interval Reimb'!$B$40),0),2)</f>
        <v>0</v>
      </c>
      <c r="J5" s="246">
        <f>ROUND(IF('Included @ Interval'!J5="yes",'Hours Per Job'!J5*'Interval Reimb'!$B$38+'Parts Cost Per Job'!J5*((1+'Interval Reimb'!$B$39)*'Interval Reimb'!$B$40),0),2)</f>
        <v>0</v>
      </c>
      <c r="K5" s="246">
        <f>ROUND(IF('Included @ Interval'!K5="yes",'Hours Per Job'!K5*'Interval Reimb'!$B$38+'Parts Cost Per Job'!K5*((1+'Interval Reimb'!$B$39)*'Interval Reimb'!$B$40),0),2)</f>
        <v>0</v>
      </c>
      <c r="L5" s="246">
        <f>ROUND(IF('Included @ Interval'!L5="yes",'Hours Per Job'!L5*'Interval Reimb'!$B$38+'Parts Cost Per Job'!L5*((1+'Interval Reimb'!$B$39)*'Interval Reimb'!$B$40),0),2)</f>
        <v>0</v>
      </c>
      <c r="M5" s="246">
        <f>ROUND(IF('Included @ Interval'!M5="yes",'Hours Per Job'!M5*'Interval Reimb'!$B$38+'Parts Cost Per Job'!M5*((1+'Interval Reimb'!$B$39)*'Interval Reimb'!$B$40),0),2)</f>
        <v>0</v>
      </c>
      <c r="N5" s="246">
        <f>ROUND(IF('Included @ Interval'!N5="yes",'Hours Per Job'!N5*'Interval Reimb'!$B$38+'Parts Cost Per Job'!N5*((1+'Interval Reimb'!$B$39)*'Interval Reimb'!$B$40),0),2)</f>
        <v>0</v>
      </c>
      <c r="O5" s="246">
        <f>ROUND(IF('Included @ Interval'!O5="yes",'Hours Per Job'!O5*'Interval Reimb'!$B$38+'Parts Cost Per Job'!O5*((1+'Interval Reimb'!$B$39)*'Interval Reimb'!$B$40),0),2)</f>
        <v>0</v>
      </c>
      <c r="P5" s="246">
        <f>ROUND(IF('Included @ Interval'!P5="yes",'Hours Per Job'!P5*'Interval Reimb'!$B$38+'Parts Cost Per Job'!P5*((1+'Interval Reimb'!$B$39)*'Interval Reimb'!$B$40),0),2)</f>
        <v>0</v>
      </c>
      <c r="Q5" s="246">
        <f>ROUND(IF('Included @ Interval'!Q5="yes",'Hours Per Job'!Q5*'Interval Reimb'!$B$38+'Parts Cost Per Job'!Q5*((1+'Interval Reimb'!$B$39)*'Interval Reimb'!$B$40),0),2)</f>
        <v>0</v>
      </c>
      <c r="R5" s="246">
        <f>ROUND(IF('Included @ Interval'!R5="yes",'Hours Per Job'!R5*'Interval Reimb'!$B$38+'Parts Cost Per Job'!R5*((1+'Interval Reimb'!$B$39)*'Interval Reimb'!$B$40),0),2)</f>
        <v>0</v>
      </c>
      <c r="S5" s="246">
        <f>ROUND(IF('Included @ Interval'!S5="yes",'Hours Per Job'!S5*'Interval Reimb'!$B$38+'Parts Cost Per Job'!S5*((1+'Interval Reimb'!$B$39)*'Interval Reimb'!$B$40),0),2)</f>
        <v>0</v>
      </c>
      <c r="T5" s="246">
        <f>ROUND(IF('Included @ Interval'!T5="yes",'Hours Per Job'!T5*'Interval Reimb'!$B$38+'Parts Cost Per Job'!T5*((1+'Interval Reimb'!$B$39)*'Interval Reimb'!$B$40),0),2)</f>
        <v>0</v>
      </c>
      <c r="U5" s="246">
        <f>ROUND(IF('Included @ Interval'!U5="yes",'Hours Per Job'!U5*'Interval Reimb'!$B$38+'Parts Cost Per Job'!U5*((1+'Interval Reimb'!$B$39)*'Interval Reimb'!$B$40),0),2)</f>
        <v>64.03</v>
      </c>
      <c r="V5" s="246">
        <f>ROUND(IF('Included @ Interval'!V5="yes",'Hours Per Job'!V5*'Interval Reimb'!$B$38+'Parts Cost Per Job'!V5*((1+'Interval Reimb'!$B$39)*'Interval Reimb'!$B$40),0),2)</f>
        <v>0</v>
      </c>
      <c r="W5" s="246">
        <f>ROUND(IF('Included @ Interval'!W5="yes",'Hours Per Job'!W5*'Interval Reimb'!$B$38+'Parts Cost Per Job'!W5*((1+'Interval Reimb'!$B$39)*'Interval Reimb'!$B$40),0),2)</f>
        <v>0</v>
      </c>
      <c r="X5" s="246">
        <f>ROUND(IF('Included @ Interval'!X5="yes",'Hours Per Job'!X5*'Interval Reimb'!$B$38+'Parts Cost Per Job'!X5*((1+'Interval Reimb'!$B$39)*'Interval Reimb'!$B$40),0),2)</f>
        <v>0</v>
      </c>
      <c r="Y5" s="246">
        <f>ROUND(IF('Included @ Interval'!Y5="yes",'Hours Per Job'!Y5*'Interval Reimb'!$B$38+'Parts Cost Per Job'!Y5*((1+'Interval Reimb'!$B$39)*'Interval Reimb'!$B$40),0),2)</f>
        <v>0</v>
      </c>
      <c r="Z5" s="246">
        <f>ROUND(IF('Included @ Interval'!Z5="yes",'Hours Per Job'!Z5*'Interval Reimb'!$B$38+'Parts Cost Per Job'!Z5*((1+'Interval Reimb'!$B$39)*'Interval Reimb'!$B$40),0),2)</f>
        <v>39.14</v>
      </c>
      <c r="AA5" s="246">
        <f>ROUND(IF('Included @ Interval'!AA5="yes",'Hours Per Job'!AA5*'Interval Reimb'!$B$38+'Parts Cost Per Job'!AA5*((1+'Interval Reimb'!$B$39)*'Interval Reimb'!$B$40),0),2)</f>
        <v>0</v>
      </c>
      <c r="AB5" s="246">
        <f>ROUND(IF('Included @ Interval'!AB5="yes",'Hours Per Job'!AB5*'Interval Reimb'!$B$38+'Parts Cost Per Job'!AB5*((1+'Interval Reimb'!$B$39)*'Interval Reimb'!$B$40),0),2)</f>
        <v>0</v>
      </c>
      <c r="AC5" s="246">
        <f>ROUND(IF('Included @ Interval'!AC5="yes",'Hours Per Job'!AC5*'Interval Reimb'!$B$38+'Parts Cost Per Job'!AC5*((1+'Interval Reimb'!$B$39)*'Interval Reimb'!$B$40),0),2)</f>
        <v>0</v>
      </c>
      <c r="AD5" s="246">
        <f>ROUND(IF('Included @ Interval'!AD5="yes",'Hours Per Job'!AD5*'Interval Reimb'!$B$38+'Parts Cost Per Job'!AD5*((1+'Interval Reimb'!$B$39)*'Interval Reimb'!$B$40),0),2)</f>
        <v>0</v>
      </c>
      <c r="AE5" s="246">
        <f>ROUND(IF('Included @ Interval'!AE5="yes",'Hours Per Job'!AE5*'Interval Reimb'!$B$38+'Parts Cost Per Job'!AE5*((1+'Interval Reimb'!$B$39)*'Interval Reimb'!$B$40),0),2)</f>
        <v>0</v>
      </c>
      <c r="AF5" s="246">
        <f>ROUND(IF('Included @ Interval'!AF5="yes",'Hours Per Job'!AF5*'Interval Reimb'!$B$38+'Parts Cost Per Job'!AF5*((1+'Interval Reimb'!$B$39)*'Interval Reimb'!$B$40),0),2)</f>
        <v>0</v>
      </c>
      <c r="AG5" s="246">
        <f>ROUND(IF('Included @ Interval'!AG5="yes",'Hours Per Job'!AG5*'Interval Reimb'!$B$38+'Parts Cost Per Job'!AG5*((1+'Interval Reimb'!$B$39)*'Interval Reimb'!$B$40),0),2)</f>
        <v>0</v>
      </c>
      <c r="AH5" s="246">
        <f>ROUND(IF('Included @ Interval'!AH5="yes",'Hours Per Job'!AH5*'Interval Reimb'!$B$38+'Parts Cost Per Job'!AH5*((1+'Interval Reimb'!$B$39)*'Interval Reimb'!$B$40),0),2)</f>
        <v>0</v>
      </c>
      <c r="AI5" s="246">
        <f>ROUND(IF('Included @ Interval'!AI5="yes",'Hours Per Job'!AI5*'Interval Reimb'!$B$38+'Parts Cost Per Job'!AI5*((1+'Interval Reimb'!$B$39)*'Interval Reimb'!$B$40),0),2)</f>
        <v>0</v>
      </c>
      <c r="AJ5" s="246">
        <f>ROUND(IF('Included @ Interval'!AJ5="yes",'Hours Per Job'!AJ5*'Interval Reimb'!$B$38+'Parts Cost Per Job'!AJ5*((1+'Interval Reimb'!$B$39)*'Interval Reimb'!$B$40),0),2)</f>
        <v>0</v>
      </c>
      <c r="AK5" s="246">
        <f>ROUND(IF('Included @ Interval'!AK5="yes",'Hours Per Job'!AK5*'Interval Reimb'!$B$38+'Parts Cost Per Job'!AK5*((1+'Interval Reimb'!$B$39)*'Interval Reimb'!$B$40),0),2)</f>
        <v>0</v>
      </c>
      <c r="AL5" s="246">
        <f>ROUND(IF('Included @ Interval'!AL5="yes",'Hours Per Job'!AL5*'Interval Reimb'!$B$38+'Parts Cost Per Job'!AL5*((1+'Interval Reimb'!$B$39)*'Interval Reimb'!$B$40),0),2)</f>
        <v>0</v>
      </c>
      <c r="AM5" s="246">
        <f>ROUND(IF('Included @ Interval'!AM5="yes",'Hours Per Job'!AM5*'Interval Reimb'!$B$38+'Parts Cost Per Job'!AM5*((1+'Interval Reimb'!$B$39)*'Interval Reimb'!$B$40),0),2)</f>
        <v>0</v>
      </c>
      <c r="AN5" s="246">
        <f>ROUND(IF('Included @ Interval'!AN5="yes",'Hours Per Job'!AN5*'Interval Reimb'!$B$38+'Parts Cost Per Job'!AN5*((1+'Interval Reimb'!$B$39)*'Interval Reimb'!$B$40),0),2)</f>
        <v>0</v>
      </c>
      <c r="AO5" s="246">
        <f>ROUND(IF('Included @ Interval'!AO5="yes",'Hours Per Job'!AO5*'Interval Reimb'!$B$38+'Parts Cost Per Job'!AO5*((1+'Interval Reimb'!$B$39)*'Interval Reimb'!$B$40),0),2)</f>
        <v>0</v>
      </c>
      <c r="AP5" s="246">
        <f>ROUND(IF('Included @ Interval'!AP5="yes",'Hours Per Job'!AP5*'Interval Reimb'!$B$38+'Parts Cost Per Job'!AP5*((1+'Interval Reimb'!$B$39)*'Interval Reimb'!$B$40),0),2)</f>
        <v>0</v>
      </c>
      <c r="AQ5" s="246">
        <f>ROUND(IF('Included @ Interval'!AQ5="yes",'Hours Per Job'!AQ5*'Interval Reimb'!$B$38+'Parts Cost Per Job'!AQ5*((1+'Interval Reimb'!$B$39)*'Interval Reimb'!$B$40),0),2)</f>
        <v>0</v>
      </c>
      <c r="AR5" s="246">
        <f>ROUND(IF('Included @ Interval'!AR5="yes",'Hours Per Job'!AR5*'Interval Reimb'!$B$38+'Parts Cost Per Job'!AR5*((1+'Interval Reimb'!$B$39)*'Interval Reimb'!$B$40),0),2)</f>
        <v>0</v>
      </c>
      <c r="AS5" s="246">
        <f>ROUND(IF('Included @ Interval'!AS5="yes",'Hours Per Job'!AS5*'Interval Reimb'!$B$38+'Parts Cost Per Job'!AS5*((1+'Interval Reimb'!$B$39)*'Interval Reimb'!$B$40),0),2)</f>
        <v>0</v>
      </c>
      <c r="AT5" s="246">
        <f>ROUND(IF('Included @ Interval'!AT5="yes",'Hours Per Job'!AT5*'Interval Reimb'!$B$38+'Parts Cost Per Job'!AT5*((1+'Interval Reimb'!$B$39)*'Interval Reimb'!$B$40),0),2)</f>
        <v>35.07</v>
      </c>
      <c r="AU5" s="246">
        <f>ROUND(IF('Included @ Interval'!AU5="yes",'Hours Per Job'!AU5*'Interval Reimb'!$B$38+'Parts Cost Per Job'!AU5*((1+'Interval Reimb'!$B$39)*'Interval Reimb'!$B$40),0),2)</f>
        <v>0</v>
      </c>
      <c r="AV5" s="246">
        <f>ROUND(IF('Included @ Interval'!AV5="yes",'Hours Per Job'!AV5*'Interval Reimb'!$B$38+'Parts Cost Per Job'!AV5*((1+'Interval Reimb'!$B$39)*'Interval Reimb'!$B$40),0),2)</f>
        <v>0</v>
      </c>
      <c r="AW5" s="246">
        <f>ROUND(IF('Included @ Interval'!AW5="yes",'Hours Per Job'!AW5*'Interval Reimb'!$B$38+'Parts Cost Per Job'!AW5*((1+'Interval Reimb'!$B$39)*'Interval Reimb'!$B$40),0),2)</f>
        <v>0</v>
      </c>
      <c r="AX5" s="246">
        <f>ROUND(IF('Included @ Interval'!AX5="yes",'Hours Per Job'!AX5*'Interval Reimb'!$B$38+'Parts Cost Per Job'!AX5*((1+'Interval Reimb'!$B$39)*'Interval Reimb'!$B$40),0),2)</f>
        <v>0</v>
      </c>
      <c r="AY5" s="246">
        <f>ROUND(IF('Included @ Interval'!AY5="yes",'Hours Per Job'!AY5*'Interval Reimb'!$B$38+'Parts Cost Per Job'!AY5*((1+'Interval Reimb'!$B$39)*'Interval Reimb'!$B$40),0),2)</f>
        <v>0</v>
      </c>
      <c r="AZ5" s="246">
        <f>ROUND(IF('Included @ Interval'!AZ5="yes",'Hours Per Job'!AZ5*'Interval Reimb'!$B$38+'Parts Cost Per Job'!AZ5*((1+'Interval Reimb'!$B$39)*'Interval Reimb'!$B$40),0),2)</f>
        <v>0</v>
      </c>
      <c r="BA5" s="246">
        <f>ROUND(IF('Included @ Interval'!BA5="yes",'Hours Per Job'!BA5*'Interval Reimb'!$B$38+'Parts Cost Per Job'!BA5*((1+'Interval Reimb'!$B$39)*'Interval Reimb'!$B$40),0),2)</f>
        <v>0</v>
      </c>
      <c r="BB5" s="246">
        <f>ROUND(IF('Included @ Interval'!BB5="yes",'Hours Per Job'!BB5*'Interval Reimb'!$B$38+'Parts Cost Per Job'!BB5*((1+'Interval Reimb'!$B$39)*'Interval Reimb'!$B$40),0),2)</f>
        <v>51.44</v>
      </c>
      <c r="BC5" s="246">
        <f>ROUND(IF('Included @ Interval'!BC5="yes",'Hours Per Job'!BC5*'Interval Reimb'!$B$38+'Parts Cost Per Job'!BC5*((1+'Interval Reimb'!$B$39)*'Interval Reimb'!$B$40),0),2)</f>
        <v>0</v>
      </c>
      <c r="BD5" s="246">
        <f>ROUND(IF('Included @ Interval'!BD5="yes",'Hours Per Job'!BD5*'Interval Reimb'!$B$38+'Parts Cost Per Job'!BD5*((1+'Interval Reimb'!$B$39)*'Interval Reimb'!$B$40),0),2)</f>
        <v>25.7</v>
      </c>
      <c r="BE5" s="246">
        <f>ROUND(IF('Included @ Interval'!BE5="yes",'Hours Per Job'!BE5*'Interval Reimb'!$B$38+'Parts Cost Per Job'!BE5*((1+'Interval Reimb'!$B$39)*'Interval Reimb'!$B$40),0),2)</f>
        <v>0</v>
      </c>
      <c r="BF5" s="246">
        <f>ROUND(IF('Included @ Interval'!BF5="yes",'Hours Per Job'!BF5*'Interval Reimb'!$B$38+'Parts Cost Per Job'!BF5*((1+'Interval Reimb'!$B$39)*'Interval Reimb'!$B$40),0),2)</f>
        <v>0</v>
      </c>
      <c r="BG5" s="246">
        <f>ROUND(IF('Included @ Interval'!BG5="yes",'Hours Per Job'!BG5*'Interval Reimb'!$B$38+'Parts Cost Per Job'!BG5*((1+'Interval Reimb'!$B$39)*'Interval Reimb'!$B$40),0),2)</f>
        <v>0</v>
      </c>
      <c r="BH5" s="246">
        <f>ROUND(IF('Included @ Interval'!BH5="yes",'Hours Per Job'!BH5*'Interval Reimb'!$B$38+'Parts Cost Per Job'!BH5*((1+'Interval Reimb'!$B$39)*'Interval Reimb'!$B$40),0),2)</f>
        <v>67.36</v>
      </c>
      <c r="BI5" s="246">
        <f>ROUND(IF('Included @ Interval'!BI5="yes",'Hours Per Job'!BI5*'Interval Reimb'!$B$38+'Parts Cost Per Job'!BI5*((1+'Interval Reimb'!$B$39)*'Interval Reimb'!$B$40),0),2)</f>
        <v>12</v>
      </c>
      <c r="BJ5" s="246">
        <f>ROUND(IF('Included @ Interval'!BJ5="yes",'Hours Per Job'!BJ5*'Interval Reimb'!$B$38+'Parts Cost Per Job'!BJ5*((1+'Interval Reimb'!$B$39)*'Interval Reimb'!$B$40),0),2)</f>
        <v>30</v>
      </c>
      <c r="BK5" s="246">
        <f>ROUND(IF('Included @ Interval'!BK5="yes",'Hours Per Job'!BK5*'Interval Reimb'!$B$38+'Parts Cost Per Job'!BK5*((1+'Interval Reimb'!$B$39)*'Interval Reimb'!$B$40),0),2)</f>
        <v>0</v>
      </c>
      <c r="BL5" s="246">
        <f>ROUND(IF('Included @ Interval'!BL5="yes",'Hours Per Job'!BL5*'Interval Reimb'!$B$38+'Parts Cost Per Job'!BL5*((1+'Interval Reimb'!$B$39)*'Interval Reimb'!$B$40),0),2)</f>
        <v>0</v>
      </c>
      <c r="BM5" s="246">
        <f>ROUND(IF('Included @ Interval'!BM5="yes",'Hours Per Job'!BM5*'Interval Reimb'!$B$38+'Parts Cost Per Job'!BM5*((1+'Interval Reimb'!$B$39)*'Interval Reimb'!$B$40),0),2)</f>
        <v>0</v>
      </c>
      <c r="BN5" s="246">
        <f>ROUND(IF('Included @ Interval'!BN5="yes",'Hours Per Job'!BN5*'Interval Reimb'!$B$38+'Parts Cost Per Job'!BN5*((1+'Interval Reimb'!$B$39)*'Interval Reimb'!$B$40),0),2)</f>
        <v>0</v>
      </c>
      <c r="BO5" s="246">
        <f>ROUND(IF('Included @ Interval'!BO5="yes",'Hours Per Job'!BO5*'Interval Reimb'!$B$38+'Parts Cost Per Job'!BO5*((1+'Interval Reimb'!$B$39)*'Interval Reimb'!$B$40),0),2)</f>
        <v>0</v>
      </c>
      <c r="BP5" s="246">
        <f>ROUND(IF('Included @ Interval'!BP5="yes",'Hours Per Job'!BP5*'Interval Reimb'!$B$38+'Parts Cost Per Job'!BP5*((1+'Interval Reimb'!$B$39)*'Interval Reimb'!$B$40),0),2)</f>
        <v>0</v>
      </c>
      <c r="BQ5" s="9">
        <f t="shared" si="0"/>
        <v>324.74</v>
      </c>
      <c r="BR5" s="9">
        <f t="shared" si="1"/>
        <v>1.6500000000000001</v>
      </c>
    </row>
    <row r="6" spans="1:70" x14ac:dyDescent="0.2">
      <c r="A6" s="18" t="str">
        <f>+'Scheduled Intervals'!A6</f>
        <v>Zero Turn Diesel</v>
      </c>
      <c r="B6" s="246">
        <f>ROUND(IF('Included @ Interval'!B6="yes",'Hours Per Job'!B6*'Interval Reimb'!$B$38+'Parts Cost Per Job'!B6*((1+'Interval Reimb'!$B$39)*'Interval Reimb'!$B$40),0),2)</f>
        <v>0</v>
      </c>
      <c r="C6" s="246">
        <f>ROUND(IF('Included @ Interval'!C6="yes",'Hours Per Job'!C6*'Interval Reimb'!$B$38+'Parts Cost Per Job'!C6*((1+'Interval Reimb'!$B$39)*'Interval Reimb'!$B$40),0),2)</f>
        <v>0</v>
      </c>
      <c r="D6" s="246">
        <f>ROUND(IF('Included @ Interval'!D6="yes",'Hours Per Job'!D6*'Interval Reimb'!$B$38+'Parts Cost Per Job'!D6*((1+'Interval Reimb'!$B$39)*'Interval Reimb'!$B$40),0),2)</f>
        <v>0</v>
      </c>
      <c r="E6" s="246">
        <f>ROUND(IF('Included @ Interval'!E6="yes",'Hours Per Job'!E6*'Interval Reimb'!$B$38+'Parts Cost Per Job'!E6*((1+'Interval Reimb'!$B$39)*'Interval Reimb'!$B$40),0),2)</f>
        <v>0</v>
      </c>
      <c r="F6" s="246">
        <f>ROUND(IF('Included @ Interval'!F6="yes",'Hours Per Job'!F6*'Interval Reimb'!$B$38+'Parts Cost Per Job'!F6*((1+'Interval Reimb'!$B$39)*'Interval Reimb'!$B$40),0),2)</f>
        <v>0</v>
      </c>
      <c r="G6" s="246">
        <f>ROUND(IF('Included @ Interval'!G6="yes",'Hours Per Job'!G6*'Interval Reimb'!$B$38+'Parts Cost Per Job'!G6*((1+'Interval Reimb'!$B$39)*'Interval Reimb'!$B$40),0),2)</f>
        <v>0</v>
      </c>
      <c r="H6" s="246">
        <f>ROUND(IF('Included @ Interval'!H6="yes",'Hours Per Job'!H6*'Interval Reimb'!$B$38+'Parts Cost Per Job'!H6*((1+'Interval Reimb'!$B$39)*'Interval Reimb'!$B$40),0),2)</f>
        <v>0</v>
      </c>
      <c r="I6" s="246">
        <f>ROUND(IF('Included @ Interval'!I6="yes",'Hours Per Job'!I6*'Interval Reimb'!$B$38+'Parts Cost Per Job'!I6*((1+'Interval Reimb'!$B$39)*'Interval Reimb'!$B$40),0),2)</f>
        <v>0</v>
      </c>
      <c r="J6" s="246">
        <f>ROUND(IF('Included @ Interval'!J6="yes",'Hours Per Job'!J6*'Interval Reimb'!$B$38+'Parts Cost Per Job'!J6*((1+'Interval Reimb'!$B$39)*'Interval Reimb'!$B$40),0),2)</f>
        <v>0</v>
      </c>
      <c r="K6" s="246">
        <f>ROUND(IF('Included @ Interval'!K6="yes",'Hours Per Job'!K6*'Interval Reimb'!$B$38+'Parts Cost Per Job'!K6*((1+'Interval Reimb'!$B$39)*'Interval Reimb'!$B$40),0),2)</f>
        <v>0</v>
      </c>
      <c r="L6" s="246">
        <f>ROUND(IF('Included @ Interval'!L6="yes",'Hours Per Job'!L6*'Interval Reimb'!$B$38+'Parts Cost Per Job'!L6*((1+'Interval Reimb'!$B$39)*'Interval Reimb'!$B$40),0),2)</f>
        <v>0</v>
      </c>
      <c r="M6" s="246">
        <f>ROUND(IF('Included @ Interval'!M6="yes",'Hours Per Job'!M6*'Interval Reimb'!$B$38+'Parts Cost Per Job'!M6*((1+'Interval Reimb'!$B$39)*'Interval Reimb'!$B$40),0),2)</f>
        <v>0</v>
      </c>
      <c r="N6" s="246">
        <f>ROUND(IF('Included @ Interval'!N6="yes",'Hours Per Job'!N6*'Interval Reimb'!$B$38+'Parts Cost Per Job'!N6*((1+'Interval Reimb'!$B$39)*'Interval Reimb'!$B$40),0),2)</f>
        <v>0</v>
      </c>
      <c r="O6" s="246">
        <f>ROUND(IF('Included @ Interval'!O6="yes",'Hours Per Job'!O6*'Interval Reimb'!$B$38+'Parts Cost Per Job'!O6*((1+'Interval Reimb'!$B$39)*'Interval Reimb'!$B$40),0),2)</f>
        <v>0</v>
      </c>
      <c r="P6" s="246">
        <f>ROUND(IF('Included @ Interval'!P6="yes",'Hours Per Job'!P6*'Interval Reimb'!$B$38+'Parts Cost Per Job'!P6*((1+'Interval Reimb'!$B$39)*'Interval Reimb'!$B$40),0),2)</f>
        <v>0</v>
      </c>
      <c r="Q6" s="246">
        <f>ROUND(IF('Included @ Interval'!Q6="yes",'Hours Per Job'!Q6*'Interval Reimb'!$B$38+'Parts Cost Per Job'!Q6*((1+'Interval Reimb'!$B$39)*'Interval Reimb'!$B$40),0),2)</f>
        <v>0</v>
      </c>
      <c r="R6" s="246">
        <f>ROUND(IF('Included @ Interval'!R6="yes",'Hours Per Job'!R6*'Interval Reimb'!$B$38+'Parts Cost Per Job'!R6*((1+'Interval Reimb'!$B$39)*'Interval Reimb'!$B$40),0),2)</f>
        <v>0</v>
      </c>
      <c r="S6" s="246">
        <f>ROUND(IF('Included @ Interval'!S6="yes",'Hours Per Job'!S6*'Interval Reimb'!$B$38+'Parts Cost Per Job'!S6*((1+'Interval Reimb'!$B$39)*'Interval Reimb'!$B$40),0),2)</f>
        <v>0</v>
      </c>
      <c r="T6" s="246">
        <f>ROUND(IF('Included @ Interval'!T6="yes",'Hours Per Job'!T6*'Interval Reimb'!$B$38+'Parts Cost Per Job'!T6*((1+'Interval Reimb'!$B$39)*'Interval Reimb'!$B$40),0),2)</f>
        <v>0</v>
      </c>
      <c r="U6" s="246">
        <f>ROUND(IF('Included @ Interval'!U6="yes",'Hours Per Job'!U6*'Interval Reimb'!$B$38+'Parts Cost Per Job'!U6*((1+'Interval Reimb'!$B$39)*'Interval Reimb'!$B$40),0),2)</f>
        <v>0</v>
      </c>
      <c r="V6" s="246">
        <f>ROUND(IF('Included @ Interval'!V6="yes",'Hours Per Job'!V6*'Interval Reimb'!$B$38+'Parts Cost Per Job'!V6*((1+'Interval Reimb'!$B$39)*'Interval Reimb'!$B$40),0),2)</f>
        <v>0</v>
      </c>
      <c r="W6" s="246">
        <f>ROUND(IF('Included @ Interval'!W6="yes",'Hours Per Job'!W6*'Interval Reimb'!$B$38+'Parts Cost Per Job'!W6*((1+'Interval Reimb'!$B$39)*'Interval Reimb'!$B$40),0),2)</f>
        <v>0</v>
      </c>
      <c r="X6" s="246">
        <f>ROUND(IF('Included @ Interval'!X6="yes",'Hours Per Job'!X6*'Interval Reimb'!$B$38+'Parts Cost Per Job'!X6*((1+'Interval Reimb'!$B$39)*'Interval Reimb'!$B$40),0),2)</f>
        <v>0</v>
      </c>
      <c r="Y6" s="246">
        <f>ROUND(IF('Included @ Interval'!Y6="yes",'Hours Per Job'!Y6*'Interval Reimb'!$B$38+'Parts Cost Per Job'!Y6*((1+'Interval Reimb'!$B$39)*'Interval Reimb'!$B$40),0),2)</f>
        <v>0</v>
      </c>
      <c r="Z6" s="246">
        <f>ROUND(IF('Included @ Interval'!Z6="yes",'Hours Per Job'!Z6*'Interval Reimb'!$B$38+'Parts Cost Per Job'!Z6*((1+'Interval Reimb'!$B$39)*'Interval Reimb'!$B$40),0),2)</f>
        <v>0</v>
      </c>
      <c r="AA6" s="246">
        <f>ROUND(IF('Included @ Interval'!AA6="yes",'Hours Per Job'!AA6*'Interval Reimb'!$B$38+'Parts Cost Per Job'!AA6*((1+'Interval Reimb'!$B$39)*'Interval Reimb'!$B$40),0),2)</f>
        <v>0</v>
      </c>
      <c r="AB6" s="246">
        <f>ROUND(IF('Included @ Interval'!AB6="yes",'Hours Per Job'!AB6*'Interval Reimb'!$B$38+'Parts Cost Per Job'!AB6*((1+'Interval Reimb'!$B$39)*'Interval Reimb'!$B$40),0),2)</f>
        <v>0</v>
      </c>
      <c r="AC6" s="246">
        <f>ROUND(IF('Included @ Interval'!AC6="yes",'Hours Per Job'!AC6*'Interval Reimb'!$B$38+'Parts Cost Per Job'!AC6*((1+'Interval Reimb'!$B$39)*'Interval Reimb'!$B$40),0),2)</f>
        <v>0</v>
      </c>
      <c r="AD6" s="246">
        <f>ROUND(IF('Included @ Interval'!AD6="yes",'Hours Per Job'!AD6*'Interval Reimb'!$B$38+'Parts Cost Per Job'!AD6*((1+'Interval Reimb'!$B$39)*'Interval Reimb'!$B$40),0),2)</f>
        <v>0</v>
      </c>
      <c r="AE6" s="246">
        <f>ROUND(IF('Included @ Interval'!AE6="yes",'Hours Per Job'!AE6*'Interval Reimb'!$B$38+'Parts Cost Per Job'!AE6*((1+'Interval Reimb'!$B$39)*'Interval Reimb'!$B$40),0),2)</f>
        <v>0</v>
      </c>
      <c r="AF6" s="246">
        <f>ROUND(IF('Included @ Interval'!AF6="yes",'Hours Per Job'!AF6*'Interval Reimb'!$B$38+'Parts Cost Per Job'!AF6*((1+'Interval Reimb'!$B$39)*'Interval Reimb'!$B$40),0),2)</f>
        <v>0</v>
      </c>
      <c r="AG6" s="246">
        <f>ROUND(IF('Included @ Interval'!AG6="yes",'Hours Per Job'!AG6*'Interval Reimb'!$B$38+'Parts Cost Per Job'!AG6*((1+'Interval Reimb'!$B$39)*'Interval Reimb'!$B$40),0),2)</f>
        <v>0</v>
      </c>
      <c r="AH6" s="246">
        <f>ROUND(IF('Included @ Interval'!AH6="yes",'Hours Per Job'!AH6*'Interval Reimb'!$B$38+'Parts Cost Per Job'!AH6*((1+'Interval Reimb'!$B$39)*'Interval Reimb'!$B$40),0),2)</f>
        <v>0</v>
      </c>
      <c r="AI6" s="246">
        <f>ROUND(IF('Included @ Interval'!AI6="yes",'Hours Per Job'!AI6*'Interval Reimb'!$B$38+'Parts Cost Per Job'!AI6*((1+'Interval Reimb'!$B$39)*'Interval Reimb'!$B$40),0),2)</f>
        <v>0</v>
      </c>
      <c r="AJ6" s="246">
        <f>ROUND(IF('Included @ Interval'!AJ6="yes",'Hours Per Job'!AJ6*'Interval Reimb'!$B$38+'Parts Cost Per Job'!AJ6*((1+'Interval Reimb'!$B$39)*'Interval Reimb'!$B$40),0),2)</f>
        <v>0</v>
      </c>
      <c r="AK6" s="246">
        <f>ROUND(IF('Included @ Interval'!AK6="yes",'Hours Per Job'!AK6*'Interval Reimb'!$B$38+'Parts Cost Per Job'!AK6*((1+'Interval Reimb'!$B$39)*'Interval Reimb'!$B$40),0),2)</f>
        <v>0</v>
      </c>
      <c r="AL6" s="246">
        <f>ROUND(IF('Included @ Interval'!AL6="yes",'Hours Per Job'!AL6*'Interval Reimb'!$B$38+'Parts Cost Per Job'!AL6*((1+'Interval Reimb'!$B$39)*'Interval Reimb'!$B$40),0),2)</f>
        <v>0</v>
      </c>
      <c r="AM6" s="246">
        <f>ROUND(IF('Included @ Interval'!AM6="yes",'Hours Per Job'!AM6*'Interval Reimb'!$B$38+'Parts Cost Per Job'!AM6*((1+'Interval Reimb'!$B$39)*'Interval Reimb'!$B$40),0),2)</f>
        <v>0</v>
      </c>
      <c r="AN6" s="246">
        <f>ROUND(IF('Included @ Interval'!AN6="yes",'Hours Per Job'!AN6*'Interval Reimb'!$B$38+'Parts Cost Per Job'!AN6*((1+'Interval Reimb'!$B$39)*'Interval Reimb'!$B$40),0),2)</f>
        <v>0</v>
      </c>
      <c r="AO6" s="246">
        <f>ROUND(IF('Included @ Interval'!AO6="yes",'Hours Per Job'!AO6*'Interval Reimb'!$B$38+'Parts Cost Per Job'!AO6*((1+'Interval Reimb'!$B$39)*'Interval Reimb'!$B$40),0),2)</f>
        <v>0</v>
      </c>
      <c r="AP6" s="246">
        <f>ROUND(IF('Included @ Interval'!AP6="yes",'Hours Per Job'!AP6*'Interval Reimb'!$B$38+'Parts Cost Per Job'!AP6*((1+'Interval Reimb'!$B$39)*'Interval Reimb'!$B$40),0),2)</f>
        <v>0</v>
      </c>
      <c r="AQ6" s="246">
        <f>ROUND(IF('Included @ Interval'!AQ6="yes",'Hours Per Job'!AQ6*'Interval Reimb'!$B$38+'Parts Cost Per Job'!AQ6*((1+'Interval Reimb'!$B$39)*'Interval Reimb'!$B$40),0),2)</f>
        <v>0</v>
      </c>
      <c r="AR6" s="246">
        <f>ROUND(IF('Included @ Interval'!AR6="yes",'Hours Per Job'!AR6*'Interval Reimb'!$B$38+'Parts Cost Per Job'!AR6*((1+'Interval Reimb'!$B$39)*'Interval Reimb'!$B$40),0),2)</f>
        <v>0</v>
      </c>
      <c r="AS6" s="246">
        <f>ROUND(IF('Included @ Interval'!AS6="yes",'Hours Per Job'!AS6*'Interval Reimb'!$B$38+'Parts Cost Per Job'!AS6*((1+'Interval Reimb'!$B$39)*'Interval Reimb'!$B$40),0),2)</f>
        <v>0</v>
      </c>
      <c r="AT6" s="246">
        <f>ROUND(IF('Included @ Interval'!AT6="yes",'Hours Per Job'!AT6*'Interval Reimb'!$B$38+'Parts Cost Per Job'!AT6*((1+'Interval Reimb'!$B$39)*'Interval Reimb'!$B$40),0),2)</f>
        <v>0</v>
      </c>
      <c r="AU6" s="246">
        <f>ROUND(IF('Included @ Interval'!AU6="yes",'Hours Per Job'!AU6*'Interval Reimb'!$B$38+'Parts Cost Per Job'!AU6*((1+'Interval Reimb'!$B$39)*'Interval Reimb'!$B$40),0),2)</f>
        <v>0</v>
      </c>
      <c r="AV6" s="246">
        <f>ROUND(IF('Included @ Interval'!AV6="yes",'Hours Per Job'!AV6*'Interval Reimb'!$B$38+'Parts Cost Per Job'!AV6*((1+'Interval Reimb'!$B$39)*'Interval Reimb'!$B$40),0),2)</f>
        <v>0</v>
      </c>
      <c r="AW6" s="246">
        <f>ROUND(IF('Included @ Interval'!AW6="yes",'Hours Per Job'!AW6*'Interval Reimb'!$B$38+'Parts Cost Per Job'!AW6*((1+'Interval Reimb'!$B$39)*'Interval Reimb'!$B$40),0),2)</f>
        <v>0</v>
      </c>
      <c r="AX6" s="246">
        <f>ROUND(IF('Included @ Interval'!AX6="yes",'Hours Per Job'!AX6*'Interval Reimb'!$B$38+'Parts Cost Per Job'!AX6*((1+'Interval Reimb'!$B$39)*'Interval Reimb'!$B$40),0),2)</f>
        <v>0</v>
      </c>
      <c r="AY6" s="246">
        <f>ROUND(IF('Included @ Interval'!AY6="yes",'Hours Per Job'!AY6*'Interval Reimb'!$B$38+'Parts Cost Per Job'!AY6*((1+'Interval Reimb'!$B$39)*'Interval Reimb'!$B$40),0),2)</f>
        <v>0</v>
      </c>
      <c r="AZ6" s="246">
        <f>ROUND(IF('Included @ Interval'!AZ6="yes",'Hours Per Job'!AZ6*'Interval Reimb'!$B$38+'Parts Cost Per Job'!AZ6*((1+'Interval Reimb'!$B$39)*'Interval Reimb'!$B$40),0),2)</f>
        <v>0</v>
      </c>
      <c r="BA6" s="246">
        <f>ROUND(IF('Included @ Interval'!BA6="yes",'Hours Per Job'!BA6*'Interval Reimb'!$B$38+'Parts Cost Per Job'!BA6*((1+'Interval Reimb'!$B$39)*'Interval Reimb'!$B$40),0),2)</f>
        <v>0</v>
      </c>
      <c r="BB6" s="246">
        <f>ROUND(IF('Included @ Interval'!BB6="yes",'Hours Per Job'!BB6*'Interval Reimb'!$B$38+'Parts Cost Per Job'!BB6*((1+'Interval Reimb'!$B$39)*'Interval Reimb'!$B$40),0),2)</f>
        <v>0</v>
      </c>
      <c r="BC6" s="246">
        <f>ROUND(IF('Included @ Interval'!BC6="yes",'Hours Per Job'!BC6*'Interval Reimb'!$B$38+'Parts Cost Per Job'!BC6*((1+'Interval Reimb'!$B$39)*'Interval Reimb'!$B$40),0),2)</f>
        <v>0</v>
      </c>
      <c r="BD6" s="246">
        <f>ROUND(IF('Included @ Interval'!BD6="yes",'Hours Per Job'!BD6*'Interval Reimb'!$B$38+'Parts Cost Per Job'!BD6*((1+'Interval Reimb'!$B$39)*'Interval Reimb'!$B$40),0),2)</f>
        <v>0</v>
      </c>
      <c r="BE6" s="246">
        <f>ROUND(IF('Included @ Interval'!BE6="yes",'Hours Per Job'!BE6*'Interval Reimb'!$B$38+'Parts Cost Per Job'!BE6*((1+'Interval Reimb'!$B$39)*'Interval Reimb'!$B$40),0),2)</f>
        <v>0</v>
      </c>
      <c r="BF6" s="246">
        <f>ROUND(IF('Included @ Interval'!BF6="yes",'Hours Per Job'!BF6*'Interval Reimb'!$B$38+'Parts Cost Per Job'!BF6*((1+'Interval Reimb'!$B$39)*'Interval Reimb'!$B$40),0),2)</f>
        <v>0</v>
      </c>
      <c r="BG6" s="246">
        <f>ROUND(IF('Included @ Interval'!BG6="yes",'Hours Per Job'!BG6*'Interval Reimb'!$B$38+'Parts Cost Per Job'!BG6*((1+'Interval Reimb'!$B$39)*'Interval Reimb'!$B$40),0),2)</f>
        <v>0</v>
      </c>
      <c r="BH6" s="246">
        <f>ROUND(IF('Included @ Interval'!BH6="yes",'Hours Per Job'!BH6*'Interval Reimb'!$B$38+'Parts Cost Per Job'!BH6*((1+'Interval Reimb'!$B$39)*'Interval Reimb'!$B$40),0),2)</f>
        <v>0</v>
      </c>
      <c r="BI6" s="246">
        <f>ROUND(IF('Included @ Interval'!BI6="yes",'Hours Per Job'!BI6*'Interval Reimb'!$B$38+'Parts Cost Per Job'!BI6*((1+'Interval Reimb'!$B$39)*'Interval Reimb'!$B$40),0),2)</f>
        <v>0</v>
      </c>
      <c r="BJ6" s="246">
        <f>ROUND(IF('Included @ Interval'!BJ6="yes",'Hours Per Job'!BJ6*'Interval Reimb'!$B$38+'Parts Cost Per Job'!BJ6*((1+'Interval Reimb'!$B$39)*'Interval Reimb'!$B$40),0),2)</f>
        <v>0</v>
      </c>
      <c r="BK6" s="246">
        <f>ROUND(IF('Included @ Interval'!BK6="yes",'Hours Per Job'!BK6*'Interval Reimb'!$B$38+'Parts Cost Per Job'!BK6*((1+'Interval Reimb'!$B$39)*'Interval Reimb'!$B$40),0),2)</f>
        <v>0</v>
      </c>
      <c r="BL6" s="246">
        <f>ROUND(IF('Included @ Interval'!BL6="yes",'Hours Per Job'!BL6*'Interval Reimb'!$B$38+'Parts Cost Per Job'!BL6*((1+'Interval Reimb'!$B$39)*'Interval Reimb'!$B$40),0),2)</f>
        <v>0</v>
      </c>
      <c r="BM6" s="246">
        <f>ROUND(IF('Included @ Interval'!BM6="yes",'Hours Per Job'!BM6*'Interval Reimb'!$B$38+'Parts Cost Per Job'!BM6*((1+'Interval Reimb'!$B$39)*'Interval Reimb'!$B$40),0),2)</f>
        <v>0</v>
      </c>
      <c r="BN6" s="246">
        <f>ROUND(IF('Included @ Interval'!BN6="yes",'Hours Per Job'!BN6*'Interval Reimb'!$B$38+'Parts Cost Per Job'!BN6*((1+'Interval Reimb'!$B$39)*'Interval Reimb'!$B$40),0),2)</f>
        <v>0</v>
      </c>
      <c r="BO6" s="246">
        <f>ROUND(IF('Included @ Interval'!BO6="yes",'Hours Per Job'!BO6*'Interval Reimb'!$B$38+'Parts Cost Per Job'!BO6*((1+'Interval Reimb'!$B$39)*'Interval Reimb'!$B$40),0),2)</f>
        <v>0</v>
      </c>
      <c r="BP6" s="246">
        <f>ROUND(IF('Included @ Interval'!BP6="yes",'Hours Per Job'!BP6*'Interval Reimb'!$B$38+'Parts Cost Per Job'!BP6*((1+'Interval Reimb'!$B$39)*'Interval Reimb'!$B$40),0),2)</f>
        <v>0</v>
      </c>
      <c r="BQ6" s="9">
        <f t="shared" si="0"/>
        <v>0</v>
      </c>
      <c r="BR6" s="9">
        <f t="shared" si="1"/>
        <v>0</v>
      </c>
    </row>
    <row r="7" spans="1:70" x14ac:dyDescent="0.2">
      <c r="A7" s="18" t="str">
        <f>+'Scheduled Intervals'!A7</f>
        <v>Compact L series</v>
      </c>
      <c r="B7" s="246">
        <f>ROUND(IF('Included @ Interval'!B7="yes",'Hours Per Job'!B7*'Interval Reimb'!$B$38+'Parts Cost Per Job'!B7*((1+'Interval Reimb'!$B$39)*'Interval Reimb'!$B$40),0),2)</f>
        <v>0</v>
      </c>
      <c r="C7" s="246">
        <f>ROUND(IF('Included @ Interval'!C7="yes",'Hours Per Job'!C7*'Interval Reimb'!$B$38+'Parts Cost Per Job'!C7*((1+'Interval Reimb'!$B$39)*'Interval Reimb'!$B$40),0),2)</f>
        <v>0</v>
      </c>
      <c r="D7" s="246">
        <f>ROUND(IF('Included @ Interval'!D7="yes",'Hours Per Job'!D7*'Interval Reimb'!$B$38+'Parts Cost Per Job'!D7*((1+'Interval Reimb'!$B$39)*'Interval Reimb'!$B$40),0),2)</f>
        <v>0</v>
      </c>
      <c r="E7" s="246">
        <f>ROUND(IF('Included @ Interval'!E7="yes",'Hours Per Job'!E7*'Interval Reimb'!$B$38+'Parts Cost Per Job'!E7*((1+'Interval Reimb'!$B$39)*'Interval Reimb'!$B$40),0),2)</f>
        <v>0</v>
      </c>
      <c r="F7" s="246">
        <f>ROUND(IF('Included @ Interval'!F7="yes",'Hours Per Job'!F7*'Interval Reimb'!$B$38+'Parts Cost Per Job'!F7*((1+'Interval Reimb'!$B$39)*'Interval Reimb'!$B$40),0),2)</f>
        <v>0</v>
      </c>
      <c r="G7" s="246">
        <f>ROUND(IF('Included @ Interval'!G7="yes",'Hours Per Job'!G7*'Interval Reimb'!$B$38+'Parts Cost Per Job'!G7*((1+'Interval Reimb'!$B$39)*'Interval Reimb'!$B$40),0),2)</f>
        <v>0</v>
      </c>
      <c r="H7" s="246">
        <f>ROUND(IF('Included @ Interval'!H7="yes",'Hours Per Job'!H7*'Interval Reimb'!$B$38+'Parts Cost Per Job'!H7*((1+'Interval Reimb'!$B$39)*'Interval Reimb'!$B$40),0),2)</f>
        <v>0</v>
      </c>
      <c r="I7" s="246">
        <f>ROUND(IF('Included @ Interval'!I7="yes",'Hours Per Job'!I7*'Interval Reimb'!$B$38+'Parts Cost Per Job'!I7*((1+'Interval Reimb'!$B$39)*'Interval Reimb'!$B$40),0),2)</f>
        <v>0</v>
      </c>
      <c r="J7" s="246">
        <f>ROUND(IF('Included @ Interval'!J7="yes",'Hours Per Job'!J7*'Interval Reimb'!$B$38+'Parts Cost Per Job'!J7*((1+'Interval Reimb'!$B$39)*'Interval Reimb'!$B$40),0),2)</f>
        <v>0</v>
      </c>
      <c r="K7" s="246">
        <f>ROUND(IF('Included @ Interval'!K7="yes",'Hours Per Job'!K7*'Interval Reimb'!$B$38+'Parts Cost Per Job'!K7*((1+'Interval Reimb'!$B$39)*'Interval Reimb'!$B$40),0),2)</f>
        <v>0</v>
      </c>
      <c r="L7" s="246">
        <f>ROUND(IF('Included @ Interval'!L7="yes",'Hours Per Job'!L7*'Interval Reimb'!$B$38+'Parts Cost Per Job'!L7*((1+'Interval Reimb'!$B$39)*'Interval Reimb'!$B$40),0),2)</f>
        <v>0</v>
      </c>
      <c r="M7" s="246">
        <f>ROUND(IF('Included @ Interval'!M7="yes",'Hours Per Job'!M7*'Interval Reimb'!$B$38+'Parts Cost Per Job'!M7*((1+'Interval Reimb'!$B$39)*'Interval Reimb'!$B$40),0),2)</f>
        <v>0</v>
      </c>
      <c r="N7" s="246">
        <f>ROUND(IF('Included @ Interval'!N7="yes",'Hours Per Job'!N7*'Interval Reimb'!$B$38+'Parts Cost Per Job'!N7*((1+'Interval Reimb'!$B$39)*'Interval Reimb'!$B$40),0),2)</f>
        <v>0</v>
      </c>
      <c r="O7" s="246">
        <f>ROUND(IF('Included @ Interval'!O7="yes",'Hours Per Job'!O7*'Interval Reimb'!$B$38+'Parts Cost Per Job'!O7*((1+'Interval Reimb'!$B$39)*'Interval Reimb'!$B$40),0),2)</f>
        <v>0</v>
      </c>
      <c r="P7" s="246">
        <f>ROUND(IF('Included @ Interval'!P7="yes",'Hours Per Job'!P7*'Interval Reimb'!$B$38+'Parts Cost Per Job'!P7*((1+'Interval Reimb'!$B$39)*'Interval Reimb'!$B$40),0),2)</f>
        <v>0</v>
      </c>
      <c r="Q7" s="246">
        <f>ROUND(IF('Included @ Interval'!Q7="yes",'Hours Per Job'!Q7*'Interval Reimb'!$B$38+'Parts Cost Per Job'!Q7*((1+'Interval Reimb'!$B$39)*'Interval Reimb'!$B$40),0),2)</f>
        <v>0</v>
      </c>
      <c r="R7" s="246">
        <f>ROUND(IF('Included @ Interval'!R7="yes",'Hours Per Job'!R7*'Interval Reimb'!$B$38+'Parts Cost Per Job'!R7*((1+'Interval Reimb'!$B$39)*'Interval Reimb'!$B$40),0),2)</f>
        <v>0</v>
      </c>
      <c r="S7" s="246">
        <f>ROUND(IF('Included @ Interval'!S7="yes",'Hours Per Job'!S7*'Interval Reimb'!$B$38+'Parts Cost Per Job'!S7*((1+'Interval Reimb'!$B$39)*'Interval Reimb'!$B$40),0),2)</f>
        <v>0</v>
      </c>
      <c r="T7" s="246">
        <f>ROUND(IF('Included @ Interval'!T7="yes",'Hours Per Job'!T7*'Interval Reimb'!$B$38+'Parts Cost Per Job'!T7*((1+'Interval Reimb'!$B$39)*'Interval Reimb'!$B$40),0),2)</f>
        <v>0</v>
      </c>
      <c r="U7" s="246">
        <f>ROUND(IF('Included @ Interval'!U7="yes",'Hours Per Job'!U7*'Interval Reimb'!$B$38+'Parts Cost Per Job'!U7*((1+'Interval Reimb'!$B$39)*'Interval Reimb'!$B$40),0),2)</f>
        <v>0</v>
      </c>
      <c r="V7" s="246">
        <f>ROUND(IF('Included @ Interval'!V7="yes",'Hours Per Job'!V7*'Interval Reimb'!$B$38+'Parts Cost Per Job'!V7*((1+'Interval Reimb'!$B$39)*'Interval Reimb'!$B$40),0),2)</f>
        <v>0</v>
      </c>
      <c r="W7" s="246">
        <f>ROUND(IF('Included @ Interval'!W7="yes",'Hours Per Job'!W7*'Interval Reimb'!$B$38+'Parts Cost Per Job'!W7*((1+'Interval Reimb'!$B$39)*'Interval Reimb'!$B$40),0),2)</f>
        <v>0</v>
      </c>
      <c r="X7" s="246">
        <f>ROUND(IF('Included @ Interval'!X7="yes",'Hours Per Job'!X7*'Interval Reimb'!$B$38+'Parts Cost Per Job'!X7*((1+'Interval Reimb'!$B$39)*'Interval Reimb'!$B$40),0),2)</f>
        <v>0</v>
      </c>
      <c r="Y7" s="246">
        <f>ROUND(IF('Included @ Interval'!Y7="yes",'Hours Per Job'!Y7*'Interval Reimb'!$B$38+'Parts Cost Per Job'!Y7*((1+'Interval Reimb'!$B$39)*'Interval Reimb'!$B$40),0),2)</f>
        <v>0</v>
      </c>
      <c r="Z7" s="246">
        <f>ROUND(IF('Included @ Interval'!Z7="yes",'Hours Per Job'!Z7*'Interval Reimb'!$B$38+'Parts Cost Per Job'!Z7*((1+'Interval Reimb'!$B$39)*'Interval Reimb'!$B$40),0),2)</f>
        <v>0</v>
      </c>
      <c r="AA7" s="246">
        <f>ROUND(IF('Included @ Interval'!AA7="yes",'Hours Per Job'!AA7*'Interval Reimb'!$B$38+'Parts Cost Per Job'!AA7*((1+'Interval Reimb'!$B$39)*'Interval Reimb'!$B$40),0),2)</f>
        <v>0</v>
      </c>
      <c r="AB7" s="246">
        <f>ROUND(IF('Included @ Interval'!AB7="yes",'Hours Per Job'!AB7*'Interval Reimb'!$B$38+'Parts Cost Per Job'!AB7*((1+'Interval Reimb'!$B$39)*'Interval Reimb'!$B$40),0),2)</f>
        <v>0</v>
      </c>
      <c r="AC7" s="246">
        <f>ROUND(IF('Included @ Interval'!AC7="yes",'Hours Per Job'!AC7*'Interval Reimb'!$B$38+'Parts Cost Per Job'!AC7*((1+'Interval Reimb'!$B$39)*'Interval Reimb'!$B$40),0),2)</f>
        <v>0</v>
      </c>
      <c r="AD7" s="246">
        <f>ROUND(IF('Included @ Interval'!AD7="yes",'Hours Per Job'!AD7*'Interval Reimb'!$B$38+'Parts Cost Per Job'!AD7*((1+'Interval Reimb'!$B$39)*'Interval Reimb'!$B$40),0),2)</f>
        <v>0</v>
      </c>
      <c r="AE7" s="246">
        <f>ROUND(IF('Included @ Interval'!AE7="yes",'Hours Per Job'!AE7*'Interval Reimb'!$B$38+'Parts Cost Per Job'!AE7*((1+'Interval Reimb'!$B$39)*'Interval Reimb'!$B$40),0),2)</f>
        <v>0</v>
      </c>
      <c r="AF7" s="246">
        <f>ROUND(IF('Included @ Interval'!AF7="yes",'Hours Per Job'!AF7*'Interval Reimb'!$B$38+'Parts Cost Per Job'!AF7*((1+'Interval Reimb'!$B$39)*'Interval Reimb'!$B$40),0),2)</f>
        <v>0</v>
      </c>
      <c r="AG7" s="246">
        <f>ROUND(IF('Included @ Interval'!AG7="yes",'Hours Per Job'!AG7*'Interval Reimb'!$B$38+'Parts Cost Per Job'!AG7*((1+'Interval Reimb'!$B$39)*'Interval Reimb'!$B$40),0),2)</f>
        <v>0</v>
      </c>
      <c r="AH7" s="246">
        <f>ROUND(IF('Included @ Interval'!AH7="yes",'Hours Per Job'!AH7*'Interval Reimb'!$B$38+'Parts Cost Per Job'!AH7*((1+'Interval Reimb'!$B$39)*'Interval Reimb'!$B$40),0),2)</f>
        <v>0</v>
      </c>
      <c r="AI7" s="246">
        <f>ROUND(IF('Included @ Interval'!AI7="yes",'Hours Per Job'!AI7*'Interval Reimb'!$B$38+'Parts Cost Per Job'!AI7*((1+'Interval Reimb'!$B$39)*'Interval Reimb'!$B$40),0),2)</f>
        <v>0</v>
      </c>
      <c r="AJ7" s="246">
        <f>ROUND(IF('Included @ Interval'!AJ7="yes",'Hours Per Job'!AJ7*'Interval Reimb'!$B$38+'Parts Cost Per Job'!AJ7*((1+'Interval Reimb'!$B$39)*'Interval Reimb'!$B$40),0),2)</f>
        <v>0</v>
      </c>
      <c r="AK7" s="246">
        <f>ROUND(IF('Included @ Interval'!AK7="yes",'Hours Per Job'!AK7*'Interval Reimb'!$B$38+'Parts Cost Per Job'!AK7*((1+'Interval Reimb'!$B$39)*'Interval Reimb'!$B$40),0),2)</f>
        <v>0</v>
      </c>
      <c r="AL7" s="246">
        <f>ROUND(IF('Included @ Interval'!AL7="yes",'Hours Per Job'!AL7*'Interval Reimb'!$B$38+'Parts Cost Per Job'!AL7*((1+'Interval Reimb'!$B$39)*'Interval Reimb'!$B$40),0),2)</f>
        <v>0</v>
      </c>
      <c r="AM7" s="246">
        <f>ROUND(IF('Included @ Interval'!AM7="yes",'Hours Per Job'!AM7*'Interval Reimb'!$B$38+'Parts Cost Per Job'!AM7*((1+'Interval Reimb'!$B$39)*'Interval Reimb'!$B$40),0),2)</f>
        <v>0</v>
      </c>
      <c r="AN7" s="246">
        <f>ROUND(IF('Included @ Interval'!AN7="yes",'Hours Per Job'!AN7*'Interval Reimb'!$B$38+'Parts Cost Per Job'!AN7*((1+'Interval Reimb'!$B$39)*'Interval Reimb'!$B$40),0),2)</f>
        <v>0</v>
      </c>
      <c r="AO7" s="246">
        <f>ROUND(IF('Included @ Interval'!AO7="yes",'Hours Per Job'!AO7*'Interval Reimb'!$B$38+'Parts Cost Per Job'!AO7*((1+'Interval Reimb'!$B$39)*'Interval Reimb'!$B$40),0),2)</f>
        <v>0</v>
      </c>
      <c r="AP7" s="246">
        <f>ROUND(IF('Included @ Interval'!AP7="yes",'Hours Per Job'!AP7*'Interval Reimb'!$B$38+'Parts Cost Per Job'!AP7*((1+'Interval Reimb'!$B$39)*'Interval Reimb'!$B$40),0),2)</f>
        <v>0</v>
      </c>
      <c r="AQ7" s="246">
        <f>ROUND(IF('Included @ Interval'!AQ7="yes",'Hours Per Job'!AQ7*'Interval Reimb'!$B$38+'Parts Cost Per Job'!AQ7*((1+'Interval Reimb'!$B$39)*'Interval Reimb'!$B$40),0),2)</f>
        <v>0</v>
      </c>
      <c r="AR7" s="246">
        <f>ROUND(IF('Included @ Interval'!AR7="yes",'Hours Per Job'!AR7*'Interval Reimb'!$B$38+'Parts Cost Per Job'!AR7*((1+'Interval Reimb'!$B$39)*'Interval Reimb'!$B$40),0),2)</f>
        <v>0</v>
      </c>
      <c r="AS7" s="246">
        <f>ROUND(IF('Included @ Interval'!AS7="yes",'Hours Per Job'!AS7*'Interval Reimb'!$B$38+'Parts Cost Per Job'!AS7*((1+'Interval Reimb'!$B$39)*'Interval Reimb'!$B$40),0),2)</f>
        <v>0</v>
      </c>
      <c r="AT7" s="246">
        <f>ROUND(IF('Included @ Interval'!AT7="yes",'Hours Per Job'!AT7*'Interval Reimb'!$B$38+'Parts Cost Per Job'!AT7*((1+'Interval Reimb'!$B$39)*'Interval Reimb'!$B$40),0),2)</f>
        <v>0</v>
      </c>
      <c r="AU7" s="246">
        <f>ROUND(IF('Included @ Interval'!AU7="yes",'Hours Per Job'!AU7*'Interval Reimb'!$B$38+'Parts Cost Per Job'!AU7*((1+'Interval Reimb'!$B$39)*'Interval Reimb'!$B$40),0),2)</f>
        <v>0</v>
      </c>
      <c r="AV7" s="246">
        <f>ROUND(IF('Included @ Interval'!AV7="yes",'Hours Per Job'!AV7*'Interval Reimb'!$B$38+'Parts Cost Per Job'!AV7*((1+'Interval Reimb'!$B$39)*'Interval Reimb'!$B$40),0),2)</f>
        <v>0</v>
      </c>
      <c r="AW7" s="246">
        <f>ROUND(IF('Included @ Interval'!AW7="yes",'Hours Per Job'!AW7*'Interval Reimb'!$B$38+'Parts Cost Per Job'!AW7*((1+'Interval Reimb'!$B$39)*'Interval Reimb'!$B$40),0),2)</f>
        <v>0</v>
      </c>
      <c r="AX7" s="246">
        <f>ROUND(IF('Included @ Interval'!AX7="yes",'Hours Per Job'!AX7*'Interval Reimb'!$B$38+'Parts Cost Per Job'!AX7*((1+'Interval Reimb'!$B$39)*'Interval Reimb'!$B$40),0),2)</f>
        <v>0</v>
      </c>
      <c r="AY7" s="246">
        <f>ROUND(IF('Included @ Interval'!AY7="yes",'Hours Per Job'!AY7*'Interval Reimb'!$B$38+'Parts Cost Per Job'!AY7*((1+'Interval Reimb'!$B$39)*'Interval Reimb'!$B$40),0),2)</f>
        <v>0</v>
      </c>
      <c r="AZ7" s="246">
        <f>ROUND(IF('Included @ Interval'!AZ7="yes",'Hours Per Job'!AZ7*'Interval Reimb'!$B$38+'Parts Cost Per Job'!AZ7*((1+'Interval Reimb'!$B$39)*'Interval Reimb'!$B$40),0),2)</f>
        <v>0</v>
      </c>
      <c r="BA7" s="246">
        <f>ROUND(IF('Included @ Interval'!BA7="yes",'Hours Per Job'!BA7*'Interval Reimb'!$B$38+'Parts Cost Per Job'!BA7*((1+'Interval Reimb'!$B$39)*'Interval Reimb'!$B$40),0),2)</f>
        <v>0</v>
      </c>
      <c r="BB7" s="246">
        <f>ROUND(IF('Included @ Interval'!BB7="yes",'Hours Per Job'!BB7*'Interval Reimb'!$B$38+'Parts Cost Per Job'!BB7*((1+'Interval Reimb'!$B$39)*'Interval Reimb'!$B$40),0),2)</f>
        <v>0</v>
      </c>
      <c r="BC7" s="246">
        <f>ROUND(IF('Included @ Interval'!BC7="yes",'Hours Per Job'!BC7*'Interval Reimb'!$B$38+'Parts Cost Per Job'!BC7*((1+'Interval Reimb'!$B$39)*'Interval Reimb'!$B$40),0),2)</f>
        <v>0</v>
      </c>
      <c r="BD7" s="246">
        <f>ROUND(IF('Included @ Interval'!BD7="yes",'Hours Per Job'!BD7*'Interval Reimb'!$B$38+'Parts Cost Per Job'!BD7*((1+'Interval Reimb'!$B$39)*'Interval Reimb'!$B$40),0),2)</f>
        <v>0</v>
      </c>
      <c r="BE7" s="246">
        <f>ROUND(IF('Included @ Interval'!BE7="yes",'Hours Per Job'!BE7*'Interval Reimb'!$B$38+'Parts Cost Per Job'!BE7*((1+'Interval Reimb'!$B$39)*'Interval Reimb'!$B$40),0),2)</f>
        <v>0</v>
      </c>
      <c r="BF7" s="246">
        <f>ROUND(IF('Included @ Interval'!BF7="yes",'Hours Per Job'!BF7*'Interval Reimb'!$B$38+'Parts Cost Per Job'!BF7*((1+'Interval Reimb'!$B$39)*'Interval Reimb'!$B$40),0),2)</f>
        <v>0</v>
      </c>
      <c r="BG7" s="246">
        <f>ROUND(IF('Included @ Interval'!BG7="yes",'Hours Per Job'!BG7*'Interval Reimb'!$B$38+'Parts Cost Per Job'!BG7*((1+'Interval Reimb'!$B$39)*'Interval Reimb'!$B$40),0),2)</f>
        <v>0</v>
      </c>
      <c r="BH7" s="246">
        <f>ROUND(IF('Included @ Interval'!BH7="yes",'Hours Per Job'!BH7*'Interval Reimb'!$B$38+'Parts Cost Per Job'!BH7*((1+'Interval Reimb'!$B$39)*'Interval Reimb'!$B$40),0),2)</f>
        <v>0</v>
      </c>
      <c r="BI7" s="246">
        <f>ROUND(IF('Included @ Interval'!BI7="yes",'Hours Per Job'!BI7*'Interval Reimb'!$B$38+'Parts Cost Per Job'!BI7*((1+'Interval Reimb'!$B$39)*'Interval Reimb'!$B$40),0),2)</f>
        <v>0</v>
      </c>
      <c r="BJ7" s="246">
        <f>ROUND(IF('Included @ Interval'!BJ7="yes",'Hours Per Job'!BJ7*'Interval Reimb'!$B$38+'Parts Cost Per Job'!BJ7*((1+'Interval Reimb'!$B$39)*'Interval Reimb'!$B$40),0),2)</f>
        <v>0</v>
      </c>
      <c r="BK7" s="246">
        <f>ROUND(IF('Included @ Interval'!BK7="yes",'Hours Per Job'!BK7*'Interval Reimb'!$B$38+'Parts Cost Per Job'!BK7*((1+'Interval Reimb'!$B$39)*'Interval Reimb'!$B$40),0),2)</f>
        <v>0</v>
      </c>
      <c r="BL7" s="246">
        <f>ROUND(IF('Included @ Interval'!BL7="yes",'Hours Per Job'!BL7*'Interval Reimb'!$B$38+'Parts Cost Per Job'!BL7*((1+'Interval Reimb'!$B$39)*'Interval Reimb'!$B$40),0),2)</f>
        <v>0</v>
      </c>
      <c r="BM7" s="246">
        <f>ROUND(IF('Included @ Interval'!BM7="yes",'Hours Per Job'!BM7*'Interval Reimb'!$B$38+'Parts Cost Per Job'!BM7*((1+'Interval Reimb'!$B$39)*'Interval Reimb'!$B$40),0),2)</f>
        <v>0</v>
      </c>
      <c r="BN7" s="246">
        <f>ROUND(IF('Included @ Interval'!BN7="yes",'Hours Per Job'!BN7*'Interval Reimb'!$B$38+'Parts Cost Per Job'!BN7*((1+'Interval Reimb'!$B$39)*'Interval Reimb'!$B$40),0),2)</f>
        <v>0</v>
      </c>
      <c r="BO7" s="246">
        <f>ROUND(IF('Included @ Interval'!BO7="yes",'Hours Per Job'!BO7*'Interval Reimb'!$B$38+'Parts Cost Per Job'!BO7*((1+'Interval Reimb'!$B$39)*'Interval Reimb'!$B$40),0),2)</f>
        <v>0</v>
      </c>
      <c r="BP7" s="246">
        <f>ROUND(IF('Included @ Interval'!BP7="yes",'Hours Per Job'!BP7*'Interval Reimb'!$B$38+'Parts Cost Per Job'!BP7*((1+'Interval Reimb'!$B$39)*'Interval Reimb'!$B$40),0),2)</f>
        <v>0</v>
      </c>
      <c r="BQ7" s="9">
        <f t="shared" si="0"/>
        <v>0</v>
      </c>
      <c r="BR7" s="9">
        <f t="shared" si="1"/>
        <v>0</v>
      </c>
    </row>
    <row r="8" spans="1:70" x14ac:dyDescent="0.2">
      <c r="A8" s="18" t="str">
        <f>+'Scheduled Intervals'!A8</f>
        <v>Utility under 75 MX&amp;M</v>
      </c>
      <c r="B8" s="246">
        <f>ROUND(IF('Included @ Interval'!B8="yes",'Hours Per Job'!B8*'Interval Reimb'!$B$38+'Parts Cost Per Job'!B8*((1+'Interval Reimb'!$B$39)*'Interval Reimb'!$B$40),0),2)</f>
        <v>0</v>
      </c>
      <c r="C8" s="246">
        <f>ROUND(IF('Included @ Interval'!C8="yes",'Hours Per Job'!C8*'Interval Reimb'!$B$38+'Parts Cost Per Job'!C8*((1+'Interval Reimb'!$B$39)*'Interval Reimb'!$B$40),0),2)</f>
        <v>0</v>
      </c>
      <c r="D8" s="246">
        <f>ROUND(IF('Included @ Interval'!D8="yes",'Hours Per Job'!D8*'Interval Reimb'!$B$38+'Parts Cost Per Job'!D8*((1+'Interval Reimb'!$B$39)*'Interval Reimb'!$B$40),0),2)</f>
        <v>0</v>
      </c>
      <c r="E8" s="246">
        <f>ROUND(IF('Included @ Interval'!E8="yes",'Hours Per Job'!E8*'Interval Reimb'!$B$38+'Parts Cost Per Job'!E8*((1+'Interval Reimb'!$B$39)*'Interval Reimb'!$B$40),0),2)</f>
        <v>0</v>
      </c>
      <c r="F8" s="246">
        <f>ROUND(IF('Included @ Interval'!F8="yes",'Hours Per Job'!F8*'Interval Reimb'!$B$38+'Parts Cost Per Job'!F8*((1+'Interval Reimb'!$B$39)*'Interval Reimb'!$B$40),0),2)</f>
        <v>0</v>
      </c>
      <c r="G8" s="246">
        <f>ROUND(IF('Included @ Interval'!G8="yes",'Hours Per Job'!G8*'Interval Reimb'!$B$38+'Parts Cost Per Job'!G8*((1+'Interval Reimb'!$B$39)*'Interval Reimb'!$B$40),0),2)</f>
        <v>0</v>
      </c>
      <c r="H8" s="246">
        <f>ROUND(IF('Included @ Interval'!H8="yes",'Hours Per Job'!H8*'Interval Reimb'!$B$38+'Parts Cost Per Job'!H8*((1+'Interval Reimb'!$B$39)*'Interval Reimb'!$B$40),0),2)</f>
        <v>0</v>
      </c>
      <c r="I8" s="246">
        <f>ROUND(IF('Included @ Interval'!I8="yes",'Hours Per Job'!I8*'Interval Reimb'!$B$38+'Parts Cost Per Job'!I8*((1+'Interval Reimb'!$B$39)*'Interval Reimb'!$B$40),0),2)</f>
        <v>0</v>
      </c>
      <c r="J8" s="246">
        <f>ROUND(IF('Included @ Interval'!J8="yes",'Hours Per Job'!J8*'Interval Reimb'!$B$38+'Parts Cost Per Job'!J8*((1+'Interval Reimb'!$B$39)*'Interval Reimb'!$B$40),0),2)</f>
        <v>0</v>
      </c>
      <c r="K8" s="246">
        <f>ROUND(IF('Included @ Interval'!K8="yes",'Hours Per Job'!K8*'Interval Reimb'!$B$38+'Parts Cost Per Job'!K8*((1+'Interval Reimb'!$B$39)*'Interval Reimb'!$B$40),0),2)</f>
        <v>0</v>
      </c>
      <c r="L8" s="246">
        <f>ROUND(IF('Included @ Interval'!L8="yes",'Hours Per Job'!L8*'Interval Reimb'!$B$38+'Parts Cost Per Job'!L8*((1+'Interval Reimb'!$B$39)*'Interval Reimb'!$B$40),0),2)</f>
        <v>0</v>
      </c>
      <c r="M8" s="246">
        <f>ROUND(IF('Included @ Interval'!M8="yes",'Hours Per Job'!M8*'Interval Reimb'!$B$38+'Parts Cost Per Job'!M8*((1+'Interval Reimb'!$B$39)*'Interval Reimb'!$B$40),0),2)</f>
        <v>0</v>
      </c>
      <c r="N8" s="246">
        <f>ROUND(IF('Included @ Interval'!N8="yes",'Hours Per Job'!N8*'Interval Reimb'!$B$38+'Parts Cost Per Job'!N8*((1+'Interval Reimb'!$B$39)*'Interval Reimb'!$B$40),0),2)</f>
        <v>0</v>
      </c>
      <c r="O8" s="246">
        <f>ROUND(IF('Included @ Interval'!O8="yes",'Hours Per Job'!O8*'Interval Reimb'!$B$38+'Parts Cost Per Job'!O8*((1+'Interval Reimb'!$B$39)*'Interval Reimb'!$B$40),0),2)</f>
        <v>0</v>
      </c>
      <c r="P8" s="246">
        <f>ROUND(IF('Included @ Interval'!P8="yes",'Hours Per Job'!P8*'Interval Reimb'!$B$38+'Parts Cost Per Job'!P8*((1+'Interval Reimb'!$B$39)*'Interval Reimb'!$B$40),0),2)</f>
        <v>0</v>
      </c>
      <c r="Q8" s="246">
        <f>ROUND(IF('Included @ Interval'!Q8="yes",'Hours Per Job'!Q8*'Interval Reimb'!$B$38+'Parts Cost Per Job'!Q8*((1+'Interval Reimb'!$B$39)*'Interval Reimb'!$B$40),0),2)</f>
        <v>0</v>
      </c>
      <c r="R8" s="246">
        <f>ROUND(IF('Included @ Interval'!R8="yes",'Hours Per Job'!R8*'Interval Reimb'!$B$38+'Parts Cost Per Job'!R8*((1+'Interval Reimb'!$B$39)*'Interval Reimb'!$B$40),0),2)</f>
        <v>0</v>
      </c>
      <c r="S8" s="246">
        <f>ROUND(IF('Included @ Interval'!S8="yes",'Hours Per Job'!S8*'Interval Reimb'!$B$38+'Parts Cost Per Job'!S8*((1+'Interval Reimb'!$B$39)*'Interval Reimb'!$B$40),0),2)</f>
        <v>0</v>
      </c>
      <c r="T8" s="246">
        <f>ROUND(IF('Included @ Interval'!T8="yes",'Hours Per Job'!T8*'Interval Reimb'!$B$38+'Parts Cost Per Job'!T8*((1+'Interval Reimb'!$B$39)*'Interval Reimb'!$B$40),0),2)</f>
        <v>0</v>
      </c>
      <c r="U8" s="246">
        <f>ROUND(IF('Included @ Interval'!U8="yes",'Hours Per Job'!U8*'Interval Reimb'!$B$38+'Parts Cost Per Job'!U8*((1+'Interval Reimb'!$B$39)*'Interval Reimb'!$B$40),0),2)</f>
        <v>0</v>
      </c>
      <c r="V8" s="246">
        <f>ROUND(IF('Included @ Interval'!V8="yes",'Hours Per Job'!V8*'Interval Reimb'!$B$38+'Parts Cost Per Job'!V8*((1+'Interval Reimb'!$B$39)*'Interval Reimb'!$B$40),0),2)</f>
        <v>0</v>
      </c>
      <c r="W8" s="246">
        <f>ROUND(IF('Included @ Interval'!W8="yes",'Hours Per Job'!W8*'Interval Reimb'!$B$38+'Parts Cost Per Job'!W8*((1+'Interval Reimb'!$B$39)*'Interval Reimb'!$B$40),0),2)</f>
        <v>0</v>
      </c>
      <c r="X8" s="246">
        <f>ROUND(IF('Included @ Interval'!X8="yes",'Hours Per Job'!X8*'Interval Reimb'!$B$38+'Parts Cost Per Job'!X8*((1+'Interval Reimb'!$B$39)*'Interval Reimb'!$B$40),0),2)</f>
        <v>0</v>
      </c>
      <c r="Y8" s="246">
        <f>ROUND(IF('Included @ Interval'!Y8="yes",'Hours Per Job'!Y8*'Interval Reimb'!$B$38+'Parts Cost Per Job'!Y8*((1+'Interval Reimb'!$B$39)*'Interval Reimb'!$B$40),0),2)</f>
        <v>0</v>
      </c>
      <c r="Z8" s="246">
        <f>ROUND(IF('Included @ Interval'!Z8="yes",'Hours Per Job'!Z8*'Interval Reimb'!$B$38+'Parts Cost Per Job'!Z8*((1+'Interval Reimb'!$B$39)*'Interval Reimb'!$B$40),0),2)</f>
        <v>0</v>
      </c>
      <c r="AA8" s="246">
        <f>ROUND(IF('Included @ Interval'!AA8="yes",'Hours Per Job'!AA8*'Interval Reimb'!$B$38+'Parts Cost Per Job'!AA8*((1+'Interval Reimb'!$B$39)*'Interval Reimb'!$B$40),0),2)</f>
        <v>0</v>
      </c>
      <c r="AB8" s="246">
        <f>ROUND(IF('Included @ Interval'!AB8="yes",'Hours Per Job'!AB8*'Interval Reimb'!$B$38+'Parts Cost Per Job'!AB8*((1+'Interval Reimb'!$B$39)*'Interval Reimb'!$B$40),0),2)</f>
        <v>0</v>
      </c>
      <c r="AC8" s="246">
        <f>ROUND(IF('Included @ Interval'!AC8="yes",'Hours Per Job'!AC8*'Interval Reimb'!$B$38+'Parts Cost Per Job'!AC8*((1+'Interval Reimb'!$B$39)*'Interval Reimb'!$B$40),0),2)</f>
        <v>0</v>
      </c>
      <c r="AD8" s="246">
        <f>ROUND(IF('Included @ Interval'!AD8="yes",'Hours Per Job'!AD8*'Interval Reimb'!$B$38+'Parts Cost Per Job'!AD8*((1+'Interval Reimb'!$B$39)*'Interval Reimb'!$B$40),0),2)</f>
        <v>0</v>
      </c>
      <c r="AE8" s="246">
        <f>ROUND(IF('Included @ Interval'!AE8="yes",'Hours Per Job'!AE8*'Interval Reimb'!$B$38+'Parts Cost Per Job'!AE8*((1+'Interval Reimb'!$B$39)*'Interval Reimb'!$B$40),0),2)</f>
        <v>0</v>
      </c>
      <c r="AF8" s="246">
        <f>ROUND(IF('Included @ Interval'!AF8="yes",'Hours Per Job'!AF8*'Interval Reimb'!$B$38+'Parts Cost Per Job'!AF8*((1+'Interval Reimb'!$B$39)*'Interval Reimb'!$B$40),0),2)</f>
        <v>0</v>
      </c>
      <c r="AG8" s="246">
        <f>ROUND(IF('Included @ Interval'!AG8="yes",'Hours Per Job'!AG8*'Interval Reimb'!$B$38+'Parts Cost Per Job'!AG8*((1+'Interval Reimb'!$B$39)*'Interval Reimb'!$B$40),0),2)</f>
        <v>0</v>
      </c>
      <c r="AH8" s="246">
        <f>ROUND(IF('Included @ Interval'!AH8="yes",'Hours Per Job'!AH8*'Interval Reimb'!$B$38+'Parts Cost Per Job'!AH8*((1+'Interval Reimb'!$B$39)*'Interval Reimb'!$B$40),0),2)</f>
        <v>0</v>
      </c>
      <c r="AI8" s="246">
        <f>ROUND(IF('Included @ Interval'!AI8="yes",'Hours Per Job'!AI8*'Interval Reimb'!$B$38+'Parts Cost Per Job'!AI8*((1+'Interval Reimb'!$B$39)*'Interval Reimb'!$B$40),0),2)</f>
        <v>0</v>
      </c>
      <c r="AJ8" s="246">
        <f>ROUND(IF('Included @ Interval'!AJ8="yes",'Hours Per Job'!AJ8*'Interval Reimb'!$B$38+'Parts Cost Per Job'!AJ8*((1+'Interval Reimb'!$B$39)*'Interval Reimb'!$B$40),0),2)</f>
        <v>0</v>
      </c>
      <c r="AK8" s="246">
        <f>ROUND(IF('Included @ Interval'!AK8="yes",'Hours Per Job'!AK8*'Interval Reimb'!$B$38+'Parts Cost Per Job'!AK8*((1+'Interval Reimb'!$B$39)*'Interval Reimb'!$B$40),0),2)</f>
        <v>0</v>
      </c>
      <c r="AL8" s="246">
        <f>ROUND(IF('Included @ Interval'!AL8="yes",'Hours Per Job'!AL8*'Interval Reimb'!$B$38+'Parts Cost Per Job'!AL8*((1+'Interval Reimb'!$B$39)*'Interval Reimb'!$B$40),0),2)</f>
        <v>0</v>
      </c>
      <c r="AM8" s="246">
        <f>ROUND(IF('Included @ Interval'!AM8="yes",'Hours Per Job'!AM8*'Interval Reimb'!$B$38+'Parts Cost Per Job'!AM8*((1+'Interval Reimb'!$B$39)*'Interval Reimb'!$B$40),0),2)</f>
        <v>0</v>
      </c>
      <c r="AN8" s="246">
        <f>ROUND(IF('Included @ Interval'!AN8="yes",'Hours Per Job'!AN8*'Interval Reimb'!$B$38+'Parts Cost Per Job'!AN8*((1+'Interval Reimb'!$B$39)*'Interval Reimb'!$B$40),0),2)</f>
        <v>0</v>
      </c>
      <c r="AO8" s="246">
        <f>ROUND(IF('Included @ Interval'!AO8="yes",'Hours Per Job'!AO8*'Interval Reimb'!$B$38+'Parts Cost Per Job'!AO8*((1+'Interval Reimb'!$B$39)*'Interval Reimb'!$B$40),0),2)</f>
        <v>0</v>
      </c>
      <c r="AP8" s="246">
        <f>ROUND(IF('Included @ Interval'!AP8="yes",'Hours Per Job'!AP8*'Interval Reimb'!$B$38+'Parts Cost Per Job'!AP8*((1+'Interval Reimb'!$B$39)*'Interval Reimb'!$B$40),0),2)</f>
        <v>0</v>
      </c>
      <c r="AQ8" s="246">
        <f>ROUND(IF('Included @ Interval'!AQ8="yes",'Hours Per Job'!AQ8*'Interval Reimb'!$B$38+'Parts Cost Per Job'!AQ8*((1+'Interval Reimb'!$B$39)*'Interval Reimb'!$B$40),0),2)</f>
        <v>0</v>
      </c>
      <c r="AR8" s="246">
        <f>ROUND(IF('Included @ Interval'!AR8="yes",'Hours Per Job'!AR8*'Interval Reimb'!$B$38+'Parts Cost Per Job'!AR8*((1+'Interval Reimb'!$B$39)*'Interval Reimb'!$B$40),0),2)</f>
        <v>0</v>
      </c>
      <c r="AS8" s="246">
        <f>ROUND(IF('Included @ Interval'!AS8="yes",'Hours Per Job'!AS8*'Interval Reimb'!$B$38+'Parts Cost Per Job'!AS8*((1+'Interval Reimb'!$B$39)*'Interval Reimb'!$B$40),0),2)</f>
        <v>0</v>
      </c>
      <c r="AT8" s="246">
        <f>ROUND(IF('Included @ Interval'!AT8="yes",'Hours Per Job'!AT8*'Interval Reimb'!$B$38+'Parts Cost Per Job'!AT8*((1+'Interval Reimb'!$B$39)*'Interval Reimb'!$B$40),0),2)</f>
        <v>0</v>
      </c>
      <c r="AU8" s="246">
        <f>ROUND(IF('Included @ Interval'!AU8="yes",'Hours Per Job'!AU8*'Interval Reimb'!$B$38+'Parts Cost Per Job'!AU8*((1+'Interval Reimb'!$B$39)*'Interval Reimb'!$B$40),0),2)</f>
        <v>0</v>
      </c>
      <c r="AV8" s="246">
        <f>ROUND(IF('Included @ Interval'!AV8="yes",'Hours Per Job'!AV8*'Interval Reimb'!$B$38+'Parts Cost Per Job'!AV8*((1+'Interval Reimb'!$B$39)*'Interval Reimb'!$B$40),0),2)</f>
        <v>0</v>
      </c>
      <c r="AW8" s="246">
        <f>ROUND(IF('Included @ Interval'!AW8="yes",'Hours Per Job'!AW8*'Interval Reimb'!$B$38+'Parts Cost Per Job'!AW8*((1+'Interval Reimb'!$B$39)*'Interval Reimb'!$B$40),0),2)</f>
        <v>0</v>
      </c>
      <c r="AX8" s="246">
        <f>ROUND(IF('Included @ Interval'!AX8="yes",'Hours Per Job'!AX8*'Interval Reimb'!$B$38+'Parts Cost Per Job'!AX8*((1+'Interval Reimb'!$B$39)*'Interval Reimb'!$B$40),0),2)</f>
        <v>0</v>
      </c>
      <c r="AY8" s="246">
        <f>ROUND(IF('Included @ Interval'!AY8="yes",'Hours Per Job'!AY8*'Interval Reimb'!$B$38+'Parts Cost Per Job'!AY8*((1+'Interval Reimb'!$B$39)*'Interval Reimb'!$B$40),0),2)</f>
        <v>0</v>
      </c>
      <c r="AZ8" s="246">
        <f>ROUND(IF('Included @ Interval'!AZ8="yes",'Hours Per Job'!AZ8*'Interval Reimb'!$B$38+'Parts Cost Per Job'!AZ8*((1+'Interval Reimb'!$B$39)*'Interval Reimb'!$B$40),0),2)</f>
        <v>0</v>
      </c>
      <c r="BA8" s="246">
        <f>ROUND(IF('Included @ Interval'!BA8="yes",'Hours Per Job'!BA8*'Interval Reimb'!$B$38+'Parts Cost Per Job'!BA8*((1+'Interval Reimb'!$B$39)*'Interval Reimb'!$B$40),0),2)</f>
        <v>0</v>
      </c>
      <c r="BB8" s="246">
        <f>ROUND(IF('Included @ Interval'!BB8="yes",'Hours Per Job'!BB8*'Interval Reimb'!$B$38+'Parts Cost Per Job'!BB8*((1+'Interval Reimb'!$B$39)*'Interval Reimb'!$B$40),0),2)</f>
        <v>0</v>
      </c>
      <c r="BC8" s="246">
        <f>ROUND(IF('Included @ Interval'!BC8="yes",'Hours Per Job'!BC8*'Interval Reimb'!$B$38+'Parts Cost Per Job'!BC8*((1+'Interval Reimb'!$B$39)*'Interval Reimb'!$B$40),0),2)</f>
        <v>0</v>
      </c>
      <c r="BD8" s="246">
        <f>ROUND(IF('Included @ Interval'!BD8="yes",'Hours Per Job'!BD8*'Interval Reimb'!$B$38+'Parts Cost Per Job'!BD8*((1+'Interval Reimb'!$B$39)*'Interval Reimb'!$B$40),0),2)</f>
        <v>0</v>
      </c>
      <c r="BE8" s="246">
        <f>ROUND(IF('Included @ Interval'!BE8="yes",'Hours Per Job'!BE8*'Interval Reimb'!$B$38+'Parts Cost Per Job'!BE8*((1+'Interval Reimb'!$B$39)*'Interval Reimb'!$B$40),0),2)</f>
        <v>0</v>
      </c>
      <c r="BF8" s="246">
        <f>ROUND(IF('Included @ Interval'!BF8="yes",'Hours Per Job'!BF8*'Interval Reimb'!$B$38+'Parts Cost Per Job'!BF8*((1+'Interval Reimb'!$B$39)*'Interval Reimb'!$B$40),0),2)</f>
        <v>0</v>
      </c>
      <c r="BG8" s="246">
        <f>ROUND(IF('Included @ Interval'!BG8="yes",'Hours Per Job'!BG8*'Interval Reimb'!$B$38+'Parts Cost Per Job'!BG8*((1+'Interval Reimb'!$B$39)*'Interval Reimb'!$B$40),0),2)</f>
        <v>0</v>
      </c>
      <c r="BH8" s="246">
        <f>ROUND(IF('Included @ Interval'!BH8="yes",'Hours Per Job'!BH8*'Interval Reimb'!$B$38+'Parts Cost Per Job'!BH8*((1+'Interval Reimb'!$B$39)*'Interval Reimb'!$B$40),0),2)</f>
        <v>0</v>
      </c>
      <c r="BI8" s="246">
        <f>ROUND(IF('Included @ Interval'!BI8="yes",'Hours Per Job'!BI8*'Interval Reimb'!$B$38+'Parts Cost Per Job'!BI8*((1+'Interval Reimb'!$B$39)*'Interval Reimb'!$B$40),0),2)</f>
        <v>0</v>
      </c>
      <c r="BJ8" s="246">
        <f>ROUND(IF('Included @ Interval'!BJ8="yes",'Hours Per Job'!BJ8*'Interval Reimb'!$B$38+'Parts Cost Per Job'!BJ8*((1+'Interval Reimb'!$B$39)*'Interval Reimb'!$B$40),0),2)</f>
        <v>0</v>
      </c>
      <c r="BK8" s="246">
        <f>ROUND(IF('Included @ Interval'!BK8="yes",'Hours Per Job'!BK8*'Interval Reimb'!$B$38+'Parts Cost Per Job'!BK8*((1+'Interval Reimb'!$B$39)*'Interval Reimb'!$B$40),0),2)</f>
        <v>0</v>
      </c>
      <c r="BL8" s="246">
        <f>ROUND(IF('Included @ Interval'!BL8="yes",'Hours Per Job'!BL8*'Interval Reimb'!$B$38+'Parts Cost Per Job'!BL8*((1+'Interval Reimb'!$B$39)*'Interval Reimb'!$B$40),0),2)</f>
        <v>0</v>
      </c>
      <c r="BM8" s="246">
        <f>ROUND(IF('Included @ Interval'!BM8="yes",'Hours Per Job'!BM8*'Interval Reimb'!$B$38+'Parts Cost Per Job'!BM8*((1+'Interval Reimb'!$B$39)*'Interval Reimb'!$B$40),0),2)</f>
        <v>0</v>
      </c>
      <c r="BN8" s="246">
        <f>ROUND(IF('Included @ Interval'!BN8="yes",'Hours Per Job'!BN8*'Interval Reimb'!$B$38+'Parts Cost Per Job'!BN8*((1+'Interval Reimb'!$B$39)*'Interval Reimb'!$B$40),0),2)</f>
        <v>0</v>
      </c>
      <c r="BO8" s="246">
        <f>ROUND(IF('Included @ Interval'!BO8="yes",'Hours Per Job'!BO8*'Interval Reimb'!$B$38+'Parts Cost Per Job'!BO8*((1+'Interval Reimb'!$B$39)*'Interval Reimb'!$B$40),0),2)</f>
        <v>0</v>
      </c>
      <c r="BP8" s="246">
        <f>ROUND(IF('Included @ Interval'!BP8="yes",'Hours Per Job'!BP8*'Interval Reimb'!$B$38+'Parts Cost Per Job'!BP8*((1+'Interval Reimb'!$B$39)*'Interval Reimb'!$B$40),0),2)</f>
        <v>0</v>
      </c>
      <c r="BQ8" s="9">
        <f t="shared" si="0"/>
        <v>0</v>
      </c>
      <c r="BR8" s="9">
        <f t="shared" si="1"/>
        <v>0</v>
      </c>
    </row>
    <row r="9" spans="1:70" x14ac:dyDescent="0.2">
      <c r="A9" s="18" t="str">
        <f>+'Scheduled Intervals'!A9</f>
        <v>Utility over 75 M4 class</v>
      </c>
      <c r="B9" s="246">
        <f>ROUND(IF('Included @ Interval'!B9="yes",'Hours Per Job'!B9*'Interval Reimb'!$B$38+'Parts Cost Per Job'!B9*((1+'Interval Reimb'!$B$39)*'Interval Reimb'!$B$40),0),2)</f>
        <v>0</v>
      </c>
      <c r="C9" s="246">
        <f>ROUND(IF('Included @ Interval'!C9="yes",'Hours Per Job'!C9*'Interval Reimb'!$B$38+'Parts Cost Per Job'!C9*((1+'Interval Reimb'!$B$39)*'Interval Reimb'!$B$40),0),2)</f>
        <v>0</v>
      </c>
      <c r="D9" s="246">
        <f>ROUND(IF('Included @ Interval'!D9="yes",'Hours Per Job'!D9*'Interval Reimb'!$B$38+'Parts Cost Per Job'!D9*((1+'Interval Reimb'!$B$39)*'Interval Reimb'!$B$40),0),2)</f>
        <v>0</v>
      </c>
      <c r="E9" s="246">
        <f>ROUND(IF('Included @ Interval'!E9="yes",'Hours Per Job'!E9*'Interval Reimb'!$B$38+'Parts Cost Per Job'!E9*((1+'Interval Reimb'!$B$39)*'Interval Reimb'!$B$40),0),2)</f>
        <v>0</v>
      </c>
      <c r="F9" s="246">
        <f>ROUND(IF('Included @ Interval'!F9="yes",'Hours Per Job'!F9*'Interval Reimb'!$B$38+'Parts Cost Per Job'!F9*((1+'Interval Reimb'!$B$39)*'Interval Reimb'!$B$40),0),2)</f>
        <v>0</v>
      </c>
      <c r="G9" s="246">
        <f>ROUND(IF('Included @ Interval'!G9="yes",'Hours Per Job'!G9*'Interval Reimb'!$B$38+'Parts Cost Per Job'!G9*((1+'Interval Reimb'!$B$39)*'Interval Reimb'!$B$40),0),2)</f>
        <v>0</v>
      </c>
      <c r="H9" s="246">
        <f>ROUND(IF('Included @ Interval'!H9="yes",'Hours Per Job'!H9*'Interval Reimb'!$B$38+'Parts Cost Per Job'!H9*((1+'Interval Reimb'!$B$39)*'Interval Reimb'!$B$40),0),2)</f>
        <v>0</v>
      </c>
      <c r="I9" s="246">
        <f>ROUND(IF('Included @ Interval'!I9="yes",'Hours Per Job'!I9*'Interval Reimb'!$B$38+'Parts Cost Per Job'!I9*((1+'Interval Reimb'!$B$39)*'Interval Reimb'!$B$40),0),2)</f>
        <v>0</v>
      </c>
      <c r="J9" s="246">
        <f>ROUND(IF('Included @ Interval'!J9="yes",'Hours Per Job'!J9*'Interval Reimb'!$B$38+'Parts Cost Per Job'!J9*((1+'Interval Reimb'!$B$39)*'Interval Reimb'!$B$40),0),2)</f>
        <v>0</v>
      </c>
      <c r="K9" s="246">
        <f>ROUND(IF('Included @ Interval'!K9="yes",'Hours Per Job'!K9*'Interval Reimb'!$B$38+'Parts Cost Per Job'!K9*((1+'Interval Reimb'!$B$39)*'Interval Reimb'!$B$40),0),2)</f>
        <v>0</v>
      </c>
      <c r="L9" s="246">
        <f>ROUND(IF('Included @ Interval'!L9="yes",'Hours Per Job'!L9*'Interval Reimb'!$B$38+'Parts Cost Per Job'!L9*((1+'Interval Reimb'!$B$39)*'Interval Reimb'!$B$40),0),2)</f>
        <v>0</v>
      </c>
      <c r="M9" s="246">
        <f>ROUND(IF('Included @ Interval'!M9="yes",'Hours Per Job'!M9*'Interval Reimb'!$B$38+'Parts Cost Per Job'!M9*((1+'Interval Reimb'!$B$39)*'Interval Reimb'!$B$40),0),2)</f>
        <v>0</v>
      </c>
      <c r="N9" s="246">
        <f>ROUND(IF('Included @ Interval'!N9="yes",'Hours Per Job'!N9*'Interval Reimb'!$B$38+'Parts Cost Per Job'!N9*((1+'Interval Reimb'!$B$39)*'Interval Reimb'!$B$40),0),2)</f>
        <v>0</v>
      </c>
      <c r="O9" s="246">
        <f>ROUND(IF('Included @ Interval'!O9="yes",'Hours Per Job'!O9*'Interval Reimb'!$B$38+'Parts Cost Per Job'!O9*((1+'Interval Reimb'!$B$39)*'Interval Reimb'!$B$40),0),2)</f>
        <v>0</v>
      </c>
      <c r="P9" s="246">
        <f>ROUND(IF('Included @ Interval'!P9="yes",'Hours Per Job'!P9*'Interval Reimb'!$B$38+'Parts Cost Per Job'!P9*((1+'Interval Reimb'!$B$39)*'Interval Reimb'!$B$40),0),2)</f>
        <v>0</v>
      </c>
      <c r="Q9" s="246">
        <f>ROUND(IF('Included @ Interval'!Q9="yes",'Hours Per Job'!Q9*'Interval Reimb'!$B$38+'Parts Cost Per Job'!Q9*((1+'Interval Reimb'!$B$39)*'Interval Reimb'!$B$40),0),2)</f>
        <v>0</v>
      </c>
      <c r="R9" s="246">
        <f>ROUND(IF('Included @ Interval'!R9="yes",'Hours Per Job'!R9*'Interval Reimb'!$B$38+'Parts Cost Per Job'!R9*((1+'Interval Reimb'!$B$39)*'Interval Reimb'!$B$40),0),2)</f>
        <v>0</v>
      </c>
      <c r="S9" s="246">
        <f>ROUND(IF('Included @ Interval'!S9="yes",'Hours Per Job'!S9*'Interval Reimb'!$B$38+'Parts Cost Per Job'!S9*((1+'Interval Reimb'!$B$39)*'Interval Reimb'!$B$40),0),2)</f>
        <v>0</v>
      </c>
      <c r="T9" s="246">
        <f>ROUND(IF('Included @ Interval'!T9="yes",'Hours Per Job'!T9*'Interval Reimb'!$B$38+'Parts Cost Per Job'!T9*((1+'Interval Reimb'!$B$39)*'Interval Reimb'!$B$40),0),2)</f>
        <v>0</v>
      </c>
      <c r="U9" s="246">
        <f>ROUND(IF('Included @ Interval'!U9="yes",'Hours Per Job'!U9*'Interval Reimb'!$B$38+'Parts Cost Per Job'!U9*((1+'Interval Reimb'!$B$39)*'Interval Reimb'!$B$40),0),2)</f>
        <v>143.66</v>
      </c>
      <c r="V9" s="246">
        <f>ROUND(IF('Included @ Interval'!V9="yes",'Hours Per Job'!V9*'Interval Reimb'!$B$38+'Parts Cost Per Job'!V9*((1+'Interval Reimb'!$B$39)*'Interval Reimb'!$B$40),0),2)</f>
        <v>0</v>
      </c>
      <c r="W9" s="246">
        <f>ROUND(IF('Included @ Interval'!W9="yes",'Hours Per Job'!W9*'Interval Reimb'!$B$38+'Parts Cost Per Job'!W9*((1+'Interval Reimb'!$B$39)*'Interval Reimb'!$B$40),0),2)</f>
        <v>48</v>
      </c>
      <c r="X9" s="246">
        <f>ROUND(IF('Included @ Interval'!X9="yes",'Hours Per Job'!X9*'Interval Reimb'!$B$38+'Parts Cost Per Job'!X9*((1+'Interval Reimb'!$B$39)*'Interval Reimb'!$B$40),0),2)</f>
        <v>0</v>
      </c>
      <c r="Y9" s="246">
        <f>ROUND(IF('Included @ Interval'!Y9="yes",'Hours Per Job'!Y9*'Interval Reimb'!$B$38+'Parts Cost Per Job'!Y9*((1+'Interval Reimb'!$B$39)*'Interval Reimb'!$B$40),0),2)</f>
        <v>24</v>
      </c>
      <c r="Z9" s="246">
        <f>ROUND(IF('Included @ Interval'!Z9="yes",'Hours Per Job'!Z9*'Interval Reimb'!$B$38+'Parts Cost Per Job'!Z9*((1+'Interval Reimb'!$B$39)*'Interval Reimb'!$B$40),0),2)</f>
        <v>55.09</v>
      </c>
      <c r="AA9" s="246">
        <f>ROUND(IF('Included @ Interval'!AA9="yes",'Hours Per Job'!AA9*'Interval Reimb'!$B$38+'Parts Cost Per Job'!AA9*((1+'Interval Reimb'!$B$39)*'Interval Reimb'!$B$40),0),2)</f>
        <v>0</v>
      </c>
      <c r="AB9" s="246">
        <f>ROUND(IF('Included @ Interval'!AB9="yes",'Hours Per Job'!AB9*'Interval Reimb'!$B$38+'Parts Cost Per Job'!AB9*((1+'Interval Reimb'!$B$39)*'Interval Reimb'!$B$40),0),2)</f>
        <v>0</v>
      </c>
      <c r="AC9" s="246">
        <f>ROUND(IF('Included @ Interval'!AC9="yes",'Hours Per Job'!AC9*'Interval Reimb'!$B$38+'Parts Cost Per Job'!AC9*((1+'Interval Reimb'!$B$39)*'Interval Reimb'!$B$40),0),2)</f>
        <v>0</v>
      </c>
      <c r="AD9" s="246">
        <f>ROUND(IF('Included @ Interval'!AD9="yes",'Hours Per Job'!AD9*'Interval Reimb'!$B$38+'Parts Cost Per Job'!AD9*((1+'Interval Reimb'!$B$39)*'Interval Reimb'!$B$40),0),2)</f>
        <v>0</v>
      </c>
      <c r="AE9" s="246">
        <f>ROUND(IF('Included @ Interval'!AE9="yes",'Hours Per Job'!AE9*'Interval Reimb'!$B$38+'Parts Cost Per Job'!AE9*((1+'Interval Reimb'!$B$39)*'Interval Reimb'!$B$40),0),2)</f>
        <v>194.52</v>
      </c>
      <c r="AF9" s="246">
        <f>ROUND(IF('Included @ Interval'!AF9="yes",'Hours Per Job'!AF9*'Interval Reimb'!$B$38+'Parts Cost Per Job'!AF9*((1+'Interval Reimb'!$B$39)*'Interval Reimb'!$B$40),0),2)</f>
        <v>0</v>
      </c>
      <c r="AG9" s="246">
        <f>ROUND(IF('Included @ Interval'!AG9="yes",'Hours Per Job'!AG9*'Interval Reimb'!$B$38+'Parts Cost Per Job'!AG9*((1+'Interval Reimb'!$B$39)*'Interval Reimb'!$B$40),0),2)</f>
        <v>0</v>
      </c>
      <c r="AH9" s="246">
        <f>ROUND(IF('Included @ Interval'!AH9="yes",'Hours Per Job'!AH9*'Interval Reimb'!$B$38+'Parts Cost Per Job'!AH9*((1+'Interval Reimb'!$B$39)*'Interval Reimb'!$B$40),0),2)</f>
        <v>0</v>
      </c>
      <c r="AI9" s="246">
        <f>ROUND(IF('Included @ Interval'!AI9="yes",'Hours Per Job'!AI9*'Interval Reimb'!$B$38+'Parts Cost Per Job'!AI9*((1+'Interval Reimb'!$B$39)*'Interval Reimb'!$B$40),0),2)</f>
        <v>0</v>
      </c>
      <c r="AJ9" s="246">
        <f>ROUND(IF('Included @ Interval'!AJ9="yes",'Hours Per Job'!AJ9*'Interval Reimb'!$B$38+'Parts Cost Per Job'!AJ9*((1+'Interval Reimb'!$B$39)*'Interval Reimb'!$B$40),0),2)</f>
        <v>0</v>
      </c>
      <c r="AK9" s="246">
        <f>ROUND(IF('Included @ Interval'!AK9="yes",'Hours Per Job'!AK9*'Interval Reimb'!$B$38+'Parts Cost Per Job'!AK9*((1+'Interval Reimb'!$B$39)*'Interval Reimb'!$B$40),0),2)</f>
        <v>0</v>
      </c>
      <c r="AL9" s="246">
        <f>ROUND(IF('Included @ Interval'!AL9="yes",'Hours Per Job'!AL9*'Interval Reimb'!$B$38+'Parts Cost Per Job'!AL9*((1+'Interval Reimb'!$B$39)*'Interval Reimb'!$B$40),0),2)</f>
        <v>0</v>
      </c>
      <c r="AM9" s="246">
        <f>ROUND(IF('Included @ Interval'!AM9="yes",'Hours Per Job'!AM9*'Interval Reimb'!$B$38+'Parts Cost Per Job'!AM9*((1+'Interval Reimb'!$B$39)*'Interval Reimb'!$B$40),0),2)</f>
        <v>0</v>
      </c>
      <c r="AN9" s="246">
        <f>ROUND(IF('Included @ Interval'!AN9="yes",'Hours Per Job'!AN9*'Interval Reimb'!$B$38+'Parts Cost Per Job'!AN9*((1+'Interval Reimb'!$B$39)*'Interval Reimb'!$B$40),0),2)</f>
        <v>0</v>
      </c>
      <c r="AO9" s="246">
        <f>ROUND(IF('Included @ Interval'!AO9="yes",'Hours Per Job'!AO9*'Interval Reimb'!$B$38+'Parts Cost Per Job'!AO9*((1+'Interval Reimb'!$B$39)*'Interval Reimb'!$B$40),0),2)</f>
        <v>0</v>
      </c>
      <c r="AP9" s="246">
        <f>ROUND(IF('Included @ Interval'!AP9="yes",'Hours Per Job'!AP9*'Interval Reimb'!$B$38+'Parts Cost Per Job'!AP9*((1+'Interval Reimb'!$B$39)*'Interval Reimb'!$B$40),0),2)</f>
        <v>0</v>
      </c>
      <c r="AQ9" s="246">
        <f>ROUND(IF('Included @ Interval'!AQ9="yes",'Hours Per Job'!AQ9*'Interval Reimb'!$B$38+'Parts Cost Per Job'!AQ9*((1+'Interval Reimb'!$B$39)*'Interval Reimb'!$B$40),0),2)</f>
        <v>0</v>
      </c>
      <c r="AR9" s="246">
        <f>ROUND(IF('Included @ Interval'!AR9="yes",'Hours Per Job'!AR9*'Interval Reimb'!$B$38+'Parts Cost Per Job'!AR9*((1+'Interval Reimb'!$B$39)*'Interval Reimb'!$B$40),0),2)</f>
        <v>0</v>
      </c>
      <c r="AS9" s="246">
        <f>ROUND(IF('Included @ Interval'!AS9="yes",'Hours Per Job'!AS9*'Interval Reimb'!$B$38+'Parts Cost Per Job'!AS9*((1+'Interval Reimb'!$B$39)*'Interval Reimb'!$B$40),0),2)</f>
        <v>0</v>
      </c>
      <c r="AT9" s="246">
        <f>ROUND(IF('Included @ Interval'!AT9="yes",'Hours Per Job'!AT9*'Interval Reimb'!$B$38+'Parts Cost Per Job'!AT9*((1+'Interval Reimb'!$B$39)*'Interval Reimb'!$B$40),0),2)</f>
        <v>35.07</v>
      </c>
      <c r="AU9" s="246">
        <f>ROUND(IF('Included @ Interval'!AU9="yes",'Hours Per Job'!AU9*'Interval Reimb'!$B$38+'Parts Cost Per Job'!AU9*((1+'Interval Reimb'!$B$39)*'Interval Reimb'!$B$40),0),2)</f>
        <v>0</v>
      </c>
      <c r="AV9" s="246">
        <f>ROUND(IF('Included @ Interval'!AV9="yes",'Hours Per Job'!AV9*'Interval Reimb'!$B$38+'Parts Cost Per Job'!AV9*((1+'Interval Reimb'!$B$39)*'Interval Reimb'!$B$40),0),2)</f>
        <v>0</v>
      </c>
      <c r="AW9" s="246">
        <f>ROUND(IF('Included @ Interval'!AW9="yes",'Hours Per Job'!AW9*'Interval Reimb'!$B$38+'Parts Cost Per Job'!AW9*((1+'Interval Reimb'!$B$39)*'Interval Reimb'!$B$40),0),2)</f>
        <v>0</v>
      </c>
      <c r="AX9" s="246">
        <f>ROUND(IF('Included @ Interval'!AX9="yes",'Hours Per Job'!AX9*'Interval Reimb'!$B$38+'Parts Cost Per Job'!AX9*((1+'Interval Reimb'!$B$39)*'Interval Reimb'!$B$40),0),2)</f>
        <v>0</v>
      </c>
      <c r="AY9" s="246">
        <f>ROUND(IF('Included @ Interval'!AY9="yes",'Hours Per Job'!AY9*'Interval Reimb'!$B$38+'Parts Cost Per Job'!AY9*((1+'Interval Reimb'!$B$39)*'Interval Reimb'!$B$40),0),2)</f>
        <v>0</v>
      </c>
      <c r="AZ9" s="246">
        <f>ROUND(IF('Included @ Interval'!AZ9="yes",'Hours Per Job'!AZ9*'Interval Reimb'!$B$38+'Parts Cost Per Job'!AZ9*((1+'Interval Reimb'!$B$39)*'Interval Reimb'!$B$40),0),2)</f>
        <v>0</v>
      </c>
      <c r="BA9" s="246">
        <f>ROUND(IF('Included @ Interval'!BA9="yes",'Hours Per Job'!BA9*'Interval Reimb'!$B$38+'Parts Cost Per Job'!BA9*((1+'Interval Reimb'!$B$39)*'Interval Reimb'!$B$40),0),2)</f>
        <v>0</v>
      </c>
      <c r="BB9" s="246">
        <f>ROUND(IF('Included @ Interval'!BB9="yes",'Hours Per Job'!BB9*'Interval Reimb'!$B$38+'Parts Cost Per Job'!BB9*((1+'Interval Reimb'!$B$39)*'Interval Reimb'!$B$40),0),2)</f>
        <v>0</v>
      </c>
      <c r="BC9" s="246">
        <f>ROUND(IF('Included @ Interval'!BC9="yes",'Hours Per Job'!BC9*'Interval Reimb'!$B$38+'Parts Cost Per Job'!BC9*((1+'Interval Reimb'!$B$39)*'Interval Reimb'!$B$40),0),2)</f>
        <v>0</v>
      </c>
      <c r="BD9" s="246">
        <f>ROUND(IF('Included @ Interval'!BD9="yes",'Hours Per Job'!BD9*'Interval Reimb'!$B$38+'Parts Cost Per Job'!BD9*((1+'Interval Reimb'!$B$39)*'Interval Reimb'!$B$40),0),2)</f>
        <v>0</v>
      </c>
      <c r="BE9" s="246">
        <f>ROUND(IF('Included @ Interval'!BE9="yes",'Hours Per Job'!BE9*'Interval Reimb'!$B$38+'Parts Cost Per Job'!BE9*((1+'Interval Reimb'!$B$39)*'Interval Reimb'!$B$40),0),2)</f>
        <v>0</v>
      </c>
      <c r="BF9" s="246">
        <f>ROUND(IF('Included @ Interval'!BF9="yes",'Hours Per Job'!BF9*'Interval Reimb'!$B$38+'Parts Cost Per Job'!BF9*((1+'Interval Reimb'!$B$39)*'Interval Reimb'!$B$40),0),2)</f>
        <v>0</v>
      </c>
      <c r="BG9" s="246">
        <f>ROUND(IF('Included @ Interval'!BG9="yes",'Hours Per Job'!BG9*'Interval Reimb'!$B$38+'Parts Cost Per Job'!BG9*((1+'Interval Reimb'!$B$39)*'Interval Reimb'!$B$40),0),2)</f>
        <v>0</v>
      </c>
      <c r="BH9" s="246">
        <f>ROUND(IF('Included @ Interval'!BH9="yes",'Hours Per Job'!BH9*'Interval Reimb'!$B$38+'Parts Cost Per Job'!BH9*((1+'Interval Reimb'!$B$39)*'Interval Reimb'!$B$40),0),2)</f>
        <v>0</v>
      </c>
      <c r="BI9" s="246">
        <f>ROUND(IF('Included @ Interval'!BI9="yes",'Hours Per Job'!BI9*'Interval Reimb'!$B$38+'Parts Cost Per Job'!BI9*((1+'Interval Reimb'!$B$39)*'Interval Reimb'!$B$40),0),2)</f>
        <v>0</v>
      </c>
      <c r="BJ9" s="246">
        <f>ROUND(IF('Included @ Interval'!BJ9="yes",'Hours Per Job'!BJ9*'Interval Reimb'!$B$38+'Parts Cost Per Job'!BJ9*((1+'Interval Reimb'!$B$39)*'Interval Reimb'!$B$40),0),2)</f>
        <v>30</v>
      </c>
      <c r="BK9" s="246">
        <f>ROUND(IF('Included @ Interval'!BK9="yes",'Hours Per Job'!BK9*'Interval Reimb'!$B$38+'Parts Cost Per Job'!BK9*((1+'Interval Reimb'!$B$39)*'Interval Reimb'!$B$40),0),2)</f>
        <v>0</v>
      </c>
      <c r="BL9" s="246">
        <f>ROUND(IF('Included @ Interval'!BL9="yes",'Hours Per Job'!BL9*'Interval Reimb'!$B$38+'Parts Cost Per Job'!BL9*((1+'Interval Reimb'!$B$39)*'Interval Reimb'!$B$40),0),2)</f>
        <v>0</v>
      </c>
      <c r="BM9" s="246">
        <f>ROUND(IF('Included @ Interval'!BM9="yes",'Hours Per Job'!BM9*'Interval Reimb'!$B$38+'Parts Cost Per Job'!BM9*((1+'Interval Reimb'!$B$39)*'Interval Reimb'!$B$40),0),2)</f>
        <v>0</v>
      </c>
      <c r="BN9" s="246">
        <f>ROUND(IF('Included @ Interval'!BN9="yes",'Hours Per Job'!BN9*'Interval Reimb'!$B$38+'Parts Cost Per Job'!BN9*((1+'Interval Reimb'!$B$39)*'Interval Reimb'!$B$40),0),2)</f>
        <v>0</v>
      </c>
      <c r="BO9" s="246">
        <f>ROUND(IF('Included @ Interval'!BO9="yes",'Hours Per Job'!BO9*'Interval Reimb'!$B$38+'Parts Cost Per Job'!BO9*((1+'Interval Reimb'!$B$39)*'Interval Reimb'!$B$40),0),2)</f>
        <v>0</v>
      </c>
      <c r="BP9" s="246">
        <f>ROUND(IF('Included @ Interval'!BP9="yes",'Hours Per Job'!BP9*'Interval Reimb'!$B$38+'Parts Cost Per Job'!BP9*((1+'Interval Reimb'!$B$39)*'Interval Reimb'!$B$40),0),2)</f>
        <v>0</v>
      </c>
      <c r="BQ9" s="9">
        <f t="shared" si="0"/>
        <v>530.33999999999992</v>
      </c>
      <c r="BR9" s="9">
        <f t="shared" si="1"/>
        <v>2.6500000000000004</v>
      </c>
    </row>
    <row r="10" spans="1:70" x14ac:dyDescent="0.2">
      <c r="A10" s="18" t="str">
        <f>+'Scheduled Intervals'!A10</f>
        <v>Large Ag M6</v>
      </c>
      <c r="B10" s="246">
        <f>ROUND(IF('Included @ Interval'!B10="yes",'Hours Per Job'!B10*'Interval Reimb'!$B$38+'Parts Cost Per Job'!B10*((1+'Interval Reimb'!$B$39)*'Interval Reimb'!$B$40),0),2)</f>
        <v>0</v>
      </c>
      <c r="C10" s="246">
        <f>ROUND(IF('Included @ Interval'!C10="yes",'Hours Per Job'!C10*'Interval Reimb'!$B$38+'Parts Cost Per Job'!C10*((1+'Interval Reimb'!$B$39)*'Interval Reimb'!$B$40),0),2)</f>
        <v>0</v>
      </c>
      <c r="D10" s="246">
        <f>ROUND(IF('Included @ Interval'!D10="yes",'Hours Per Job'!D10*'Interval Reimb'!$B$38+'Parts Cost Per Job'!D10*((1+'Interval Reimb'!$B$39)*'Interval Reimb'!$B$40),0),2)</f>
        <v>0</v>
      </c>
      <c r="E10" s="246">
        <f>ROUND(IF('Included @ Interval'!E10="yes",'Hours Per Job'!E10*'Interval Reimb'!$B$38+'Parts Cost Per Job'!E10*((1+'Interval Reimb'!$B$39)*'Interval Reimb'!$B$40),0),2)</f>
        <v>0</v>
      </c>
      <c r="F10" s="246">
        <f>ROUND(IF('Included @ Interval'!F10="yes",'Hours Per Job'!F10*'Interval Reimb'!$B$38+'Parts Cost Per Job'!F10*((1+'Interval Reimb'!$B$39)*'Interval Reimb'!$B$40),0),2)</f>
        <v>0</v>
      </c>
      <c r="G10" s="246">
        <f>ROUND(IF('Included @ Interval'!G10="yes",'Hours Per Job'!G10*'Interval Reimb'!$B$38+'Parts Cost Per Job'!G10*((1+'Interval Reimb'!$B$39)*'Interval Reimb'!$B$40),0),2)</f>
        <v>0</v>
      </c>
      <c r="H10" s="246">
        <f>ROUND(IF('Included @ Interval'!H10="yes",'Hours Per Job'!H10*'Interval Reimb'!$B$38+'Parts Cost Per Job'!H10*((1+'Interval Reimb'!$B$39)*'Interval Reimb'!$B$40),0),2)</f>
        <v>0</v>
      </c>
      <c r="I10" s="246">
        <f>ROUND(IF('Included @ Interval'!I10="yes",'Hours Per Job'!I10*'Interval Reimb'!$B$38+'Parts Cost Per Job'!I10*((1+'Interval Reimb'!$B$39)*'Interval Reimb'!$B$40),0),2)</f>
        <v>0</v>
      </c>
      <c r="J10" s="246">
        <f>ROUND(IF('Included @ Interval'!J10="yes",'Hours Per Job'!J10*'Interval Reimb'!$B$38+'Parts Cost Per Job'!J10*((1+'Interval Reimb'!$B$39)*'Interval Reimb'!$B$40),0),2)</f>
        <v>0</v>
      </c>
      <c r="K10" s="246">
        <f>ROUND(IF('Included @ Interval'!K10="yes",'Hours Per Job'!K10*'Interval Reimb'!$B$38+'Parts Cost Per Job'!K10*((1+'Interval Reimb'!$B$39)*'Interval Reimb'!$B$40),0),2)</f>
        <v>0</v>
      </c>
      <c r="L10" s="246">
        <f>ROUND(IF('Included @ Interval'!L10="yes",'Hours Per Job'!L10*'Interval Reimb'!$B$38+'Parts Cost Per Job'!L10*((1+'Interval Reimb'!$B$39)*'Interval Reimb'!$B$40),0),2)</f>
        <v>0</v>
      </c>
      <c r="M10" s="246">
        <f>ROUND(IF('Included @ Interval'!M10="yes",'Hours Per Job'!M10*'Interval Reimb'!$B$38+'Parts Cost Per Job'!M10*((1+'Interval Reimb'!$B$39)*'Interval Reimb'!$B$40),0),2)</f>
        <v>0</v>
      </c>
      <c r="N10" s="246">
        <f>ROUND(IF('Included @ Interval'!N10="yes",'Hours Per Job'!N10*'Interval Reimb'!$B$38+'Parts Cost Per Job'!N10*((1+'Interval Reimb'!$B$39)*'Interval Reimb'!$B$40),0),2)</f>
        <v>0</v>
      </c>
      <c r="O10" s="246">
        <f>ROUND(IF('Included @ Interval'!O10="yes",'Hours Per Job'!O10*'Interval Reimb'!$B$38+'Parts Cost Per Job'!O10*((1+'Interval Reimb'!$B$39)*'Interval Reimb'!$B$40),0),2)</f>
        <v>0</v>
      </c>
      <c r="P10" s="246">
        <f>ROUND(IF('Included @ Interval'!P10="yes",'Hours Per Job'!P10*'Interval Reimb'!$B$38+'Parts Cost Per Job'!P10*((1+'Interval Reimb'!$B$39)*'Interval Reimb'!$B$40),0),2)</f>
        <v>0</v>
      </c>
      <c r="Q10" s="246">
        <f>ROUND(IF('Included @ Interval'!Q10="yes",'Hours Per Job'!Q10*'Interval Reimb'!$B$38+'Parts Cost Per Job'!Q10*((1+'Interval Reimb'!$B$39)*'Interval Reimb'!$B$40),0),2)</f>
        <v>0</v>
      </c>
      <c r="R10" s="246">
        <f>ROUND(IF('Included @ Interval'!R10="yes",'Hours Per Job'!R10*'Interval Reimb'!$B$38+'Parts Cost Per Job'!R10*((1+'Interval Reimb'!$B$39)*'Interval Reimb'!$B$40),0),2)</f>
        <v>0</v>
      </c>
      <c r="S10" s="246">
        <f>ROUND(IF('Included @ Interval'!S10="yes",'Hours Per Job'!S10*'Interval Reimb'!$B$38+'Parts Cost Per Job'!S10*((1+'Interval Reimb'!$B$39)*'Interval Reimb'!$B$40),0),2)</f>
        <v>0</v>
      </c>
      <c r="T10" s="246">
        <f>ROUND(IF('Included @ Interval'!T10="yes",'Hours Per Job'!T10*'Interval Reimb'!$B$38+'Parts Cost Per Job'!T10*((1+'Interval Reimb'!$B$39)*'Interval Reimb'!$B$40),0),2)</f>
        <v>0</v>
      </c>
      <c r="U10" s="246">
        <f>ROUND(IF('Included @ Interval'!U10="yes",'Hours Per Job'!U10*'Interval Reimb'!$B$38+'Parts Cost Per Job'!U10*((1+'Interval Reimb'!$B$39)*'Interval Reimb'!$B$40),0),2)</f>
        <v>238.46</v>
      </c>
      <c r="V10" s="246">
        <f>ROUND(IF('Included @ Interval'!V10="yes",'Hours Per Job'!V10*'Interval Reimb'!$B$38+'Parts Cost Per Job'!V10*((1+'Interval Reimb'!$B$39)*'Interval Reimb'!$B$40),0),2)</f>
        <v>0</v>
      </c>
      <c r="W10" s="246">
        <f>ROUND(IF('Included @ Interval'!W10="yes",'Hours Per Job'!W10*'Interval Reimb'!$B$38+'Parts Cost Per Job'!W10*((1+'Interval Reimb'!$B$39)*'Interval Reimb'!$B$40),0),2)</f>
        <v>0</v>
      </c>
      <c r="X10" s="246">
        <f>ROUND(IF('Included @ Interval'!X10="yes",'Hours Per Job'!X10*'Interval Reimb'!$B$38+'Parts Cost Per Job'!X10*((1+'Interval Reimb'!$B$39)*'Interval Reimb'!$B$40),0),2)</f>
        <v>85.59</v>
      </c>
      <c r="Y10" s="246">
        <f>ROUND(IF('Included @ Interval'!Y10="yes",'Hours Per Job'!Y10*'Interval Reimb'!$B$38+'Parts Cost Per Job'!Y10*((1+'Interval Reimb'!$B$39)*'Interval Reimb'!$B$40),0),2)</f>
        <v>36</v>
      </c>
      <c r="Z10" s="246">
        <f>ROUND(IF('Included @ Interval'!Z10="yes",'Hours Per Job'!Z10*'Interval Reimb'!$B$38+'Parts Cost Per Job'!Z10*((1+'Interval Reimb'!$B$39)*'Interval Reimb'!$B$40),0),2)</f>
        <v>73.59</v>
      </c>
      <c r="AA10" s="246">
        <f>ROUND(IF('Included @ Interval'!AA10="yes",'Hours Per Job'!AA10*'Interval Reimb'!$B$38+'Parts Cost Per Job'!AA10*((1+'Interval Reimb'!$B$39)*'Interval Reimb'!$B$40),0),2)</f>
        <v>0</v>
      </c>
      <c r="AB10" s="246">
        <f>ROUND(IF('Included @ Interval'!AB10="yes",'Hours Per Job'!AB10*'Interval Reimb'!$B$38+'Parts Cost Per Job'!AB10*((1+'Interval Reimb'!$B$39)*'Interval Reimb'!$B$40),0),2)</f>
        <v>1063.1300000000001</v>
      </c>
      <c r="AC10" s="246">
        <f>ROUND(IF('Included @ Interval'!AC10="yes",'Hours Per Job'!AC10*'Interval Reimb'!$B$38+'Parts Cost Per Job'!AC10*((1+'Interval Reimb'!$B$39)*'Interval Reimb'!$B$40),0),2)</f>
        <v>444.08</v>
      </c>
      <c r="AD10" s="246">
        <f>ROUND(IF('Included @ Interval'!AD10="yes",'Hours Per Job'!AD10*'Interval Reimb'!$B$38+'Parts Cost Per Job'!AD10*((1+'Interval Reimb'!$B$39)*'Interval Reimb'!$B$40),0),2)</f>
        <v>0</v>
      </c>
      <c r="AE10" s="246">
        <f>ROUND(IF('Included @ Interval'!AE10="yes",'Hours Per Job'!AE10*'Interval Reimb'!$B$38+'Parts Cost Per Job'!AE10*((1+'Interval Reimb'!$B$39)*'Interval Reimb'!$B$40),0),2)</f>
        <v>0</v>
      </c>
      <c r="AF10" s="246">
        <f>ROUND(IF('Included @ Interval'!AF10="yes",'Hours Per Job'!AF10*'Interval Reimb'!$B$38+'Parts Cost Per Job'!AF10*((1+'Interval Reimb'!$B$39)*'Interval Reimb'!$B$40),0),2)</f>
        <v>0</v>
      </c>
      <c r="AG10" s="246">
        <f>ROUND(IF('Included @ Interval'!AG10="yes",'Hours Per Job'!AG10*'Interval Reimb'!$B$38+'Parts Cost Per Job'!AG10*((1+'Interval Reimb'!$B$39)*'Interval Reimb'!$B$40),0),2)</f>
        <v>210.01</v>
      </c>
      <c r="AH10" s="246">
        <f>ROUND(IF('Included @ Interval'!AH10="yes",'Hours Per Job'!AH10*'Interval Reimb'!$B$38+'Parts Cost Per Job'!AH10*((1+'Interval Reimb'!$B$39)*'Interval Reimb'!$B$40),0),2)</f>
        <v>0</v>
      </c>
      <c r="AI10" s="246">
        <f>ROUND(IF('Included @ Interval'!AI10="yes",'Hours Per Job'!AI10*'Interval Reimb'!$B$38+'Parts Cost Per Job'!AI10*((1+'Interval Reimb'!$B$39)*'Interval Reimb'!$B$40),0),2)</f>
        <v>349.14</v>
      </c>
      <c r="AJ10" s="246">
        <f>ROUND(IF('Included @ Interval'!AJ10="yes",'Hours Per Job'!AJ10*'Interval Reimb'!$B$38+'Parts Cost Per Job'!AJ10*((1+'Interval Reimb'!$B$39)*'Interval Reimb'!$B$40),0),2)</f>
        <v>0</v>
      </c>
      <c r="AK10" s="246">
        <f>ROUND(IF('Included @ Interval'!AK10="yes",'Hours Per Job'!AK10*'Interval Reimb'!$B$38+'Parts Cost Per Job'!AK10*((1+'Interval Reimb'!$B$39)*'Interval Reimb'!$B$40),0),2)</f>
        <v>399.46</v>
      </c>
      <c r="AL10" s="246">
        <f>ROUND(IF('Included @ Interval'!AL10="yes",'Hours Per Job'!AL10*'Interval Reimb'!$B$38+'Parts Cost Per Job'!AL10*((1+'Interval Reimb'!$B$39)*'Interval Reimb'!$B$40),0),2)</f>
        <v>0</v>
      </c>
      <c r="AM10" s="246">
        <f>ROUND(IF('Included @ Interval'!AM10="yes",'Hours Per Job'!AM10*'Interval Reimb'!$B$38+'Parts Cost Per Job'!AM10*((1+'Interval Reimb'!$B$39)*'Interval Reimb'!$B$40),0),2)</f>
        <v>0</v>
      </c>
      <c r="AN10" s="246">
        <f>ROUND(IF('Included @ Interval'!AN10="yes",'Hours Per Job'!AN10*'Interval Reimb'!$B$38+'Parts Cost Per Job'!AN10*((1+'Interval Reimb'!$B$39)*'Interval Reimb'!$B$40),0),2)</f>
        <v>0</v>
      </c>
      <c r="AO10" s="246">
        <f>ROUND(IF('Included @ Interval'!AO10="yes",'Hours Per Job'!AO10*'Interval Reimb'!$B$38+'Parts Cost Per Job'!AO10*((1+'Interval Reimb'!$B$39)*'Interval Reimb'!$B$40),0),2)</f>
        <v>0</v>
      </c>
      <c r="AP10" s="246">
        <f>ROUND(IF('Included @ Interval'!AP10="yes",'Hours Per Job'!AP10*'Interval Reimb'!$B$38+'Parts Cost Per Job'!AP10*((1+'Interval Reimb'!$B$39)*'Interval Reimb'!$B$40),0),2)</f>
        <v>0</v>
      </c>
      <c r="AQ10" s="246">
        <f>ROUND(IF('Included @ Interval'!AQ10="yes",'Hours Per Job'!AQ10*'Interval Reimb'!$B$38+'Parts Cost Per Job'!AQ10*((1+'Interval Reimb'!$B$39)*'Interval Reimb'!$B$40),0),2)</f>
        <v>0</v>
      </c>
      <c r="AR10" s="246">
        <f>ROUND(IF('Included @ Interval'!AR10="yes",'Hours Per Job'!AR10*'Interval Reimb'!$B$38+'Parts Cost Per Job'!AR10*((1+'Interval Reimb'!$B$39)*'Interval Reimb'!$B$40),0),2)</f>
        <v>0</v>
      </c>
      <c r="AS10" s="246">
        <f>ROUND(IF('Included @ Interval'!AS10="yes",'Hours Per Job'!AS10*'Interval Reimb'!$B$38+'Parts Cost Per Job'!AS10*((1+'Interval Reimb'!$B$39)*'Interval Reimb'!$B$40),0),2)</f>
        <v>0</v>
      </c>
      <c r="AT10" s="246">
        <f>ROUND(IF('Included @ Interval'!AT10="yes",'Hours Per Job'!AT10*'Interval Reimb'!$B$38+'Parts Cost Per Job'!AT10*((1+'Interval Reimb'!$B$39)*'Interval Reimb'!$B$40),0),2)</f>
        <v>71.069999999999993</v>
      </c>
      <c r="AU10" s="246">
        <f>ROUND(IF('Included @ Interval'!AU10="yes",'Hours Per Job'!AU10*'Interval Reimb'!$B$38+'Parts Cost Per Job'!AU10*((1+'Interval Reimb'!$B$39)*'Interval Reimb'!$B$40),0),2)</f>
        <v>0</v>
      </c>
      <c r="AV10" s="246">
        <f>ROUND(IF('Included @ Interval'!AV10="yes",'Hours Per Job'!AV10*'Interval Reimb'!$B$38+'Parts Cost Per Job'!AV10*((1+'Interval Reimb'!$B$39)*'Interval Reimb'!$B$40),0),2)</f>
        <v>0</v>
      </c>
      <c r="AW10" s="246">
        <f>ROUND(IF('Included @ Interval'!AW10="yes",'Hours Per Job'!AW10*'Interval Reimb'!$B$38+'Parts Cost Per Job'!AW10*((1+'Interval Reimb'!$B$39)*'Interval Reimb'!$B$40),0),2)</f>
        <v>0</v>
      </c>
      <c r="AX10" s="246">
        <f>ROUND(IF('Included @ Interval'!AX10="yes",'Hours Per Job'!AX10*'Interval Reimb'!$B$38+'Parts Cost Per Job'!AX10*((1+'Interval Reimb'!$B$39)*'Interval Reimb'!$B$40),0),2)</f>
        <v>0</v>
      </c>
      <c r="AY10" s="246">
        <f>ROUND(IF('Included @ Interval'!AY10="yes",'Hours Per Job'!AY10*'Interval Reimb'!$B$38+'Parts Cost Per Job'!AY10*((1+'Interval Reimb'!$B$39)*'Interval Reimb'!$B$40),0),2)</f>
        <v>0</v>
      </c>
      <c r="AZ10" s="246">
        <f>ROUND(IF('Included @ Interval'!AZ10="yes",'Hours Per Job'!AZ10*'Interval Reimb'!$B$38+'Parts Cost Per Job'!AZ10*((1+'Interval Reimb'!$B$39)*'Interval Reimb'!$B$40),0),2)</f>
        <v>0</v>
      </c>
      <c r="BA10" s="246">
        <f>ROUND(IF('Included @ Interval'!BA10="yes",'Hours Per Job'!BA10*'Interval Reimb'!$B$38+'Parts Cost Per Job'!BA10*((1+'Interval Reimb'!$B$39)*'Interval Reimb'!$B$40),0),2)</f>
        <v>258.33</v>
      </c>
      <c r="BB10" s="246">
        <f>ROUND(IF('Included @ Interval'!BB10="yes",'Hours Per Job'!BB10*'Interval Reimb'!$B$38+'Parts Cost Per Job'!BB10*((1+'Interval Reimb'!$B$39)*'Interval Reimb'!$B$40),0),2)</f>
        <v>0</v>
      </c>
      <c r="BC10" s="246">
        <f>ROUND(IF('Included @ Interval'!BC10="yes",'Hours Per Job'!BC10*'Interval Reimb'!$B$38+'Parts Cost Per Job'!BC10*((1+'Interval Reimb'!$B$39)*'Interval Reimb'!$B$40),0),2)</f>
        <v>0</v>
      </c>
      <c r="BD10" s="246">
        <f>ROUND(IF('Included @ Interval'!BD10="yes",'Hours Per Job'!BD10*'Interval Reimb'!$B$38+'Parts Cost Per Job'!BD10*((1+'Interval Reimb'!$B$39)*'Interval Reimb'!$B$40),0),2)</f>
        <v>0</v>
      </c>
      <c r="BE10" s="246">
        <f>ROUND(IF('Included @ Interval'!BE10="yes",'Hours Per Job'!BE10*'Interval Reimb'!$B$38+'Parts Cost Per Job'!BE10*((1+'Interval Reimb'!$B$39)*'Interval Reimb'!$B$40),0),2)</f>
        <v>0</v>
      </c>
      <c r="BF10" s="246">
        <f>ROUND(IF('Included @ Interval'!BF10="yes",'Hours Per Job'!BF10*'Interval Reimb'!$B$38+'Parts Cost Per Job'!BF10*((1+'Interval Reimb'!$B$39)*'Interval Reimb'!$B$40),0),2)</f>
        <v>0</v>
      </c>
      <c r="BG10" s="246">
        <f>ROUND(IF('Included @ Interval'!BG10="yes",'Hours Per Job'!BG10*'Interval Reimb'!$B$38+'Parts Cost Per Job'!BG10*((1+'Interval Reimb'!$B$39)*'Interval Reimb'!$B$40),0),2)</f>
        <v>0</v>
      </c>
      <c r="BH10" s="246">
        <f>ROUND(IF('Included @ Interval'!BH10="yes",'Hours Per Job'!BH10*'Interval Reimb'!$B$38+'Parts Cost Per Job'!BH10*((1+'Interval Reimb'!$B$39)*'Interval Reimb'!$B$40),0),2)</f>
        <v>0</v>
      </c>
      <c r="BI10" s="246">
        <f>ROUND(IF('Included @ Interval'!BI10="yes",'Hours Per Job'!BI10*'Interval Reimb'!$B$38+'Parts Cost Per Job'!BI10*((1+'Interval Reimb'!$B$39)*'Interval Reimb'!$B$40),0),2)</f>
        <v>0</v>
      </c>
      <c r="BJ10" s="246">
        <f>ROUND(IF('Included @ Interval'!BJ10="yes",'Hours Per Job'!BJ10*'Interval Reimb'!$B$38+'Parts Cost Per Job'!BJ10*((1+'Interval Reimb'!$B$39)*'Interval Reimb'!$B$40),0),2)</f>
        <v>30</v>
      </c>
      <c r="BK10" s="246">
        <f>ROUND(IF('Included @ Interval'!BK10="yes",'Hours Per Job'!BK10*'Interval Reimb'!$B$38+'Parts Cost Per Job'!BK10*((1+'Interval Reimb'!$B$39)*'Interval Reimb'!$B$40),0),2)</f>
        <v>0</v>
      </c>
      <c r="BL10" s="246">
        <f>ROUND(IF('Included @ Interval'!BL10="yes",'Hours Per Job'!BL10*'Interval Reimb'!$B$38+'Parts Cost Per Job'!BL10*((1+'Interval Reimb'!$B$39)*'Interval Reimb'!$B$40),0),2)</f>
        <v>0</v>
      </c>
      <c r="BM10" s="246">
        <f>ROUND(IF('Included @ Interval'!BM10="yes",'Hours Per Job'!BM10*'Interval Reimb'!$B$38+'Parts Cost Per Job'!BM10*((1+'Interval Reimb'!$B$39)*'Interval Reimb'!$B$40),0),2)</f>
        <v>0</v>
      </c>
      <c r="BN10" s="246">
        <f>ROUND(IF('Included @ Interval'!BN10="yes",'Hours Per Job'!BN10*'Interval Reimb'!$B$38+'Parts Cost Per Job'!BN10*((1+'Interval Reimb'!$B$39)*'Interval Reimb'!$B$40),0),2)</f>
        <v>0</v>
      </c>
      <c r="BO10" s="246">
        <f>ROUND(IF('Included @ Interval'!BO10="yes",'Hours Per Job'!BO10*'Interval Reimb'!$B$38+'Parts Cost Per Job'!BO10*((1+'Interval Reimb'!$B$39)*'Interval Reimb'!$B$40),0),2)</f>
        <v>0</v>
      </c>
      <c r="BP10" s="246">
        <f>ROUND(IF('Included @ Interval'!BP10="yes",'Hours Per Job'!BP10*'Interval Reimb'!$B$38+'Parts Cost Per Job'!BP10*((1+'Interval Reimb'!$B$39)*'Interval Reimb'!$B$40),0),2)</f>
        <v>0</v>
      </c>
      <c r="BQ10" s="9">
        <f t="shared" si="0"/>
        <v>3258.8599999999997</v>
      </c>
      <c r="BR10" s="9">
        <f t="shared" si="1"/>
        <v>13.649999999999999</v>
      </c>
    </row>
    <row r="11" spans="1:70" x14ac:dyDescent="0.2">
      <c r="A11" s="18" t="str">
        <f>+'Scheduled Intervals'!A11</f>
        <v>Skid Steer</v>
      </c>
      <c r="B11" s="246">
        <f>ROUND(IF('Included @ Interval'!B11="yes",'Hours Per Job'!B11*'Interval Reimb'!$B$38+'Parts Cost Per Job'!B11*((1+'Interval Reimb'!$B$39)*'Interval Reimb'!$B$40),0),2)</f>
        <v>0</v>
      </c>
      <c r="C11" s="246">
        <f>ROUND(IF('Included @ Interval'!C11="yes",'Hours Per Job'!C11*'Interval Reimb'!$B$38+'Parts Cost Per Job'!C11*((1+'Interval Reimb'!$B$39)*'Interval Reimb'!$B$40),0),2)</f>
        <v>0</v>
      </c>
      <c r="D11" s="246">
        <f>ROUND(IF('Included @ Interval'!D11="yes",'Hours Per Job'!D11*'Interval Reimb'!$B$38+'Parts Cost Per Job'!D11*((1+'Interval Reimb'!$B$39)*'Interval Reimb'!$B$40),0),2)</f>
        <v>0</v>
      </c>
      <c r="E11" s="246">
        <f>ROUND(IF('Included @ Interval'!E11="yes",'Hours Per Job'!E11*'Interval Reimb'!$B$38+'Parts Cost Per Job'!E11*((1+'Interval Reimb'!$B$39)*'Interval Reimb'!$B$40),0),2)</f>
        <v>0</v>
      </c>
      <c r="F11" s="246">
        <f>ROUND(IF('Included @ Interval'!F11="yes",'Hours Per Job'!F11*'Interval Reimb'!$B$38+'Parts Cost Per Job'!F11*((1+'Interval Reimb'!$B$39)*'Interval Reimb'!$B$40),0),2)</f>
        <v>0</v>
      </c>
      <c r="G11" s="246">
        <f>ROUND(IF('Included @ Interval'!G11="yes",'Hours Per Job'!G11*'Interval Reimb'!$B$38+'Parts Cost Per Job'!G11*((1+'Interval Reimb'!$B$39)*'Interval Reimb'!$B$40),0),2)</f>
        <v>0</v>
      </c>
      <c r="H11" s="246">
        <f>ROUND(IF('Included @ Interval'!H11="yes",'Hours Per Job'!H11*'Interval Reimb'!$B$38+'Parts Cost Per Job'!H11*((1+'Interval Reimb'!$B$39)*'Interval Reimb'!$B$40),0),2)</f>
        <v>0</v>
      </c>
      <c r="I11" s="246">
        <f>ROUND(IF('Included @ Interval'!I11="yes",'Hours Per Job'!I11*'Interval Reimb'!$B$38+'Parts Cost Per Job'!I11*((1+'Interval Reimb'!$B$39)*'Interval Reimb'!$B$40),0),2)</f>
        <v>0</v>
      </c>
      <c r="J11" s="246">
        <f>ROUND(IF('Included @ Interval'!J11="yes",'Hours Per Job'!J11*'Interval Reimb'!$B$38+'Parts Cost Per Job'!J11*((1+'Interval Reimb'!$B$39)*'Interval Reimb'!$B$40),0),2)</f>
        <v>0</v>
      </c>
      <c r="K11" s="246">
        <f>ROUND(IF('Included @ Interval'!K11="yes",'Hours Per Job'!K11*'Interval Reimb'!$B$38+'Parts Cost Per Job'!K11*((1+'Interval Reimb'!$B$39)*'Interval Reimb'!$B$40),0),2)</f>
        <v>0</v>
      </c>
      <c r="L11" s="246">
        <f>ROUND(IF('Included @ Interval'!L11="yes",'Hours Per Job'!L11*'Interval Reimb'!$B$38+'Parts Cost Per Job'!L11*((1+'Interval Reimb'!$B$39)*'Interval Reimb'!$B$40),0),2)</f>
        <v>0</v>
      </c>
      <c r="M11" s="246">
        <f>ROUND(IF('Included @ Interval'!M11="yes",'Hours Per Job'!M11*'Interval Reimb'!$B$38+'Parts Cost Per Job'!M11*((1+'Interval Reimb'!$B$39)*'Interval Reimb'!$B$40),0),2)</f>
        <v>0</v>
      </c>
      <c r="N11" s="246">
        <f>ROUND(IF('Included @ Interval'!N11="yes",'Hours Per Job'!N11*'Interval Reimb'!$B$38+'Parts Cost Per Job'!N11*((1+'Interval Reimb'!$B$39)*'Interval Reimb'!$B$40),0),2)</f>
        <v>0</v>
      </c>
      <c r="O11" s="246">
        <f>ROUND(IF('Included @ Interval'!O11="yes",'Hours Per Job'!O11*'Interval Reimb'!$B$38+'Parts Cost Per Job'!O11*((1+'Interval Reimb'!$B$39)*'Interval Reimb'!$B$40),0),2)</f>
        <v>0</v>
      </c>
      <c r="P11" s="246">
        <f>ROUND(IF('Included @ Interval'!P11="yes",'Hours Per Job'!P11*'Interval Reimb'!$B$38+'Parts Cost Per Job'!P11*((1+'Interval Reimb'!$B$39)*'Interval Reimb'!$B$40),0),2)</f>
        <v>0</v>
      </c>
      <c r="Q11" s="246">
        <f>ROUND(IF('Included @ Interval'!Q11="yes",'Hours Per Job'!Q11*'Interval Reimb'!$B$38+'Parts Cost Per Job'!Q11*((1+'Interval Reimb'!$B$39)*'Interval Reimb'!$B$40),0),2)</f>
        <v>0</v>
      </c>
      <c r="R11" s="246">
        <f>ROUND(IF('Included @ Interval'!R11="yes",'Hours Per Job'!R11*'Interval Reimb'!$B$38+'Parts Cost Per Job'!R11*((1+'Interval Reimb'!$B$39)*'Interval Reimb'!$B$40),0),2)</f>
        <v>0</v>
      </c>
      <c r="S11" s="246">
        <f>ROUND(IF('Included @ Interval'!S11="yes",'Hours Per Job'!S11*'Interval Reimb'!$B$38+'Parts Cost Per Job'!S11*((1+'Interval Reimb'!$B$39)*'Interval Reimb'!$B$40),0),2)</f>
        <v>0</v>
      </c>
      <c r="T11" s="246">
        <f>ROUND(IF('Included @ Interval'!T11="yes",'Hours Per Job'!T11*'Interval Reimb'!$B$38+'Parts Cost Per Job'!T11*((1+'Interval Reimb'!$B$39)*'Interval Reimb'!$B$40),0),2)</f>
        <v>0</v>
      </c>
      <c r="U11" s="246">
        <f>ROUND(IF('Included @ Interval'!U11="yes",'Hours Per Job'!U11*'Interval Reimb'!$B$38+'Parts Cost Per Job'!U11*((1+'Interval Reimb'!$B$39)*'Interval Reimb'!$B$40),0),2)</f>
        <v>182.56</v>
      </c>
      <c r="V11" s="246">
        <f>ROUND(IF('Included @ Interval'!V11="yes",'Hours Per Job'!V11*'Interval Reimb'!$B$38+'Parts Cost Per Job'!V11*((1+'Interval Reimb'!$B$39)*'Interval Reimb'!$B$40),0),2)</f>
        <v>0</v>
      </c>
      <c r="W11" s="246">
        <f>ROUND(IF('Included @ Interval'!W11="yes",'Hours Per Job'!W11*'Interval Reimb'!$B$38+'Parts Cost Per Job'!W11*((1+'Interval Reimb'!$B$39)*'Interval Reimb'!$B$40),0),2)</f>
        <v>0</v>
      </c>
      <c r="X11" s="246">
        <f>ROUND(IF('Included @ Interval'!X11="yes",'Hours Per Job'!X11*'Interval Reimb'!$B$38+'Parts Cost Per Job'!X11*((1+'Interval Reimb'!$B$39)*'Interval Reimb'!$B$40),0),2)</f>
        <v>0</v>
      </c>
      <c r="Y11" s="246">
        <f>ROUND(IF('Included @ Interval'!Y11="yes",'Hours Per Job'!Y11*'Interval Reimb'!$B$38+'Parts Cost Per Job'!Y11*((1+'Interval Reimb'!$B$39)*'Interval Reimb'!$B$40),0),2)</f>
        <v>36</v>
      </c>
      <c r="Z11" s="246">
        <f>ROUND(IF('Included @ Interval'!Z11="yes",'Hours Per Job'!Z11*'Interval Reimb'!$B$38+'Parts Cost Per Job'!Z11*((1+'Interval Reimb'!$B$39)*'Interval Reimb'!$B$40),0),2)</f>
        <v>70.17</v>
      </c>
      <c r="AA11" s="246">
        <f>ROUND(IF('Included @ Interval'!AA11="yes",'Hours Per Job'!AA11*'Interval Reimb'!$B$38+'Parts Cost Per Job'!AA11*((1+'Interval Reimb'!$B$39)*'Interval Reimb'!$B$40),0),2)</f>
        <v>0</v>
      </c>
      <c r="AB11" s="246">
        <f>ROUND(IF('Included @ Interval'!AB11="yes",'Hours Per Job'!AB11*'Interval Reimb'!$B$38+'Parts Cost Per Job'!AB11*((1+'Interval Reimb'!$B$39)*'Interval Reimb'!$B$40),0),2)</f>
        <v>0</v>
      </c>
      <c r="AC11" s="246">
        <f>ROUND(IF('Included @ Interval'!AC11="yes",'Hours Per Job'!AC11*'Interval Reimb'!$B$38+'Parts Cost Per Job'!AC11*((1+'Interval Reimb'!$B$39)*'Interval Reimb'!$B$40),0),2)</f>
        <v>0</v>
      </c>
      <c r="AD11" s="246">
        <f>ROUND(IF('Included @ Interval'!AD11="yes",'Hours Per Job'!AD11*'Interval Reimb'!$B$38+'Parts Cost Per Job'!AD11*((1+'Interval Reimb'!$B$39)*'Interval Reimb'!$B$40),0),2)</f>
        <v>0</v>
      </c>
      <c r="AE11" s="246">
        <f>ROUND(IF('Included @ Interval'!AE11="yes",'Hours Per Job'!AE11*'Interval Reimb'!$B$38+'Parts Cost Per Job'!AE11*((1+'Interval Reimb'!$B$39)*'Interval Reimb'!$B$40),0),2)</f>
        <v>137.44</v>
      </c>
      <c r="AF11" s="246">
        <f>ROUND(IF('Included @ Interval'!AF11="yes",'Hours Per Job'!AF11*'Interval Reimb'!$B$38+'Parts Cost Per Job'!AF11*((1+'Interval Reimb'!$B$39)*'Interval Reimb'!$B$40),0),2)</f>
        <v>81.010000000000005</v>
      </c>
      <c r="AG11" s="246">
        <f>ROUND(IF('Included @ Interval'!AG11="yes",'Hours Per Job'!AG11*'Interval Reimb'!$B$38+'Parts Cost Per Job'!AG11*((1+'Interval Reimb'!$B$39)*'Interval Reimb'!$B$40),0),2)</f>
        <v>178.3</v>
      </c>
      <c r="AH11" s="246">
        <f>ROUND(IF('Included @ Interval'!AH11="yes",'Hours Per Job'!AH11*'Interval Reimb'!$B$38+'Parts Cost Per Job'!AH11*((1+'Interval Reimb'!$B$39)*'Interval Reimb'!$B$40),0),2)</f>
        <v>0</v>
      </c>
      <c r="AI11" s="246">
        <f>ROUND(IF('Included @ Interval'!AI11="yes",'Hours Per Job'!AI11*'Interval Reimb'!$B$38+'Parts Cost Per Job'!AI11*((1+'Interval Reimb'!$B$39)*'Interval Reimb'!$B$40),0),2)</f>
        <v>0</v>
      </c>
      <c r="AJ11" s="246">
        <f>ROUND(IF('Included @ Interval'!AJ11="yes",'Hours Per Job'!AJ11*'Interval Reimb'!$B$38+'Parts Cost Per Job'!AJ11*((1+'Interval Reimb'!$B$39)*'Interval Reimb'!$B$40),0),2)</f>
        <v>0</v>
      </c>
      <c r="AK11" s="246">
        <f>ROUND(IF('Included @ Interval'!AK11="yes",'Hours Per Job'!AK11*'Interval Reimb'!$B$38+'Parts Cost Per Job'!AK11*((1+'Interval Reimb'!$B$39)*'Interval Reimb'!$B$40),0),2)</f>
        <v>0</v>
      </c>
      <c r="AL11" s="246">
        <f>ROUND(IF('Included @ Interval'!AL11="yes",'Hours Per Job'!AL11*'Interval Reimb'!$B$38+'Parts Cost Per Job'!AL11*((1+'Interval Reimb'!$B$39)*'Interval Reimb'!$B$40),0),2)</f>
        <v>0</v>
      </c>
      <c r="AM11" s="246">
        <f>ROUND(IF('Included @ Interval'!AM11="yes",'Hours Per Job'!AM11*'Interval Reimb'!$B$38+'Parts Cost Per Job'!AM11*((1+'Interval Reimb'!$B$39)*'Interval Reimb'!$B$40),0),2)</f>
        <v>0</v>
      </c>
      <c r="AN11" s="246">
        <f>ROUND(IF('Included @ Interval'!AN11="yes",'Hours Per Job'!AN11*'Interval Reimb'!$B$38+'Parts Cost Per Job'!AN11*((1+'Interval Reimb'!$B$39)*'Interval Reimb'!$B$40),0),2)</f>
        <v>0</v>
      </c>
      <c r="AO11" s="246">
        <f>ROUND(IF('Included @ Interval'!AO11="yes",'Hours Per Job'!AO11*'Interval Reimb'!$B$38+'Parts Cost Per Job'!AO11*((1+'Interval Reimb'!$B$39)*'Interval Reimb'!$B$40),0),2)</f>
        <v>0</v>
      </c>
      <c r="AP11" s="246">
        <f>ROUND(IF('Included @ Interval'!AP11="yes",'Hours Per Job'!AP11*'Interval Reimb'!$B$38+'Parts Cost Per Job'!AP11*((1+'Interval Reimb'!$B$39)*'Interval Reimb'!$B$40),0),2)</f>
        <v>0</v>
      </c>
      <c r="AQ11" s="246">
        <f>ROUND(IF('Included @ Interval'!AQ11="yes",'Hours Per Job'!AQ11*'Interval Reimb'!$B$38+'Parts Cost Per Job'!AQ11*((1+'Interval Reimb'!$B$39)*'Interval Reimb'!$B$40),0),2)</f>
        <v>0</v>
      </c>
      <c r="AR11" s="246">
        <f>ROUND(IF('Included @ Interval'!AR11="yes",'Hours Per Job'!AR11*'Interval Reimb'!$B$38+'Parts Cost Per Job'!AR11*((1+'Interval Reimb'!$B$39)*'Interval Reimb'!$B$40),0),2)</f>
        <v>0</v>
      </c>
      <c r="AS11" s="246">
        <f>ROUND(IF('Included @ Interval'!AS11="yes",'Hours Per Job'!AS11*'Interval Reimb'!$B$38+'Parts Cost Per Job'!AS11*((1+'Interval Reimb'!$B$39)*'Interval Reimb'!$B$40),0),2)</f>
        <v>179.4</v>
      </c>
      <c r="AT11" s="246">
        <f>ROUND(IF('Included @ Interval'!AT11="yes",'Hours Per Job'!AT11*'Interval Reimb'!$B$38+'Parts Cost Per Job'!AT11*((1+'Interval Reimb'!$B$39)*'Interval Reimb'!$B$40),0),2)</f>
        <v>71.069999999999993</v>
      </c>
      <c r="AU11" s="246">
        <f>ROUND(IF('Included @ Interval'!AU11="yes",'Hours Per Job'!AU11*'Interval Reimb'!$B$38+'Parts Cost Per Job'!AU11*((1+'Interval Reimb'!$B$39)*'Interval Reimb'!$B$40),0),2)</f>
        <v>0</v>
      </c>
      <c r="AV11" s="246">
        <f>ROUND(IF('Included @ Interval'!AV11="yes",'Hours Per Job'!AV11*'Interval Reimb'!$B$38+'Parts Cost Per Job'!AV11*((1+'Interval Reimb'!$B$39)*'Interval Reimb'!$B$40),0),2)</f>
        <v>0</v>
      </c>
      <c r="AW11" s="246">
        <f>ROUND(IF('Included @ Interval'!AW11="yes",'Hours Per Job'!AW11*'Interval Reimb'!$B$38+'Parts Cost Per Job'!AW11*((1+'Interval Reimb'!$B$39)*'Interval Reimb'!$B$40),0),2)</f>
        <v>0</v>
      </c>
      <c r="AX11" s="246">
        <f>ROUND(IF('Included @ Interval'!AX11="yes",'Hours Per Job'!AX11*'Interval Reimb'!$B$38+'Parts Cost Per Job'!AX11*((1+'Interval Reimb'!$B$39)*'Interval Reimb'!$B$40),0),2)</f>
        <v>0</v>
      </c>
      <c r="AY11" s="246">
        <f>ROUND(IF('Included @ Interval'!AY11="yes",'Hours Per Job'!AY11*'Interval Reimb'!$B$38+'Parts Cost Per Job'!AY11*((1+'Interval Reimb'!$B$39)*'Interval Reimb'!$B$40),0),2)</f>
        <v>0</v>
      </c>
      <c r="AZ11" s="246">
        <f>ROUND(IF('Included @ Interval'!AZ11="yes",'Hours Per Job'!AZ11*'Interval Reimb'!$B$38+'Parts Cost Per Job'!AZ11*((1+'Interval Reimb'!$B$39)*'Interval Reimb'!$B$40),0),2)</f>
        <v>0</v>
      </c>
      <c r="BA11" s="246">
        <f>ROUND(IF('Included @ Interval'!BA11="yes",'Hours Per Job'!BA11*'Interval Reimb'!$B$38+'Parts Cost Per Job'!BA11*((1+'Interval Reimb'!$B$39)*'Interval Reimb'!$B$40),0),2)</f>
        <v>0</v>
      </c>
      <c r="BB11" s="246">
        <f>ROUND(IF('Included @ Interval'!BB11="yes",'Hours Per Job'!BB11*'Interval Reimb'!$B$38+'Parts Cost Per Job'!BB11*((1+'Interval Reimb'!$B$39)*'Interval Reimb'!$B$40),0),2)</f>
        <v>69.63</v>
      </c>
      <c r="BC11" s="246">
        <f>ROUND(IF('Included @ Interval'!BC11="yes",'Hours Per Job'!BC11*'Interval Reimb'!$B$38+'Parts Cost Per Job'!BC11*((1+'Interval Reimb'!$B$39)*'Interval Reimb'!$B$40),0),2)</f>
        <v>0</v>
      </c>
      <c r="BD11" s="246">
        <f>ROUND(IF('Included @ Interval'!BD11="yes",'Hours Per Job'!BD11*'Interval Reimb'!$B$38+'Parts Cost Per Job'!BD11*((1+'Interval Reimb'!$B$39)*'Interval Reimb'!$B$40),0),2)</f>
        <v>0</v>
      </c>
      <c r="BE11" s="246">
        <f>ROUND(IF('Included @ Interval'!BE11="yes",'Hours Per Job'!BE11*'Interval Reimb'!$B$38+'Parts Cost Per Job'!BE11*((1+'Interval Reimb'!$B$39)*'Interval Reimb'!$B$40),0),2)</f>
        <v>0</v>
      </c>
      <c r="BF11" s="246">
        <f>ROUND(IF('Included @ Interval'!BF11="yes",'Hours Per Job'!BF11*'Interval Reimb'!$B$38+'Parts Cost Per Job'!BF11*((1+'Interval Reimb'!$B$39)*'Interval Reimb'!$B$40),0),2)</f>
        <v>0</v>
      </c>
      <c r="BG11" s="246">
        <f>ROUND(IF('Included @ Interval'!BG11="yes",'Hours Per Job'!BG11*'Interval Reimb'!$B$38+'Parts Cost Per Job'!BG11*((1+'Interval Reimb'!$B$39)*'Interval Reimb'!$B$40),0),2)</f>
        <v>0</v>
      </c>
      <c r="BH11" s="246">
        <f>ROUND(IF('Included @ Interval'!BH11="yes",'Hours Per Job'!BH11*'Interval Reimb'!$B$38+'Parts Cost Per Job'!BH11*((1+'Interval Reimb'!$B$39)*'Interval Reimb'!$B$40),0),2)</f>
        <v>0</v>
      </c>
      <c r="BI11" s="246">
        <f>ROUND(IF('Included @ Interval'!BI11="yes",'Hours Per Job'!BI11*'Interval Reimb'!$B$38+'Parts Cost Per Job'!BI11*((1+'Interval Reimb'!$B$39)*'Interval Reimb'!$B$40),0),2)</f>
        <v>0</v>
      </c>
      <c r="BJ11" s="246">
        <f>ROUND(IF('Included @ Interval'!BJ11="yes",'Hours Per Job'!BJ11*'Interval Reimb'!$B$38+'Parts Cost Per Job'!BJ11*((1+'Interval Reimb'!$B$39)*'Interval Reimb'!$B$40),0),2)</f>
        <v>30</v>
      </c>
      <c r="BK11" s="246">
        <f>ROUND(IF('Included @ Interval'!BK11="yes",'Hours Per Job'!BK11*'Interval Reimb'!$B$38+'Parts Cost Per Job'!BK11*((1+'Interval Reimb'!$B$39)*'Interval Reimb'!$B$40),0),2)</f>
        <v>0</v>
      </c>
      <c r="BL11" s="246">
        <f>ROUND(IF('Included @ Interval'!BL11="yes",'Hours Per Job'!BL11*'Interval Reimb'!$B$38+'Parts Cost Per Job'!BL11*((1+'Interval Reimb'!$B$39)*'Interval Reimb'!$B$40),0),2)</f>
        <v>0</v>
      </c>
      <c r="BM11" s="246">
        <f>ROUND(IF('Included @ Interval'!BM11="yes",'Hours Per Job'!BM11*'Interval Reimb'!$B$38+'Parts Cost Per Job'!BM11*((1+'Interval Reimb'!$B$39)*'Interval Reimb'!$B$40),0),2)</f>
        <v>0</v>
      </c>
      <c r="BN11" s="246">
        <f>ROUND(IF('Included @ Interval'!BN11="yes",'Hours Per Job'!BN11*'Interval Reimb'!$B$38+'Parts Cost Per Job'!BN11*((1+'Interval Reimb'!$B$39)*'Interval Reimb'!$B$40),0),2)</f>
        <v>0</v>
      </c>
      <c r="BO11" s="246">
        <f>ROUND(IF('Included @ Interval'!BO11="yes",'Hours Per Job'!BO11*'Interval Reimb'!$B$38+'Parts Cost Per Job'!BO11*((1+'Interval Reimb'!$B$39)*'Interval Reimb'!$B$40),0),2)</f>
        <v>0</v>
      </c>
      <c r="BP11" s="246">
        <f>ROUND(IF('Included @ Interval'!BP11="yes",'Hours Per Job'!BP11*'Interval Reimb'!$B$38+'Parts Cost Per Job'!BP11*((1+'Interval Reimb'!$B$39)*'Interval Reimb'!$B$40),0),2)</f>
        <v>0</v>
      </c>
      <c r="BQ11" s="9">
        <f t="shared" si="0"/>
        <v>1035.58</v>
      </c>
      <c r="BR11" s="9">
        <f t="shared" si="1"/>
        <v>3.7500000000000004</v>
      </c>
    </row>
    <row r="12" spans="1:70" x14ac:dyDescent="0.2">
      <c r="A12" s="18" t="str">
        <f>+'Scheduled Intervals'!A12</f>
        <v>Excavator - under 3.5 ton</v>
      </c>
      <c r="B12" s="246">
        <f>ROUND(IF('Included @ Interval'!B12="yes",'Hours Per Job'!B12*'Interval Reimb'!$B$38+'Parts Cost Per Job'!B12*((1+'Interval Reimb'!$B$39)*'Interval Reimb'!$B$40),0),2)</f>
        <v>0</v>
      </c>
      <c r="C12" s="246">
        <f>ROUND(IF('Included @ Interval'!C12="yes",'Hours Per Job'!C12*'Interval Reimb'!$B$38+'Parts Cost Per Job'!C12*((1+'Interval Reimb'!$B$39)*'Interval Reimb'!$B$40),0),2)</f>
        <v>0</v>
      </c>
      <c r="D12" s="246">
        <f>ROUND(IF('Included @ Interval'!D12="yes",'Hours Per Job'!D12*'Interval Reimb'!$B$38+'Parts Cost Per Job'!D12*((1+'Interval Reimb'!$B$39)*'Interval Reimb'!$B$40),0),2)</f>
        <v>0</v>
      </c>
      <c r="E12" s="246">
        <f>ROUND(IF('Included @ Interval'!E12="yes",'Hours Per Job'!E12*'Interval Reimb'!$B$38+'Parts Cost Per Job'!E12*((1+'Interval Reimb'!$B$39)*'Interval Reimb'!$B$40),0),2)</f>
        <v>0</v>
      </c>
      <c r="F12" s="246">
        <f>ROUND(IF('Included @ Interval'!F12="yes",'Hours Per Job'!F12*'Interval Reimb'!$B$38+'Parts Cost Per Job'!F12*((1+'Interval Reimb'!$B$39)*'Interval Reimb'!$B$40),0),2)</f>
        <v>0</v>
      </c>
      <c r="G12" s="246">
        <f>ROUND(IF('Included @ Interval'!G12="yes",'Hours Per Job'!G12*'Interval Reimb'!$B$38+'Parts Cost Per Job'!G12*((1+'Interval Reimb'!$B$39)*'Interval Reimb'!$B$40),0),2)</f>
        <v>0</v>
      </c>
      <c r="H12" s="246">
        <f>ROUND(IF('Included @ Interval'!H12="yes",'Hours Per Job'!H12*'Interval Reimb'!$B$38+'Parts Cost Per Job'!H12*((1+'Interval Reimb'!$B$39)*'Interval Reimb'!$B$40),0),2)</f>
        <v>0</v>
      </c>
      <c r="I12" s="246">
        <f>ROUND(IF('Included @ Interval'!I12="yes",'Hours Per Job'!I12*'Interval Reimb'!$B$38+'Parts Cost Per Job'!I12*((1+'Interval Reimb'!$B$39)*'Interval Reimb'!$B$40),0),2)</f>
        <v>0</v>
      </c>
      <c r="J12" s="246">
        <f>ROUND(IF('Included @ Interval'!J12="yes",'Hours Per Job'!J12*'Interval Reimb'!$B$38+'Parts Cost Per Job'!J12*((1+'Interval Reimb'!$B$39)*'Interval Reimb'!$B$40),0),2)</f>
        <v>0</v>
      </c>
      <c r="K12" s="246">
        <f>ROUND(IF('Included @ Interval'!K12="yes",'Hours Per Job'!K12*'Interval Reimb'!$B$38+'Parts Cost Per Job'!K12*((1+'Interval Reimb'!$B$39)*'Interval Reimb'!$B$40),0),2)</f>
        <v>0</v>
      </c>
      <c r="L12" s="246">
        <f>ROUND(IF('Included @ Interval'!L12="yes",'Hours Per Job'!L12*'Interval Reimb'!$B$38+'Parts Cost Per Job'!L12*((1+'Interval Reimb'!$B$39)*'Interval Reimb'!$B$40),0),2)</f>
        <v>0</v>
      </c>
      <c r="M12" s="246">
        <f>ROUND(IF('Included @ Interval'!M12="yes",'Hours Per Job'!M12*'Interval Reimb'!$B$38+'Parts Cost Per Job'!M12*((1+'Interval Reimb'!$B$39)*'Interval Reimb'!$B$40),0),2)</f>
        <v>0</v>
      </c>
      <c r="N12" s="246">
        <f>ROUND(IF('Included @ Interval'!N12="yes",'Hours Per Job'!N12*'Interval Reimb'!$B$38+'Parts Cost Per Job'!N12*((1+'Interval Reimb'!$B$39)*'Interval Reimb'!$B$40),0),2)</f>
        <v>0</v>
      </c>
      <c r="O12" s="246">
        <f>ROUND(IF('Included @ Interval'!O12="yes",'Hours Per Job'!O12*'Interval Reimb'!$B$38+'Parts Cost Per Job'!O12*((1+'Interval Reimb'!$B$39)*'Interval Reimb'!$B$40),0),2)</f>
        <v>0</v>
      </c>
      <c r="P12" s="246">
        <f>ROUND(IF('Included @ Interval'!P12="yes",'Hours Per Job'!P12*'Interval Reimb'!$B$38+'Parts Cost Per Job'!P12*((1+'Interval Reimb'!$B$39)*'Interval Reimb'!$B$40),0),2)</f>
        <v>0</v>
      </c>
      <c r="Q12" s="246">
        <f>ROUND(IF('Included @ Interval'!Q12="yes",'Hours Per Job'!Q12*'Interval Reimb'!$B$38+'Parts Cost Per Job'!Q12*((1+'Interval Reimb'!$B$39)*'Interval Reimb'!$B$40),0),2)</f>
        <v>0</v>
      </c>
      <c r="R12" s="246">
        <f>ROUND(IF('Included @ Interval'!R12="yes",'Hours Per Job'!R12*'Interval Reimb'!$B$38+'Parts Cost Per Job'!R12*((1+'Interval Reimb'!$B$39)*'Interval Reimb'!$B$40),0),2)</f>
        <v>0</v>
      </c>
      <c r="S12" s="246">
        <f>ROUND(IF('Included @ Interval'!S12="yes",'Hours Per Job'!S12*'Interval Reimb'!$B$38+'Parts Cost Per Job'!S12*((1+'Interval Reimb'!$B$39)*'Interval Reimb'!$B$40),0),2)</f>
        <v>0</v>
      </c>
      <c r="T12" s="246">
        <f>ROUND(IF('Included @ Interval'!T12="yes",'Hours Per Job'!T12*'Interval Reimb'!$B$38+'Parts Cost Per Job'!T12*((1+'Interval Reimb'!$B$39)*'Interval Reimb'!$B$40),0),2)</f>
        <v>0</v>
      </c>
      <c r="U12" s="246">
        <f>ROUND(IF('Included @ Interval'!U12="yes",'Hours Per Job'!U12*'Interval Reimb'!$B$38+'Parts Cost Per Job'!U12*((1+'Interval Reimb'!$B$39)*'Interval Reimb'!$B$40),0),2)</f>
        <v>166.18</v>
      </c>
      <c r="V12" s="246">
        <f>ROUND(IF('Included @ Interval'!V12="yes",'Hours Per Job'!V12*'Interval Reimb'!$B$38+'Parts Cost Per Job'!V12*((1+'Interval Reimb'!$B$39)*'Interval Reimb'!$B$40),0),2)</f>
        <v>0</v>
      </c>
      <c r="W12" s="246">
        <f>ROUND(IF('Included @ Interval'!W12="yes",'Hours Per Job'!W12*'Interval Reimb'!$B$38+'Parts Cost Per Job'!W12*((1+'Interval Reimb'!$B$39)*'Interval Reimb'!$B$40),0),2)</f>
        <v>0</v>
      </c>
      <c r="X12" s="246">
        <f>ROUND(IF('Included @ Interval'!X12="yes",'Hours Per Job'!X12*'Interval Reimb'!$B$38+'Parts Cost Per Job'!X12*((1+'Interval Reimb'!$B$39)*'Interval Reimb'!$B$40),0),2)</f>
        <v>112.6</v>
      </c>
      <c r="Y12" s="246">
        <f>ROUND(IF('Included @ Interval'!Y12="yes",'Hours Per Job'!Y12*'Interval Reimb'!$B$38+'Parts Cost Per Job'!Y12*((1+'Interval Reimb'!$B$39)*'Interval Reimb'!$B$40),0),2)</f>
        <v>0</v>
      </c>
      <c r="Z12" s="246">
        <f>ROUND(IF('Included @ Interval'!Z12="yes",'Hours Per Job'!Z12*'Interval Reimb'!$B$38+'Parts Cost Per Job'!Z12*((1+'Interval Reimb'!$B$39)*'Interval Reimb'!$B$40),0),2)</f>
        <v>61.06</v>
      </c>
      <c r="AA12" s="246">
        <f>ROUND(IF('Included @ Interval'!AA12="yes",'Hours Per Job'!AA12*'Interval Reimb'!$B$38+'Parts Cost Per Job'!AA12*((1+'Interval Reimb'!$B$39)*'Interval Reimb'!$B$40),0),2)</f>
        <v>0</v>
      </c>
      <c r="AB12" s="246">
        <f>ROUND(IF('Included @ Interval'!AB12="yes",'Hours Per Job'!AB12*'Interval Reimb'!$B$38+'Parts Cost Per Job'!AB12*((1+'Interval Reimb'!$B$39)*'Interval Reimb'!$B$40),0),2)</f>
        <v>0</v>
      </c>
      <c r="AC12" s="246">
        <f>ROUND(IF('Included @ Interval'!AC12="yes",'Hours Per Job'!AC12*'Interval Reimb'!$B$38+'Parts Cost Per Job'!AC12*((1+'Interval Reimb'!$B$39)*'Interval Reimb'!$B$40),0),2)</f>
        <v>0</v>
      </c>
      <c r="AD12" s="246">
        <f>ROUND(IF('Included @ Interval'!AD12="yes",'Hours Per Job'!AD12*'Interval Reimb'!$B$38+'Parts Cost Per Job'!AD12*((1+'Interval Reimb'!$B$39)*'Interval Reimb'!$B$40),0),2)</f>
        <v>0</v>
      </c>
      <c r="AE12" s="246">
        <f>ROUND(IF('Included @ Interval'!AE12="yes",'Hours Per Job'!AE12*'Interval Reimb'!$B$38+'Parts Cost Per Job'!AE12*((1+'Interval Reimb'!$B$39)*'Interval Reimb'!$B$40),0),2)</f>
        <v>0</v>
      </c>
      <c r="AF12" s="246">
        <f>ROUND(IF('Included @ Interval'!AF12="yes",'Hours Per Job'!AF12*'Interval Reimb'!$B$38+'Parts Cost Per Job'!AF12*((1+'Interval Reimb'!$B$39)*'Interval Reimb'!$B$40),0),2)</f>
        <v>0</v>
      </c>
      <c r="AG12" s="246">
        <f>ROUND(IF('Included @ Interval'!AG12="yes",'Hours Per Job'!AG12*'Interval Reimb'!$B$38+'Parts Cost Per Job'!AG12*((1+'Interval Reimb'!$B$39)*'Interval Reimb'!$B$40),0),2)</f>
        <v>0</v>
      </c>
      <c r="AH12" s="246">
        <f>ROUND(IF('Included @ Interval'!AH12="yes",'Hours Per Job'!AH12*'Interval Reimb'!$B$38+'Parts Cost Per Job'!AH12*((1+'Interval Reimb'!$B$39)*'Interval Reimb'!$B$40),0),2)</f>
        <v>0</v>
      </c>
      <c r="AI12" s="246">
        <f>ROUND(IF('Included @ Interval'!AI12="yes",'Hours Per Job'!AI12*'Interval Reimb'!$B$38+'Parts Cost Per Job'!AI12*((1+'Interval Reimb'!$B$39)*'Interval Reimb'!$B$40),0),2)</f>
        <v>0</v>
      </c>
      <c r="AJ12" s="246">
        <f>ROUND(IF('Included @ Interval'!AJ12="yes",'Hours Per Job'!AJ12*'Interval Reimb'!$B$38+'Parts Cost Per Job'!AJ12*((1+'Interval Reimb'!$B$39)*'Interval Reimb'!$B$40),0),2)</f>
        <v>0</v>
      </c>
      <c r="AK12" s="246">
        <f>ROUND(IF('Included @ Interval'!AK12="yes",'Hours Per Job'!AK12*'Interval Reimb'!$B$38+'Parts Cost Per Job'!AK12*((1+'Interval Reimb'!$B$39)*'Interval Reimb'!$B$40),0),2)</f>
        <v>0</v>
      </c>
      <c r="AL12" s="246">
        <f>ROUND(IF('Included @ Interval'!AL12="yes",'Hours Per Job'!AL12*'Interval Reimb'!$B$38+'Parts Cost Per Job'!AL12*((1+'Interval Reimb'!$B$39)*'Interval Reimb'!$B$40),0),2)</f>
        <v>0</v>
      </c>
      <c r="AM12" s="246">
        <f>ROUND(IF('Included @ Interval'!AM12="yes",'Hours Per Job'!AM12*'Interval Reimb'!$B$38+'Parts Cost Per Job'!AM12*((1+'Interval Reimb'!$B$39)*'Interval Reimb'!$B$40),0),2)</f>
        <v>0</v>
      </c>
      <c r="AN12" s="246">
        <f>ROUND(IF('Included @ Interval'!AN12="yes",'Hours Per Job'!AN12*'Interval Reimb'!$B$38+'Parts Cost Per Job'!AN12*((1+'Interval Reimb'!$B$39)*'Interval Reimb'!$B$40),0),2)</f>
        <v>0</v>
      </c>
      <c r="AO12" s="246">
        <f>ROUND(IF('Included @ Interval'!AO12="yes",'Hours Per Job'!AO12*'Interval Reimb'!$B$38+'Parts Cost Per Job'!AO12*((1+'Interval Reimb'!$B$39)*'Interval Reimb'!$B$40),0),2)</f>
        <v>0</v>
      </c>
      <c r="AP12" s="246">
        <f>ROUND(IF('Included @ Interval'!AP12="yes",'Hours Per Job'!AP12*'Interval Reimb'!$B$38+'Parts Cost Per Job'!AP12*((1+'Interval Reimb'!$B$39)*'Interval Reimb'!$B$40),0),2)</f>
        <v>30</v>
      </c>
      <c r="AQ12" s="246">
        <f>ROUND(IF('Included @ Interval'!AQ12="yes",'Hours Per Job'!AQ12*'Interval Reimb'!$B$38+'Parts Cost Per Job'!AQ12*((1+'Interval Reimb'!$B$39)*'Interval Reimb'!$B$40),0),2)</f>
        <v>24</v>
      </c>
      <c r="AR12" s="246">
        <f>ROUND(IF('Included @ Interval'!AR12="yes",'Hours Per Job'!AR12*'Interval Reimb'!$B$38+'Parts Cost Per Job'!AR12*((1+'Interval Reimb'!$B$39)*'Interval Reimb'!$B$40),0),2)</f>
        <v>0</v>
      </c>
      <c r="AS12" s="246">
        <f>ROUND(IF('Included @ Interval'!AS12="yes",'Hours Per Job'!AS12*'Interval Reimb'!$B$38+'Parts Cost Per Job'!AS12*((1+'Interval Reimb'!$B$39)*'Interval Reimb'!$B$40),0),2)</f>
        <v>0</v>
      </c>
      <c r="AT12" s="246">
        <f>ROUND(IF('Included @ Interval'!AT12="yes",'Hours Per Job'!AT12*'Interval Reimb'!$B$38+'Parts Cost Per Job'!AT12*((1+'Interval Reimb'!$B$39)*'Interval Reimb'!$B$40),0),2)</f>
        <v>71.069999999999993</v>
      </c>
      <c r="AU12" s="246">
        <f>ROUND(IF('Included @ Interval'!AU12="yes",'Hours Per Job'!AU12*'Interval Reimb'!$B$38+'Parts Cost Per Job'!AU12*((1+'Interval Reimb'!$B$39)*'Interval Reimb'!$B$40),0),2)</f>
        <v>0</v>
      </c>
      <c r="AV12" s="246">
        <f>ROUND(IF('Included @ Interval'!AV12="yes",'Hours Per Job'!AV12*'Interval Reimb'!$B$38+'Parts Cost Per Job'!AV12*((1+'Interval Reimb'!$B$39)*'Interval Reimb'!$B$40),0),2)</f>
        <v>0</v>
      </c>
      <c r="AW12" s="246">
        <f>ROUND(IF('Included @ Interval'!AW12="yes",'Hours Per Job'!AW12*'Interval Reimb'!$B$38+'Parts Cost Per Job'!AW12*((1+'Interval Reimb'!$B$39)*'Interval Reimb'!$B$40),0),2)</f>
        <v>0</v>
      </c>
      <c r="AX12" s="246">
        <f>ROUND(IF('Included @ Interval'!AX12="yes",'Hours Per Job'!AX12*'Interval Reimb'!$B$38+'Parts Cost Per Job'!AX12*((1+'Interval Reimb'!$B$39)*'Interval Reimb'!$B$40),0),2)</f>
        <v>0</v>
      </c>
      <c r="AY12" s="246">
        <f>ROUND(IF('Included @ Interval'!AY12="yes",'Hours Per Job'!AY12*'Interval Reimb'!$B$38+'Parts Cost Per Job'!AY12*((1+'Interval Reimb'!$B$39)*'Interval Reimb'!$B$40),0),2)</f>
        <v>0</v>
      </c>
      <c r="AZ12" s="246">
        <f>ROUND(IF('Included @ Interval'!AZ12="yes",'Hours Per Job'!AZ12*'Interval Reimb'!$B$38+'Parts Cost Per Job'!AZ12*((1+'Interval Reimb'!$B$39)*'Interval Reimb'!$B$40),0),2)</f>
        <v>211.9</v>
      </c>
      <c r="BA12" s="246">
        <f>ROUND(IF('Included @ Interval'!BA12="yes",'Hours Per Job'!BA12*'Interval Reimb'!$B$38+'Parts Cost Per Job'!BA12*((1+'Interval Reimb'!$B$39)*'Interval Reimb'!$B$40),0),2)</f>
        <v>0</v>
      </c>
      <c r="BB12" s="246">
        <f>ROUND(IF('Included @ Interval'!BB12="yes",'Hours Per Job'!BB12*'Interval Reimb'!$B$38+'Parts Cost Per Job'!BB12*((1+'Interval Reimb'!$B$39)*'Interval Reimb'!$B$40),0),2)</f>
        <v>0</v>
      </c>
      <c r="BC12" s="246">
        <f>ROUND(IF('Included @ Interval'!BC12="yes",'Hours Per Job'!BC12*'Interval Reimb'!$B$38+'Parts Cost Per Job'!BC12*((1+'Interval Reimb'!$B$39)*'Interval Reimb'!$B$40),0),2)</f>
        <v>0</v>
      </c>
      <c r="BD12" s="246">
        <f>ROUND(IF('Included @ Interval'!BD12="yes",'Hours Per Job'!BD12*'Interval Reimb'!$B$38+'Parts Cost Per Job'!BD12*((1+'Interval Reimb'!$B$39)*'Interval Reimb'!$B$40),0),2)</f>
        <v>0</v>
      </c>
      <c r="BE12" s="246">
        <f>ROUND(IF('Included @ Interval'!BE12="yes",'Hours Per Job'!BE12*'Interval Reimb'!$B$38+'Parts Cost Per Job'!BE12*((1+'Interval Reimb'!$B$39)*'Interval Reimb'!$B$40),0),2)</f>
        <v>0</v>
      </c>
      <c r="BF12" s="246">
        <f>ROUND(IF('Included @ Interval'!BF12="yes",'Hours Per Job'!BF12*'Interval Reimb'!$B$38+'Parts Cost Per Job'!BF12*((1+'Interval Reimb'!$B$39)*'Interval Reimb'!$B$40),0),2)</f>
        <v>0</v>
      </c>
      <c r="BG12" s="246">
        <f>ROUND(IF('Included @ Interval'!BG12="yes",'Hours Per Job'!BG12*'Interval Reimb'!$B$38+'Parts Cost Per Job'!BG12*((1+'Interval Reimb'!$B$39)*'Interval Reimb'!$B$40),0),2)</f>
        <v>0</v>
      </c>
      <c r="BH12" s="246">
        <f>ROUND(IF('Included @ Interval'!BH12="yes",'Hours Per Job'!BH12*'Interval Reimb'!$B$38+'Parts Cost Per Job'!BH12*((1+'Interval Reimb'!$B$39)*'Interval Reimb'!$B$40),0),2)</f>
        <v>0</v>
      </c>
      <c r="BI12" s="246">
        <f>ROUND(IF('Included @ Interval'!BI12="yes",'Hours Per Job'!BI12*'Interval Reimb'!$B$38+'Parts Cost Per Job'!BI12*((1+'Interval Reimb'!$B$39)*'Interval Reimb'!$B$40),0),2)</f>
        <v>0</v>
      </c>
      <c r="BJ12" s="246">
        <f>ROUND(IF('Included @ Interval'!BJ12="yes",'Hours Per Job'!BJ12*'Interval Reimb'!$B$38+'Parts Cost Per Job'!BJ12*((1+'Interval Reimb'!$B$39)*'Interval Reimb'!$B$40),0),2)</f>
        <v>30</v>
      </c>
      <c r="BK12" s="246">
        <f>ROUND(IF('Included @ Interval'!BK12="yes",'Hours Per Job'!BK12*'Interval Reimb'!$B$38+'Parts Cost Per Job'!BK12*((1+'Interval Reimb'!$B$39)*'Interval Reimb'!$B$40),0),2)</f>
        <v>0</v>
      </c>
      <c r="BL12" s="246">
        <f>ROUND(IF('Included @ Interval'!BL12="yes",'Hours Per Job'!BL12*'Interval Reimb'!$B$38+'Parts Cost Per Job'!BL12*((1+'Interval Reimb'!$B$39)*'Interval Reimb'!$B$40),0),2)</f>
        <v>0</v>
      </c>
      <c r="BM12" s="246">
        <f>ROUND(IF('Included @ Interval'!BM12="yes",'Hours Per Job'!BM12*'Interval Reimb'!$B$38+'Parts Cost Per Job'!BM12*((1+'Interval Reimb'!$B$39)*'Interval Reimb'!$B$40),0),2)</f>
        <v>0</v>
      </c>
      <c r="BN12" s="246">
        <f>ROUND(IF('Included @ Interval'!BN12="yes",'Hours Per Job'!BN12*'Interval Reimb'!$B$38+'Parts Cost Per Job'!BN12*((1+'Interval Reimb'!$B$39)*'Interval Reimb'!$B$40),0),2)</f>
        <v>0</v>
      </c>
      <c r="BO12" s="246">
        <f>ROUND(IF('Included @ Interval'!BO12="yes",'Hours Per Job'!BO12*'Interval Reimb'!$B$38+'Parts Cost Per Job'!BO12*((1+'Interval Reimb'!$B$39)*'Interval Reimb'!$B$40),0),2)</f>
        <v>0</v>
      </c>
      <c r="BP12" s="246">
        <f>ROUND(IF('Included @ Interval'!BP12="yes",'Hours Per Job'!BP12*'Interval Reimb'!$B$38+'Parts Cost Per Job'!BP12*((1+'Interval Reimb'!$B$39)*'Interval Reimb'!$B$40),0),2)</f>
        <v>0</v>
      </c>
      <c r="BQ12" s="9">
        <f t="shared" si="0"/>
        <v>706.81</v>
      </c>
      <c r="BR12" s="9">
        <f t="shared" si="1"/>
        <v>3.3</v>
      </c>
    </row>
    <row r="13" spans="1:70" x14ac:dyDescent="0.2">
      <c r="A13" s="18" t="str">
        <f>+'Scheduled Intervals'!A13</f>
        <v>Excavator - over 3.5 ton</v>
      </c>
      <c r="B13" s="246">
        <f>ROUND(IF('Included @ Interval'!B13="yes",'Hours Per Job'!B13*'Interval Reimb'!$B$38+'Parts Cost Per Job'!B13*((1+'Interval Reimb'!$B$39)*'Interval Reimb'!$B$40),0),2)</f>
        <v>0</v>
      </c>
      <c r="C13" s="246">
        <f>ROUND(IF('Included @ Interval'!C13="yes",'Hours Per Job'!C13*'Interval Reimb'!$B$38+'Parts Cost Per Job'!C13*((1+'Interval Reimb'!$B$39)*'Interval Reimb'!$B$40),0),2)</f>
        <v>0</v>
      </c>
      <c r="D13" s="246">
        <f>ROUND(IF('Included @ Interval'!D13="yes",'Hours Per Job'!D13*'Interval Reimb'!$B$38+'Parts Cost Per Job'!D13*((1+'Interval Reimb'!$B$39)*'Interval Reimb'!$B$40),0),2)</f>
        <v>0</v>
      </c>
      <c r="E13" s="246">
        <f>ROUND(IF('Included @ Interval'!E13="yes",'Hours Per Job'!E13*'Interval Reimb'!$B$38+'Parts Cost Per Job'!E13*((1+'Interval Reimb'!$B$39)*'Interval Reimb'!$B$40),0),2)</f>
        <v>0</v>
      </c>
      <c r="F13" s="246">
        <f>ROUND(IF('Included @ Interval'!F13="yes",'Hours Per Job'!F13*'Interval Reimb'!$B$38+'Parts Cost Per Job'!F13*((1+'Interval Reimb'!$B$39)*'Interval Reimb'!$B$40),0),2)</f>
        <v>0</v>
      </c>
      <c r="G13" s="246">
        <f>ROUND(IF('Included @ Interval'!G13="yes",'Hours Per Job'!G13*'Interval Reimb'!$B$38+'Parts Cost Per Job'!G13*((1+'Interval Reimb'!$B$39)*'Interval Reimb'!$B$40),0),2)</f>
        <v>0</v>
      </c>
      <c r="H13" s="246">
        <f>ROUND(IF('Included @ Interval'!H13="yes",'Hours Per Job'!H13*'Interval Reimb'!$B$38+'Parts Cost Per Job'!H13*((1+'Interval Reimb'!$B$39)*'Interval Reimb'!$B$40),0),2)</f>
        <v>0</v>
      </c>
      <c r="I13" s="246">
        <f>ROUND(IF('Included @ Interval'!I13="yes",'Hours Per Job'!I13*'Interval Reimb'!$B$38+'Parts Cost Per Job'!I13*((1+'Interval Reimb'!$B$39)*'Interval Reimb'!$B$40),0),2)</f>
        <v>0</v>
      </c>
      <c r="J13" s="246">
        <f>ROUND(IF('Included @ Interval'!J13="yes",'Hours Per Job'!J13*'Interval Reimb'!$B$38+'Parts Cost Per Job'!J13*((1+'Interval Reimb'!$B$39)*'Interval Reimb'!$B$40),0),2)</f>
        <v>0</v>
      </c>
      <c r="K13" s="246">
        <f>ROUND(IF('Included @ Interval'!K13="yes",'Hours Per Job'!K13*'Interval Reimb'!$B$38+'Parts Cost Per Job'!K13*((1+'Interval Reimb'!$B$39)*'Interval Reimb'!$B$40),0),2)</f>
        <v>0</v>
      </c>
      <c r="L13" s="246">
        <f>ROUND(IF('Included @ Interval'!L13="yes",'Hours Per Job'!L13*'Interval Reimb'!$B$38+'Parts Cost Per Job'!L13*((1+'Interval Reimb'!$B$39)*'Interval Reimb'!$B$40),0),2)</f>
        <v>0</v>
      </c>
      <c r="M13" s="246">
        <f>ROUND(IF('Included @ Interval'!M13="yes",'Hours Per Job'!M13*'Interval Reimb'!$B$38+'Parts Cost Per Job'!M13*((1+'Interval Reimb'!$B$39)*'Interval Reimb'!$B$40),0),2)</f>
        <v>0</v>
      </c>
      <c r="N13" s="246">
        <f>ROUND(IF('Included @ Interval'!N13="yes",'Hours Per Job'!N13*'Interval Reimb'!$B$38+'Parts Cost Per Job'!N13*((1+'Interval Reimb'!$B$39)*'Interval Reimb'!$B$40),0),2)</f>
        <v>0</v>
      </c>
      <c r="O13" s="246">
        <f>ROUND(IF('Included @ Interval'!O13="yes",'Hours Per Job'!O13*'Interval Reimb'!$B$38+'Parts Cost Per Job'!O13*((1+'Interval Reimb'!$B$39)*'Interval Reimb'!$B$40),0),2)</f>
        <v>0</v>
      </c>
      <c r="P13" s="246">
        <f>ROUND(IF('Included @ Interval'!P13="yes",'Hours Per Job'!P13*'Interval Reimb'!$B$38+'Parts Cost Per Job'!P13*((1+'Interval Reimb'!$B$39)*'Interval Reimb'!$B$40),0),2)</f>
        <v>0</v>
      </c>
      <c r="Q13" s="246">
        <f>ROUND(IF('Included @ Interval'!Q13="yes",'Hours Per Job'!Q13*'Interval Reimb'!$B$38+'Parts Cost Per Job'!Q13*((1+'Interval Reimb'!$B$39)*'Interval Reimb'!$B$40),0),2)</f>
        <v>0</v>
      </c>
      <c r="R13" s="246">
        <f>ROUND(IF('Included @ Interval'!R13="yes",'Hours Per Job'!R13*'Interval Reimb'!$B$38+'Parts Cost Per Job'!R13*((1+'Interval Reimb'!$B$39)*'Interval Reimb'!$B$40),0),2)</f>
        <v>0</v>
      </c>
      <c r="S13" s="246">
        <f>ROUND(IF('Included @ Interval'!S13="yes",'Hours Per Job'!S13*'Interval Reimb'!$B$38+'Parts Cost Per Job'!S13*((1+'Interval Reimb'!$B$39)*'Interval Reimb'!$B$40),0),2)</f>
        <v>0</v>
      </c>
      <c r="T13" s="246">
        <f>ROUND(IF('Included @ Interval'!T13="yes",'Hours Per Job'!T13*'Interval Reimb'!$B$38+'Parts Cost Per Job'!T13*((1+'Interval Reimb'!$B$39)*'Interval Reimb'!$B$40),0),2)</f>
        <v>0</v>
      </c>
      <c r="U13" s="246">
        <f>ROUND(IF('Included @ Interval'!U13="yes",'Hours Per Job'!U13*'Interval Reimb'!$B$38+'Parts Cost Per Job'!U13*((1+'Interval Reimb'!$B$39)*'Interval Reimb'!$B$40),0),2)</f>
        <v>202.18</v>
      </c>
      <c r="V13" s="246">
        <f>ROUND(IF('Included @ Interval'!V13="yes",'Hours Per Job'!V13*'Interval Reimb'!$B$38+'Parts Cost Per Job'!V13*((1+'Interval Reimb'!$B$39)*'Interval Reimb'!$B$40),0),2)</f>
        <v>0</v>
      </c>
      <c r="W13" s="246">
        <f>ROUND(IF('Included @ Interval'!W13="yes",'Hours Per Job'!W13*'Interval Reimb'!$B$38+'Parts Cost Per Job'!W13*((1+'Interval Reimb'!$B$39)*'Interval Reimb'!$B$40),0),2)</f>
        <v>0</v>
      </c>
      <c r="X13" s="246">
        <f>ROUND(IF('Included @ Interval'!X13="yes",'Hours Per Job'!X13*'Interval Reimb'!$B$38+'Parts Cost Per Job'!X13*((1+'Interval Reimb'!$B$39)*'Interval Reimb'!$B$40),0),2)</f>
        <v>112.6</v>
      </c>
      <c r="Y13" s="246">
        <f>ROUND(IF('Included @ Interval'!Y13="yes",'Hours Per Job'!Y13*'Interval Reimb'!$B$38+'Parts Cost Per Job'!Y13*((1+'Interval Reimb'!$B$39)*'Interval Reimb'!$B$40),0),2)</f>
        <v>0</v>
      </c>
      <c r="Z13" s="246">
        <f>ROUND(IF('Included @ Interval'!Z13="yes",'Hours Per Job'!Z13*'Interval Reimb'!$B$38+'Parts Cost Per Job'!Z13*((1+'Interval Reimb'!$B$39)*'Interval Reimb'!$B$40),0),2)</f>
        <v>73.06</v>
      </c>
      <c r="AA13" s="246">
        <f>ROUND(IF('Included @ Interval'!AA13="yes",'Hours Per Job'!AA13*'Interval Reimb'!$B$38+'Parts Cost Per Job'!AA13*((1+'Interval Reimb'!$B$39)*'Interval Reimb'!$B$40),0),2)</f>
        <v>0</v>
      </c>
      <c r="AB13" s="246">
        <f>ROUND(IF('Included @ Interval'!AB13="yes",'Hours Per Job'!AB13*'Interval Reimb'!$B$38+'Parts Cost Per Job'!AB13*((1+'Interval Reimb'!$B$39)*'Interval Reimb'!$B$40),0),2)</f>
        <v>0</v>
      </c>
      <c r="AC13" s="246">
        <f>ROUND(IF('Included @ Interval'!AC13="yes",'Hours Per Job'!AC13*'Interval Reimb'!$B$38+'Parts Cost Per Job'!AC13*((1+'Interval Reimb'!$B$39)*'Interval Reimb'!$B$40),0),2)</f>
        <v>0</v>
      </c>
      <c r="AD13" s="246">
        <f>ROUND(IF('Included @ Interval'!AD13="yes",'Hours Per Job'!AD13*'Interval Reimb'!$B$38+'Parts Cost Per Job'!AD13*((1+'Interval Reimb'!$B$39)*'Interval Reimb'!$B$40),0),2)</f>
        <v>0</v>
      </c>
      <c r="AE13" s="246">
        <f>ROUND(IF('Included @ Interval'!AE13="yes",'Hours Per Job'!AE13*'Interval Reimb'!$B$38+'Parts Cost Per Job'!AE13*((1+'Interval Reimb'!$B$39)*'Interval Reimb'!$B$40),0),2)</f>
        <v>0</v>
      </c>
      <c r="AF13" s="246">
        <f>ROUND(IF('Included @ Interval'!AF13="yes",'Hours Per Job'!AF13*'Interval Reimb'!$B$38+'Parts Cost Per Job'!AF13*((1+'Interval Reimb'!$B$39)*'Interval Reimb'!$B$40),0),2)</f>
        <v>0</v>
      </c>
      <c r="AG13" s="246">
        <f>ROUND(IF('Included @ Interval'!AG13="yes",'Hours Per Job'!AG13*'Interval Reimb'!$B$38+'Parts Cost Per Job'!AG13*((1+'Interval Reimb'!$B$39)*'Interval Reimb'!$B$40),0),2)</f>
        <v>0</v>
      </c>
      <c r="AH13" s="246">
        <f>ROUND(IF('Included @ Interval'!AH13="yes",'Hours Per Job'!AH13*'Interval Reimb'!$B$38+'Parts Cost Per Job'!AH13*((1+'Interval Reimb'!$B$39)*'Interval Reimb'!$B$40),0),2)</f>
        <v>0</v>
      </c>
      <c r="AI13" s="246">
        <f>ROUND(IF('Included @ Interval'!AI13="yes",'Hours Per Job'!AI13*'Interval Reimb'!$B$38+'Parts Cost Per Job'!AI13*((1+'Interval Reimb'!$B$39)*'Interval Reimb'!$B$40),0),2)</f>
        <v>0</v>
      </c>
      <c r="AJ13" s="246">
        <f>ROUND(IF('Included @ Interval'!AJ13="yes",'Hours Per Job'!AJ13*'Interval Reimb'!$B$38+'Parts Cost Per Job'!AJ13*((1+'Interval Reimb'!$B$39)*'Interval Reimb'!$B$40),0),2)</f>
        <v>0</v>
      </c>
      <c r="AK13" s="246">
        <f>ROUND(IF('Included @ Interval'!AK13="yes",'Hours Per Job'!AK13*'Interval Reimb'!$B$38+'Parts Cost Per Job'!AK13*((1+'Interval Reimb'!$B$39)*'Interval Reimb'!$B$40),0),2)</f>
        <v>0</v>
      </c>
      <c r="AL13" s="246">
        <f>ROUND(IF('Included @ Interval'!AL13="yes",'Hours Per Job'!AL13*'Interval Reimb'!$B$38+'Parts Cost Per Job'!AL13*((1+'Interval Reimb'!$B$39)*'Interval Reimb'!$B$40),0),2)</f>
        <v>0</v>
      </c>
      <c r="AM13" s="246">
        <f>ROUND(IF('Included @ Interval'!AM13="yes",'Hours Per Job'!AM13*'Interval Reimb'!$B$38+'Parts Cost Per Job'!AM13*((1+'Interval Reimb'!$B$39)*'Interval Reimb'!$B$40),0),2)</f>
        <v>0</v>
      </c>
      <c r="AN13" s="246">
        <f>ROUND(IF('Included @ Interval'!AN13="yes",'Hours Per Job'!AN13*'Interval Reimb'!$B$38+'Parts Cost Per Job'!AN13*((1+'Interval Reimb'!$B$39)*'Interval Reimb'!$B$40),0),2)</f>
        <v>0</v>
      </c>
      <c r="AO13" s="246">
        <f>ROUND(IF('Included @ Interval'!AO13="yes",'Hours Per Job'!AO13*'Interval Reimb'!$B$38+'Parts Cost Per Job'!AO13*((1+'Interval Reimb'!$B$39)*'Interval Reimb'!$B$40),0),2)</f>
        <v>0</v>
      </c>
      <c r="AP13" s="246">
        <f>ROUND(IF('Included @ Interval'!AP13="yes",'Hours Per Job'!AP13*'Interval Reimb'!$B$38+'Parts Cost Per Job'!AP13*((1+'Interval Reimb'!$B$39)*'Interval Reimb'!$B$40),0),2)</f>
        <v>84</v>
      </c>
      <c r="AQ13" s="246">
        <f>ROUND(IF('Included @ Interval'!AQ13="yes",'Hours Per Job'!AQ13*'Interval Reimb'!$B$38+'Parts Cost Per Job'!AQ13*((1+'Interval Reimb'!$B$39)*'Interval Reimb'!$B$40),0),2)</f>
        <v>24</v>
      </c>
      <c r="AR13" s="246">
        <f>ROUND(IF('Included @ Interval'!AR13="yes",'Hours Per Job'!AR13*'Interval Reimb'!$B$38+'Parts Cost Per Job'!AR13*((1+'Interval Reimb'!$B$39)*'Interval Reimb'!$B$40),0),2)</f>
        <v>0</v>
      </c>
      <c r="AS13" s="246">
        <f>ROUND(IF('Included @ Interval'!AS13="yes",'Hours Per Job'!AS13*'Interval Reimb'!$B$38+'Parts Cost Per Job'!AS13*((1+'Interval Reimb'!$B$39)*'Interval Reimb'!$B$40),0),2)</f>
        <v>0</v>
      </c>
      <c r="AT13" s="246">
        <f>ROUND(IF('Included @ Interval'!AT13="yes",'Hours Per Job'!AT13*'Interval Reimb'!$B$38+'Parts Cost Per Job'!AT13*((1+'Interval Reimb'!$B$39)*'Interval Reimb'!$B$40),0),2)</f>
        <v>71.069999999999993</v>
      </c>
      <c r="AU13" s="246">
        <f>ROUND(IF('Included @ Interval'!AU13="yes",'Hours Per Job'!AU13*'Interval Reimb'!$B$38+'Parts Cost Per Job'!AU13*((1+'Interval Reimb'!$B$39)*'Interval Reimb'!$B$40),0),2)</f>
        <v>0</v>
      </c>
      <c r="AV13" s="246">
        <f>ROUND(IF('Included @ Interval'!AV13="yes",'Hours Per Job'!AV13*'Interval Reimb'!$B$38+'Parts Cost Per Job'!AV13*((1+'Interval Reimb'!$B$39)*'Interval Reimb'!$B$40),0),2)</f>
        <v>0</v>
      </c>
      <c r="AW13" s="246">
        <f>ROUND(IF('Included @ Interval'!AW13="yes",'Hours Per Job'!AW13*'Interval Reimb'!$B$38+'Parts Cost Per Job'!AW13*((1+'Interval Reimb'!$B$39)*'Interval Reimb'!$B$40),0),2)</f>
        <v>0</v>
      </c>
      <c r="AX13" s="246">
        <f>ROUND(IF('Included @ Interval'!AX13="yes",'Hours Per Job'!AX13*'Interval Reimb'!$B$38+'Parts Cost Per Job'!AX13*((1+'Interval Reimb'!$B$39)*'Interval Reimb'!$B$40),0),2)</f>
        <v>0</v>
      </c>
      <c r="AY13" s="246">
        <f>ROUND(IF('Included @ Interval'!AY13="yes",'Hours Per Job'!AY13*'Interval Reimb'!$B$38+'Parts Cost Per Job'!AY13*((1+'Interval Reimb'!$B$39)*'Interval Reimb'!$B$40),0),2)</f>
        <v>0</v>
      </c>
      <c r="AZ13" s="246">
        <f>ROUND(IF('Included @ Interval'!AZ13="yes",'Hours Per Job'!AZ13*'Interval Reimb'!$B$38+'Parts Cost Per Job'!AZ13*((1+'Interval Reimb'!$B$39)*'Interval Reimb'!$B$40),0),2)</f>
        <v>211.9</v>
      </c>
      <c r="BA13" s="246">
        <f>ROUND(IF('Included @ Interval'!BA13="yes",'Hours Per Job'!BA13*'Interval Reimb'!$B$38+'Parts Cost Per Job'!BA13*((1+'Interval Reimb'!$B$39)*'Interval Reimb'!$B$40),0),2)</f>
        <v>0</v>
      </c>
      <c r="BB13" s="246">
        <f>ROUND(IF('Included @ Interval'!BB13="yes",'Hours Per Job'!BB13*'Interval Reimb'!$B$38+'Parts Cost Per Job'!BB13*((1+'Interval Reimb'!$B$39)*'Interval Reimb'!$B$40),0),2)</f>
        <v>91.21</v>
      </c>
      <c r="BC13" s="246">
        <f>ROUND(IF('Included @ Interval'!BC13="yes",'Hours Per Job'!BC13*'Interval Reimb'!$B$38+'Parts Cost Per Job'!BC13*((1+'Interval Reimb'!$B$39)*'Interval Reimb'!$B$40),0),2)</f>
        <v>0</v>
      </c>
      <c r="BD13" s="246">
        <f>ROUND(IF('Included @ Interval'!BD13="yes",'Hours Per Job'!BD13*'Interval Reimb'!$B$38+'Parts Cost Per Job'!BD13*((1+'Interval Reimb'!$B$39)*'Interval Reimb'!$B$40),0),2)</f>
        <v>0</v>
      </c>
      <c r="BE13" s="246">
        <f>ROUND(IF('Included @ Interval'!BE13="yes",'Hours Per Job'!BE13*'Interval Reimb'!$B$38+'Parts Cost Per Job'!BE13*((1+'Interval Reimb'!$B$39)*'Interval Reimb'!$B$40),0),2)</f>
        <v>0</v>
      </c>
      <c r="BF13" s="246">
        <f>ROUND(IF('Included @ Interval'!BF13="yes",'Hours Per Job'!BF13*'Interval Reimb'!$B$38+'Parts Cost Per Job'!BF13*((1+'Interval Reimb'!$B$39)*'Interval Reimb'!$B$40),0),2)</f>
        <v>0</v>
      </c>
      <c r="BG13" s="246">
        <f>ROUND(IF('Included @ Interval'!BG13="yes",'Hours Per Job'!BG13*'Interval Reimb'!$B$38+'Parts Cost Per Job'!BG13*((1+'Interval Reimb'!$B$39)*'Interval Reimb'!$B$40),0),2)</f>
        <v>0</v>
      </c>
      <c r="BH13" s="246">
        <f>ROUND(IF('Included @ Interval'!BH13="yes",'Hours Per Job'!BH13*'Interval Reimb'!$B$38+'Parts Cost Per Job'!BH13*((1+'Interval Reimb'!$B$39)*'Interval Reimb'!$B$40),0),2)</f>
        <v>0</v>
      </c>
      <c r="BI13" s="246">
        <f>ROUND(IF('Included @ Interval'!BI13="yes",'Hours Per Job'!BI13*'Interval Reimb'!$B$38+'Parts Cost Per Job'!BI13*((1+'Interval Reimb'!$B$39)*'Interval Reimb'!$B$40),0),2)</f>
        <v>0</v>
      </c>
      <c r="BJ13" s="246">
        <f>ROUND(IF('Included @ Interval'!BJ13="yes",'Hours Per Job'!BJ13*'Interval Reimb'!$B$38+'Parts Cost Per Job'!BJ13*((1+'Interval Reimb'!$B$39)*'Interval Reimb'!$B$40),0),2)</f>
        <v>30</v>
      </c>
      <c r="BK13" s="246">
        <f>ROUND(IF('Included @ Interval'!BK13="yes",'Hours Per Job'!BK13*'Interval Reimb'!$B$38+'Parts Cost Per Job'!BK13*((1+'Interval Reimb'!$B$39)*'Interval Reimb'!$B$40),0),2)</f>
        <v>0</v>
      </c>
      <c r="BL13" s="246">
        <f>ROUND(IF('Included @ Interval'!BL13="yes",'Hours Per Job'!BL13*'Interval Reimb'!$B$38+'Parts Cost Per Job'!BL13*((1+'Interval Reimb'!$B$39)*'Interval Reimb'!$B$40),0),2)</f>
        <v>0</v>
      </c>
      <c r="BM13" s="246">
        <f>ROUND(IF('Included @ Interval'!BM13="yes",'Hours Per Job'!BM13*'Interval Reimb'!$B$38+'Parts Cost Per Job'!BM13*((1+'Interval Reimb'!$B$39)*'Interval Reimb'!$B$40),0),2)</f>
        <v>0</v>
      </c>
      <c r="BN13" s="246">
        <f>ROUND(IF('Included @ Interval'!BN13="yes",'Hours Per Job'!BN13*'Interval Reimb'!$B$38+'Parts Cost Per Job'!BN13*((1+'Interval Reimb'!$B$39)*'Interval Reimb'!$B$40),0),2)</f>
        <v>0</v>
      </c>
      <c r="BO13" s="246">
        <f>ROUND(IF('Included @ Interval'!BO13="yes",'Hours Per Job'!BO13*'Interval Reimb'!$B$38+'Parts Cost Per Job'!BO13*((1+'Interval Reimb'!$B$39)*'Interval Reimb'!$B$40),0),2)</f>
        <v>0</v>
      </c>
      <c r="BP13" s="246">
        <f>ROUND(IF('Included @ Interval'!BP13="yes",'Hours Per Job'!BP13*'Interval Reimb'!$B$38+'Parts Cost Per Job'!BP13*((1+'Interval Reimb'!$B$39)*'Interval Reimb'!$B$40),0),2)</f>
        <v>0</v>
      </c>
      <c r="BQ13" s="9">
        <f t="shared" si="0"/>
        <v>900.02</v>
      </c>
      <c r="BR13" s="9">
        <f t="shared" si="1"/>
        <v>4.25</v>
      </c>
    </row>
    <row r="14" spans="1:70" x14ac:dyDescent="0.2">
      <c r="A14" s="18" t="str">
        <f>+'Scheduled Intervals'!A14</f>
        <v>Wheel Loader</v>
      </c>
      <c r="B14" s="246">
        <f>ROUND(IF('Included @ Interval'!B14="yes",'Hours Per Job'!B14*'Interval Reimb'!$B$38+'Parts Cost Per Job'!B14*((1+'Interval Reimb'!$B$39)*'Interval Reimb'!$B$40),0),2)</f>
        <v>0</v>
      </c>
      <c r="C14" s="246">
        <f>ROUND(IF('Included @ Interval'!C14="yes",'Hours Per Job'!C14*'Interval Reimb'!$B$38+'Parts Cost Per Job'!C14*((1+'Interval Reimb'!$B$39)*'Interval Reimb'!$B$40),0),2)</f>
        <v>0</v>
      </c>
      <c r="D14" s="246">
        <f>ROUND(IF('Included @ Interval'!D14="yes",'Hours Per Job'!D14*'Interval Reimb'!$B$38+'Parts Cost Per Job'!D14*((1+'Interval Reimb'!$B$39)*'Interval Reimb'!$B$40),0),2)</f>
        <v>0</v>
      </c>
      <c r="E14" s="246">
        <f>ROUND(IF('Included @ Interval'!E14="yes",'Hours Per Job'!E14*'Interval Reimb'!$B$38+'Parts Cost Per Job'!E14*((1+'Interval Reimb'!$B$39)*'Interval Reimb'!$B$40),0),2)</f>
        <v>0</v>
      </c>
      <c r="F14" s="246">
        <f>ROUND(IF('Included @ Interval'!F14="yes",'Hours Per Job'!F14*'Interval Reimb'!$B$38+'Parts Cost Per Job'!F14*((1+'Interval Reimb'!$B$39)*'Interval Reimb'!$B$40),0),2)</f>
        <v>0</v>
      </c>
      <c r="G14" s="246">
        <f>ROUND(IF('Included @ Interval'!G14="yes",'Hours Per Job'!G14*'Interval Reimb'!$B$38+'Parts Cost Per Job'!G14*((1+'Interval Reimb'!$B$39)*'Interval Reimb'!$B$40),0),2)</f>
        <v>0</v>
      </c>
      <c r="H14" s="246">
        <f>ROUND(IF('Included @ Interval'!H14="yes",'Hours Per Job'!H14*'Interval Reimb'!$B$38+'Parts Cost Per Job'!H14*((1+'Interval Reimb'!$B$39)*'Interval Reimb'!$B$40),0),2)</f>
        <v>0</v>
      </c>
      <c r="I14" s="246">
        <f>ROUND(IF('Included @ Interval'!I14="yes",'Hours Per Job'!I14*'Interval Reimb'!$B$38+'Parts Cost Per Job'!I14*((1+'Interval Reimb'!$B$39)*'Interval Reimb'!$B$40),0),2)</f>
        <v>0</v>
      </c>
      <c r="J14" s="246">
        <f>ROUND(IF('Included @ Interval'!J14="yes",'Hours Per Job'!J14*'Interval Reimb'!$B$38+'Parts Cost Per Job'!J14*((1+'Interval Reimb'!$B$39)*'Interval Reimb'!$B$40),0),2)</f>
        <v>0</v>
      </c>
      <c r="K14" s="246">
        <f>ROUND(IF('Included @ Interval'!K14="yes",'Hours Per Job'!K14*'Interval Reimb'!$B$38+'Parts Cost Per Job'!K14*((1+'Interval Reimb'!$B$39)*'Interval Reimb'!$B$40),0),2)</f>
        <v>0</v>
      </c>
      <c r="L14" s="246">
        <f>ROUND(IF('Included @ Interval'!L14="yes",'Hours Per Job'!L14*'Interval Reimb'!$B$38+'Parts Cost Per Job'!L14*((1+'Interval Reimb'!$B$39)*'Interval Reimb'!$B$40),0),2)</f>
        <v>0</v>
      </c>
      <c r="M14" s="246">
        <f>ROUND(IF('Included @ Interval'!M14="yes",'Hours Per Job'!M14*'Interval Reimb'!$B$38+'Parts Cost Per Job'!M14*((1+'Interval Reimb'!$B$39)*'Interval Reimb'!$B$40),0),2)</f>
        <v>0</v>
      </c>
      <c r="N14" s="246">
        <f>ROUND(IF('Included @ Interval'!N14="yes",'Hours Per Job'!N14*'Interval Reimb'!$B$38+'Parts Cost Per Job'!N14*((1+'Interval Reimb'!$B$39)*'Interval Reimb'!$B$40),0),2)</f>
        <v>0</v>
      </c>
      <c r="O14" s="246">
        <f>ROUND(IF('Included @ Interval'!O14="yes",'Hours Per Job'!O14*'Interval Reimb'!$B$38+'Parts Cost Per Job'!O14*((1+'Interval Reimb'!$B$39)*'Interval Reimb'!$B$40),0),2)</f>
        <v>0</v>
      </c>
      <c r="P14" s="246">
        <f>ROUND(IF('Included @ Interval'!P14="yes",'Hours Per Job'!P14*'Interval Reimb'!$B$38+'Parts Cost Per Job'!P14*((1+'Interval Reimb'!$B$39)*'Interval Reimb'!$B$40),0),2)</f>
        <v>0</v>
      </c>
      <c r="Q14" s="246">
        <f>ROUND(IF('Included @ Interval'!Q14="yes",'Hours Per Job'!Q14*'Interval Reimb'!$B$38+'Parts Cost Per Job'!Q14*((1+'Interval Reimb'!$B$39)*'Interval Reimb'!$B$40),0),2)</f>
        <v>0</v>
      </c>
      <c r="R14" s="246">
        <f>ROUND(IF('Included @ Interval'!R14="yes",'Hours Per Job'!R14*'Interval Reimb'!$B$38+'Parts Cost Per Job'!R14*((1+'Interval Reimb'!$B$39)*'Interval Reimb'!$B$40),0),2)</f>
        <v>0</v>
      </c>
      <c r="S14" s="246">
        <f>ROUND(IF('Included @ Interval'!S14="yes",'Hours Per Job'!S14*'Interval Reimb'!$B$38+'Parts Cost Per Job'!S14*((1+'Interval Reimb'!$B$39)*'Interval Reimb'!$B$40),0),2)</f>
        <v>0</v>
      </c>
      <c r="T14" s="246">
        <f>ROUND(IF('Included @ Interval'!T14="yes",'Hours Per Job'!T14*'Interval Reimb'!$B$38+'Parts Cost Per Job'!T14*((1+'Interval Reimb'!$B$39)*'Interval Reimb'!$B$40),0),2)</f>
        <v>0</v>
      </c>
      <c r="U14" s="246">
        <f>ROUND(IF('Included @ Interval'!U14="yes",'Hours Per Job'!U14*'Interval Reimb'!$B$38+'Parts Cost Per Job'!U14*((1+'Interval Reimb'!$B$39)*'Interval Reimb'!$B$40),0),2)</f>
        <v>200.52</v>
      </c>
      <c r="V14" s="246">
        <f>ROUND(IF('Included @ Interval'!V14="yes",'Hours Per Job'!V14*'Interval Reimb'!$B$38+'Parts Cost Per Job'!V14*((1+'Interval Reimb'!$B$39)*'Interval Reimb'!$B$40),0),2)</f>
        <v>0</v>
      </c>
      <c r="W14" s="246">
        <f>ROUND(IF('Included @ Interval'!W14="yes",'Hours Per Job'!W14*'Interval Reimb'!$B$38+'Parts Cost Per Job'!W14*((1+'Interval Reimb'!$B$39)*'Interval Reimb'!$B$40),0),2)</f>
        <v>0</v>
      </c>
      <c r="X14" s="246">
        <f>ROUND(IF('Included @ Interval'!X14="yes",'Hours Per Job'!X14*'Interval Reimb'!$B$38+'Parts Cost Per Job'!X14*((1+'Interval Reimb'!$B$39)*'Interval Reimb'!$B$40),0),2)</f>
        <v>83.33</v>
      </c>
      <c r="Y14" s="246">
        <f>ROUND(IF('Included @ Interval'!Y14="yes",'Hours Per Job'!Y14*'Interval Reimb'!$B$38+'Parts Cost Per Job'!Y14*((1+'Interval Reimb'!$B$39)*'Interval Reimb'!$B$40),0),2)</f>
        <v>0</v>
      </c>
      <c r="Z14" s="246">
        <f>ROUND(IF('Included @ Interval'!Z14="yes",'Hours Per Job'!Z14*'Interval Reimb'!$B$38+'Parts Cost Per Job'!Z14*((1+'Interval Reimb'!$B$39)*'Interval Reimb'!$B$40),0),2)</f>
        <v>127.69</v>
      </c>
      <c r="AA14" s="246">
        <f>ROUND(IF('Included @ Interval'!AA14="yes",'Hours Per Job'!AA14*'Interval Reimb'!$B$38+'Parts Cost Per Job'!AA14*((1+'Interval Reimb'!$B$39)*'Interval Reimb'!$B$40),0),2)</f>
        <v>0</v>
      </c>
      <c r="AB14" s="246">
        <f>ROUND(IF('Included @ Interval'!AB14="yes",'Hours Per Job'!AB14*'Interval Reimb'!$B$38+'Parts Cost Per Job'!AB14*((1+'Interval Reimb'!$B$39)*'Interval Reimb'!$B$40),0),2)</f>
        <v>0</v>
      </c>
      <c r="AC14" s="246">
        <f>ROUND(IF('Included @ Interval'!AC14="yes",'Hours Per Job'!AC14*'Interval Reimb'!$B$38+'Parts Cost Per Job'!AC14*((1+'Interval Reimb'!$B$39)*'Interval Reimb'!$B$40),0),2)</f>
        <v>0</v>
      </c>
      <c r="AD14" s="246">
        <f>ROUND(IF('Included @ Interval'!AD14="yes",'Hours Per Job'!AD14*'Interval Reimb'!$B$38+'Parts Cost Per Job'!AD14*((1+'Interval Reimb'!$B$39)*'Interval Reimb'!$B$40),0),2)</f>
        <v>0</v>
      </c>
      <c r="AE14" s="246">
        <f>ROUND(IF('Included @ Interval'!AE14="yes",'Hours Per Job'!AE14*'Interval Reimb'!$B$38+'Parts Cost Per Job'!AE14*((1+'Interval Reimb'!$B$39)*'Interval Reimb'!$B$40),0),2)</f>
        <v>0</v>
      </c>
      <c r="AF14" s="246">
        <f>ROUND(IF('Included @ Interval'!AF14="yes",'Hours Per Job'!AF14*'Interval Reimb'!$B$38+'Parts Cost Per Job'!AF14*((1+'Interval Reimb'!$B$39)*'Interval Reimb'!$B$40),0),2)</f>
        <v>0</v>
      </c>
      <c r="AG14" s="246">
        <f>ROUND(IF('Included @ Interval'!AG14="yes",'Hours Per Job'!AG14*'Interval Reimb'!$B$38+'Parts Cost Per Job'!AG14*((1+'Interval Reimb'!$B$39)*'Interval Reimb'!$B$40),0),2)</f>
        <v>154.35</v>
      </c>
      <c r="AH14" s="246">
        <f>ROUND(IF('Included @ Interval'!AH14="yes",'Hours Per Job'!AH14*'Interval Reimb'!$B$38+'Parts Cost Per Job'!AH14*((1+'Interval Reimb'!$B$39)*'Interval Reimb'!$B$40),0),2)</f>
        <v>0</v>
      </c>
      <c r="AI14" s="246">
        <f>ROUND(IF('Included @ Interval'!AI14="yes",'Hours Per Job'!AI14*'Interval Reimb'!$B$38+'Parts Cost Per Job'!AI14*((1+'Interval Reimb'!$B$39)*'Interval Reimb'!$B$40),0),2)</f>
        <v>0</v>
      </c>
      <c r="AJ14" s="246">
        <f>ROUND(IF('Included @ Interval'!AJ14="yes",'Hours Per Job'!AJ14*'Interval Reimb'!$B$38+'Parts Cost Per Job'!AJ14*((1+'Interval Reimb'!$B$39)*'Interval Reimb'!$B$40),0),2)</f>
        <v>0</v>
      </c>
      <c r="AK14" s="246">
        <f>ROUND(IF('Included @ Interval'!AK14="yes",'Hours Per Job'!AK14*'Interval Reimb'!$B$38+'Parts Cost Per Job'!AK14*((1+'Interval Reimb'!$B$39)*'Interval Reimb'!$B$40),0),2)</f>
        <v>0</v>
      </c>
      <c r="AL14" s="246">
        <f>ROUND(IF('Included @ Interval'!AL14="yes",'Hours Per Job'!AL14*'Interval Reimb'!$B$38+'Parts Cost Per Job'!AL14*((1+'Interval Reimb'!$B$39)*'Interval Reimb'!$B$40),0),2)</f>
        <v>0</v>
      </c>
      <c r="AM14" s="246">
        <f>ROUND(IF('Included @ Interval'!AM14="yes",'Hours Per Job'!AM14*'Interval Reimb'!$B$38+'Parts Cost Per Job'!AM14*((1+'Interval Reimb'!$B$39)*'Interval Reimb'!$B$40),0),2)</f>
        <v>0</v>
      </c>
      <c r="AN14" s="246">
        <f>ROUND(IF('Included @ Interval'!AN14="yes",'Hours Per Job'!AN14*'Interval Reimb'!$B$38+'Parts Cost Per Job'!AN14*((1+'Interval Reimb'!$B$39)*'Interval Reimb'!$B$40),0),2)</f>
        <v>0</v>
      </c>
      <c r="AO14" s="246">
        <f>ROUND(IF('Included @ Interval'!AO14="yes",'Hours Per Job'!AO14*'Interval Reimb'!$B$38+'Parts Cost Per Job'!AO14*((1+'Interval Reimb'!$B$39)*'Interval Reimb'!$B$40),0),2)</f>
        <v>0</v>
      </c>
      <c r="AP14" s="246">
        <f>ROUND(IF('Included @ Interval'!AP14="yes",'Hours Per Job'!AP14*'Interval Reimb'!$B$38+'Parts Cost Per Job'!AP14*((1+'Interval Reimb'!$B$39)*'Interval Reimb'!$B$40),0),2)</f>
        <v>36</v>
      </c>
      <c r="AQ14" s="246">
        <f>ROUND(IF('Included @ Interval'!AQ14="yes",'Hours Per Job'!AQ14*'Interval Reimb'!$B$38+'Parts Cost Per Job'!AQ14*((1+'Interval Reimb'!$B$39)*'Interval Reimb'!$B$40),0),2)</f>
        <v>0</v>
      </c>
      <c r="AR14" s="246">
        <f>ROUND(IF('Included @ Interval'!AR14="yes",'Hours Per Job'!AR14*'Interval Reimb'!$B$38+'Parts Cost Per Job'!AR14*((1+'Interval Reimb'!$B$39)*'Interval Reimb'!$B$40),0),2)</f>
        <v>0</v>
      </c>
      <c r="AS14" s="246">
        <f>ROUND(IF('Included @ Interval'!AS14="yes",'Hours Per Job'!AS14*'Interval Reimb'!$B$38+'Parts Cost Per Job'!AS14*((1+'Interval Reimb'!$B$39)*'Interval Reimb'!$B$40),0),2)</f>
        <v>0</v>
      </c>
      <c r="AT14" s="246">
        <f>ROUND(IF('Included @ Interval'!AT14="yes",'Hours Per Job'!AT14*'Interval Reimb'!$B$38+'Parts Cost Per Job'!AT14*((1+'Interval Reimb'!$B$39)*'Interval Reimb'!$B$40),0),2)</f>
        <v>59.07</v>
      </c>
      <c r="AU14" s="246">
        <f>ROUND(IF('Included @ Interval'!AU14="yes",'Hours Per Job'!AU14*'Interval Reimb'!$B$38+'Parts Cost Per Job'!AU14*((1+'Interval Reimb'!$B$39)*'Interval Reimb'!$B$40),0),2)</f>
        <v>0</v>
      </c>
      <c r="AV14" s="246">
        <f>ROUND(IF('Included @ Interval'!AV14="yes",'Hours Per Job'!AV14*'Interval Reimb'!$B$38+'Parts Cost Per Job'!AV14*((1+'Interval Reimb'!$B$39)*'Interval Reimb'!$B$40),0),2)</f>
        <v>0</v>
      </c>
      <c r="AW14" s="246">
        <f>ROUND(IF('Included @ Interval'!AW14="yes",'Hours Per Job'!AW14*'Interval Reimb'!$B$38+'Parts Cost Per Job'!AW14*((1+'Interval Reimb'!$B$39)*'Interval Reimb'!$B$40),0),2)</f>
        <v>0</v>
      </c>
      <c r="AX14" s="246">
        <f>ROUND(IF('Included @ Interval'!AX14="yes",'Hours Per Job'!AX14*'Interval Reimb'!$B$38+'Parts Cost Per Job'!AX14*((1+'Interval Reimb'!$B$39)*'Interval Reimb'!$B$40),0),2)</f>
        <v>0</v>
      </c>
      <c r="AY14" s="246">
        <f>ROUND(IF('Included @ Interval'!AY14="yes",'Hours Per Job'!AY14*'Interval Reimb'!$B$38+'Parts Cost Per Job'!AY14*((1+'Interval Reimb'!$B$39)*'Interval Reimb'!$B$40),0),2)</f>
        <v>0</v>
      </c>
      <c r="AZ14" s="246">
        <f>ROUND(IF('Included @ Interval'!AZ14="yes",'Hours Per Job'!AZ14*'Interval Reimb'!$B$38+'Parts Cost Per Job'!AZ14*((1+'Interval Reimb'!$B$39)*'Interval Reimb'!$B$40),0),2)</f>
        <v>0</v>
      </c>
      <c r="BA14" s="246">
        <f>ROUND(IF('Included @ Interval'!BA14="yes",'Hours Per Job'!BA14*'Interval Reimb'!$B$38+'Parts Cost Per Job'!BA14*((1+'Interval Reimb'!$B$39)*'Interval Reimb'!$B$40),0),2)</f>
        <v>0</v>
      </c>
      <c r="BB14" s="246">
        <f>ROUND(IF('Included @ Interval'!BB14="yes",'Hours Per Job'!BB14*'Interval Reimb'!$B$38+'Parts Cost Per Job'!BB14*((1+'Interval Reimb'!$B$39)*'Interval Reimb'!$B$40),0),2)</f>
        <v>0</v>
      </c>
      <c r="BC14" s="246">
        <f>ROUND(IF('Included @ Interval'!BC14="yes",'Hours Per Job'!BC14*'Interval Reimb'!$B$38+'Parts Cost Per Job'!BC14*((1+'Interval Reimb'!$B$39)*'Interval Reimb'!$B$40),0),2)</f>
        <v>0</v>
      </c>
      <c r="BD14" s="246">
        <f>ROUND(IF('Included @ Interval'!BD14="yes",'Hours Per Job'!BD14*'Interval Reimb'!$B$38+'Parts Cost Per Job'!BD14*((1+'Interval Reimb'!$B$39)*'Interval Reimb'!$B$40),0),2)</f>
        <v>0</v>
      </c>
      <c r="BE14" s="246">
        <f>ROUND(IF('Included @ Interval'!BE14="yes",'Hours Per Job'!BE14*'Interval Reimb'!$B$38+'Parts Cost Per Job'!BE14*((1+'Interval Reimb'!$B$39)*'Interval Reimb'!$B$40),0),2)</f>
        <v>24</v>
      </c>
      <c r="BF14" s="246">
        <f>ROUND(IF('Included @ Interval'!BF14="yes",'Hours Per Job'!BF14*'Interval Reimb'!$B$38+'Parts Cost Per Job'!BF14*((1+'Interval Reimb'!$B$39)*'Interval Reimb'!$B$40),0),2)</f>
        <v>0</v>
      </c>
      <c r="BG14" s="246">
        <f>ROUND(IF('Included @ Interval'!BG14="yes",'Hours Per Job'!BG14*'Interval Reimb'!$B$38+'Parts Cost Per Job'!BG14*((1+'Interval Reimb'!$B$39)*'Interval Reimb'!$B$40),0),2)</f>
        <v>0</v>
      </c>
      <c r="BH14" s="246">
        <f>ROUND(IF('Included @ Interval'!BH14="yes",'Hours Per Job'!BH14*'Interval Reimb'!$B$38+'Parts Cost Per Job'!BH14*((1+'Interval Reimb'!$B$39)*'Interval Reimb'!$B$40),0),2)</f>
        <v>0</v>
      </c>
      <c r="BI14" s="246">
        <f>ROUND(IF('Included @ Interval'!BI14="yes",'Hours Per Job'!BI14*'Interval Reimb'!$B$38+'Parts Cost Per Job'!BI14*((1+'Interval Reimb'!$B$39)*'Interval Reimb'!$B$40),0),2)</f>
        <v>0</v>
      </c>
      <c r="BJ14" s="246">
        <f>ROUND(IF('Included @ Interval'!BJ14="yes",'Hours Per Job'!BJ14*'Interval Reimb'!$B$38+'Parts Cost Per Job'!BJ14*((1+'Interval Reimb'!$B$39)*'Interval Reimb'!$B$40),0),2)</f>
        <v>30</v>
      </c>
      <c r="BK14" s="246">
        <f>ROUND(IF('Included @ Interval'!BK14="yes",'Hours Per Job'!BK14*'Interval Reimb'!$B$38+'Parts Cost Per Job'!BK14*((1+'Interval Reimb'!$B$39)*'Interval Reimb'!$B$40),0),2)</f>
        <v>0</v>
      </c>
      <c r="BL14" s="246">
        <f>ROUND(IF('Included @ Interval'!BL14="yes",'Hours Per Job'!BL14*'Interval Reimb'!$B$38+'Parts Cost Per Job'!BL14*((1+'Interval Reimb'!$B$39)*'Interval Reimb'!$B$40),0),2)</f>
        <v>0</v>
      </c>
      <c r="BM14" s="246">
        <f>ROUND(IF('Included @ Interval'!BM14="yes",'Hours Per Job'!BM14*'Interval Reimb'!$B$38+'Parts Cost Per Job'!BM14*((1+'Interval Reimb'!$B$39)*'Interval Reimb'!$B$40),0),2)</f>
        <v>0</v>
      </c>
      <c r="BN14" s="246">
        <f>ROUND(IF('Included @ Interval'!BN14="yes",'Hours Per Job'!BN14*'Interval Reimb'!$B$38+'Parts Cost Per Job'!BN14*((1+'Interval Reimb'!$B$39)*'Interval Reimb'!$B$40),0),2)</f>
        <v>0</v>
      </c>
      <c r="BO14" s="246">
        <f>ROUND(IF('Included @ Interval'!BO14="yes",'Hours Per Job'!BO14*'Interval Reimb'!$B$38+'Parts Cost Per Job'!BO14*((1+'Interval Reimb'!$B$39)*'Interval Reimb'!$B$40),0),2)</f>
        <v>0</v>
      </c>
      <c r="BP14" s="246">
        <f>ROUND(IF('Included @ Interval'!BP14="yes",'Hours Per Job'!BP14*'Interval Reimb'!$B$38+'Parts Cost Per Job'!BP14*((1+'Interval Reimb'!$B$39)*'Interval Reimb'!$B$40),0),2)</f>
        <v>0</v>
      </c>
      <c r="BQ14" s="9">
        <f t="shared" si="0"/>
        <v>714.96</v>
      </c>
      <c r="BR14" s="9">
        <f t="shared" si="1"/>
        <v>3.0500000000000003</v>
      </c>
    </row>
    <row r="15" spans="1:70" x14ac:dyDescent="0.2">
      <c r="A15" s="18" t="str">
        <f>+'Scheduled Intervals'!A15</f>
        <v>Telehandler</v>
      </c>
      <c r="B15" s="246">
        <f>ROUND(IF('Included @ Interval'!B15="yes",'Hours Per Job'!B15*'Interval Reimb'!$B$38+'Parts Cost Per Job'!B15*((1+'Interval Reimb'!$B$39)*'Interval Reimb'!$B$40),0),2)</f>
        <v>0</v>
      </c>
      <c r="C15" s="246">
        <f>ROUND(IF('Included @ Interval'!C15="yes",'Hours Per Job'!C15*'Interval Reimb'!$B$38+'Parts Cost Per Job'!C15*((1+'Interval Reimb'!$B$39)*'Interval Reimb'!$B$40),0),2)</f>
        <v>0</v>
      </c>
      <c r="D15" s="246">
        <f>ROUND(IF('Included @ Interval'!D15="yes",'Hours Per Job'!D15*'Interval Reimb'!$B$38+'Parts Cost Per Job'!D15*((1+'Interval Reimb'!$B$39)*'Interval Reimb'!$B$40),0),2)</f>
        <v>0</v>
      </c>
      <c r="E15" s="246">
        <f>ROUND(IF('Included @ Interval'!E15="yes",'Hours Per Job'!E15*'Interval Reimb'!$B$38+'Parts Cost Per Job'!E15*((1+'Interval Reimb'!$B$39)*'Interval Reimb'!$B$40),0),2)</f>
        <v>0</v>
      </c>
      <c r="F15" s="246">
        <f>ROUND(IF('Included @ Interval'!F15="yes",'Hours Per Job'!F15*'Interval Reimb'!$B$38+'Parts Cost Per Job'!F15*((1+'Interval Reimb'!$B$39)*'Interval Reimb'!$B$40),0),2)</f>
        <v>0</v>
      </c>
      <c r="G15" s="246">
        <f>ROUND(IF('Included @ Interval'!G15="yes",'Hours Per Job'!G15*'Interval Reimb'!$B$38+'Parts Cost Per Job'!G15*((1+'Interval Reimb'!$B$39)*'Interval Reimb'!$B$40),0),2)</f>
        <v>0</v>
      </c>
      <c r="H15" s="246">
        <f>ROUND(IF('Included @ Interval'!H15="yes",'Hours Per Job'!H15*'Interval Reimb'!$B$38+'Parts Cost Per Job'!H15*((1+'Interval Reimb'!$B$39)*'Interval Reimb'!$B$40),0),2)</f>
        <v>0</v>
      </c>
      <c r="I15" s="246">
        <f>ROUND(IF('Included @ Interval'!I15="yes",'Hours Per Job'!I15*'Interval Reimb'!$B$38+'Parts Cost Per Job'!I15*((1+'Interval Reimb'!$B$39)*'Interval Reimb'!$B$40),0),2)</f>
        <v>0</v>
      </c>
      <c r="J15" s="246">
        <f>ROUND(IF('Included @ Interval'!J15="yes",'Hours Per Job'!J15*'Interval Reimb'!$B$38+'Parts Cost Per Job'!J15*((1+'Interval Reimb'!$B$39)*'Interval Reimb'!$B$40),0),2)</f>
        <v>0</v>
      </c>
      <c r="K15" s="246">
        <f>ROUND(IF('Included @ Interval'!K15="yes",'Hours Per Job'!K15*'Interval Reimb'!$B$38+'Parts Cost Per Job'!K15*((1+'Interval Reimb'!$B$39)*'Interval Reimb'!$B$40),0),2)</f>
        <v>0</v>
      </c>
      <c r="L15" s="246">
        <f>ROUND(IF('Included @ Interval'!L15="yes",'Hours Per Job'!L15*'Interval Reimb'!$B$38+'Parts Cost Per Job'!L15*((1+'Interval Reimb'!$B$39)*'Interval Reimb'!$B$40),0),2)</f>
        <v>0</v>
      </c>
      <c r="M15" s="246">
        <f>ROUND(IF('Included @ Interval'!M15="yes",'Hours Per Job'!M15*'Interval Reimb'!$B$38+'Parts Cost Per Job'!M15*((1+'Interval Reimb'!$B$39)*'Interval Reimb'!$B$40),0),2)</f>
        <v>0</v>
      </c>
      <c r="N15" s="246">
        <f>ROUND(IF('Included @ Interval'!N15="yes",'Hours Per Job'!N15*'Interval Reimb'!$B$38+'Parts Cost Per Job'!N15*((1+'Interval Reimb'!$B$39)*'Interval Reimb'!$B$40),0),2)</f>
        <v>0</v>
      </c>
      <c r="O15" s="246">
        <f>ROUND(IF('Included @ Interval'!O15="yes",'Hours Per Job'!O15*'Interval Reimb'!$B$38+'Parts Cost Per Job'!O15*((1+'Interval Reimb'!$B$39)*'Interval Reimb'!$B$40),0),2)</f>
        <v>0</v>
      </c>
      <c r="P15" s="246">
        <f>ROUND(IF('Included @ Interval'!P15="yes",'Hours Per Job'!P15*'Interval Reimb'!$B$38+'Parts Cost Per Job'!P15*((1+'Interval Reimb'!$B$39)*'Interval Reimb'!$B$40),0),2)</f>
        <v>0</v>
      </c>
      <c r="Q15" s="246">
        <f>ROUND(IF('Included @ Interval'!Q15="yes",'Hours Per Job'!Q15*'Interval Reimb'!$B$38+'Parts Cost Per Job'!Q15*((1+'Interval Reimb'!$B$39)*'Interval Reimb'!$B$40),0),2)</f>
        <v>0</v>
      </c>
      <c r="R15" s="246">
        <f>ROUND(IF('Included @ Interval'!R15="yes",'Hours Per Job'!R15*'Interval Reimb'!$B$38+'Parts Cost Per Job'!R15*((1+'Interval Reimb'!$B$39)*'Interval Reimb'!$B$40),0),2)</f>
        <v>0</v>
      </c>
      <c r="S15" s="246">
        <f>ROUND(IF('Included @ Interval'!S15="yes",'Hours Per Job'!S15*'Interval Reimb'!$B$38+'Parts Cost Per Job'!S15*((1+'Interval Reimb'!$B$39)*'Interval Reimb'!$B$40),0),2)</f>
        <v>0</v>
      </c>
      <c r="T15" s="246">
        <f>ROUND(IF('Included @ Interval'!T15="yes",'Hours Per Job'!T15*'Interval Reimb'!$B$38+'Parts Cost Per Job'!T15*((1+'Interval Reimb'!$B$39)*'Interval Reimb'!$B$40),0),2)</f>
        <v>0</v>
      </c>
      <c r="U15" s="246">
        <f>ROUND(IF('Included @ Interval'!U15="yes",'Hours Per Job'!U15*'Interval Reimb'!$B$38+'Parts Cost Per Job'!U15*((1+'Interval Reimb'!$B$39)*'Interval Reimb'!$B$40),0),2)</f>
        <v>279.43</v>
      </c>
      <c r="V15" s="246">
        <f>ROUND(IF('Included @ Interval'!V15="yes",'Hours Per Job'!V15*'Interval Reimb'!$B$38+'Parts Cost Per Job'!V15*((1+'Interval Reimb'!$B$39)*'Interval Reimb'!$B$40),0),2)</f>
        <v>0</v>
      </c>
      <c r="W15" s="246">
        <f>ROUND(IF('Included @ Interval'!W15="yes",'Hours Per Job'!W15*'Interval Reimb'!$B$38+'Parts Cost Per Job'!W15*((1+'Interval Reimb'!$B$39)*'Interval Reimb'!$B$40),0),2)</f>
        <v>36</v>
      </c>
      <c r="X15" s="246">
        <f>ROUND(IF('Included @ Interval'!X15="yes",'Hours Per Job'!X15*'Interval Reimb'!$B$38+'Parts Cost Per Job'!X15*((1+'Interval Reimb'!$B$39)*'Interval Reimb'!$B$40),0),2)</f>
        <v>83.84</v>
      </c>
      <c r="Y15" s="246">
        <f>ROUND(IF('Included @ Interval'!Y15="yes",'Hours Per Job'!Y15*'Interval Reimb'!$B$38+'Parts Cost Per Job'!Y15*((1+'Interval Reimb'!$B$39)*'Interval Reimb'!$B$40),0),2)</f>
        <v>12</v>
      </c>
      <c r="Z15" s="246">
        <f>ROUND(IF('Included @ Interval'!Z15="yes",'Hours Per Job'!Z15*'Interval Reimb'!$B$38+'Parts Cost Per Job'!Z15*((1+'Interval Reimb'!$B$39)*'Interval Reimb'!$B$40),0),2)</f>
        <v>81.52</v>
      </c>
      <c r="AA15" s="246">
        <f>ROUND(IF('Included @ Interval'!AA15="yes",'Hours Per Job'!AA15*'Interval Reimb'!$B$38+'Parts Cost Per Job'!AA15*((1+'Interval Reimb'!$B$39)*'Interval Reimb'!$B$40),0),2)</f>
        <v>0</v>
      </c>
      <c r="AB15" s="246">
        <f>ROUND(IF('Included @ Interval'!AB15="yes",'Hours Per Job'!AB15*'Interval Reimb'!$B$38+'Parts Cost Per Job'!AB15*((1+'Interval Reimb'!$B$39)*'Interval Reimb'!$B$40),0),2)</f>
        <v>0</v>
      </c>
      <c r="AC15" s="246">
        <f>ROUND(IF('Included @ Interval'!AC15="yes",'Hours Per Job'!AC15*'Interval Reimb'!$B$38+'Parts Cost Per Job'!AC15*((1+'Interval Reimb'!$B$39)*'Interval Reimb'!$B$40),0),2)</f>
        <v>0</v>
      </c>
      <c r="AD15" s="246">
        <f>ROUND(IF('Included @ Interval'!AD15="yes",'Hours Per Job'!AD15*'Interval Reimb'!$B$38+'Parts Cost Per Job'!AD15*((1+'Interval Reimb'!$B$39)*'Interval Reimb'!$B$40),0),2)</f>
        <v>0</v>
      </c>
      <c r="AE15" s="246">
        <f>ROUND(IF('Included @ Interval'!AE15="yes",'Hours Per Job'!AE15*'Interval Reimb'!$B$38+'Parts Cost Per Job'!AE15*((1+'Interval Reimb'!$B$39)*'Interval Reimb'!$B$40),0),2)</f>
        <v>0</v>
      </c>
      <c r="AF15" s="246">
        <f>ROUND(IF('Included @ Interval'!AF15="yes",'Hours Per Job'!AF15*'Interval Reimb'!$B$38+'Parts Cost Per Job'!AF15*((1+'Interval Reimb'!$B$39)*'Interval Reimb'!$B$40),0),2)</f>
        <v>0</v>
      </c>
      <c r="AG15" s="246">
        <f>ROUND(IF('Included @ Interval'!AG15="yes",'Hours Per Job'!AG15*'Interval Reimb'!$B$38+'Parts Cost Per Job'!AG15*((1+'Interval Reimb'!$B$39)*'Interval Reimb'!$B$40),0),2)</f>
        <v>178.42</v>
      </c>
      <c r="AH15" s="246">
        <f>ROUND(IF('Included @ Interval'!AH15="yes",'Hours Per Job'!AH15*'Interval Reimb'!$B$38+'Parts Cost Per Job'!AH15*((1+'Interval Reimb'!$B$39)*'Interval Reimb'!$B$40),0),2)</f>
        <v>0</v>
      </c>
      <c r="AI15" s="246">
        <f>ROUND(IF('Included @ Interval'!AI15="yes",'Hours Per Job'!AI15*'Interval Reimb'!$B$38+'Parts Cost Per Job'!AI15*((1+'Interval Reimb'!$B$39)*'Interval Reimb'!$B$40),0),2)</f>
        <v>0</v>
      </c>
      <c r="AJ15" s="246">
        <f>ROUND(IF('Included @ Interval'!AJ15="yes",'Hours Per Job'!AJ15*'Interval Reimb'!$B$38+'Parts Cost Per Job'!AJ15*((1+'Interval Reimb'!$B$39)*'Interval Reimb'!$B$40),0),2)</f>
        <v>0</v>
      </c>
      <c r="AK15" s="246">
        <f>ROUND(IF('Included @ Interval'!AK15="yes",'Hours Per Job'!AK15*'Interval Reimb'!$B$38+'Parts Cost Per Job'!AK15*((1+'Interval Reimb'!$B$39)*'Interval Reimb'!$B$40),0),2)</f>
        <v>0</v>
      </c>
      <c r="AL15" s="246">
        <f>ROUND(IF('Included @ Interval'!AL15="yes",'Hours Per Job'!AL15*'Interval Reimb'!$B$38+'Parts Cost Per Job'!AL15*((1+'Interval Reimb'!$B$39)*'Interval Reimb'!$B$40),0),2)</f>
        <v>0</v>
      </c>
      <c r="AM15" s="246">
        <f>ROUND(IF('Included @ Interval'!AM15="yes",'Hours Per Job'!AM15*'Interval Reimb'!$B$38+'Parts Cost Per Job'!AM15*((1+'Interval Reimb'!$B$39)*'Interval Reimb'!$B$40),0),2)</f>
        <v>0</v>
      </c>
      <c r="AN15" s="246">
        <f>ROUND(IF('Included @ Interval'!AN15="yes",'Hours Per Job'!AN15*'Interval Reimb'!$B$38+'Parts Cost Per Job'!AN15*((1+'Interval Reimb'!$B$39)*'Interval Reimb'!$B$40),0),2)</f>
        <v>0</v>
      </c>
      <c r="AO15" s="246">
        <f>ROUND(IF('Included @ Interval'!AO15="yes",'Hours Per Job'!AO15*'Interval Reimb'!$B$38+'Parts Cost Per Job'!AO15*((1+'Interval Reimb'!$B$39)*'Interval Reimb'!$B$40),0),2)</f>
        <v>0</v>
      </c>
      <c r="AP15" s="246">
        <f>ROUND(IF('Included @ Interval'!AP15="yes",'Hours Per Job'!AP15*'Interval Reimb'!$B$38+'Parts Cost Per Job'!AP15*((1+'Interval Reimb'!$B$39)*'Interval Reimb'!$B$40),0),2)</f>
        <v>36</v>
      </c>
      <c r="AQ15" s="246">
        <f>ROUND(IF('Included @ Interval'!AQ15="yes",'Hours Per Job'!AQ15*'Interval Reimb'!$B$38+'Parts Cost Per Job'!AQ15*((1+'Interval Reimb'!$B$39)*'Interval Reimb'!$B$40),0),2)</f>
        <v>0</v>
      </c>
      <c r="AR15" s="246">
        <f>ROUND(IF('Included @ Interval'!AR15="yes",'Hours Per Job'!AR15*'Interval Reimb'!$B$38+'Parts Cost Per Job'!AR15*((1+'Interval Reimb'!$B$39)*'Interval Reimb'!$B$40),0),2)</f>
        <v>0</v>
      </c>
      <c r="AS15" s="246">
        <f>ROUND(IF('Included @ Interval'!AS15="yes",'Hours Per Job'!AS15*'Interval Reimb'!$B$38+'Parts Cost Per Job'!AS15*((1+'Interval Reimb'!$B$39)*'Interval Reimb'!$B$40),0),2)</f>
        <v>0</v>
      </c>
      <c r="AT15" s="246">
        <f>ROUND(IF('Included @ Interval'!AT15="yes",'Hours Per Job'!AT15*'Interval Reimb'!$B$38+'Parts Cost Per Job'!AT15*((1+'Interval Reimb'!$B$39)*'Interval Reimb'!$B$40),0),2)</f>
        <v>59.07</v>
      </c>
      <c r="AU15" s="246">
        <f>ROUND(IF('Included @ Interval'!AU15="yes",'Hours Per Job'!AU15*'Interval Reimb'!$B$38+'Parts Cost Per Job'!AU15*((1+'Interval Reimb'!$B$39)*'Interval Reimb'!$B$40),0),2)</f>
        <v>0</v>
      </c>
      <c r="AV15" s="246">
        <f>ROUND(IF('Included @ Interval'!AV15="yes",'Hours Per Job'!AV15*'Interval Reimb'!$B$38+'Parts Cost Per Job'!AV15*((1+'Interval Reimb'!$B$39)*'Interval Reimb'!$B$40),0),2)</f>
        <v>0</v>
      </c>
      <c r="AW15" s="246">
        <f>ROUND(IF('Included @ Interval'!AW15="yes",'Hours Per Job'!AW15*'Interval Reimb'!$B$38+'Parts Cost Per Job'!AW15*((1+'Interval Reimb'!$B$39)*'Interval Reimb'!$B$40),0),2)</f>
        <v>0</v>
      </c>
      <c r="AX15" s="246">
        <f>ROUND(IF('Included @ Interval'!AX15="yes",'Hours Per Job'!AX15*'Interval Reimb'!$B$38+'Parts Cost Per Job'!AX15*((1+'Interval Reimb'!$B$39)*'Interval Reimb'!$B$40),0),2)</f>
        <v>0</v>
      </c>
      <c r="AY15" s="246">
        <f>ROUND(IF('Included @ Interval'!AY15="yes",'Hours Per Job'!AY15*'Interval Reimb'!$B$38+'Parts Cost Per Job'!AY15*((1+'Interval Reimb'!$B$39)*'Interval Reimb'!$B$40),0),2)</f>
        <v>0</v>
      </c>
      <c r="AZ15" s="246">
        <f>ROUND(IF('Included @ Interval'!AZ15="yes",'Hours Per Job'!AZ15*'Interval Reimb'!$B$38+'Parts Cost Per Job'!AZ15*((1+'Interval Reimb'!$B$39)*'Interval Reimb'!$B$40),0),2)</f>
        <v>0</v>
      </c>
      <c r="BA15" s="246">
        <f>ROUND(IF('Included @ Interval'!BA15="yes",'Hours Per Job'!BA15*'Interval Reimb'!$B$38+'Parts Cost Per Job'!BA15*((1+'Interval Reimb'!$B$39)*'Interval Reimb'!$B$40),0),2)</f>
        <v>0</v>
      </c>
      <c r="BB15" s="246">
        <f>ROUND(IF('Included @ Interval'!BB15="yes",'Hours Per Job'!BB15*'Interval Reimb'!$B$38+'Parts Cost Per Job'!BB15*((1+'Interval Reimb'!$B$39)*'Interval Reimb'!$B$40),0),2)</f>
        <v>0</v>
      </c>
      <c r="BC15" s="246">
        <f>ROUND(IF('Included @ Interval'!BC15="yes",'Hours Per Job'!BC15*'Interval Reimb'!$B$38+'Parts Cost Per Job'!BC15*((1+'Interval Reimb'!$B$39)*'Interval Reimb'!$B$40),0),2)</f>
        <v>0</v>
      </c>
      <c r="BD15" s="246">
        <f>ROUND(IF('Included @ Interval'!BD15="yes",'Hours Per Job'!BD15*'Interval Reimb'!$B$38+'Parts Cost Per Job'!BD15*((1+'Interval Reimb'!$B$39)*'Interval Reimb'!$B$40),0),2)</f>
        <v>0</v>
      </c>
      <c r="BE15" s="246">
        <f>ROUND(IF('Included @ Interval'!BE15="yes",'Hours Per Job'!BE15*'Interval Reimb'!$B$38+'Parts Cost Per Job'!BE15*((1+'Interval Reimb'!$B$39)*'Interval Reimb'!$B$40),0),2)</f>
        <v>24</v>
      </c>
      <c r="BF15" s="246">
        <f>ROUND(IF('Included @ Interval'!BF15="yes",'Hours Per Job'!BF15*'Interval Reimb'!$B$38+'Parts Cost Per Job'!BF15*((1+'Interval Reimb'!$B$39)*'Interval Reimb'!$B$40),0),2)</f>
        <v>0</v>
      </c>
      <c r="BG15" s="246">
        <f>ROUND(IF('Included @ Interval'!BG15="yes",'Hours Per Job'!BG15*'Interval Reimb'!$B$38+'Parts Cost Per Job'!BG15*((1+'Interval Reimb'!$B$39)*'Interval Reimb'!$B$40),0),2)</f>
        <v>0</v>
      </c>
      <c r="BH15" s="246">
        <f>ROUND(IF('Included @ Interval'!BH15="yes",'Hours Per Job'!BH15*'Interval Reimb'!$B$38+'Parts Cost Per Job'!BH15*((1+'Interval Reimb'!$B$39)*'Interval Reimb'!$B$40),0),2)</f>
        <v>0</v>
      </c>
      <c r="BI15" s="246">
        <f>ROUND(IF('Included @ Interval'!BI15="yes",'Hours Per Job'!BI15*'Interval Reimb'!$B$38+'Parts Cost Per Job'!BI15*((1+'Interval Reimb'!$B$39)*'Interval Reimb'!$B$40),0),2)</f>
        <v>0</v>
      </c>
      <c r="BJ15" s="246">
        <f>ROUND(IF('Included @ Interval'!BJ15="yes",'Hours Per Job'!BJ15*'Interval Reimb'!$B$38+'Parts Cost Per Job'!BJ15*((1+'Interval Reimb'!$B$39)*'Interval Reimb'!$B$40),0),2)</f>
        <v>30</v>
      </c>
      <c r="BK15" s="246">
        <f>ROUND(IF('Included @ Interval'!BK15="yes",'Hours Per Job'!BK15*'Interval Reimb'!$B$38+'Parts Cost Per Job'!BK15*((1+'Interval Reimb'!$B$39)*'Interval Reimb'!$B$40),0),2)</f>
        <v>0</v>
      </c>
      <c r="BL15" s="246">
        <f>ROUND(IF('Included @ Interval'!BL15="yes",'Hours Per Job'!BL15*'Interval Reimb'!$B$38+'Parts Cost Per Job'!BL15*((1+'Interval Reimb'!$B$39)*'Interval Reimb'!$B$40),0),2)</f>
        <v>0</v>
      </c>
      <c r="BM15" s="246">
        <f>ROUND(IF('Included @ Interval'!BM15="yes",'Hours Per Job'!BM15*'Interval Reimb'!$B$38+'Parts Cost Per Job'!BM15*((1+'Interval Reimb'!$B$39)*'Interval Reimb'!$B$40),0),2)</f>
        <v>0</v>
      </c>
      <c r="BN15" s="246">
        <f>ROUND(IF('Included @ Interval'!BN15="yes",'Hours Per Job'!BN15*'Interval Reimb'!$B$38+'Parts Cost Per Job'!BN15*((1+'Interval Reimb'!$B$39)*'Interval Reimb'!$B$40),0),2)</f>
        <v>0</v>
      </c>
      <c r="BO15" s="246">
        <f>ROUND(IF('Included @ Interval'!BO15="yes",'Hours Per Job'!BO15*'Interval Reimb'!$B$38+'Parts Cost Per Job'!BO15*((1+'Interval Reimb'!$B$39)*'Interval Reimb'!$B$40),0),2)</f>
        <v>0</v>
      </c>
      <c r="BP15" s="246">
        <f>ROUND(IF('Included @ Interval'!BP15="yes",'Hours Per Job'!BP15*'Interval Reimb'!$B$38+'Parts Cost Per Job'!BP15*((1+'Interval Reimb'!$B$39)*'Interval Reimb'!$B$40),0),2)</f>
        <v>0</v>
      </c>
      <c r="BQ15" s="9">
        <f t="shared" si="0"/>
        <v>820.28</v>
      </c>
      <c r="BR15" s="9">
        <f t="shared" si="1"/>
        <v>3.45</v>
      </c>
    </row>
    <row r="16" spans="1:70" x14ac:dyDescent="0.2">
      <c r="A16" s="18" t="str">
        <f>+'Scheduled Intervals'!A16</f>
        <v>Mahindra Emax</v>
      </c>
      <c r="B16" s="246">
        <f>ROUND(IF('Included @ Interval'!B16="yes",'Hours Per Job'!B16*'Interval Reimb'!$B$38+'Parts Cost Per Job'!B16*((1+'Interval Reimb'!$B$39)*'Interval Reimb'!$B$40),0),2)</f>
        <v>0</v>
      </c>
      <c r="C16" s="246">
        <f>ROUND(IF('Included @ Interval'!C16="yes",'Hours Per Job'!C16*'Interval Reimb'!$B$38+'Parts Cost Per Job'!C16*((1+'Interval Reimb'!$B$39)*'Interval Reimb'!$B$40),0),2)</f>
        <v>0</v>
      </c>
      <c r="D16" s="246">
        <f>ROUND(IF('Included @ Interval'!D16="yes",'Hours Per Job'!D16*'Interval Reimb'!$B$38+'Parts Cost Per Job'!D16*((1+'Interval Reimb'!$B$39)*'Interval Reimb'!$B$40),0),2)</f>
        <v>0</v>
      </c>
      <c r="E16" s="246">
        <f>ROUND(IF('Included @ Interval'!E16="yes",'Hours Per Job'!E16*'Interval Reimb'!$B$38+'Parts Cost Per Job'!E16*((1+'Interval Reimb'!$B$39)*'Interval Reimb'!$B$40),0),2)</f>
        <v>0</v>
      </c>
      <c r="F16" s="246">
        <f>ROUND(IF('Included @ Interval'!F16="yes",'Hours Per Job'!F16*'Interval Reimb'!$B$38+'Parts Cost Per Job'!F16*((1+'Interval Reimb'!$B$39)*'Interval Reimb'!$B$40),0),2)</f>
        <v>0</v>
      </c>
      <c r="G16" s="246">
        <f>ROUND(IF('Included @ Interval'!G16="yes",'Hours Per Job'!G16*'Interval Reimb'!$B$38+'Parts Cost Per Job'!G16*((1+'Interval Reimb'!$B$39)*'Interval Reimb'!$B$40),0),2)</f>
        <v>0</v>
      </c>
      <c r="H16" s="246">
        <f>ROUND(IF('Included @ Interval'!H16="yes",'Hours Per Job'!H16*'Interval Reimb'!$B$38+'Parts Cost Per Job'!H16*((1+'Interval Reimb'!$B$39)*'Interval Reimb'!$B$40),0),2)</f>
        <v>0</v>
      </c>
      <c r="I16" s="246">
        <f>ROUND(IF('Included @ Interval'!I16="yes",'Hours Per Job'!I16*'Interval Reimb'!$B$38+'Parts Cost Per Job'!I16*((1+'Interval Reimb'!$B$39)*'Interval Reimb'!$B$40),0),2)</f>
        <v>0</v>
      </c>
      <c r="J16" s="246">
        <f>ROUND(IF('Included @ Interval'!J16="yes",'Hours Per Job'!J16*'Interval Reimb'!$B$38+'Parts Cost Per Job'!J16*((1+'Interval Reimb'!$B$39)*'Interval Reimb'!$B$40),0),2)</f>
        <v>0</v>
      </c>
      <c r="K16" s="246">
        <f>ROUND(IF('Included @ Interval'!K16="yes",'Hours Per Job'!K16*'Interval Reimb'!$B$38+'Parts Cost Per Job'!K16*((1+'Interval Reimb'!$B$39)*'Interval Reimb'!$B$40),0),2)</f>
        <v>0</v>
      </c>
      <c r="L16" s="246">
        <f>ROUND(IF('Included @ Interval'!L16="yes",'Hours Per Job'!L16*'Interval Reimb'!$B$38+'Parts Cost Per Job'!L16*((1+'Interval Reimb'!$B$39)*'Interval Reimb'!$B$40),0),2)</f>
        <v>0</v>
      </c>
      <c r="M16" s="246">
        <f>ROUND(IF('Included @ Interval'!M16="yes",'Hours Per Job'!M16*'Interval Reimb'!$B$38+'Parts Cost Per Job'!M16*((1+'Interval Reimb'!$B$39)*'Interval Reimb'!$B$40),0),2)</f>
        <v>0</v>
      </c>
      <c r="N16" s="246">
        <f>ROUND(IF('Included @ Interval'!N16="yes",'Hours Per Job'!N16*'Interval Reimb'!$B$38+'Parts Cost Per Job'!N16*((1+'Interval Reimb'!$B$39)*'Interval Reimb'!$B$40),0),2)</f>
        <v>0</v>
      </c>
      <c r="O16" s="246">
        <f>ROUND(IF('Included @ Interval'!O16="yes",'Hours Per Job'!O16*'Interval Reimb'!$B$38+'Parts Cost Per Job'!O16*((1+'Interval Reimb'!$B$39)*'Interval Reimb'!$B$40),0),2)</f>
        <v>0</v>
      </c>
      <c r="P16" s="246">
        <f>ROUND(IF('Included @ Interval'!P16="yes",'Hours Per Job'!P16*'Interval Reimb'!$B$38+'Parts Cost Per Job'!P16*((1+'Interval Reimb'!$B$39)*'Interval Reimb'!$B$40),0),2)</f>
        <v>0</v>
      </c>
      <c r="Q16" s="246">
        <f>ROUND(IF('Included @ Interval'!Q16="yes",'Hours Per Job'!Q16*'Interval Reimb'!$B$38+'Parts Cost Per Job'!Q16*((1+'Interval Reimb'!$B$39)*'Interval Reimb'!$B$40),0),2)</f>
        <v>0</v>
      </c>
      <c r="R16" s="246">
        <f>ROUND(IF('Included @ Interval'!R16="yes",'Hours Per Job'!R16*'Interval Reimb'!$B$38+'Parts Cost Per Job'!R16*((1+'Interval Reimb'!$B$39)*'Interval Reimb'!$B$40),0),2)</f>
        <v>0</v>
      </c>
      <c r="S16" s="246">
        <f>ROUND(IF('Included @ Interval'!S16="yes",'Hours Per Job'!S16*'Interval Reimb'!$B$38+'Parts Cost Per Job'!S16*((1+'Interval Reimb'!$B$39)*'Interval Reimb'!$B$40),0),2)</f>
        <v>0</v>
      </c>
      <c r="T16" s="246">
        <f>ROUND(IF('Included @ Interval'!T16="yes",'Hours Per Job'!T16*'Interval Reimb'!$B$38+'Parts Cost Per Job'!T16*((1+'Interval Reimb'!$B$39)*'Interval Reimb'!$B$40),0),2)</f>
        <v>0</v>
      </c>
      <c r="U16" s="246">
        <f>ROUND(IF('Included @ Interval'!U16="yes",'Hours Per Job'!U16*'Interval Reimb'!$B$38+'Parts Cost Per Job'!U16*((1+'Interval Reimb'!$B$39)*'Interval Reimb'!$B$40),0),2)</f>
        <v>85.46</v>
      </c>
      <c r="V16" s="246">
        <f>ROUND(IF('Included @ Interval'!V16="yes",'Hours Per Job'!V16*'Interval Reimb'!$B$38+'Parts Cost Per Job'!V16*((1+'Interval Reimb'!$B$39)*'Interval Reimb'!$B$40),0),2)</f>
        <v>0</v>
      </c>
      <c r="W16" s="246">
        <f>ROUND(IF('Included @ Interval'!W16="yes",'Hours Per Job'!W16*'Interval Reimb'!$B$38+'Parts Cost Per Job'!W16*((1+'Interval Reimb'!$B$39)*'Interval Reimb'!$B$40),0),2)</f>
        <v>0</v>
      </c>
      <c r="X16" s="246">
        <f>ROUND(IF('Included @ Interval'!X16="yes",'Hours Per Job'!X16*'Interval Reimb'!$B$38+'Parts Cost Per Job'!X16*((1+'Interval Reimb'!$B$39)*'Interval Reimb'!$B$40),0),2)</f>
        <v>0</v>
      </c>
      <c r="Y16" s="246">
        <f>ROUND(IF('Included @ Interval'!Y16="yes",'Hours Per Job'!Y16*'Interval Reimb'!$B$38+'Parts Cost Per Job'!Y16*((1+'Interval Reimb'!$B$39)*'Interval Reimb'!$B$40),0),2)</f>
        <v>0</v>
      </c>
      <c r="Z16" s="246">
        <f>ROUND(IF('Included @ Interval'!Z16="yes",'Hours Per Job'!Z16*'Interval Reimb'!$B$38+'Parts Cost Per Job'!Z16*((1+'Interval Reimb'!$B$39)*'Interval Reimb'!$B$40),0),2)</f>
        <v>72.290000000000006</v>
      </c>
      <c r="AA16" s="246">
        <f>ROUND(IF('Included @ Interval'!AA16="yes",'Hours Per Job'!AA16*'Interval Reimb'!$B$38+'Parts Cost Per Job'!AA16*((1+'Interval Reimb'!$B$39)*'Interval Reimb'!$B$40),0),2)</f>
        <v>0</v>
      </c>
      <c r="AB16" s="246">
        <f>ROUND(IF('Included @ Interval'!AB16="yes",'Hours Per Job'!AB16*'Interval Reimb'!$B$38+'Parts Cost Per Job'!AB16*((1+'Interval Reimb'!$B$39)*'Interval Reimb'!$B$40),0),2)</f>
        <v>269.02</v>
      </c>
      <c r="AC16" s="246">
        <f>ROUND(IF('Included @ Interval'!AC16="yes",'Hours Per Job'!AC16*'Interval Reimb'!$B$38+'Parts Cost Per Job'!AC16*((1+'Interval Reimb'!$B$39)*'Interval Reimb'!$B$40),0),2)</f>
        <v>0</v>
      </c>
      <c r="AD16" s="246">
        <f>ROUND(IF('Included @ Interval'!AD16="yes",'Hours Per Job'!AD16*'Interval Reimb'!$B$38+'Parts Cost Per Job'!AD16*((1+'Interval Reimb'!$B$39)*'Interval Reimb'!$B$40),0),2)</f>
        <v>0</v>
      </c>
      <c r="AE16" s="246">
        <f>ROUND(IF('Included @ Interval'!AE16="yes",'Hours Per Job'!AE16*'Interval Reimb'!$B$38+'Parts Cost Per Job'!AE16*((1+'Interval Reimb'!$B$39)*'Interval Reimb'!$B$40),0),2)</f>
        <v>90.98</v>
      </c>
      <c r="AF16" s="246">
        <f>ROUND(IF('Included @ Interval'!AF16="yes",'Hours Per Job'!AF16*'Interval Reimb'!$B$38+'Parts Cost Per Job'!AF16*((1+'Interval Reimb'!$B$39)*'Interval Reimb'!$B$40),0),2)</f>
        <v>0</v>
      </c>
      <c r="AG16" s="246">
        <f>ROUND(IF('Included @ Interval'!AG16="yes",'Hours Per Job'!AG16*'Interval Reimb'!$B$38+'Parts Cost Per Job'!AG16*((1+'Interval Reimb'!$B$39)*'Interval Reimb'!$B$40),0),2)</f>
        <v>0</v>
      </c>
      <c r="AH16" s="246">
        <f>ROUND(IF('Included @ Interval'!AH16="yes",'Hours Per Job'!AH16*'Interval Reimb'!$B$38+'Parts Cost Per Job'!AH16*((1+'Interval Reimb'!$B$39)*'Interval Reimb'!$B$40),0),2)</f>
        <v>0</v>
      </c>
      <c r="AI16" s="246">
        <f>ROUND(IF('Included @ Interval'!AI16="yes",'Hours Per Job'!AI16*'Interval Reimb'!$B$38+'Parts Cost Per Job'!AI16*((1+'Interval Reimb'!$B$39)*'Interval Reimb'!$B$40),0),2)</f>
        <v>0</v>
      </c>
      <c r="AJ16" s="246">
        <f>ROUND(IF('Included @ Interval'!AJ16="yes",'Hours Per Job'!AJ16*'Interval Reimb'!$B$38+'Parts Cost Per Job'!AJ16*((1+'Interval Reimb'!$B$39)*'Interval Reimb'!$B$40),0),2)</f>
        <v>0</v>
      </c>
      <c r="AK16" s="246">
        <f>ROUND(IF('Included @ Interval'!AK16="yes",'Hours Per Job'!AK16*'Interval Reimb'!$B$38+'Parts Cost Per Job'!AK16*((1+'Interval Reimb'!$B$39)*'Interval Reimb'!$B$40),0),2)</f>
        <v>0</v>
      </c>
      <c r="AL16" s="246">
        <f>ROUND(IF('Included @ Interval'!AL16="yes",'Hours Per Job'!AL16*'Interval Reimb'!$B$38+'Parts Cost Per Job'!AL16*((1+'Interval Reimb'!$B$39)*'Interval Reimb'!$B$40),0),2)</f>
        <v>156.16999999999999</v>
      </c>
      <c r="AM16" s="246">
        <f>ROUND(IF('Included @ Interval'!AM16="yes",'Hours Per Job'!AM16*'Interval Reimb'!$B$38+'Parts Cost Per Job'!AM16*((1+'Interval Reimb'!$B$39)*'Interval Reimb'!$B$40),0),2)</f>
        <v>0</v>
      </c>
      <c r="AN16" s="246">
        <f>ROUND(IF('Included @ Interval'!AN16="yes",'Hours Per Job'!AN16*'Interval Reimb'!$B$38+'Parts Cost Per Job'!AN16*((1+'Interval Reimb'!$B$39)*'Interval Reimb'!$B$40),0),2)</f>
        <v>0</v>
      </c>
      <c r="AO16" s="246">
        <f>ROUND(IF('Included @ Interval'!AO16="yes",'Hours Per Job'!AO16*'Interval Reimb'!$B$38+'Parts Cost Per Job'!AO16*((1+'Interval Reimb'!$B$39)*'Interval Reimb'!$B$40),0),2)</f>
        <v>0</v>
      </c>
      <c r="AP16" s="246">
        <f>ROUND(IF('Included @ Interval'!AP16="yes",'Hours Per Job'!AP16*'Interval Reimb'!$B$38+'Parts Cost Per Job'!AP16*((1+'Interval Reimb'!$B$39)*'Interval Reimb'!$B$40),0),2)</f>
        <v>0</v>
      </c>
      <c r="AQ16" s="246">
        <f>ROUND(IF('Included @ Interval'!AQ16="yes",'Hours Per Job'!AQ16*'Interval Reimb'!$B$38+'Parts Cost Per Job'!AQ16*((1+'Interval Reimb'!$B$39)*'Interval Reimb'!$B$40),0),2)</f>
        <v>0</v>
      </c>
      <c r="AR16" s="246">
        <f>ROUND(IF('Included @ Interval'!AR16="yes",'Hours Per Job'!AR16*'Interval Reimb'!$B$38+'Parts Cost Per Job'!AR16*((1+'Interval Reimb'!$B$39)*'Interval Reimb'!$B$40),0),2)</f>
        <v>0</v>
      </c>
      <c r="AS16" s="246">
        <f>ROUND(IF('Included @ Interval'!AS16="yes",'Hours Per Job'!AS16*'Interval Reimb'!$B$38+'Parts Cost Per Job'!AS16*((1+'Interval Reimb'!$B$39)*'Interval Reimb'!$B$40),0),2)</f>
        <v>0</v>
      </c>
      <c r="AT16" s="246">
        <f>ROUND(IF('Included @ Interval'!AT16="yes",'Hours Per Job'!AT16*'Interval Reimb'!$B$38+'Parts Cost Per Job'!AT16*((1+'Interval Reimb'!$B$39)*'Interval Reimb'!$B$40),0),2)</f>
        <v>35.07</v>
      </c>
      <c r="AU16" s="246">
        <f>ROUND(IF('Included @ Interval'!AU16="yes",'Hours Per Job'!AU16*'Interval Reimb'!$B$38+'Parts Cost Per Job'!AU16*((1+'Interval Reimb'!$B$39)*'Interval Reimb'!$B$40),0),2)</f>
        <v>0</v>
      </c>
      <c r="AV16" s="246">
        <f>ROUND(IF('Included @ Interval'!AV16="yes",'Hours Per Job'!AV16*'Interval Reimb'!$B$38+'Parts Cost Per Job'!AV16*((1+'Interval Reimb'!$B$39)*'Interval Reimb'!$B$40),0),2)</f>
        <v>0</v>
      </c>
      <c r="AW16" s="246">
        <f>ROUND(IF('Included @ Interval'!AW16="yes",'Hours Per Job'!AW16*'Interval Reimb'!$B$38+'Parts Cost Per Job'!AW16*((1+'Interval Reimb'!$B$39)*'Interval Reimb'!$B$40),0),2)</f>
        <v>0</v>
      </c>
      <c r="AX16" s="246">
        <f>ROUND(IF('Included @ Interval'!AX16="yes",'Hours Per Job'!AX16*'Interval Reimb'!$B$38+'Parts Cost Per Job'!AX16*((1+'Interval Reimb'!$B$39)*'Interval Reimb'!$B$40),0),2)</f>
        <v>0</v>
      </c>
      <c r="AY16" s="246">
        <f>ROUND(IF('Included @ Interval'!AY16="yes",'Hours Per Job'!AY16*'Interval Reimb'!$B$38+'Parts Cost Per Job'!AY16*((1+'Interval Reimb'!$B$39)*'Interval Reimb'!$B$40),0),2)</f>
        <v>0</v>
      </c>
      <c r="AZ16" s="246">
        <f>ROUND(IF('Included @ Interval'!AZ16="yes",'Hours Per Job'!AZ16*'Interval Reimb'!$B$38+'Parts Cost Per Job'!AZ16*((1+'Interval Reimb'!$B$39)*'Interval Reimb'!$B$40),0),2)</f>
        <v>0</v>
      </c>
      <c r="BA16" s="246">
        <f>ROUND(IF('Included @ Interval'!BA16="yes",'Hours Per Job'!BA16*'Interval Reimb'!$B$38+'Parts Cost Per Job'!BA16*((1+'Interval Reimb'!$B$39)*'Interval Reimb'!$B$40),0),2)</f>
        <v>0</v>
      </c>
      <c r="BB16" s="246">
        <f>ROUND(IF('Included @ Interval'!BB16="yes",'Hours Per Job'!BB16*'Interval Reimb'!$B$38+'Parts Cost Per Job'!BB16*((1+'Interval Reimb'!$B$39)*'Interval Reimb'!$B$40),0),2)</f>
        <v>55.39</v>
      </c>
      <c r="BC16" s="246">
        <f>ROUND(IF('Included @ Interval'!BC16="yes",'Hours Per Job'!BC16*'Interval Reimb'!$B$38+'Parts Cost Per Job'!BC16*((1+'Interval Reimb'!$B$39)*'Interval Reimb'!$B$40),0),2)</f>
        <v>0</v>
      </c>
      <c r="BD16" s="246">
        <f>ROUND(IF('Included @ Interval'!BD16="yes",'Hours Per Job'!BD16*'Interval Reimb'!$B$38+'Parts Cost Per Job'!BD16*((1+'Interval Reimb'!$B$39)*'Interval Reimb'!$B$40),0),2)</f>
        <v>0</v>
      </c>
      <c r="BE16" s="246">
        <f>ROUND(IF('Included @ Interval'!BE16="yes",'Hours Per Job'!BE16*'Interval Reimb'!$B$38+'Parts Cost Per Job'!BE16*((1+'Interval Reimb'!$B$39)*'Interval Reimb'!$B$40),0),2)</f>
        <v>0</v>
      </c>
      <c r="BF16" s="246">
        <f>ROUND(IF('Included @ Interval'!BF16="yes",'Hours Per Job'!BF16*'Interval Reimb'!$B$38+'Parts Cost Per Job'!BF16*((1+'Interval Reimb'!$B$39)*'Interval Reimb'!$B$40),0),2)</f>
        <v>0</v>
      </c>
      <c r="BG16" s="246">
        <f>ROUND(IF('Included @ Interval'!BG16="yes",'Hours Per Job'!BG16*'Interval Reimb'!$B$38+'Parts Cost Per Job'!BG16*((1+'Interval Reimb'!$B$39)*'Interval Reimb'!$B$40),0),2)</f>
        <v>0</v>
      </c>
      <c r="BH16" s="246">
        <f>ROUND(IF('Included @ Interval'!BH16="yes",'Hours Per Job'!BH16*'Interval Reimb'!$B$38+'Parts Cost Per Job'!BH16*((1+'Interval Reimb'!$B$39)*'Interval Reimb'!$B$40),0),2)</f>
        <v>0</v>
      </c>
      <c r="BI16" s="246">
        <f>ROUND(IF('Included @ Interval'!BI16="yes",'Hours Per Job'!BI16*'Interval Reimb'!$B$38+'Parts Cost Per Job'!BI16*((1+'Interval Reimb'!$B$39)*'Interval Reimb'!$B$40),0),2)</f>
        <v>0</v>
      </c>
      <c r="BJ16" s="246">
        <f>ROUND(IF('Included @ Interval'!BJ16="yes",'Hours Per Job'!BJ16*'Interval Reimb'!$B$38+'Parts Cost Per Job'!BJ16*((1+'Interval Reimb'!$B$39)*'Interval Reimb'!$B$40),0),2)</f>
        <v>30</v>
      </c>
      <c r="BK16" s="246">
        <f>ROUND(IF('Included @ Interval'!BK16="yes",'Hours Per Job'!BK16*'Interval Reimb'!$B$38+'Parts Cost Per Job'!BK16*((1+'Interval Reimb'!$B$39)*'Interval Reimb'!$B$40),0),2)</f>
        <v>0</v>
      </c>
      <c r="BL16" s="246">
        <f>ROUND(IF('Included @ Interval'!BL16="yes",'Hours Per Job'!BL16*'Interval Reimb'!$B$38+'Parts Cost Per Job'!BL16*((1+'Interval Reimb'!$B$39)*'Interval Reimb'!$B$40),0),2)</f>
        <v>0</v>
      </c>
      <c r="BM16" s="246">
        <f>ROUND(IF('Included @ Interval'!BM16="yes",'Hours Per Job'!BM16*'Interval Reimb'!$B$38+'Parts Cost Per Job'!BM16*((1+'Interval Reimb'!$B$39)*'Interval Reimb'!$B$40),0),2)</f>
        <v>0</v>
      </c>
      <c r="BN16" s="246">
        <f>ROUND(IF('Included @ Interval'!BN16="yes",'Hours Per Job'!BN16*'Interval Reimb'!$B$38+'Parts Cost Per Job'!BN16*((1+'Interval Reimb'!$B$39)*'Interval Reimb'!$B$40),0),2)</f>
        <v>0</v>
      </c>
      <c r="BO16" s="246">
        <f>ROUND(IF('Included @ Interval'!BO16="yes",'Hours Per Job'!BO16*'Interval Reimb'!$B$38+'Parts Cost Per Job'!BO16*((1+'Interval Reimb'!$B$39)*'Interval Reimb'!$B$40),0),2)</f>
        <v>0</v>
      </c>
      <c r="BP16" s="246">
        <f>ROUND(IF('Included @ Interval'!BP16="yes",'Hours Per Job'!BP16*'Interval Reimb'!$B$38+'Parts Cost Per Job'!BP16*((1+'Interval Reimb'!$B$39)*'Interval Reimb'!$B$40),0),2)</f>
        <v>0</v>
      </c>
      <c r="BQ16" s="9">
        <f t="shared" si="0"/>
        <v>794.38</v>
      </c>
      <c r="BR16" s="9">
        <f t="shared" si="1"/>
        <v>3.45</v>
      </c>
    </row>
    <row r="17" spans="1:70" x14ac:dyDescent="0.2">
      <c r="A17" s="18" t="str">
        <f>+'Scheduled Intervals'!A17</f>
        <v>Mahindra 1600 Series</v>
      </c>
      <c r="B17" s="246">
        <f>ROUND(IF('Included @ Interval'!B17="yes",'Hours Per Job'!B17*'Interval Reimb'!$B$38+'Parts Cost Per Job'!B17*((1+'Interval Reimb'!$B$39)*'Interval Reimb'!$B$40),0),2)</f>
        <v>0</v>
      </c>
      <c r="C17" s="246">
        <f>ROUND(IF('Included @ Interval'!C17="yes",'Hours Per Job'!C17*'Interval Reimb'!$B$38+'Parts Cost Per Job'!C17*((1+'Interval Reimb'!$B$39)*'Interval Reimb'!$B$40),0),2)</f>
        <v>0</v>
      </c>
      <c r="D17" s="246">
        <f>ROUND(IF('Included @ Interval'!D17="yes",'Hours Per Job'!D17*'Interval Reimb'!$B$38+'Parts Cost Per Job'!D17*((1+'Interval Reimb'!$B$39)*'Interval Reimb'!$B$40),0),2)</f>
        <v>0</v>
      </c>
      <c r="E17" s="246">
        <f>ROUND(IF('Included @ Interval'!E17="yes",'Hours Per Job'!E17*'Interval Reimb'!$B$38+'Parts Cost Per Job'!E17*((1+'Interval Reimb'!$B$39)*'Interval Reimb'!$B$40),0),2)</f>
        <v>0</v>
      </c>
      <c r="F17" s="246">
        <f>ROUND(IF('Included @ Interval'!F17="yes",'Hours Per Job'!F17*'Interval Reimb'!$B$38+'Parts Cost Per Job'!F17*((1+'Interval Reimb'!$B$39)*'Interval Reimb'!$B$40),0),2)</f>
        <v>0</v>
      </c>
      <c r="G17" s="246">
        <f>ROUND(IF('Included @ Interval'!G17="yes",'Hours Per Job'!G17*'Interval Reimb'!$B$38+'Parts Cost Per Job'!G17*((1+'Interval Reimb'!$B$39)*'Interval Reimb'!$B$40),0),2)</f>
        <v>0</v>
      </c>
      <c r="H17" s="246">
        <f>ROUND(IF('Included @ Interval'!H17="yes",'Hours Per Job'!H17*'Interval Reimb'!$B$38+'Parts Cost Per Job'!H17*((1+'Interval Reimb'!$B$39)*'Interval Reimb'!$B$40),0),2)</f>
        <v>0</v>
      </c>
      <c r="I17" s="246">
        <f>ROUND(IF('Included @ Interval'!I17="yes",'Hours Per Job'!I17*'Interval Reimb'!$B$38+'Parts Cost Per Job'!I17*((1+'Interval Reimb'!$B$39)*'Interval Reimb'!$B$40),0),2)</f>
        <v>0</v>
      </c>
      <c r="J17" s="246">
        <f>ROUND(IF('Included @ Interval'!J17="yes",'Hours Per Job'!J17*'Interval Reimb'!$B$38+'Parts Cost Per Job'!J17*((1+'Interval Reimb'!$B$39)*'Interval Reimb'!$B$40),0),2)</f>
        <v>0</v>
      </c>
      <c r="K17" s="246">
        <f>ROUND(IF('Included @ Interval'!K17="yes",'Hours Per Job'!K17*'Interval Reimb'!$B$38+'Parts Cost Per Job'!K17*((1+'Interval Reimb'!$B$39)*'Interval Reimb'!$B$40),0),2)</f>
        <v>0</v>
      </c>
      <c r="L17" s="246">
        <f>ROUND(IF('Included @ Interval'!L17="yes",'Hours Per Job'!L17*'Interval Reimb'!$B$38+'Parts Cost Per Job'!L17*((1+'Interval Reimb'!$B$39)*'Interval Reimb'!$B$40),0),2)</f>
        <v>0</v>
      </c>
      <c r="M17" s="246">
        <f>ROUND(IF('Included @ Interval'!M17="yes",'Hours Per Job'!M17*'Interval Reimb'!$B$38+'Parts Cost Per Job'!M17*((1+'Interval Reimb'!$B$39)*'Interval Reimb'!$B$40),0),2)</f>
        <v>0</v>
      </c>
      <c r="N17" s="246">
        <f>ROUND(IF('Included @ Interval'!N17="yes",'Hours Per Job'!N17*'Interval Reimb'!$B$38+'Parts Cost Per Job'!N17*((1+'Interval Reimb'!$B$39)*'Interval Reimb'!$B$40),0),2)</f>
        <v>0</v>
      </c>
      <c r="O17" s="246">
        <f>ROUND(IF('Included @ Interval'!O17="yes",'Hours Per Job'!O17*'Interval Reimb'!$B$38+'Parts Cost Per Job'!O17*((1+'Interval Reimb'!$B$39)*'Interval Reimb'!$B$40),0),2)</f>
        <v>0</v>
      </c>
      <c r="P17" s="246">
        <f>ROUND(IF('Included @ Interval'!P17="yes",'Hours Per Job'!P17*'Interval Reimb'!$B$38+'Parts Cost Per Job'!P17*((1+'Interval Reimb'!$B$39)*'Interval Reimb'!$B$40),0),2)</f>
        <v>0</v>
      </c>
      <c r="Q17" s="246">
        <f>ROUND(IF('Included @ Interval'!Q17="yes",'Hours Per Job'!Q17*'Interval Reimb'!$B$38+'Parts Cost Per Job'!Q17*((1+'Interval Reimb'!$B$39)*'Interval Reimb'!$B$40),0),2)</f>
        <v>0</v>
      </c>
      <c r="R17" s="246">
        <f>ROUND(IF('Included @ Interval'!R17="yes",'Hours Per Job'!R17*'Interval Reimb'!$B$38+'Parts Cost Per Job'!R17*((1+'Interval Reimb'!$B$39)*'Interval Reimb'!$B$40),0),2)</f>
        <v>0</v>
      </c>
      <c r="S17" s="246">
        <f>ROUND(IF('Included @ Interval'!S17="yes",'Hours Per Job'!S17*'Interval Reimb'!$B$38+'Parts Cost Per Job'!S17*((1+'Interval Reimb'!$B$39)*'Interval Reimb'!$B$40),0),2)</f>
        <v>0</v>
      </c>
      <c r="T17" s="246">
        <f>ROUND(IF('Included @ Interval'!T17="yes",'Hours Per Job'!T17*'Interval Reimb'!$B$38+'Parts Cost Per Job'!T17*((1+'Interval Reimb'!$B$39)*'Interval Reimb'!$B$40),0),2)</f>
        <v>0</v>
      </c>
      <c r="U17" s="246">
        <f>ROUND(IF('Included @ Interval'!U17="yes",'Hours Per Job'!U17*'Interval Reimb'!$B$38+'Parts Cost Per Job'!U17*((1+'Interval Reimb'!$B$39)*'Interval Reimb'!$B$40),0),2)</f>
        <v>86.77</v>
      </c>
      <c r="V17" s="246">
        <f>ROUND(IF('Included @ Interval'!V17="yes",'Hours Per Job'!V17*'Interval Reimb'!$B$38+'Parts Cost Per Job'!V17*((1+'Interval Reimb'!$B$39)*'Interval Reimb'!$B$40),0),2)</f>
        <v>0</v>
      </c>
      <c r="W17" s="246">
        <f>ROUND(IF('Included @ Interval'!W17="yes",'Hours Per Job'!W17*'Interval Reimb'!$B$38+'Parts Cost Per Job'!W17*((1+'Interval Reimb'!$B$39)*'Interval Reimb'!$B$40),0),2)</f>
        <v>12</v>
      </c>
      <c r="X17" s="246">
        <f>ROUND(IF('Included @ Interval'!X17="yes",'Hours Per Job'!X17*'Interval Reimb'!$B$38+'Parts Cost Per Job'!X17*((1+'Interval Reimb'!$B$39)*'Interval Reimb'!$B$40),0),2)</f>
        <v>0</v>
      </c>
      <c r="Y17" s="246">
        <f>ROUND(IF('Included @ Interval'!Y17="yes",'Hours Per Job'!Y17*'Interval Reimb'!$B$38+'Parts Cost Per Job'!Y17*((1+'Interval Reimb'!$B$39)*'Interval Reimb'!$B$40),0),2)</f>
        <v>0</v>
      </c>
      <c r="Z17" s="246">
        <f>ROUND(IF('Included @ Interval'!Z17="yes",'Hours Per Job'!Z17*'Interval Reimb'!$B$38+'Parts Cost Per Job'!Z17*((1+'Interval Reimb'!$B$39)*'Interval Reimb'!$B$40),0),2)</f>
        <v>109.93</v>
      </c>
      <c r="AA17" s="246">
        <f>ROUND(IF('Included @ Interval'!AA17="yes",'Hours Per Job'!AA17*'Interval Reimb'!$B$38+'Parts Cost Per Job'!AA17*((1+'Interval Reimb'!$B$39)*'Interval Reimb'!$B$40),0),2)</f>
        <v>0</v>
      </c>
      <c r="AB17" s="246">
        <f>ROUND(IF('Included @ Interval'!AB17="yes",'Hours Per Job'!AB17*'Interval Reimb'!$B$38+'Parts Cost Per Job'!AB17*((1+'Interval Reimb'!$B$39)*'Interval Reimb'!$B$40),0),2)</f>
        <v>0</v>
      </c>
      <c r="AC17" s="246">
        <f>ROUND(IF('Included @ Interval'!AC17="yes",'Hours Per Job'!AC17*'Interval Reimb'!$B$38+'Parts Cost Per Job'!AC17*((1+'Interval Reimb'!$B$39)*'Interval Reimb'!$B$40),0),2)</f>
        <v>0</v>
      </c>
      <c r="AD17" s="246">
        <f>ROUND(IF('Included @ Interval'!AD17="yes",'Hours Per Job'!AD17*'Interval Reimb'!$B$38+'Parts Cost Per Job'!AD17*((1+'Interval Reimb'!$B$39)*'Interval Reimb'!$B$40),0),2)</f>
        <v>0</v>
      </c>
      <c r="AE17" s="246">
        <f>ROUND(IF('Included @ Interval'!AE17="yes",'Hours Per Job'!AE17*'Interval Reimb'!$B$38+'Parts Cost Per Job'!AE17*((1+'Interval Reimb'!$B$39)*'Interval Reimb'!$B$40),0),2)</f>
        <v>0</v>
      </c>
      <c r="AF17" s="246">
        <f>ROUND(IF('Included @ Interval'!AF17="yes",'Hours Per Job'!AF17*'Interval Reimb'!$B$38+'Parts Cost Per Job'!AF17*((1+'Interval Reimb'!$B$39)*'Interval Reimb'!$B$40),0),2)</f>
        <v>0</v>
      </c>
      <c r="AG17" s="246">
        <f>ROUND(IF('Included @ Interval'!AG17="yes",'Hours Per Job'!AG17*'Interval Reimb'!$B$38+'Parts Cost Per Job'!AG17*((1+'Interval Reimb'!$B$39)*'Interval Reimb'!$B$40),0),2)</f>
        <v>0</v>
      </c>
      <c r="AH17" s="246">
        <f>ROUND(IF('Included @ Interval'!AH17="yes",'Hours Per Job'!AH17*'Interval Reimb'!$B$38+'Parts Cost Per Job'!AH17*((1+'Interval Reimb'!$B$39)*'Interval Reimb'!$B$40),0),2)</f>
        <v>0</v>
      </c>
      <c r="AI17" s="246">
        <f>ROUND(IF('Included @ Interval'!AI17="yes",'Hours Per Job'!AI17*'Interval Reimb'!$B$38+'Parts Cost Per Job'!AI17*((1+'Interval Reimb'!$B$39)*'Interval Reimb'!$B$40),0),2)</f>
        <v>0</v>
      </c>
      <c r="AJ17" s="246">
        <f>ROUND(IF('Included @ Interval'!AJ17="yes",'Hours Per Job'!AJ17*'Interval Reimb'!$B$38+'Parts Cost Per Job'!AJ17*((1+'Interval Reimb'!$B$39)*'Interval Reimb'!$B$40),0),2)</f>
        <v>0</v>
      </c>
      <c r="AK17" s="246">
        <f>ROUND(IF('Included @ Interval'!AK17="yes",'Hours Per Job'!AK17*'Interval Reimb'!$B$38+'Parts Cost Per Job'!AK17*((1+'Interval Reimb'!$B$39)*'Interval Reimb'!$B$40),0),2)</f>
        <v>0</v>
      </c>
      <c r="AL17" s="246">
        <f>ROUND(IF('Included @ Interval'!AL17="yes",'Hours Per Job'!AL17*'Interval Reimb'!$B$38+'Parts Cost Per Job'!AL17*((1+'Interval Reimb'!$B$39)*'Interval Reimb'!$B$40),0),2)</f>
        <v>0</v>
      </c>
      <c r="AM17" s="246">
        <f>ROUND(IF('Included @ Interval'!AM17="yes",'Hours Per Job'!AM17*'Interval Reimb'!$B$38+'Parts Cost Per Job'!AM17*((1+'Interval Reimb'!$B$39)*'Interval Reimb'!$B$40),0),2)</f>
        <v>0</v>
      </c>
      <c r="AN17" s="246">
        <f>ROUND(IF('Included @ Interval'!AN17="yes",'Hours Per Job'!AN17*'Interval Reimb'!$B$38+'Parts Cost Per Job'!AN17*((1+'Interval Reimb'!$B$39)*'Interval Reimb'!$B$40),0),2)</f>
        <v>0</v>
      </c>
      <c r="AO17" s="246">
        <f>ROUND(IF('Included @ Interval'!AO17="yes",'Hours Per Job'!AO17*'Interval Reimb'!$B$38+'Parts Cost Per Job'!AO17*((1+'Interval Reimb'!$B$39)*'Interval Reimb'!$B$40),0),2)</f>
        <v>0</v>
      </c>
      <c r="AP17" s="246">
        <f>ROUND(IF('Included @ Interval'!AP17="yes",'Hours Per Job'!AP17*'Interval Reimb'!$B$38+'Parts Cost Per Job'!AP17*((1+'Interval Reimb'!$B$39)*'Interval Reimb'!$B$40),0),2)</f>
        <v>0</v>
      </c>
      <c r="AQ17" s="246">
        <f>ROUND(IF('Included @ Interval'!AQ17="yes",'Hours Per Job'!AQ17*'Interval Reimb'!$B$38+'Parts Cost Per Job'!AQ17*((1+'Interval Reimb'!$B$39)*'Interval Reimb'!$B$40),0),2)</f>
        <v>0</v>
      </c>
      <c r="AR17" s="246">
        <f>ROUND(IF('Included @ Interval'!AR17="yes",'Hours Per Job'!AR17*'Interval Reimb'!$B$38+'Parts Cost Per Job'!AR17*((1+'Interval Reimb'!$B$39)*'Interval Reimb'!$B$40),0),2)</f>
        <v>0</v>
      </c>
      <c r="AS17" s="246">
        <f>ROUND(IF('Included @ Interval'!AS17="yes",'Hours Per Job'!AS17*'Interval Reimb'!$B$38+'Parts Cost Per Job'!AS17*((1+'Interval Reimb'!$B$39)*'Interval Reimb'!$B$40),0),2)</f>
        <v>0</v>
      </c>
      <c r="AT17" s="246">
        <f>ROUND(IF('Included @ Interval'!AT17="yes",'Hours Per Job'!AT17*'Interval Reimb'!$B$38+'Parts Cost Per Job'!AT17*((1+'Interval Reimb'!$B$39)*'Interval Reimb'!$B$40),0),2)</f>
        <v>35.07</v>
      </c>
      <c r="AU17" s="246">
        <f>ROUND(IF('Included @ Interval'!AU17="yes",'Hours Per Job'!AU17*'Interval Reimb'!$B$38+'Parts Cost Per Job'!AU17*((1+'Interval Reimb'!$B$39)*'Interval Reimb'!$B$40),0),2)</f>
        <v>0</v>
      </c>
      <c r="AV17" s="246">
        <f>ROUND(IF('Included @ Interval'!AV17="yes",'Hours Per Job'!AV17*'Interval Reimb'!$B$38+'Parts Cost Per Job'!AV17*((1+'Interval Reimb'!$B$39)*'Interval Reimb'!$B$40),0),2)</f>
        <v>0</v>
      </c>
      <c r="AW17" s="246">
        <f>ROUND(IF('Included @ Interval'!AW17="yes",'Hours Per Job'!AW17*'Interval Reimb'!$B$38+'Parts Cost Per Job'!AW17*((1+'Interval Reimb'!$B$39)*'Interval Reimb'!$B$40),0),2)</f>
        <v>0</v>
      </c>
      <c r="AX17" s="246">
        <f>ROUND(IF('Included @ Interval'!AX17="yes",'Hours Per Job'!AX17*'Interval Reimb'!$B$38+'Parts Cost Per Job'!AX17*((1+'Interval Reimb'!$B$39)*'Interval Reimb'!$B$40),0),2)</f>
        <v>0</v>
      </c>
      <c r="AY17" s="246">
        <f>ROUND(IF('Included @ Interval'!AY17="yes",'Hours Per Job'!AY17*'Interval Reimb'!$B$38+'Parts Cost Per Job'!AY17*((1+'Interval Reimb'!$B$39)*'Interval Reimb'!$B$40),0),2)</f>
        <v>0</v>
      </c>
      <c r="AZ17" s="246">
        <f>ROUND(IF('Included @ Interval'!AZ17="yes",'Hours Per Job'!AZ17*'Interval Reimb'!$B$38+'Parts Cost Per Job'!AZ17*((1+'Interval Reimb'!$B$39)*'Interval Reimb'!$B$40),0),2)</f>
        <v>0</v>
      </c>
      <c r="BA17" s="246">
        <f>ROUND(IF('Included @ Interval'!BA17="yes",'Hours Per Job'!BA17*'Interval Reimb'!$B$38+'Parts Cost Per Job'!BA17*((1+'Interval Reimb'!$B$39)*'Interval Reimb'!$B$40),0),2)</f>
        <v>0</v>
      </c>
      <c r="BB17" s="246">
        <f>ROUND(IF('Included @ Interval'!BB17="yes",'Hours Per Job'!BB17*'Interval Reimb'!$B$38+'Parts Cost Per Job'!BB17*((1+'Interval Reimb'!$B$39)*'Interval Reimb'!$B$40),0),2)</f>
        <v>0</v>
      </c>
      <c r="BC17" s="246">
        <f>ROUND(IF('Included @ Interval'!BC17="yes",'Hours Per Job'!BC17*'Interval Reimb'!$B$38+'Parts Cost Per Job'!BC17*((1+'Interval Reimb'!$B$39)*'Interval Reimb'!$B$40),0),2)</f>
        <v>0</v>
      </c>
      <c r="BD17" s="246">
        <f>ROUND(IF('Included @ Interval'!BD17="yes",'Hours Per Job'!BD17*'Interval Reimb'!$B$38+'Parts Cost Per Job'!BD17*((1+'Interval Reimb'!$B$39)*'Interval Reimb'!$B$40),0),2)</f>
        <v>0</v>
      </c>
      <c r="BE17" s="246">
        <f>ROUND(IF('Included @ Interval'!BE17="yes",'Hours Per Job'!BE17*'Interval Reimb'!$B$38+'Parts Cost Per Job'!BE17*((1+'Interval Reimb'!$B$39)*'Interval Reimb'!$B$40),0),2)</f>
        <v>0</v>
      </c>
      <c r="BF17" s="246">
        <f>ROUND(IF('Included @ Interval'!BF17="yes",'Hours Per Job'!BF17*'Interval Reimb'!$B$38+'Parts Cost Per Job'!BF17*((1+'Interval Reimb'!$B$39)*'Interval Reimb'!$B$40),0),2)</f>
        <v>0</v>
      </c>
      <c r="BG17" s="246">
        <f>ROUND(IF('Included @ Interval'!BG17="yes",'Hours Per Job'!BG17*'Interval Reimb'!$B$38+'Parts Cost Per Job'!BG17*((1+'Interval Reimb'!$B$39)*'Interval Reimb'!$B$40),0),2)</f>
        <v>0</v>
      </c>
      <c r="BH17" s="246">
        <f>ROUND(IF('Included @ Interval'!BH17="yes",'Hours Per Job'!BH17*'Interval Reimb'!$B$38+'Parts Cost Per Job'!BH17*((1+'Interval Reimb'!$B$39)*'Interval Reimb'!$B$40),0),2)</f>
        <v>0</v>
      </c>
      <c r="BI17" s="246">
        <f>ROUND(IF('Included @ Interval'!BI17="yes",'Hours Per Job'!BI17*'Interval Reimb'!$B$38+'Parts Cost Per Job'!BI17*((1+'Interval Reimb'!$B$39)*'Interval Reimb'!$B$40),0),2)</f>
        <v>0</v>
      </c>
      <c r="BJ17" s="246">
        <f>ROUND(IF('Included @ Interval'!BJ17="yes",'Hours Per Job'!BJ17*'Interval Reimb'!$B$38+'Parts Cost Per Job'!BJ17*((1+'Interval Reimb'!$B$39)*'Interval Reimb'!$B$40),0),2)</f>
        <v>30</v>
      </c>
      <c r="BK17" s="246">
        <f>ROUND(IF('Included @ Interval'!BK17="yes",'Hours Per Job'!BK17*'Interval Reimb'!$B$38+'Parts Cost Per Job'!BK17*((1+'Interval Reimb'!$B$39)*'Interval Reimb'!$B$40),0),2)</f>
        <v>0</v>
      </c>
      <c r="BL17" s="246">
        <f>ROUND(IF('Included @ Interval'!BL17="yes",'Hours Per Job'!BL17*'Interval Reimb'!$B$38+'Parts Cost Per Job'!BL17*((1+'Interval Reimb'!$B$39)*'Interval Reimb'!$B$40),0),2)</f>
        <v>0</v>
      </c>
      <c r="BM17" s="246">
        <f>ROUND(IF('Included @ Interval'!BM17="yes",'Hours Per Job'!BM17*'Interval Reimb'!$B$38+'Parts Cost Per Job'!BM17*((1+'Interval Reimb'!$B$39)*'Interval Reimb'!$B$40),0),2)</f>
        <v>0</v>
      </c>
      <c r="BN17" s="246">
        <f>ROUND(IF('Included @ Interval'!BN17="yes",'Hours Per Job'!BN17*'Interval Reimb'!$B$38+'Parts Cost Per Job'!BN17*((1+'Interval Reimb'!$B$39)*'Interval Reimb'!$B$40),0),2)</f>
        <v>0</v>
      </c>
      <c r="BO17" s="246">
        <f>ROUND(IF('Included @ Interval'!BO17="yes",'Hours Per Job'!BO17*'Interval Reimb'!$B$38+'Parts Cost Per Job'!BO17*((1+'Interval Reimb'!$B$39)*'Interval Reimb'!$B$40),0),2)</f>
        <v>0</v>
      </c>
      <c r="BP17" s="246">
        <f>ROUND(IF('Included @ Interval'!BP17="yes",'Hours Per Job'!BP17*'Interval Reimb'!$B$38+'Parts Cost Per Job'!BP17*((1+'Interval Reimb'!$B$39)*'Interval Reimb'!$B$40),0),2)</f>
        <v>0</v>
      </c>
      <c r="BQ17" s="9">
        <f t="shared" si="0"/>
        <v>273.77</v>
      </c>
      <c r="BR17" s="9">
        <f t="shared" si="1"/>
        <v>1.1499999999999999</v>
      </c>
    </row>
    <row r="18" spans="1:70" x14ac:dyDescent="0.2">
      <c r="A18" s="18" t="str">
        <f>+'Scheduled Intervals'!A18</f>
        <v>Mahindra 4500</v>
      </c>
      <c r="B18" s="246">
        <f>ROUND(IF('Included @ Interval'!B18="yes",'Hours Per Job'!B18*'Interval Reimb'!$B$38+'Parts Cost Per Job'!B18*((1+'Interval Reimb'!$B$39)*'Interval Reimb'!$B$40),0),2)</f>
        <v>0</v>
      </c>
      <c r="C18" s="246">
        <f>ROUND(IF('Included @ Interval'!C18="yes",'Hours Per Job'!C18*'Interval Reimb'!$B$38+'Parts Cost Per Job'!C18*((1+'Interval Reimb'!$B$39)*'Interval Reimb'!$B$40),0),2)</f>
        <v>0</v>
      </c>
      <c r="D18" s="246">
        <f>ROUND(IF('Included @ Interval'!D18="yes",'Hours Per Job'!D18*'Interval Reimb'!$B$38+'Parts Cost Per Job'!D18*((1+'Interval Reimb'!$B$39)*'Interval Reimb'!$B$40),0),2)</f>
        <v>0</v>
      </c>
      <c r="E18" s="246">
        <f>ROUND(IF('Included @ Interval'!E18="yes",'Hours Per Job'!E18*'Interval Reimb'!$B$38+'Parts Cost Per Job'!E18*((1+'Interval Reimb'!$B$39)*'Interval Reimb'!$B$40),0),2)</f>
        <v>0</v>
      </c>
      <c r="F18" s="246">
        <f>ROUND(IF('Included @ Interval'!F18="yes",'Hours Per Job'!F18*'Interval Reimb'!$B$38+'Parts Cost Per Job'!F18*((1+'Interval Reimb'!$B$39)*'Interval Reimb'!$B$40),0),2)</f>
        <v>0</v>
      </c>
      <c r="G18" s="246">
        <f>ROUND(IF('Included @ Interval'!G18="yes",'Hours Per Job'!G18*'Interval Reimb'!$B$38+'Parts Cost Per Job'!G18*((1+'Interval Reimb'!$B$39)*'Interval Reimb'!$B$40),0),2)</f>
        <v>0</v>
      </c>
      <c r="H18" s="246">
        <f>ROUND(IF('Included @ Interval'!H18="yes",'Hours Per Job'!H18*'Interval Reimb'!$B$38+'Parts Cost Per Job'!H18*((1+'Interval Reimb'!$B$39)*'Interval Reimb'!$B$40),0),2)</f>
        <v>0</v>
      </c>
      <c r="I18" s="246">
        <f>ROUND(IF('Included @ Interval'!I18="yes",'Hours Per Job'!I18*'Interval Reimb'!$B$38+'Parts Cost Per Job'!I18*((1+'Interval Reimb'!$B$39)*'Interval Reimb'!$B$40),0),2)</f>
        <v>0</v>
      </c>
      <c r="J18" s="246">
        <f>ROUND(IF('Included @ Interval'!J18="yes",'Hours Per Job'!J18*'Interval Reimb'!$B$38+'Parts Cost Per Job'!J18*((1+'Interval Reimb'!$B$39)*'Interval Reimb'!$B$40),0),2)</f>
        <v>0</v>
      </c>
      <c r="K18" s="246">
        <f>ROUND(IF('Included @ Interval'!K18="yes",'Hours Per Job'!K18*'Interval Reimb'!$B$38+'Parts Cost Per Job'!K18*((1+'Interval Reimb'!$B$39)*'Interval Reimb'!$B$40),0),2)</f>
        <v>0</v>
      </c>
      <c r="L18" s="246">
        <f>ROUND(IF('Included @ Interval'!L18="yes",'Hours Per Job'!L18*'Interval Reimb'!$B$38+'Parts Cost Per Job'!L18*((1+'Interval Reimb'!$B$39)*'Interval Reimb'!$B$40),0),2)</f>
        <v>0</v>
      </c>
      <c r="M18" s="246">
        <f>ROUND(IF('Included @ Interval'!M18="yes",'Hours Per Job'!M18*'Interval Reimb'!$B$38+'Parts Cost Per Job'!M18*((1+'Interval Reimb'!$B$39)*'Interval Reimb'!$B$40),0),2)</f>
        <v>0</v>
      </c>
      <c r="N18" s="246">
        <f>ROUND(IF('Included @ Interval'!N18="yes",'Hours Per Job'!N18*'Interval Reimb'!$B$38+'Parts Cost Per Job'!N18*((1+'Interval Reimb'!$B$39)*'Interval Reimb'!$B$40),0),2)</f>
        <v>0</v>
      </c>
      <c r="O18" s="246">
        <f>ROUND(IF('Included @ Interval'!O18="yes",'Hours Per Job'!O18*'Interval Reimb'!$B$38+'Parts Cost Per Job'!O18*((1+'Interval Reimb'!$B$39)*'Interval Reimb'!$B$40),0),2)</f>
        <v>0</v>
      </c>
      <c r="P18" s="246">
        <f>ROUND(IF('Included @ Interval'!P18="yes",'Hours Per Job'!P18*'Interval Reimb'!$B$38+'Parts Cost Per Job'!P18*((1+'Interval Reimb'!$B$39)*'Interval Reimb'!$B$40),0),2)</f>
        <v>0</v>
      </c>
      <c r="Q18" s="246">
        <f>ROUND(IF('Included @ Interval'!Q18="yes",'Hours Per Job'!Q18*'Interval Reimb'!$B$38+'Parts Cost Per Job'!Q18*((1+'Interval Reimb'!$B$39)*'Interval Reimb'!$B$40),0),2)</f>
        <v>0</v>
      </c>
      <c r="R18" s="246">
        <f>ROUND(IF('Included @ Interval'!R18="yes",'Hours Per Job'!R18*'Interval Reimb'!$B$38+'Parts Cost Per Job'!R18*((1+'Interval Reimb'!$B$39)*'Interval Reimb'!$B$40),0),2)</f>
        <v>0</v>
      </c>
      <c r="S18" s="246">
        <f>ROUND(IF('Included @ Interval'!S18="yes",'Hours Per Job'!S18*'Interval Reimb'!$B$38+'Parts Cost Per Job'!S18*((1+'Interval Reimb'!$B$39)*'Interval Reimb'!$B$40),0),2)</f>
        <v>0</v>
      </c>
      <c r="T18" s="246">
        <f>ROUND(IF('Included @ Interval'!T18="yes",'Hours Per Job'!T18*'Interval Reimb'!$B$38+'Parts Cost Per Job'!T18*((1+'Interval Reimb'!$B$39)*'Interval Reimb'!$B$40),0),2)</f>
        <v>0</v>
      </c>
      <c r="U18" s="246">
        <f>ROUND(IF('Included @ Interval'!U18="yes",'Hours Per Job'!U18*'Interval Reimb'!$B$38+'Parts Cost Per Job'!U18*((1+'Interval Reimb'!$B$39)*'Interval Reimb'!$B$40),0),2)</f>
        <v>0</v>
      </c>
      <c r="V18" s="246">
        <f>ROUND(IF('Included @ Interval'!V18="yes",'Hours Per Job'!V18*'Interval Reimb'!$B$38+'Parts Cost Per Job'!V18*((1+'Interval Reimb'!$B$39)*'Interval Reimb'!$B$40),0),2)</f>
        <v>0</v>
      </c>
      <c r="W18" s="246">
        <f>ROUND(IF('Included @ Interval'!W18="yes",'Hours Per Job'!W18*'Interval Reimb'!$B$38+'Parts Cost Per Job'!W18*((1+'Interval Reimb'!$B$39)*'Interval Reimb'!$B$40),0),2)</f>
        <v>0</v>
      </c>
      <c r="X18" s="246">
        <f>ROUND(IF('Included @ Interval'!X18="yes",'Hours Per Job'!X18*'Interval Reimb'!$B$38+'Parts Cost Per Job'!X18*((1+'Interval Reimb'!$B$39)*'Interval Reimb'!$B$40),0),2)</f>
        <v>0</v>
      </c>
      <c r="Y18" s="246">
        <f>ROUND(IF('Included @ Interval'!Y18="yes",'Hours Per Job'!Y18*'Interval Reimb'!$B$38+'Parts Cost Per Job'!Y18*((1+'Interval Reimb'!$B$39)*'Interval Reimb'!$B$40),0),2)</f>
        <v>0</v>
      </c>
      <c r="Z18" s="246">
        <f>ROUND(IF('Included @ Interval'!Z18="yes",'Hours Per Job'!Z18*'Interval Reimb'!$B$38+'Parts Cost Per Job'!Z18*((1+'Interval Reimb'!$B$39)*'Interval Reimb'!$B$40),0),2)</f>
        <v>0</v>
      </c>
      <c r="AA18" s="246">
        <f>ROUND(IF('Included @ Interval'!AA18="yes",'Hours Per Job'!AA18*'Interval Reimb'!$B$38+'Parts Cost Per Job'!AA18*((1+'Interval Reimb'!$B$39)*'Interval Reimb'!$B$40),0),2)</f>
        <v>0</v>
      </c>
      <c r="AB18" s="246">
        <f>ROUND(IF('Included @ Interval'!AB18="yes",'Hours Per Job'!AB18*'Interval Reimb'!$B$38+'Parts Cost Per Job'!AB18*((1+'Interval Reimb'!$B$39)*'Interval Reimb'!$B$40),0),2)</f>
        <v>0</v>
      </c>
      <c r="AC18" s="246">
        <f>ROUND(IF('Included @ Interval'!AC18="yes",'Hours Per Job'!AC18*'Interval Reimb'!$B$38+'Parts Cost Per Job'!AC18*((1+'Interval Reimb'!$B$39)*'Interval Reimb'!$B$40),0),2)</f>
        <v>0</v>
      </c>
      <c r="AD18" s="246">
        <f>ROUND(IF('Included @ Interval'!AD18="yes",'Hours Per Job'!AD18*'Interval Reimb'!$B$38+'Parts Cost Per Job'!AD18*((1+'Interval Reimb'!$B$39)*'Interval Reimb'!$B$40),0),2)</f>
        <v>0</v>
      </c>
      <c r="AE18" s="246">
        <f>ROUND(IF('Included @ Interval'!AE18="yes",'Hours Per Job'!AE18*'Interval Reimb'!$B$38+'Parts Cost Per Job'!AE18*((1+'Interval Reimb'!$B$39)*'Interval Reimb'!$B$40),0),2)</f>
        <v>0</v>
      </c>
      <c r="AF18" s="246">
        <f>ROUND(IF('Included @ Interval'!AF18="yes",'Hours Per Job'!AF18*'Interval Reimb'!$B$38+'Parts Cost Per Job'!AF18*((1+'Interval Reimb'!$B$39)*'Interval Reimb'!$B$40),0),2)</f>
        <v>0</v>
      </c>
      <c r="AG18" s="246">
        <f>ROUND(IF('Included @ Interval'!AG18="yes",'Hours Per Job'!AG18*'Interval Reimb'!$B$38+'Parts Cost Per Job'!AG18*((1+'Interval Reimb'!$B$39)*'Interval Reimb'!$B$40),0),2)</f>
        <v>0</v>
      </c>
      <c r="AH18" s="246">
        <f>ROUND(IF('Included @ Interval'!AH18="yes",'Hours Per Job'!AH18*'Interval Reimb'!$B$38+'Parts Cost Per Job'!AH18*((1+'Interval Reimb'!$B$39)*'Interval Reimb'!$B$40),0),2)</f>
        <v>0</v>
      </c>
      <c r="AI18" s="246">
        <f>ROUND(IF('Included @ Interval'!AI18="yes",'Hours Per Job'!AI18*'Interval Reimb'!$B$38+'Parts Cost Per Job'!AI18*((1+'Interval Reimb'!$B$39)*'Interval Reimb'!$B$40),0),2)</f>
        <v>0</v>
      </c>
      <c r="AJ18" s="246">
        <f>ROUND(IF('Included @ Interval'!AJ18="yes",'Hours Per Job'!AJ18*'Interval Reimb'!$B$38+'Parts Cost Per Job'!AJ18*((1+'Interval Reimb'!$B$39)*'Interval Reimb'!$B$40),0),2)</f>
        <v>0</v>
      </c>
      <c r="AK18" s="246">
        <f>ROUND(IF('Included @ Interval'!AK18="yes",'Hours Per Job'!AK18*'Interval Reimb'!$B$38+'Parts Cost Per Job'!AK18*((1+'Interval Reimb'!$B$39)*'Interval Reimb'!$B$40),0),2)</f>
        <v>0</v>
      </c>
      <c r="AL18" s="246">
        <f>ROUND(IF('Included @ Interval'!AL18="yes",'Hours Per Job'!AL18*'Interval Reimb'!$B$38+'Parts Cost Per Job'!AL18*((1+'Interval Reimb'!$B$39)*'Interval Reimb'!$B$40),0),2)</f>
        <v>0</v>
      </c>
      <c r="AM18" s="246">
        <f>ROUND(IF('Included @ Interval'!AM18="yes",'Hours Per Job'!AM18*'Interval Reimb'!$B$38+'Parts Cost Per Job'!AM18*((1+'Interval Reimb'!$B$39)*'Interval Reimb'!$B$40),0),2)</f>
        <v>0</v>
      </c>
      <c r="AN18" s="246">
        <f>ROUND(IF('Included @ Interval'!AN18="yes",'Hours Per Job'!AN18*'Interval Reimb'!$B$38+'Parts Cost Per Job'!AN18*((1+'Interval Reimb'!$B$39)*'Interval Reimb'!$B$40),0),2)</f>
        <v>0</v>
      </c>
      <c r="AO18" s="246">
        <f>ROUND(IF('Included @ Interval'!AO18="yes",'Hours Per Job'!AO18*'Interval Reimb'!$B$38+'Parts Cost Per Job'!AO18*((1+'Interval Reimb'!$B$39)*'Interval Reimb'!$B$40),0),2)</f>
        <v>0</v>
      </c>
      <c r="AP18" s="246">
        <f>ROUND(IF('Included @ Interval'!AP18="yes",'Hours Per Job'!AP18*'Interval Reimb'!$B$38+'Parts Cost Per Job'!AP18*((1+'Interval Reimb'!$B$39)*'Interval Reimb'!$B$40),0),2)</f>
        <v>0</v>
      </c>
      <c r="AQ18" s="246">
        <f>ROUND(IF('Included @ Interval'!AQ18="yes",'Hours Per Job'!AQ18*'Interval Reimb'!$B$38+'Parts Cost Per Job'!AQ18*((1+'Interval Reimb'!$B$39)*'Interval Reimb'!$B$40),0),2)</f>
        <v>0</v>
      </c>
      <c r="AR18" s="246">
        <f>ROUND(IF('Included @ Interval'!AR18="yes",'Hours Per Job'!AR18*'Interval Reimb'!$B$38+'Parts Cost Per Job'!AR18*((1+'Interval Reimb'!$B$39)*'Interval Reimb'!$B$40),0),2)</f>
        <v>0</v>
      </c>
      <c r="AS18" s="246">
        <f>ROUND(IF('Included @ Interval'!AS18="yes",'Hours Per Job'!AS18*'Interval Reimb'!$B$38+'Parts Cost Per Job'!AS18*((1+'Interval Reimb'!$B$39)*'Interval Reimb'!$B$40),0),2)</f>
        <v>0</v>
      </c>
      <c r="AT18" s="246">
        <f>ROUND(IF('Included @ Interval'!AT18="yes",'Hours Per Job'!AT18*'Interval Reimb'!$B$38+'Parts Cost Per Job'!AT18*((1+'Interval Reimb'!$B$39)*'Interval Reimb'!$B$40),0),2)</f>
        <v>0</v>
      </c>
      <c r="AU18" s="246">
        <f>ROUND(IF('Included @ Interval'!AU18="yes",'Hours Per Job'!AU18*'Interval Reimb'!$B$38+'Parts Cost Per Job'!AU18*((1+'Interval Reimb'!$B$39)*'Interval Reimb'!$B$40),0),2)</f>
        <v>0</v>
      </c>
      <c r="AV18" s="246">
        <f>ROUND(IF('Included @ Interval'!AV18="yes",'Hours Per Job'!AV18*'Interval Reimb'!$B$38+'Parts Cost Per Job'!AV18*((1+'Interval Reimb'!$B$39)*'Interval Reimb'!$B$40),0),2)</f>
        <v>0</v>
      </c>
      <c r="AW18" s="246">
        <f>ROUND(IF('Included @ Interval'!AW18="yes",'Hours Per Job'!AW18*'Interval Reimb'!$B$38+'Parts Cost Per Job'!AW18*((1+'Interval Reimb'!$B$39)*'Interval Reimb'!$B$40),0),2)</f>
        <v>0</v>
      </c>
      <c r="AX18" s="246">
        <f>ROUND(IF('Included @ Interval'!AX18="yes",'Hours Per Job'!AX18*'Interval Reimb'!$B$38+'Parts Cost Per Job'!AX18*((1+'Interval Reimb'!$B$39)*'Interval Reimb'!$B$40),0),2)</f>
        <v>0</v>
      </c>
      <c r="AY18" s="246">
        <f>ROUND(IF('Included @ Interval'!AY18="yes",'Hours Per Job'!AY18*'Interval Reimb'!$B$38+'Parts Cost Per Job'!AY18*((1+'Interval Reimb'!$B$39)*'Interval Reimb'!$B$40),0),2)</f>
        <v>0</v>
      </c>
      <c r="AZ18" s="246">
        <f>ROUND(IF('Included @ Interval'!AZ18="yes",'Hours Per Job'!AZ18*'Interval Reimb'!$B$38+'Parts Cost Per Job'!AZ18*((1+'Interval Reimb'!$B$39)*'Interval Reimb'!$B$40),0),2)</f>
        <v>0</v>
      </c>
      <c r="BA18" s="246">
        <f>ROUND(IF('Included @ Interval'!BA18="yes",'Hours Per Job'!BA18*'Interval Reimb'!$B$38+'Parts Cost Per Job'!BA18*((1+'Interval Reimb'!$B$39)*'Interval Reimb'!$B$40),0),2)</f>
        <v>0</v>
      </c>
      <c r="BB18" s="246">
        <f>ROUND(IF('Included @ Interval'!BB18="yes",'Hours Per Job'!BB18*'Interval Reimb'!$B$38+'Parts Cost Per Job'!BB18*((1+'Interval Reimb'!$B$39)*'Interval Reimb'!$B$40),0),2)</f>
        <v>0</v>
      </c>
      <c r="BC18" s="246">
        <f>ROUND(IF('Included @ Interval'!BC18="yes",'Hours Per Job'!BC18*'Interval Reimb'!$B$38+'Parts Cost Per Job'!BC18*((1+'Interval Reimb'!$B$39)*'Interval Reimb'!$B$40),0),2)</f>
        <v>0</v>
      </c>
      <c r="BD18" s="246">
        <f>ROUND(IF('Included @ Interval'!BD18="yes",'Hours Per Job'!BD18*'Interval Reimb'!$B$38+'Parts Cost Per Job'!BD18*((1+'Interval Reimb'!$B$39)*'Interval Reimb'!$B$40),0),2)</f>
        <v>0</v>
      </c>
      <c r="BE18" s="246">
        <f>ROUND(IF('Included @ Interval'!BE18="yes",'Hours Per Job'!BE18*'Interval Reimb'!$B$38+'Parts Cost Per Job'!BE18*((1+'Interval Reimb'!$B$39)*'Interval Reimb'!$B$40),0),2)</f>
        <v>0</v>
      </c>
      <c r="BF18" s="246">
        <f>ROUND(IF('Included @ Interval'!BF18="yes",'Hours Per Job'!BF18*'Interval Reimb'!$B$38+'Parts Cost Per Job'!BF18*((1+'Interval Reimb'!$B$39)*'Interval Reimb'!$B$40),0),2)</f>
        <v>0</v>
      </c>
      <c r="BG18" s="246">
        <f>ROUND(IF('Included @ Interval'!BG18="yes",'Hours Per Job'!BG18*'Interval Reimb'!$B$38+'Parts Cost Per Job'!BG18*((1+'Interval Reimb'!$B$39)*'Interval Reimb'!$B$40),0),2)</f>
        <v>0</v>
      </c>
      <c r="BH18" s="246">
        <f>ROUND(IF('Included @ Interval'!BH18="yes",'Hours Per Job'!BH18*'Interval Reimb'!$B$38+'Parts Cost Per Job'!BH18*((1+'Interval Reimb'!$B$39)*'Interval Reimb'!$B$40),0),2)</f>
        <v>0</v>
      </c>
      <c r="BI18" s="246">
        <f>ROUND(IF('Included @ Interval'!BI18="yes",'Hours Per Job'!BI18*'Interval Reimb'!$B$38+'Parts Cost Per Job'!BI18*((1+'Interval Reimb'!$B$39)*'Interval Reimb'!$B$40),0),2)</f>
        <v>0</v>
      </c>
      <c r="BJ18" s="246">
        <f>ROUND(IF('Included @ Interval'!BJ18="yes",'Hours Per Job'!BJ18*'Interval Reimb'!$B$38+'Parts Cost Per Job'!BJ18*((1+'Interval Reimb'!$B$39)*'Interval Reimb'!$B$40),0),2)</f>
        <v>0</v>
      </c>
      <c r="BK18" s="246">
        <f>ROUND(IF('Included @ Interval'!BK18="yes",'Hours Per Job'!BK18*'Interval Reimb'!$B$38+'Parts Cost Per Job'!BK18*((1+'Interval Reimb'!$B$39)*'Interval Reimb'!$B$40),0),2)</f>
        <v>0</v>
      </c>
      <c r="BL18" s="246">
        <f>ROUND(IF('Included @ Interval'!BL18="yes",'Hours Per Job'!BL18*'Interval Reimb'!$B$38+'Parts Cost Per Job'!BL18*((1+'Interval Reimb'!$B$39)*'Interval Reimb'!$B$40),0),2)</f>
        <v>0</v>
      </c>
      <c r="BM18" s="246">
        <f>ROUND(IF('Included @ Interval'!BM18="yes",'Hours Per Job'!BM18*'Interval Reimb'!$B$38+'Parts Cost Per Job'!BM18*((1+'Interval Reimb'!$B$39)*'Interval Reimb'!$B$40),0),2)</f>
        <v>0</v>
      </c>
      <c r="BN18" s="246">
        <f>ROUND(IF('Included @ Interval'!BN18="yes",'Hours Per Job'!BN18*'Interval Reimb'!$B$38+'Parts Cost Per Job'!BN18*((1+'Interval Reimb'!$B$39)*'Interval Reimb'!$B$40),0),2)</f>
        <v>0</v>
      </c>
      <c r="BO18" s="246">
        <f>ROUND(IF('Included @ Interval'!BO18="yes",'Hours Per Job'!BO18*'Interval Reimb'!$B$38+'Parts Cost Per Job'!BO18*((1+'Interval Reimb'!$B$39)*'Interval Reimb'!$B$40),0),2)</f>
        <v>0</v>
      </c>
      <c r="BP18" s="246">
        <f>ROUND(IF('Included @ Interval'!BP18="yes",'Hours Per Job'!BP18*'Interval Reimb'!$B$38+'Parts Cost Per Job'!BP18*((1+'Interval Reimb'!$B$39)*'Interval Reimb'!$B$40),0),2)</f>
        <v>0</v>
      </c>
      <c r="BQ18" s="9">
        <f t="shared" si="0"/>
        <v>0</v>
      </c>
      <c r="BR18" s="9">
        <f t="shared" si="1"/>
        <v>0</v>
      </c>
    </row>
    <row r="19" spans="1:70" x14ac:dyDescent="0.2">
      <c r="A19" s="18" t="str">
        <f>+'Scheduled Intervals'!A19</f>
        <v>Mahindra 5500</v>
      </c>
      <c r="B19" s="246">
        <f>ROUND(IF('Included @ Interval'!B19="yes",'Hours Per Job'!B19*'Interval Reimb'!$B$38+'Parts Cost Per Job'!B19*((1+'Interval Reimb'!$B$39)*'Interval Reimb'!$B$40),0),2)</f>
        <v>0</v>
      </c>
      <c r="C19" s="246">
        <f>ROUND(IF('Included @ Interval'!C19="yes",'Hours Per Job'!C19*'Interval Reimb'!$B$38+'Parts Cost Per Job'!C19*((1+'Interval Reimb'!$B$39)*'Interval Reimb'!$B$40),0),2)</f>
        <v>0</v>
      </c>
      <c r="D19" s="246">
        <f>ROUND(IF('Included @ Interval'!D19="yes",'Hours Per Job'!D19*'Interval Reimb'!$B$38+'Parts Cost Per Job'!D19*((1+'Interval Reimb'!$B$39)*'Interval Reimb'!$B$40),0),2)</f>
        <v>0</v>
      </c>
      <c r="E19" s="246">
        <f>ROUND(IF('Included @ Interval'!E19="yes",'Hours Per Job'!E19*'Interval Reimb'!$B$38+'Parts Cost Per Job'!E19*((1+'Interval Reimb'!$B$39)*'Interval Reimb'!$B$40),0),2)</f>
        <v>0</v>
      </c>
      <c r="F19" s="246">
        <f>ROUND(IF('Included @ Interval'!F19="yes",'Hours Per Job'!F19*'Interval Reimb'!$B$38+'Parts Cost Per Job'!F19*((1+'Interval Reimb'!$B$39)*'Interval Reimb'!$B$40),0),2)</f>
        <v>0</v>
      </c>
      <c r="G19" s="246">
        <f>ROUND(IF('Included @ Interval'!G19="yes",'Hours Per Job'!G19*'Interval Reimb'!$B$38+'Parts Cost Per Job'!G19*((1+'Interval Reimb'!$B$39)*'Interval Reimb'!$B$40),0),2)</f>
        <v>0</v>
      </c>
      <c r="H19" s="246">
        <f>ROUND(IF('Included @ Interval'!H19="yes",'Hours Per Job'!H19*'Interval Reimb'!$B$38+'Parts Cost Per Job'!H19*((1+'Interval Reimb'!$B$39)*'Interval Reimb'!$B$40),0),2)</f>
        <v>0</v>
      </c>
      <c r="I19" s="246">
        <f>ROUND(IF('Included @ Interval'!I19="yes",'Hours Per Job'!I19*'Interval Reimb'!$B$38+'Parts Cost Per Job'!I19*((1+'Interval Reimb'!$B$39)*'Interval Reimb'!$B$40),0),2)</f>
        <v>0</v>
      </c>
      <c r="J19" s="246">
        <f>ROUND(IF('Included @ Interval'!J19="yes",'Hours Per Job'!J19*'Interval Reimb'!$B$38+'Parts Cost Per Job'!J19*((1+'Interval Reimb'!$B$39)*'Interval Reimb'!$B$40),0),2)</f>
        <v>0</v>
      </c>
      <c r="K19" s="246">
        <f>ROUND(IF('Included @ Interval'!K19="yes",'Hours Per Job'!K19*'Interval Reimb'!$B$38+'Parts Cost Per Job'!K19*((1+'Interval Reimb'!$B$39)*'Interval Reimb'!$B$40),0),2)</f>
        <v>0</v>
      </c>
      <c r="L19" s="246">
        <f>ROUND(IF('Included @ Interval'!L19="yes",'Hours Per Job'!L19*'Interval Reimb'!$B$38+'Parts Cost Per Job'!L19*((1+'Interval Reimb'!$B$39)*'Interval Reimb'!$B$40),0),2)</f>
        <v>0</v>
      </c>
      <c r="M19" s="246">
        <f>ROUND(IF('Included @ Interval'!M19="yes",'Hours Per Job'!M19*'Interval Reimb'!$B$38+'Parts Cost Per Job'!M19*((1+'Interval Reimb'!$B$39)*'Interval Reimb'!$B$40),0),2)</f>
        <v>0</v>
      </c>
      <c r="N19" s="246">
        <f>ROUND(IF('Included @ Interval'!N19="yes",'Hours Per Job'!N19*'Interval Reimb'!$B$38+'Parts Cost Per Job'!N19*((1+'Interval Reimb'!$B$39)*'Interval Reimb'!$B$40),0),2)</f>
        <v>0</v>
      </c>
      <c r="O19" s="246">
        <f>ROUND(IF('Included @ Interval'!O19="yes",'Hours Per Job'!O19*'Interval Reimb'!$B$38+'Parts Cost Per Job'!O19*((1+'Interval Reimb'!$B$39)*'Interval Reimb'!$B$40),0),2)</f>
        <v>0</v>
      </c>
      <c r="P19" s="246">
        <f>ROUND(IF('Included @ Interval'!P19="yes",'Hours Per Job'!P19*'Interval Reimb'!$B$38+'Parts Cost Per Job'!P19*((1+'Interval Reimb'!$B$39)*'Interval Reimb'!$B$40),0),2)</f>
        <v>0</v>
      </c>
      <c r="Q19" s="246">
        <f>ROUND(IF('Included @ Interval'!Q19="yes",'Hours Per Job'!Q19*'Interval Reimb'!$B$38+'Parts Cost Per Job'!Q19*((1+'Interval Reimb'!$B$39)*'Interval Reimb'!$B$40),0),2)</f>
        <v>0</v>
      </c>
      <c r="R19" s="246">
        <f>ROUND(IF('Included @ Interval'!R19="yes",'Hours Per Job'!R19*'Interval Reimb'!$B$38+'Parts Cost Per Job'!R19*((1+'Interval Reimb'!$B$39)*'Interval Reimb'!$B$40),0),2)</f>
        <v>0</v>
      </c>
      <c r="S19" s="246">
        <f>ROUND(IF('Included @ Interval'!S19="yes",'Hours Per Job'!S19*'Interval Reimb'!$B$38+'Parts Cost Per Job'!S19*((1+'Interval Reimb'!$B$39)*'Interval Reimb'!$B$40),0),2)</f>
        <v>0</v>
      </c>
      <c r="T19" s="246">
        <f>ROUND(IF('Included @ Interval'!T19="yes",'Hours Per Job'!T19*'Interval Reimb'!$B$38+'Parts Cost Per Job'!T19*((1+'Interval Reimb'!$B$39)*'Interval Reimb'!$B$40),0),2)</f>
        <v>0</v>
      </c>
      <c r="U19" s="246">
        <f>ROUND(IF('Included @ Interval'!U19="yes",'Hours Per Job'!U19*'Interval Reimb'!$B$38+'Parts Cost Per Job'!U19*((1+'Interval Reimb'!$B$39)*'Interval Reimb'!$B$40),0),2)</f>
        <v>133.79</v>
      </c>
      <c r="V19" s="246">
        <f>ROUND(IF('Included @ Interval'!V19="yes",'Hours Per Job'!V19*'Interval Reimb'!$B$38+'Parts Cost Per Job'!V19*((1+'Interval Reimb'!$B$39)*'Interval Reimb'!$B$40),0),2)</f>
        <v>0</v>
      </c>
      <c r="W19" s="246">
        <f>ROUND(IF('Included @ Interval'!W19="yes",'Hours Per Job'!W19*'Interval Reimb'!$B$38+'Parts Cost Per Job'!W19*((1+'Interval Reimb'!$B$39)*'Interval Reimb'!$B$40),0),2)</f>
        <v>0</v>
      </c>
      <c r="X19" s="246">
        <f>ROUND(IF('Included @ Interval'!X19="yes",'Hours Per Job'!X19*'Interval Reimb'!$B$38+'Parts Cost Per Job'!X19*((1+'Interval Reimb'!$B$39)*'Interval Reimb'!$B$40),0),2)</f>
        <v>0</v>
      </c>
      <c r="Y19" s="246">
        <f>ROUND(IF('Included @ Interval'!Y19="yes",'Hours Per Job'!Y19*'Interval Reimb'!$B$38+'Parts Cost Per Job'!Y19*((1+'Interval Reimb'!$B$39)*'Interval Reimb'!$B$40),0),2)</f>
        <v>0</v>
      </c>
      <c r="Z19" s="246">
        <f>ROUND(IF('Included @ Interval'!Z19="yes",'Hours Per Job'!Z19*'Interval Reimb'!$B$38+'Parts Cost Per Job'!Z19*((1+'Interval Reimb'!$B$39)*'Interval Reimb'!$B$40),0),2)</f>
        <v>121.35</v>
      </c>
      <c r="AA19" s="246">
        <f>ROUND(IF('Included @ Interval'!AA19="yes",'Hours Per Job'!AA19*'Interval Reimb'!$B$38+'Parts Cost Per Job'!AA19*((1+'Interval Reimb'!$B$39)*'Interval Reimb'!$B$40),0),2)</f>
        <v>0</v>
      </c>
      <c r="AB19" s="246">
        <f>ROUND(IF('Included @ Interval'!AB19="yes",'Hours Per Job'!AB19*'Interval Reimb'!$B$38+'Parts Cost Per Job'!AB19*((1+'Interval Reimb'!$B$39)*'Interval Reimb'!$B$40),0),2)</f>
        <v>0</v>
      </c>
      <c r="AC19" s="246">
        <f>ROUND(IF('Included @ Interval'!AC19="yes",'Hours Per Job'!AC19*'Interval Reimb'!$B$38+'Parts Cost Per Job'!AC19*((1+'Interval Reimb'!$B$39)*'Interval Reimb'!$B$40),0),2)</f>
        <v>0</v>
      </c>
      <c r="AD19" s="246">
        <f>ROUND(IF('Included @ Interval'!AD19="yes",'Hours Per Job'!AD19*'Interval Reimb'!$B$38+'Parts Cost Per Job'!AD19*((1+'Interval Reimb'!$B$39)*'Interval Reimb'!$B$40),0),2)</f>
        <v>0</v>
      </c>
      <c r="AE19" s="246">
        <f>ROUND(IF('Included @ Interval'!AE19="yes",'Hours Per Job'!AE19*'Interval Reimb'!$B$38+'Parts Cost Per Job'!AE19*((1+'Interval Reimb'!$B$39)*'Interval Reimb'!$B$40),0),2)</f>
        <v>0</v>
      </c>
      <c r="AF19" s="246">
        <f>ROUND(IF('Included @ Interval'!AF19="yes",'Hours Per Job'!AF19*'Interval Reimb'!$B$38+'Parts Cost Per Job'!AF19*((1+'Interval Reimb'!$B$39)*'Interval Reimb'!$B$40),0),2)</f>
        <v>0</v>
      </c>
      <c r="AG19" s="246">
        <f>ROUND(IF('Included @ Interval'!AG19="yes",'Hours Per Job'!AG19*'Interval Reimb'!$B$38+'Parts Cost Per Job'!AG19*((1+'Interval Reimb'!$B$39)*'Interval Reimb'!$B$40),0),2)</f>
        <v>0</v>
      </c>
      <c r="AH19" s="246">
        <f>ROUND(IF('Included @ Interval'!AH19="yes",'Hours Per Job'!AH19*'Interval Reimb'!$B$38+'Parts Cost Per Job'!AH19*((1+'Interval Reimb'!$B$39)*'Interval Reimb'!$B$40),0),2)</f>
        <v>0</v>
      </c>
      <c r="AI19" s="246">
        <f>ROUND(IF('Included @ Interval'!AI19="yes",'Hours Per Job'!AI19*'Interval Reimb'!$B$38+'Parts Cost Per Job'!AI19*((1+'Interval Reimb'!$B$39)*'Interval Reimb'!$B$40),0),2)</f>
        <v>0</v>
      </c>
      <c r="AJ19" s="246">
        <f>ROUND(IF('Included @ Interval'!AJ19="yes",'Hours Per Job'!AJ19*'Interval Reimb'!$B$38+'Parts Cost Per Job'!AJ19*((1+'Interval Reimb'!$B$39)*'Interval Reimb'!$B$40),0),2)</f>
        <v>0</v>
      </c>
      <c r="AK19" s="246">
        <f>ROUND(IF('Included @ Interval'!AK19="yes",'Hours Per Job'!AK19*'Interval Reimb'!$B$38+'Parts Cost Per Job'!AK19*((1+'Interval Reimb'!$B$39)*'Interval Reimb'!$B$40),0),2)</f>
        <v>0</v>
      </c>
      <c r="AL19" s="246">
        <f>ROUND(IF('Included @ Interval'!AL19="yes",'Hours Per Job'!AL19*'Interval Reimb'!$B$38+'Parts Cost Per Job'!AL19*((1+'Interval Reimb'!$B$39)*'Interval Reimb'!$B$40),0),2)</f>
        <v>0</v>
      </c>
      <c r="AM19" s="246">
        <f>ROUND(IF('Included @ Interval'!AM19="yes",'Hours Per Job'!AM19*'Interval Reimb'!$B$38+'Parts Cost Per Job'!AM19*((1+'Interval Reimb'!$B$39)*'Interval Reimb'!$B$40),0),2)</f>
        <v>0</v>
      </c>
      <c r="AN19" s="246">
        <f>ROUND(IF('Included @ Interval'!AN19="yes",'Hours Per Job'!AN19*'Interval Reimb'!$B$38+'Parts Cost Per Job'!AN19*((1+'Interval Reimb'!$B$39)*'Interval Reimb'!$B$40),0),2)</f>
        <v>0</v>
      </c>
      <c r="AO19" s="246">
        <f>ROUND(IF('Included @ Interval'!AO19="yes",'Hours Per Job'!AO19*'Interval Reimb'!$B$38+'Parts Cost Per Job'!AO19*((1+'Interval Reimb'!$B$39)*'Interval Reimb'!$B$40),0),2)</f>
        <v>0</v>
      </c>
      <c r="AP19" s="246">
        <f>ROUND(IF('Included @ Interval'!AP19="yes",'Hours Per Job'!AP19*'Interval Reimb'!$B$38+'Parts Cost Per Job'!AP19*((1+'Interval Reimb'!$B$39)*'Interval Reimb'!$B$40),0),2)</f>
        <v>0</v>
      </c>
      <c r="AQ19" s="246">
        <f>ROUND(IF('Included @ Interval'!AQ19="yes",'Hours Per Job'!AQ19*'Interval Reimb'!$B$38+'Parts Cost Per Job'!AQ19*((1+'Interval Reimb'!$B$39)*'Interval Reimb'!$B$40),0),2)</f>
        <v>0</v>
      </c>
      <c r="AR19" s="246">
        <f>ROUND(IF('Included @ Interval'!AR19="yes",'Hours Per Job'!AR19*'Interval Reimb'!$B$38+'Parts Cost Per Job'!AR19*((1+'Interval Reimb'!$B$39)*'Interval Reimb'!$B$40),0),2)</f>
        <v>0</v>
      </c>
      <c r="AS19" s="246">
        <f>ROUND(IF('Included @ Interval'!AS19="yes",'Hours Per Job'!AS19*'Interval Reimb'!$B$38+'Parts Cost Per Job'!AS19*((1+'Interval Reimb'!$B$39)*'Interval Reimb'!$B$40),0),2)</f>
        <v>0</v>
      </c>
      <c r="AT19" s="246">
        <f>ROUND(IF('Included @ Interval'!AT19="yes",'Hours Per Job'!AT19*'Interval Reimb'!$B$38+'Parts Cost Per Job'!AT19*((1+'Interval Reimb'!$B$39)*'Interval Reimb'!$B$40),0),2)</f>
        <v>35.07</v>
      </c>
      <c r="AU19" s="246">
        <f>ROUND(IF('Included @ Interval'!AU19="yes",'Hours Per Job'!AU19*'Interval Reimb'!$B$38+'Parts Cost Per Job'!AU19*((1+'Interval Reimb'!$B$39)*'Interval Reimb'!$B$40),0),2)</f>
        <v>0</v>
      </c>
      <c r="AV19" s="246">
        <f>ROUND(IF('Included @ Interval'!AV19="yes",'Hours Per Job'!AV19*'Interval Reimb'!$B$38+'Parts Cost Per Job'!AV19*((1+'Interval Reimb'!$B$39)*'Interval Reimb'!$B$40),0),2)</f>
        <v>0</v>
      </c>
      <c r="AW19" s="246">
        <f>ROUND(IF('Included @ Interval'!AW19="yes",'Hours Per Job'!AW19*'Interval Reimb'!$B$38+'Parts Cost Per Job'!AW19*((1+'Interval Reimb'!$B$39)*'Interval Reimb'!$B$40),0),2)</f>
        <v>0</v>
      </c>
      <c r="AX19" s="246">
        <f>ROUND(IF('Included @ Interval'!AX19="yes",'Hours Per Job'!AX19*'Interval Reimb'!$B$38+'Parts Cost Per Job'!AX19*((1+'Interval Reimb'!$B$39)*'Interval Reimb'!$B$40),0),2)</f>
        <v>0</v>
      </c>
      <c r="AY19" s="246">
        <f>ROUND(IF('Included @ Interval'!AY19="yes",'Hours Per Job'!AY19*'Interval Reimb'!$B$38+'Parts Cost Per Job'!AY19*((1+'Interval Reimb'!$B$39)*'Interval Reimb'!$B$40),0),2)</f>
        <v>0</v>
      </c>
      <c r="AZ19" s="246">
        <f>ROUND(IF('Included @ Interval'!AZ19="yes",'Hours Per Job'!AZ19*'Interval Reimb'!$B$38+'Parts Cost Per Job'!AZ19*((1+'Interval Reimb'!$B$39)*'Interval Reimb'!$B$40),0),2)</f>
        <v>0</v>
      </c>
      <c r="BA19" s="246">
        <f>ROUND(IF('Included @ Interval'!BA19="yes",'Hours Per Job'!BA19*'Interval Reimb'!$B$38+'Parts Cost Per Job'!BA19*((1+'Interval Reimb'!$B$39)*'Interval Reimb'!$B$40),0),2)</f>
        <v>0</v>
      </c>
      <c r="BB19" s="246">
        <f>ROUND(IF('Included @ Interval'!BB19="yes",'Hours Per Job'!BB19*'Interval Reimb'!$B$38+'Parts Cost Per Job'!BB19*((1+'Interval Reimb'!$B$39)*'Interval Reimb'!$B$40),0),2)</f>
        <v>0</v>
      </c>
      <c r="BC19" s="246">
        <f>ROUND(IF('Included @ Interval'!BC19="yes",'Hours Per Job'!BC19*'Interval Reimb'!$B$38+'Parts Cost Per Job'!BC19*((1+'Interval Reimb'!$B$39)*'Interval Reimb'!$B$40),0),2)</f>
        <v>0</v>
      </c>
      <c r="BD19" s="246">
        <f>ROUND(IF('Included @ Interval'!BD19="yes",'Hours Per Job'!BD19*'Interval Reimb'!$B$38+'Parts Cost Per Job'!BD19*((1+'Interval Reimb'!$B$39)*'Interval Reimb'!$B$40),0),2)</f>
        <v>0</v>
      </c>
      <c r="BE19" s="246">
        <f>ROUND(IF('Included @ Interval'!BE19="yes",'Hours Per Job'!BE19*'Interval Reimb'!$B$38+'Parts Cost Per Job'!BE19*((1+'Interval Reimb'!$B$39)*'Interval Reimb'!$B$40),0),2)</f>
        <v>0</v>
      </c>
      <c r="BF19" s="246">
        <f>ROUND(IF('Included @ Interval'!BF19="yes",'Hours Per Job'!BF19*'Interval Reimb'!$B$38+'Parts Cost Per Job'!BF19*((1+'Interval Reimb'!$B$39)*'Interval Reimb'!$B$40),0),2)</f>
        <v>0</v>
      </c>
      <c r="BG19" s="246">
        <f>ROUND(IF('Included @ Interval'!BG19="yes",'Hours Per Job'!BG19*'Interval Reimb'!$B$38+'Parts Cost Per Job'!BG19*((1+'Interval Reimb'!$B$39)*'Interval Reimb'!$B$40),0),2)</f>
        <v>0</v>
      </c>
      <c r="BH19" s="246">
        <f>ROUND(IF('Included @ Interval'!BH19="yes",'Hours Per Job'!BH19*'Interval Reimb'!$B$38+'Parts Cost Per Job'!BH19*((1+'Interval Reimb'!$B$39)*'Interval Reimb'!$B$40),0),2)</f>
        <v>0</v>
      </c>
      <c r="BI19" s="246">
        <f>ROUND(IF('Included @ Interval'!BI19="yes",'Hours Per Job'!BI19*'Interval Reimb'!$B$38+'Parts Cost Per Job'!BI19*((1+'Interval Reimb'!$B$39)*'Interval Reimb'!$B$40),0),2)</f>
        <v>0</v>
      </c>
      <c r="BJ19" s="246">
        <f>ROUND(IF('Included @ Interval'!BJ19="yes",'Hours Per Job'!BJ19*'Interval Reimb'!$B$38+'Parts Cost Per Job'!BJ19*((1+'Interval Reimb'!$B$39)*'Interval Reimb'!$B$40),0),2)</f>
        <v>30</v>
      </c>
      <c r="BK19" s="246">
        <f>ROUND(IF('Included @ Interval'!BK19="yes",'Hours Per Job'!BK19*'Interval Reimb'!$B$38+'Parts Cost Per Job'!BK19*((1+'Interval Reimb'!$B$39)*'Interval Reimb'!$B$40),0),2)</f>
        <v>0</v>
      </c>
      <c r="BL19" s="246">
        <f>ROUND(IF('Included @ Interval'!BL19="yes",'Hours Per Job'!BL19*'Interval Reimb'!$B$38+'Parts Cost Per Job'!BL19*((1+'Interval Reimb'!$B$39)*'Interval Reimb'!$B$40),0),2)</f>
        <v>0</v>
      </c>
      <c r="BM19" s="246">
        <f>ROUND(IF('Included @ Interval'!BM19="yes",'Hours Per Job'!BM19*'Interval Reimb'!$B$38+'Parts Cost Per Job'!BM19*((1+'Interval Reimb'!$B$39)*'Interval Reimb'!$B$40),0),2)</f>
        <v>0</v>
      </c>
      <c r="BN19" s="246">
        <f>ROUND(IF('Included @ Interval'!BN19="yes",'Hours Per Job'!BN19*'Interval Reimb'!$B$38+'Parts Cost Per Job'!BN19*((1+'Interval Reimb'!$B$39)*'Interval Reimb'!$B$40),0),2)</f>
        <v>0</v>
      </c>
      <c r="BO19" s="246">
        <f>ROUND(IF('Included @ Interval'!BO19="yes",'Hours Per Job'!BO19*'Interval Reimb'!$B$38+'Parts Cost Per Job'!BO19*((1+'Interval Reimb'!$B$39)*'Interval Reimb'!$B$40),0),2)</f>
        <v>0</v>
      </c>
      <c r="BP19" s="246">
        <f>ROUND(IF('Included @ Interval'!BP19="yes",'Hours Per Job'!BP19*'Interval Reimb'!$B$38+'Parts Cost Per Job'!BP19*((1+'Interval Reimb'!$B$39)*'Interval Reimb'!$B$40),0),2)</f>
        <v>0</v>
      </c>
      <c r="BQ19" s="9">
        <f t="shared" si="0"/>
        <v>320.20999999999998</v>
      </c>
      <c r="BR19" s="9">
        <f t="shared" si="1"/>
        <v>1.1499999999999999</v>
      </c>
    </row>
    <row r="20" spans="1:70" x14ac:dyDescent="0.2">
      <c r="A20" s="18" t="str">
        <f>+'Scheduled Intervals'!A20</f>
        <v>Mahindra 6000</v>
      </c>
      <c r="B20" s="246">
        <f>ROUND(IF('Included @ Interval'!B20="yes",'Hours Per Job'!B20*'Interval Reimb'!$B$38+'Parts Cost Per Job'!B20*((1+'Interval Reimb'!$B$39)*'Interval Reimb'!$B$40),0),2)</f>
        <v>0</v>
      </c>
      <c r="C20" s="246">
        <f>ROUND(IF('Included @ Interval'!C20="yes",'Hours Per Job'!C20*'Interval Reimb'!$B$38+'Parts Cost Per Job'!C20*((1+'Interval Reimb'!$B$39)*'Interval Reimb'!$B$40),0),2)</f>
        <v>0</v>
      </c>
      <c r="D20" s="246">
        <f>ROUND(IF('Included @ Interval'!D20="yes",'Hours Per Job'!D20*'Interval Reimb'!$B$38+'Parts Cost Per Job'!D20*((1+'Interval Reimb'!$B$39)*'Interval Reimb'!$B$40),0),2)</f>
        <v>0</v>
      </c>
      <c r="E20" s="246">
        <f>ROUND(IF('Included @ Interval'!E20="yes",'Hours Per Job'!E20*'Interval Reimb'!$B$38+'Parts Cost Per Job'!E20*((1+'Interval Reimb'!$B$39)*'Interval Reimb'!$B$40),0),2)</f>
        <v>0</v>
      </c>
      <c r="F20" s="246">
        <f>ROUND(IF('Included @ Interval'!F20="yes",'Hours Per Job'!F20*'Interval Reimb'!$B$38+'Parts Cost Per Job'!F20*((1+'Interval Reimb'!$B$39)*'Interval Reimb'!$B$40),0),2)</f>
        <v>0</v>
      </c>
      <c r="G20" s="246">
        <f>ROUND(IF('Included @ Interval'!G20="yes",'Hours Per Job'!G20*'Interval Reimb'!$B$38+'Parts Cost Per Job'!G20*((1+'Interval Reimb'!$B$39)*'Interval Reimb'!$B$40),0),2)</f>
        <v>0</v>
      </c>
      <c r="H20" s="246">
        <f>ROUND(IF('Included @ Interval'!H20="yes",'Hours Per Job'!H20*'Interval Reimb'!$B$38+'Parts Cost Per Job'!H20*((1+'Interval Reimb'!$B$39)*'Interval Reimb'!$B$40),0),2)</f>
        <v>0</v>
      </c>
      <c r="I20" s="246">
        <f>ROUND(IF('Included @ Interval'!I20="yes",'Hours Per Job'!I20*'Interval Reimb'!$B$38+'Parts Cost Per Job'!I20*((1+'Interval Reimb'!$B$39)*'Interval Reimb'!$B$40),0),2)</f>
        <v>0</v>
      </c>
      <c r="J20" s="246">
        <f>ROUND(IF('Included @ Interval'!J20="yes",'Hours Per Job'!J20*'Interval Reimb'!$B$38+'Parts Cost Per Job'!J20*((1+'Interval Reimb'!$B$39)*'Interval Reimb'!$B$40),0),2)</f>
        <v>0</v>
      </c>
      <c r="K20" s="246">
        <f>ROUND(IF('Included @ Interval'!K20="yes",'Hours Per Job'!K20*'Interval Reimb'!$B$38+'Parts Cost Per Job'!K20*((1+'Interval Reimb'!$B$39)*'Interval Reimb'!$B$40),0),2)</f>
        <v>0</v>
      </c>
      <c r="L20" s="246">
        <f>ROUND(IF('Included @ Interval'!L20="yes",'Hours Per Job'!L20*'Interval Reimb'!$B$38+'Parts Cost Per Job'!L20*((1+'Interval Reimb'!$B$39)*'Interval Reimb'!$B$40),0),2)</f>
        <v>0</v>
      </c>
      <c r="M20" s="246">
        <f>ROUND(IF('Included @ Interval'!M20="yes",'Hours Per Job'!M20*'Interval Reimb'!$B$38+'Parts Cost Per Job'!M20*((1+'Interval Reimb'!$B$39)*'Interval Reimb'!$B$40),0),2)</f>
        <v>0</v>
      </c>
      <c r="N20" s="246">
        <f>ROUND(IF('Included @ Interval'!N20="yes",'Hours Per Job'!N20*'Interval Reimb'!$B$38+'Parts Cost Per Job'!N20*((1+'Interval Reimb'!$B$39)*'Interval Reimb'!$B$40),0),2)</f>
        <v>0</v>
      </c>
      <c r="O20" s="246">
        <f>ROUND(IF('Included @ Interval'!O20="yes",'Hours Per Job'!O20*'Interval Reimb'!$B$38+'Parts Cost Per Job'!O20*((1+'Interval Reimb'!$B$39)*'Interval Reimb'!$B$40),0),2)</f>
        <v>0</v>
      </c>
      <c r="P20" s="246">
        <f>ROUND(IF('Included @ Interval'!P20="yes",'Hours Per Job'!P20*'Interval Reimb'!$B$38+'Parts Cost Per Job'!P20*((1+'Interval Reimb'!$B$39)*'Interval Reimb'!$B$40),0),2)</f>
        <v>0</v>
      </c>
      <c r="Q20" s="246">
        <f>ROUND(IF('Included @ Interval'!Q20="yes",'Hours Per Job'!Q20*'Interval Reimb'!$B$38+'Parts Cost Per Job'!Q20*((1+'Interval Reimb'!$B$39)*'Interval Reimb'!$B$40),0),2)</f>
        <v>0</v>
      </c>
      <c r="R20" s="246">
        <f>ROUND(IF('Included @ Interval'!R20="yes",'Hours Per Job'!R20*'Interval Reimb'!$B$38+'Parts Cost Per Job'!R20*((1+'Interval Reimb'!$B$39)*'Interval Reimb'!$B$40),0),2)</f>
        <v>0</v>
      </c>
      <c r="S20" s="246">
        <f>ROUND(IF('Included @ Interval'!S20="yes",'Hours Per Job'!S20*'Interval Reimb'!$B$38+'Parts Cost Per Job'!S20*((1+'Interval Reimb'!$B$39)*'Interval Reimb'!$B$40),0),2)</f>
        <v>0</v>
      </c>
      <c r="T20" s="246">
        <f>ROUND(IF('Included @ Interval'!T20="yes",'Hours Per Job'!T20*'Interval Reimb'!$B$38+'Parts Cost Per Job'!T20*((1+'Interval Reimb'!$B$39)*'Interval Reimb'!$B$40),0),2)</f>
        <v>0</v>
      </c>
      <c r="U20" s="246">
        <f>ROUND(IF('Included @ Interval'!U20="yes",'Hours Per Job'!U20*'Interval Reimb'!$B$38+'Parts Cost Per Job'!U20*((1+'Interval Reimb'!$B$39)*'Interval Reimb'!$B$40),0),2)</f>
        <v>133.79</v>
      </c>
      <c r="V20" s="246">
        <f>ROUND(IF('Included @ Interval'!V20="yes",'Hours Per Job'!V20*'Interval Reimb'!$B$38+'Parts Cost Per Job'!V20*((1+'Interval Reimb'!$B$39)*'Interval Reimb'!$B$40),0),2)</f>
        <v>0</v>
      </c>
      <c r="W20" s="246">
        <f>ROUND(IF('Included @ Interval'!W20="yes",'Hours Per Job'!W20*'Interval Reimb'!$B$38+'Parts Cost Per Job'!W20*((1+'Interval Reimb'!$B$39)*'Interval Reimb'!$B$40),0),2)</f>
        <v>0</v>
      </c>
      <c r="X20" s="246">
        <f>ROUND(IF('Included @ Interval'!X20="yes",'Hours Per Job'!X20*'Interval Reimb'!$B$38+'Parts Cost Per Job'!X20*((1+'Interval Reimb'!$B$39)*'Interval Reimb'!$B$40),0),2)</f>
        <v>0</v>
      </c>
      <c r="Y20" s="246">
        <f>ROUND(IF('Included @ Interval'!Y20="yes",'Hours Per Job'!Y20*'Interval Reimb'!$B$38+'Parts Cost Per Job'!Y20*((1+'Interval Reimb'!$B$39)*'Interval Reimb'!$B$40),0),2)</f>
        <v>0</v>
      </c>
      <c r="Z20" s="246">
        <f>ROUND(IF('Included @ Interval'!Z20="yes",'Hours Per Job'!Z20*'Interval Reimb'!$B$38+'Parts Cost Per Job'!Z20*((1+'Interval Reimb'!$B$39)*'Interval Reimb'!$B$40),0),2)</f>
        <v>76.010000000000005</v>
      </c>
      <c r="AA20" s="246">
        <f>ROUND(IF('Included @ Interval'!AA20="yes",'Hours Per Job'!AA20*'Interval Reimb'!$B$38+'Parts Cost Per Job'!AA20*((1+'Interval Reimb'!$B$39)*'Interval Reimb'!$B$40),0),2)</f>
        <v>0</v>
      </c>
      <c r="AB20" s="246">
        <f>ROUND(IF('Included @ Interval'!AB20="yes",'Hours Per Job'!AB20*'Interval Reimb'!$B$38+'Parts Cost Per Job'!AB20*((1+'Interval Reimb'!$B$39)*'Interval Reimb'!$B$40),0),2)</f>
        <v>0</v>
      </c>
      <c r="AC20" s="246">
        <f>ROUND(IF('Included @ Interval'!AC20="yes",'Hours Per Job'!AC20*'Interval Reimb'!$B$38+'Parts Cost Per Job'!AC20*((1+'Interval Reimb'!$B$39)*'Interval Reimb'!$B$40),0),2)</f>
        <v>138.94999999999999</v>
      </c>
      <c r="AD20" s="246">
        <f>ROUND(IF('Included @ Interval'!AD20="yes",'Hours Per Job'!AD20*'Interval Reimb'!$B$38+'Parts Cost Per Job'!AD20*((1+'Interval Reimb'!$B$39)*'Interval Reimb'!$B$40),0),2)</f>
        <v>0</v>
      </c>
      <c r="AE20" s="246">
        <f>ROUND(IF('Included @ Interval'!AE20="yes",'Hours Per Job'!AE20*'Interval Reimb'!$B$38+'Parts Cost Per Job'!AE20*((1+'Interval Reimb'!$B$39)*'Interval Reimb'!$B$40),0),2)</f>
        <v>0</v>
      </c>
      <c r="AF20" s="246">
        <f>ROUND(IF('Included @ Interval'!AF20="yes",'Hours Per Job'!AF20*'Interval Reimb'!$B$38+'Parts Cost Per Job'!AF20*((1+'Interval Reimb'!$B$39)*'Interval Reimb'!$B$40),0),2)</f>
        <v>0</v>
      </c>
      <c r="AG20" s="246">
        <f>ROUND(IF('Included @ Interval'!AG20="yes",'Hours Per Job'!AG20*'Interval Reimb'!$B$38+'Parts Cost Per Job'!AG20*((1+'Interval Reimb'!$B$39)*'Interval Reimb'!$B$40),0),2)</f>
        <v>0</v>
      </c>
      <c r="AH20" s="246">
        <f>ROUND(IF('Included @ Interval'!AH20="yes",'Hours Per Job'!AH20*'Interval Reimb'!$B$38+'Parts Cost Per Job'!AH20*((1+'Interval Reimb'!$B$39)*'Interval Reimb'!$B$40),0),2)</f>
        <v>0</v>
      </c>
      <c r="AI20" s="246">
        <f>ROUND(IF('Included @ Interval'!AI20="yes",'Hours Per Job'!AI20*'Interval Reimb'!$B$38+'Parts Cost Per Job'!AI20*((1+'Interval Reimb'!$B$39)*'Interval Reimb'!$B$40),0),2)</f>
        <v>572.83000000000004</v>
      </c>
      <c r="AJ20" s="246">
        <f>ROUND(IF('Included @ Interval'!AJ20="yes",'Hours Per Job'!AJ20*'Interval Reimb'!$B$38+'Parts Cost Per Job'!AJ20*((1+'Interval Reimb'!$B$39)*'Interval Reimb'!$B$40),0),2)</f>
        <v>0</v>
      </c>
      <c r="AK20" s="246">
        <f>ROUND(IF('Included @ Interval'!AK20="yes",'Hours Per Job'!AK20*'Interval Reimb'!$B$38+'Parts Cost Per Job'!AK20*((1+'Interval Reimb'!$B$39)*'Interval Reimb'!$B$40),0),2)</f>
        <v>0</v>
      </c>
      <c r="AL20" s="246">
        <f>ROUND(IF('Included @ Interval'!AL20="yes",'Hours Per Job'!AL20*'Interval Reimb'!$B$38+'Parts Cost Per Job'!AL20*((1+'Interval Reimb'!$B$39)*'Interval Reimb'!$B$40),0),2)</f>
        <v>201.51</v>
      </c>
      <c r="AM20" s="246">
        <f>ROUND(IF('Included @ Interval'!AM20="yes",'Hours Per Job'!AM20*'Interval Reimb'!$B$38+'Parts Cost Per Job'!AM20*((1+'Interval Reimb'!$B$39)*'Interval Reimb'!$B$40),0),2)</f>
        <v>0</v>
      </c>
      <c r="AN20" s="246">
        <f>ROUND(IF('Included @ Interval'!AN20="yes",'Hours Per Job'!AN20*'Interval Reimb'!$B$38+'Parts Cost Per Job'!AN20*((1+'Interval Reimb'!$B$39)*'Interval Reimb'!$B$40),0),2)</f>
        <v>0</v>
      </c>
      <c r="AO20" s="246">
        <f>ROUND(IF('Included @ Interval'!AO20="yes",'Hours Per Job'!AO20*'Interval Reimb'!$B$38+'Parts Cost Per Job'!AO20*((1+'Interval Reimb'!$B$39)*'Interval Reimb'!$B$40),0),2)</f>
        <v>0</v>
      </c>
      <c r="AP20" s="246">
        <f>ROUND(IF('Included @ Interval'!AP20="yes",'Hours Per Job'!AP20*'Interval Reimb'!$B$38+'Parts Cost Per Job'!AP20*((1+'Interval Reimb'!$B$39)*'Interval Reimb'!$B$40),0),2)</f>
        <v>0</v>
      </c>
      <c r="AQ20" s="246">
        <f>ROUND(IF('Included @ Interval'!AQ20="yes",'Hours Per Job'!AQ20*'Interval Reimb'!$B$38+'Parts Cost Per Job'!AQ20*((1+'Interval Reimb'!$B$39)*'Interval Reimb'!$B$40),0),2)</f>
        <v>0</v>
      </c>
      <c r="AR20" s="246">
        <f>ROUND(IF('Included @ Interval'!AR20="yes",'Hours Per Job'!AR20*'Interval Reimb'!$B$38+'Parts Cost Per Job'!AR20*((1+'Interval Reimb'!$B$39)*'Interval Reimb'!$B$40),0),2)</f>
        <v>0</v>
      </c>
      <c r="AS20" s="246">
        <f>ROUND(IF('Included @ Interval'!AS20="yes",'Hours Per Job'!AS20*'Interval Reimb'!$B$38+'Parts Cost Per Job'!AS20*((1+'Interval Reimb'!$B$39)*'Interval Reimb'!$B$40),0),2)</f>
        <v>0</v>
      </c>
      <c r="AT20" s="246">
        <f>ROUND(IF('Included @ Interval'!AT20="yes",'Hours Per Job'!AT20*'Interval Reimb'!$B$38+'Parts Cost Per Job'!AT20*((1+'Interval Reimb'!$B$39)*'Interval Reimb'!$B$40),0),2)</f>
        <v>35.07</v>
      </c>
      <c r="AU20" s="246">
        <f>ROUND(IF('Included @ Interval'!AU20="yes",'Hours Per Job'!AU20*'Interval Reimb'!$B$38+'Parts Cost Per Job'!AU20*((1+'Interval Reimb'!$B$39)*'Interval Reimb'!$B$40),0),2)</f>
        <v>0</v>
      </c>
      <c r="AV20" s="246">
        <f>ROUND(IF('Included @ Interval'!AV20="yes",'Hours Per Job'!AV20*'Interval Reimb'!$B$38+'Parts Cost Per Job'!AV20*((1+'Interval Reimb'!$B$39)*'Interval Reimb'!$B$40),0),2)</f>
        <v>0</v>
      </c>
      <c r="AW20" s="246">
        <f>ROUND(IF('Included @ Interval'!AW20="yes",'Hours Per Job'!AW20*'Interval Reimb'!$B$38+'Parts Cost Per Job'!AW20*((1+'Interval Reimb'!$B$39)*'Interval Reimb'!$B$40),0),2)</f>
        <v>0</v>
      </c>
      <c r="AX20" s="246">
        <f>ROUND(IF('Included @ Interval'!AX20="yes",'Hours Per Job'!AX20*'Interval Reimb'!$B$38+'Parts Cost Per Job'!AX20*((1+'Interval Reimb'!$B$39)*'Interval Reimb'!$B$40),0),2)</f>
        <v>0</v>
      </c>
      <c r="AY20" s="246">
        <f>ROUND(IF('Included @ Interval'!AY20="yes",'Hours Per Job'!AY20*'Interval Reimb'!$B$38+'Parts Cost Per Job'!AY20*((1+'Interval Reimb'!$B$39)*'Interval Reimb'!$B$40),0),2)</f>
        <v>0</v>
      </c>
      <c r="AZ20" s="246">
        <f>ROUND(IF('Included @ Interval'!AZ20="yes",'Hours Per Job'!AZ20*'Interval Reimb'!$B$38+'Parts Cost Per Job'!AZ20*((1+'Interval Reimb'!$B$39)*'Interval Reimb'!$B$40),0),2)</f>
        <v>0</v>
      </c>
      <c r="BA20" s="246">
        <f>ROUND(IF('Included @ Interval'!BA20="yes",'Hours Per Job'!BA20*'Interval Reimb'!$B$38+'Parts Cost Per Job'!BA20*((1+'Interval Reimb'!$B$39)*'Interval Reimb'!$B$40),0),2)</f>
        <v>0</v>
      </c>
      <c r="BB20" s="246">
        <f>ROUND(IF('Included @ Interval'!BB20="yes",'Hours Per Job'!BB20*'Interval Reimb'!$B$38+'Parts Cost Per Job'!BB20*((1+'Interval Reimb'!$B$39)*'Interval Reimb'!$B$40),0),2)</f>
        <v>0</v>
      </c>
      <c r="BC20" s="246">
        <f>ROUND(IF('Included @ Interval'!BC20="yes",'Hours Per Job'!BC20*'Interval Reimb'!$B$38+'Parts Cost Per Job'!BC20*((1+'Interval Reimb'!$B$39)*'Interval Reimb'!$B$40),0),2)</f>
        <v>0</v>
      </c>
      <c r="BD20" s="246">
        <f>ROUND(IF('Included @ Interval'!BD20="yes",'Hours Per Job'!BD20*'Interval Reimb'!$B$38+'Parts Cost Per Job'!BD20*((1+'Interval Reimb'!$B$39)*'Interval Reimb'!$B$40),0),2)</f>
        <v>0</v>
      </c>
      <c r="BE20" s="246">
        <f>ROUND(IF('Included @ Interval'!BE20="yes",'Hours Per Job'!BE20*'Interval Reimb'!$B$38+'Parts Cost Per Job'!BE20*((1+'Interval Reimb'!$B$39)*'Interval Reimb'!$B$40),0),2)</f>
        <v>0</v>
      </c>
      <c r="BF20" s="246">
        <f>ROUND(IF('Included @ Interval'!BF20="yes",'Hours Per Job'!BF20*'Interval Reimb'!$B$38+'Parts Cost Per Job'!BF20*((1+'Interval Reimb'!$B$39)*'Interval Reimb'!$B$40),0),2)</f>
        <v>0</v>
      </c>
      <c r="BG20" s="246">
        <f>ROUND(IF('Included @ Interval'!BG20="yes",'Hours Per Job'!BG20*'Interval Reimb'!$B$38+'Parts Cost Per Job'!BG20*((1+'Interval Reimb'!$B$39)*'Interval Reimb'!$B$40),0),2)</f>
        <v>0</v>
      </c>
      <c r="BH20" s="246">
        <f>ROUND(IF('Included @ Interval'!BH20="yes",'Hours Per Job'!BH20*'Interval Reimb'!$B$38+'Parts Cost Per Job'!BH20*((1+'Interval Reimb'!$B$39)*'Interval Reimb'!$B$40),0),2)</f>
        <v>0</v>
      </c>
      <c r="BI20" s="246">
        <f>ROUND(IF('Included @ Interval'!BI20="yes",'Hours Per Job'!BI20*'Interval Reimb'!$B$38+'Parts Cost Per Job'!BI20*((1+'Interval Reimb'!$B$39)*'Interval Reimb'!$B$40),0),2)</f>
        <v>0</v>
      </c>
      <c r="BJ20" s="246">
        <f>ROUND(IF('Included @ Interval'!BJ20="yes",'Hours Per Job'!BJ20*'Interval Reimb'!$B$38+'Parts Cost Per Job'!BJ20*((1+'Interval Reimb'!$B$39)*'Interval Reimb'!$B$40),0),2)</f>
        <v>30</v>
      </c>
      <c r="BK20" s="246">
        <f>ROUND(IF('Included @ Interval'!BK20="yes",'Hours Per Job'!BK20*'Interval Reimb'!$B$38+'Parts Cost Per Job'!BK20*((1+'Interval Reimb'!$B$39)*'Interval Reimb'!$B$40),0),2)</f>
        <v>0</v>
      </c>
      <c r="BL20" s="246">
        <f>ROUND(IF('Included @ Interval'!BL20="yes",'Hours Per Job'!BL20*'Interval Reimb'!$B$38+'Parts Cost Per Job'!BL20*((1+'Interval Reimb'!$B$39)*'Interval Reimb'!$B$40),0),2)</f>
        <v>0</v>
      </c>
      <c r="BM20" s="246">
        <f>ROUND(IF('Included @ Interval'!BM20="yes",'Hours Per Job'!BM20*'Interval Reimb'!$B$38+'Parts Cost Per Job'!BM20*((1+'Interval Reimb'!$B$39)*'Interval Reimb'!$B$40),0),2)</f>
        <v>0</v>
      </c>
      <c r="BN20" s="246">
        <f>ROUND(IF('Included @ Interval'!BN20="yes",'Hours Per Job'!BN20*'Interval Reimb'!$B$38+'Parts Cost Per Job'!BN20*((1+'Interval Reimb'!$B$39)*'Interval Reimb'!$B$40),0),2)</f>
        <v>0</v>
      </c>
      <c r="BO20" s="246">
        <f>ROUND(IF('Included @ Interval'!BO20="yes",'Hours Per Job'!BO20*'Interval Reimb'!$B$38+'Parts Cost Per Job'!BO20*((1+'Interval Reimb'!$B$39)*'Interval Reimb'!$B$40),0),2)</f>
        <v>0</v>
      </c>
      <c r="BP20" s="246">
        <f>ROUND(IF('Included @ Interval'!BP20="yes",'Hours Per Job'!BP20*'Interval Reimb'!$B$38+'Parts Cost Per Job'!BP20*((1+'Interval Reimb'!$B$39)*'Interval Reimb'!$B$40),0),2)</f>
        <v>0</v>
      </c>
      <c r="BQ20" s="9">
        <f t="shared" si="0"/>
        <v>1188.1600000000001</v>
      </c>
      <c r="BR20" s="9">
        <f t="shared" si="1"/>
        <v>3.45</v>
      </c>
    </row>
    <row r="21" spans="1:70" x14ac:dyDescent="0.2">
      <c r="A21" s="18" t="str">
        <f>+'Scheduled Intervals'!A21</f>
        <v>Takeuchi TL 8/10/12</v>
      </c>
      <c r="B21" s="246">
        <f>ROUND(IF('Included @ Interval'!B21="yes",'Hours Per Job'!B21*'Interval Reimb'!$B$38+'Parts Cost Per Job'!B21*((1+'Interval Reimb'!$B$39)*'Interval Reimb'!$B$40),0),2)</f>
        <v>0</v>
      </c>
      <c r="C21" s="246">
        <f>ROUND(IF('Included @ Interval'!C21="yes",'Hours Per Job'!C21*'Interval Reimb'!$B$38+'Parts Cost Per Job'!C21*((1+'Interval Reimb'!$B$39)*'Interval Reimb'!$B$40),0),2)</f>
        <v>0</v>
      </c>
      <c r="D21" s="246">
        <f>ROUND(IF('Included @ Interval'!D21="yes",'Hours Per Job'!D21*'Interval Reimb'!$B$38+'Parts Cost Per Job'!D21*((1+'Interval Reimb'!$B$39)*'Interval Reimb'!$B$40),0),2)</f>
        <v>0</v>
      </c>
      <c r="E21" s="246">
        <f>ROUND(IF('Included @ Interval'!E21="yes",'Hours Per Job'!E21*'Interval Reimb'!$B$38+'Parts Cost Per Job'!E21*((1+'Interval Reimb'!$B$39)*'Interval Reimb'!$B$40),0),2)</f>
        <v>0</v>
      </c>
      <c r="F21" s="246">
        <f>ROUND(IF('Included @ Interval'!F21="yes",'Hours Per Job'!F21*'Interval Reimb'!$B$38+'Parts Cost Per Job'!F21*((1+'Interval Reimb'!$B$39)*'Interval Reimb'!$B$40),0),2)</f>
        <v>0</v>
      </c>
      <c r="G21" s="246">
        <f>ROUND(IF('Included @ Interval'!G21="yes",'Hours Per Job'!G21*'Interval Reimb'!$B$38+'Parts Cost Per Job'!G21*((1+'Interval Reimb'!$B$39)*'Interval Reimb'!$B$40),0),2)</f>
        <v>0</v>
      </c>
      <c r="H21" s="246">
        <f>ROUND(IF('Included @ Interval'!H21="yes",'Hours Per Job'!H21*'Interval Reimb'!$B$38+'Parts Cost Per Job'!H21*((1+'Interval Reimb'!$B$39)*'Interval Reimb'!$B$40),0),2)</f>
        <v>0</v>
      </c>
      <c r="I21" s="246">
        <f>ROUND(IF('Included @ Interval'!I21="yes",'Hours Per Job'!I21*'Interval Reimb'!$B$38+'Parts Cost Per Job'!I21*((1+'Interval Reimb'!$B$39)*'Interval Reimb'!$B$40),0),2)</f>
        <v>0</v>
      </c>
      <c r="J21" s="246">
        <f>ROUND(IF('Included @ Interval'!J21="yes",'Hours Per Job'!J21*'Interval Reimb'!$B$38+'Parts Cost Per Job'!J21*((1+'Interval Reimb'!$B$39)*'Interval Reimb'!$B$40),0),2)</f>
        <v>0</v>
      </c>
      <c r="K21" s="246">
        <f>ROUND(IF('Included @ Interval'!K21="yes",'Hours Per Job'!K21*'Interval Reimb'!$B$38+'Parts Cost Per Job'!K21*((1+'Interval Reimb'!$B$39)*'Interval Reimb'!$B$40),0),2)</f>
        <v>0</v>
      </c>
      <c r="L21" s="246">
        <f>ROUND(IF('Included @ Interval'!L21="yes",'Hours Per Job'!L21*'Interval Reimb'!$B$38+'Parts Cost Per Job'!L21*((1+'Interval Reimb'!$B$39)*'Interval Reimb'!$B$40),0),2)</f>
        <v>0</v>
      </c>
      <c r="M21" s="246">
        <f>ROUND(IF('Included @ Interval'!M21="yes",'Hours Per Job'!M21*'Interval Reimb'!$B$38+'Parts Cost Per Job'!M21*((1+'Interval Reimb'!$B$39)*'Interval Reimb'!$B$40),0),2)</f>
        <v>0</v>
      </c>
      <c r="N21" s="246">
        <f>ROUND(IF('Included @ Interval'!N21="yes",'Hours Per Job'!N21*'Interval Reimb'!$B$38+'Parts Cost Per Job'!N21*((1+'Interval Reimb'!$B$39)*'Interval Reimb'!$B$40),0),2)</f>
        <v>0</v>
      </c>
      <c r="O21" s="246">
        <f>ROUND(IF('Included @ Interval'!O21="yes",'Hours Per Job'!O21*'Interval Reimb'!$B$38+'Parts Cost Per Job'!O21*((1+'Interval Reimb'!$B$39)*'Interval Reimb'!$B$40),0),2)</f>
        <v>0</v>
      </c>
      <c r="P21" s="246">
        <f>ROUND(IF('Included @ Interval'!P21="yes",'Hours Per Job'!P21*'Interval Reimb'!$B$38+'Parts Cost Per Job'!P21*((1+'Interval Reimb'!$B$39)*'Interval Reimb'!$B$40),0),2)</f>
        <v>0</v>
      </c>
      <c r="Q21" s="246">
        <f>ROUND(IF('Included @ Interval'!Q21="yes",'Hours Per Job'!Q21*'Interval Reimb'!$B$38+'Parts Cost Per Job'!Q21*((1+'Interval Reimb'!$B$39)*'Interval Reimb'!$B$40),0),2)</f>
        <v>0</v>
      </c>
      <c r="R21" s="246">
        <f>ROUND(IF('Included @ Interval'!R21="yes",'Hours Per Job'!R21*'Interval Reimb'!$B$38+'Parts Cost Per Job'!R21*((1+'Interval Reimb'!$B$39)*'Interval Reimb'!$B$40),0),2)</f>
        <v>0</v>
      </c>
      <c r="S21" s="246">
        <f>ROUND(IF('Included @ Interval'!S21="yes",'Hours Per Job'!S21*'Interval Reimb'!$B$38+'Parts Cost Per Job'!S21*((1+'Interval Reimb'!$B$39)*'Interval Reimb'!$B$40),0),2)</f>
        <v>0</v>
      </c>
      <c r="T21" s="246">
        <f>ROUND(IF('Included @ Interval'!T21="yes",'Hours Per Job'!T21*'Interval Reimb'!$B$38+'Parts Cost Per Job'!T21*((1+'Interval Reimb'!$B$39)*'Interval Reimb'!$B$40),0),2)</f>
        <v>0</v>
      </c>
      <c r="U21" s="246">
        <f>ROUND(IF('Included @ Interval'!U21="yes",'Hours Per Job'!U21*'Interval Reimb'!$B$38+'Parts Cost Per Job'!U21*((1+'Interval Reimb'!$B$39)*'Interval Reimb'!$B$40),0),2)</f>
        <v>196.28</v>
      </c>
      <c r="V21" s="246">
        <f>ROUND(IF('Included @ Interval'!V21="yes",'Hours Per Job'!V21*'Interval Reimb'!$B$38+'Parts Cost Per Job'!V21*((1+'Interval Reimb'!$B$39)*'Interval Reimb'!$B$40),0),2)</f>
        <v>0</v>
      </c>
      <c r="W21" s="246">
        <f>ROUND(IF('Included @ Interval'!W21="yes",'Hours Per Job'!W21*'Interval Reimb'!$B$38+'Parts Cost Per Job'!W21*((1+'Interval Reimb'!$B$39)*'Interval Reimb'!$B$40),0),2)</f>
        <v>12</v>
      </c>
      <c r="X21" s="246">
        <f>ROUND(IF('Included @ Interval'!X21="yes",'Hours Per Job'!X21*'Interval Reimb'!$B$38+'Parts Cost Per Job'!X21*((1+'Interval Reimb'!$B$39)*'Interval Reimb'!$B$40),0),2)</f>
        <v>0</v>
      </c>
      <c r="Y21" s="246">
        <f>ROUND(IF('Included @ Interval'!Y21="yes",'Hours Per Job'!Y21*'Interval Reimb'!$B$38+'Parts Cost Per Job'!Y21*((1+'Interval Reimb'!$B$39)*'Interval Reimb'!$B$40),0),2)</f>
        <v>0</v>
      </c>
      <c r="Z21" s="246">
        <f>ROUND(IF('Included @ Interval'!Z21="yes",'Hours Per Job'!Z21*'Interval Reimb'!$B$38+'Parts Cost Per Job'!Z21*((1+'Interval Reimb'!$B$39)*'Interval Reimb'!$B$40),0),2)</f>
        <v>71.63</v>
      </c>
      <c r="AA21" s="246">
        <f>ROUND(IF('Included @ Interval'!AA21="yes",'Hours Per Job'!AA21*'Interval Reimb'!$B$38+'Parts Cost Per Job'!AA21*((1+'Interval Reimb'!$B$39)*'Interval Reimb'!$B$40),0),2)</f>
        <v>0</v>
      </c>
      <c r="AB21" s="246">
        <f>ROUND(IF('Included @ Interval'!AB21="yes",'Hours Per Job'!AB21*'Interval Reimb'!$B$38+'Parts Cost Per Job'!AB21*((1+'Interval Reimb'!$B$39)*'Interval Reimb'!$B$40),0),2)</f>
        <v>0</v>
      </c>
      <c r="AC21" s="246">
        <f>ROUND(IF('Included @ Interval'!AC21="yes",'Hours Per Job'!AC21*'Interval Reimb'!$B$38+'Parts Cost Per Job'!AC21*((1+'Interval Reimb'!$B$39)*'Interval Reimb'!$B$40),0),2)</f>
        <v>0</v>
      </c>
      <c r="AD21" s="246">
        <f>ROUND(IF('Included @ Interval'!AD21="yes",'Hours Per Job'!AD21*'Interval Reimb'!$B$38+'Parts Cost Per Job'!AD21*((1+'Interval Reimb'!$B$39)*'Interval Reimb'!$B$40),0),2)</f>
        <v>0</v>
      </c>
      <c r="AE21" s="246">
        <f>ROUND(IF('Included @ Interval'!AE21="yes",'Hours Per Job'!AE21*'Interval Reimb'!$B$38+'Parts Cost Per Job'!AE21*((1+'Interval Reimb'!$B$39)*'Interval Reimb'!$B$40),0),2)</f>
        <v>0</v>
      </c>
      <c r="AF21" s="246">
        <f>ROUND(IF('Included @ Interval'!AF21="yes",'Hours Per Job'!AF21*'Interval Reimb'!$B$38+'Parts Cost Per Job'!AF21*((1+'Interval Reimb'!$B$39)*'Interval Reimb'!$B$40),0),2)</f>
        <v>0</v>
      </c>
      <c r="AG21" s="246">
        <f>ROUND(IF('Included @ Interval'!AG21="yes",'Hours Per Job'!AG21*'Interval Reimb'!$B$38+'Parts Cost Per Job'!AG21*((1+'Interval Reimb'!$B$39)*'Interval Reimb'!$B$40),0),2)</f>
        <v>146.08000000000001</v>
      </c>
      <c r="AH21" s="246">
        <f>ROUND(IF('Included @ Interval'!AH21="yes",'Hours Per Job'!AH21*'Interval Reimb'!$B$38+'Parts Cost Per Job'!AH21*((1+'Interval Reimb'!$B$39)*'Interval Reimb'!$B$40),0),2)</f>
        <v>95.45</v>
      </c>
      <c r="AI21" s="246">
        <f>ROUND(IF('Included @ Interval'!AI21="yes",'Hours Per Job'!AI21*'Interval Reimb'!$B$38+'Parts Cost Per Job'!AI21*((1+'Interval Reimb'!$B$39)*'Interval Reimb'!$B$40),0),2)</f>
        <v>0</v>
      </c>
      <c r="AJ21" s="246">
        <f>ROUND(IF('Included @ Interval'!AJ21="yes",'Hours Per Job'!AJ21*'Interval Reimb'!$B$38+'Parts Cost Per Job'!AJ21*((1+'Interval Reimb'!$B$39)*'Interval Reimb'!$B$40),0),2)</f>
        <v>0</v>
      </c>
      <c r="AK21" s="246">
        <f>ROUND(IF('Included @ Interval'!AK21="yes",'Hours Per Job'!AK21*'Interval Reimb'!$B$38+'Parts Cost Per Job'!AK21*((1+'Interval Reimb'!$B$39)*'Interval Reimb'!$B$40),0),2)</f>
        <v>0</v>
      </c>
      <c r="AL21" s="246">
        <f>ROUND(IF('Included @ Interval'!AL21="yes",'Hours Per Job'!AL21*'Interval Reimb'!$B$38+'Parts Cost Per Job'!AL21*((1+'Interval Reimb'!$B$39)*'Interval Reimb'!$B$40),0),2)</f>
        <v>156.16999999999999</v>
      </c>
      <c r="AM21" s="246">
        <f>ROUND(IF('Included @ Interval'!AM21="yes",'Hours Per Job'!AM21*'Interval Reimb'!$B$38+'Parts Cost Per Job'!AM21*((1+'Interval Reimb'!$B$39)*'Interval Reimb'!$B$40),0),2)</f>
        <v>0</v>
      </c>
      <c r="AN21" s="246">
        <f>ROUND(IF('Included @ Interval'!AN21="yes",'Hours Per Job'!AN21*'Interval Reimb'!$B$38+'Parts Cost Per Job'!AN21*((1+'Interval Reimb'!$B$39)*'Interval Reimb'!$B$40),0),2)</f>
        <v>0</v>
      </c>
      <c r="AO21" s="246">
        <f>ROUND(IF('Included @ Interval'!AO21="yes",'Hours Per Job'!AO21*'Interval Reimb'!$B$38+'Parts Cost Per Job'!AO21*((1+'Interval Reimb'!$B$39)*'Interval Reimb'!$B$40),0),2)</f>
        <v>0</v>
      </c>
      <c r="AP21" s="246">
        <f>ROUND(IF('Included @ Interval'!AP21="yes",'Hours Per Job'!AP21*'Interval Reimb'!$B$38+'Parts Cost Per Job'!AP21*((1+'Interval Reimb'!$B$39)*'Interval Reimb'!$B$40),0),2)</f>
        <v>84</v>
      </c>
      <c r="AQ21" s="246">
        <f>ROUND(IF('Included @ Interval'!AQ21="yes",'Hours Per Job'!AQ21*'Interval Reimb'!$B$38+'Parts Cost Per Job'!AQ21*((1+'Interval Reimb'!$B$39)*'Interval Reimb'!$B$40),0),2)</f>
        <v>24</v>
      </c>
      <c r="AR21" s="246">
        <f>ROUND(IF('Included @ Interval'!AR21="yes",'Hours Per Job'!AR21*'Interval Reimb'!$B$38+'Parts Cost Per Job'!AR21*((1+'Interval Reimb'!$B$39)*'Interval Reimb'!$B$40),0),2)</f>
        <v>0</v>
      </c>
      <c r="AS21" s="246">
        <f>ROUND(IF('Included @ Interval'!AS21="yes",'Hours Per Job'!AS21*'Interval Reimb'!$B$38+'Parts Cost Per Job'!AS21*((1+'Interval Reimb'!$B$39)*'Interval Reimb'!$B$40),0),2)</f>
        <v>0</v>
      </c>
      <c r="AT21" s="246">
        <f>ROUND(IF('Included @ Interval'!AT21="yes",'Hours Per Job'!AT21*'Interval Reimb'!$B$38+'Parts Cost Per Job'!AT21*((1+'Interval Reimb'!$B$39)*'Interval Reimb'!$B$40),0),2)</f>
        <v>71.069999999999993</v>
      </c>
      <c r="AU21" s="246">
        <f>ROUND(IF('Included @ Interval'!AU21="yes",'Hours Per Job'!AU21*'Interval Reimb'!$B$38+'Parts Cost Per Job'!AU21*((1+'Interval Reimb'!$B$39)*'Interval Reimb'!$B$40),0),2)</f>
        <v>0</v>
      </c>
      <c r="AV21" s="246">
        <f>ROUND(IF('Included @ Interval'!AV21="yes",'Hours Per Job'!AV21*'Interval Reimb'!$B$38+'Parts Cost Per Job'!AV21*((1+'Interval Reimb'!$B$39)*'Interval Reimb'!$B$40),0),2)</f>
        <v>0</v>
      </c>
      <c r="AW21" s="246">
        <f>ROUND(IF('Included @ Interval'!AW21="yes",'Hours Per Job'!AW21*'Interval Reimb'!$B$38+'Parts Cost Per Job'!AW21*((1+'Interval Reimb'!$B$39)*'Interval Reimb'!$B$40),0),2)</f>
        <v>0</v>
      </c>
      <c r="AX21" s="246">
        <f>ROUND(IF('Included @ Interval'!AX21="yes",'Hours Per Job'!AX21*'Interval Reimb'!$B$38+'Parts Cost Per Job'!AX21*((1+'Interval Reimb'!$B$39)*'Interval Reimb'!$B$40),0),2)</f>
        <v>0</v>
      </c>
      <c r="AY21" s="246">
        <f>ROUND(IF('Included @ Interval'!AY21="yes",'Hours Per Job'!AY21*'Interval Reimb'!$B$38+'Parts Cost Per Job'!AY21*((1+'Interval Reimb'!$B$39)*'Interval Reimb'!$B$40),0),2)</f>
        <v>0</v>
      </c>
      <c r="AZ21" s="246">
        <f>ROUND(IF('Included @ Interval'!AZ21="yes",'Hours Per Job'!AZ21*'Interval Reimb'!$B$38+'Parts Cost Per Job'!AZ21*((1+'Interval Reimb'!$B$39)*'Interval Reimb'!$B$40),0),2)</f>
        <v>0</v>
      </c>
      <c r="BA21" s="246">
        <f>ROUND(IF('Included @ Interval'!BA21="yes",'Hours Per Job'!BA21*'Interval Reimb'!$B$38+'Parts Cost Per Job'!BA21*((1+'Interval Reimb'!$B$39)*'Interval Reimb'!$B$40),0),2)</f>
        <v>0</v>
      </c>
      <c r="BB21" s="246">
        <f>ROUND(IF('Included @ Interval'!BB21="yes",'Hours Per Job'!BB21*'Interval Reimb'!$B$38+'Parts Cost Per Job'!BB21*((1+'Interval Reimb'!$B$39)*'Interval Reimb'!$B$40),0),2)</f>
        <v>105.42</v>
      </c>
      <c r="BC21" s="246">
        <f>ROUND(IF('Included @ Interval'!BC21="yes",'Hours Per Job'!BC21*'Interval Reimb'!$B$38+'Parts Cost Per Job'!BC21*((1+'Interval Reimb'!$B$39)*'Interval Reimb'!$B$40),0),2)</f>
        <v>0</v>
      </c>
      <c r="BD21" s="246">
        <f>ROUND(IF('Included @ Interval'!BD21="yes",'Hours Per Job'!BD21*'Interval Reimb'!$B$38+'Parts Cost Per Job'!BD21*((1+'Interval Reimb'!$B$39)*'Interval Reimb'!$B$40),0),2)</f>
        <v>0</v>
      </c>
      <c r="BE21" s="246">
        <f>ROUND(IF('Included @ Interval'!BE21="yes",'Hours Per Job'!BE21*'Interval Reimb'!$B$38+'Parts Cost Per Job'!BE21*((1+'Interval Reimb'!$B$39)*'Interval Reimb'!$B$40),0),2)</f>
        <v>0</v>
      </c>
      <c r="BF21" s="246">
        <f>ROUND(IF('Included @ Interval'!BF21="yes",'Hours Per Job'!BF21*'Interval Reimb'!$B$38+'Parts Cost Per Job'!BF21*((1+'Interval Reimb'!$B$39)*'Interval Reimb'!$B$40),0),2)</f>
        <v>0</v>
      </c>
      <c r="BG21" s="246">
        <f>ROUND(IF('Included @ Interval'!BG21="yes",'Hours Per Job'!BG21*'Interval Reimb'!$B$38+'Parts Cost Per Job'!BG21*((1+'Interval Reimb'!$B$39)*'Interval Reimb'!$B$40),0),2)</f>
        <v>0</v>
      </c>
      <c r="BH21" s="246">
        <f>ROUND(IF('Included @ Interval'!BH21="yes",'Hours Per Job'!BH21*'Interval Reimb'!$B$38+'Parts Cost Per Job'!BH21*((1+'Interval Reimb'!$B$39)*'Interval Reimb'!$B$40),0),2)</f>
        <v>0</v>
      </c>
      <c r="BI21" s="246">
        <f>ROUND(IF('Included @ Interval'!BI21="yes",'Hours Per Job'!BI21*'Interval Reimb'!$B$38+'Parts Cost Per Job'!BI21*((1+'Interval Reimb'!$B$39)*'Interval Reimb'!$B$40),0),2)</f>
        <v>0</v>
      </c>
      <c r="BJ21" s="246">
        <f>ROUND(IF('Included @ Interval'!BJ21="yes",'Hours Per Job'!BJ21*'Interval Reimb'!$B$38+'Parts Cost Per Job'!BJ21*((1+'Interval Reimb'!$B$39)*'Interval Reimb'!$B$40),0),2)</f>
        <v>30</v>
      </c>
      <c r="BK21" s="246">
        <f>ROUND(IF('Included @ Interval'!BK21="yes",'Hours Per Job'!BK21*'Interval Reimb'!$B$38+'Parts Cost Per Job'!BK21*((1+'Interval Reimb'!$B$39)*'Interval Reimb'!$B$40),0),2)</f>
        <v>0</v>
      </c>
      <c r="BL21" s="246">
        <f>ROUND(IF('Included @ Interval'!BL21="yes",'Hours Per Job'!BL21*'Interval Reimb'!$B$38+'Parts Cost Per Job'!BL21*((1+'Interval Reimb'!$B$39)*'Interval Reimb'!$B$40),0),2)</f>
        <v>0</v>
      </c>
      <c r="BM21" s="246">
        <f>ROUND(IF('Included @ Interval'!BM21="yes",'Hours Per Job'!BM21*'Interval Reimb'!$B$38+'Parts Cost Per Job'!BM21*((1+'Interval Reimb'!$B$39)*'Interval Reimb'!$B$40),0),2)</f>
        <v>0</v>
      </c>
      <c r="BN21" s="246">
        <f>ROUND(IF('Included @ Interval'!BN21="yes",'Hours Per Job'!BN21*'Interval Reimb'!$B$38+'Parts Cost Per Job'!BN21*((1+'Interval Reimb'!$B$39)*'Interval Reimb'!$B$40),0),2)</f>
        <v>0</v>
      </c>
      <c r="BO21" s="246">
        <f>ROUND(IF('Included @ Interval'!BO21="yes",'Hours Per Job'!BO21*'Interval Reimb'!$B$38+'Parts Cost Per Job'!BO21*((1+'Interval Reimb'!$B$39)*'Interval Reimb'!$B$40),0),2)</f>
        <v>0</v>
      </c>
      <c r="BP21" s="246">
        <f>ROUND(IF('Included @ Interval'!BP21="yes",'Hours Per Job'!BP21*'Interval Reimb'!$B$38+'Parts Cost Per Job'!BP21*((1+'Interval Reimb'!$B$39)*'Interval Reimb'!$B$40),0),2)</f>
        <v>0</v>
      </c>
      <c r="BQ21" s="9">
        <f t="shared" si="0"/>
        <v>992.1</v>
      </c>
      <c r="BR21" s="9">
        <f t="shared" si="1"/>
        <v>4.8499999999999996</v>
      </c>
    </row>
    <row r="22" spans="1:70" x14ac:dyDescent="0.2">
      <c r="A22" s="18" t="str">
        <f>+'Scheduled Intervals'!A22</f>
        <v>Takeuchi 228-235-250</v>
      </c>
      <c r="B22" s="246">
        <f>ROUND(IF('Included @ Interval'!B22="yes",'Hours Per Job'!B22*'Interval Reimb'!$B$38+'Parts Cost Per Job'!B22*((1+'Interval Reimb'!$B$39)*'Interval Reimb'!$B$40),0),2)</f>
        <v>0</v>
      </c>
      <c r="C22" s="246">
        <f>ROUND(IF('Included @ Interval'!C22="yes",'Hours Per Job'!C22*'Interval Reimb'!$B$38+'Parts Cost Per Job'!C22*((1+'Interval Reimb'!$B$39)*'Interval Reimb'!$B$40),0),2)</f>
        <v>0</v>
      </c>
      <c r="D22" s="246">
        <f>ROUND(IF('Included @ Interval'!D22="yes",'Hours Per Job'!D22*'Interval Reimb'!$B$38+'Parts Cost Per Job'!D22*((1+'Interval Reimb'!$B$39)*'Interval Reimb'!$B$40),0),2)</f>
        <v>0</v>
      </c>
      <c r="E22" s="246">
        <f>ROUND(IF('Included @ Interval'!E22="yes",'Hours Per Job'!E22*'Interval Reimb'!$B$38+'Parts Cost Per Job'!E22*((1+'Interval Reimb'!$B$39)*'Interval Reimb'!$B$40),0),2)</f>
        <v>0</v>
      </c>
      <c r="F22" s="246">
        <f>ROUND(IF('Included @ Interval'!F22="yes",'Hours Per Job'!F22*'Interval Reimb'!$B$38+'Parts Cost Per Job'!F22*((1+'Interval Reimb'!$B$39)*'Interval Reimb'!$B$40),0),2)</f>
        <v>0</v>
      </c>
      <c r="G22" s="246">
        <f>ROUND(IF('Included @ Interval'!G22="yes",'Hours Per Job'!G22*'Interval Reimb'!$B$38+'Parts Cost Per Job'!G22*((1+'Interval Reimb'!$B$39)*'Interval Reimb'!$B$40),0),2)</f>
        <v>0</v>
      </c>
      <c r="H22" s="246">
        <f>ROUND(IF('Included @ Interval'!H22="yes",'Hours Per Job'!H22*'Interval Reimb'!$B$38+'Parts Cost Per Job'!H22*((1+'Interval Reimb'!$B$39)*'Interval Reimb'!$B$40),0),2)</f>
        <v>0</v>
      </c>
      <c r="I22" s="246">
        <f>ROUND(IF('Included @ Interval'!I22="yes",'Hours Per Job'!I22*'Interval Reimb'!$B$38+'Parts Cost Per Job'!I22*((1+'Interval Reimb'!$B$39)*'Interval Reimb'!$B$40),0),2)</f>
        <v>0</v>
      </c>
      <c r="J22" s="246">
        <f>ROUND(IF('Included @ Interval'!J22="yes",'Hours Per Job'!J22*'Interval Reimb'!$B$38+'Parts Cost Per Job'!J22*((1+'Interval Reimb'!$B$39)*'Interval Reimb'!$B$40),0),2)</f>
        <v>0</v>
      </c>
      <c r="K22" s="246">
        <f>ROUND(IF('Included @ Interval'!K22="yes",'Hours Per Job'!K22*'Interval Reimb'!$B$38+'Parts Cost Per Job'!K22*((1+'Interval Reimb'!$B$39)*'Interval Reimb'!$B$40),0),2)</f>
        <v>0</v>
      </c>
      <c r="L22" s="246">
        <f>ROUND(IF('Included @ Interval'!L22="yes",'Hours Per Job'!L22*'Interval Reimb'!$B$38+'Parts Cost Per Job'!L22*((1+'Interval Reimb'!$B$39)*'Interval Reimb'!$B$40),0),2)</f>
        <v>0</v>
      </c>
      <c r="M22" s="246">
        <f>ROUND(IF('Included @ Interval'!M22="yes",'Hours Per Job'!M22*'Interval Reimb'!$B$38+'Parts Cost Per Job'!M22*((1+'Interval Reimb'!$B$39)*'Interval Reimb'!$B$40),0),2)</f>
        <v>0</v>
      </c>
      <c r="N22" s="246">
        <f>ROUND(IF('Included @ Interval'!N22="yes",'Hours Per Job'!N22*'Interval Reimb'!$B$38+'Parts Cost Per Job'!N22*((1+'Interval Reimb'!$B$39)*'Interval Reimb'!$B$40),0),2)</f>
        <v>0</v>
      </c>
      <c r="O22" s="246">
        <f>ROUND(IF('Included @ Interval'!O22="yes",'Hours Per Job'!O22*'Interval Reimb'!$B$38+'Parts Cost Per Job'!O22*((1+'Interval Reimb'!$B$39)*'Interval Reimb'!$B$40),0),2)</f>
        <v>0</v>
      </c>
      <c r="P22" s="246">
        <f>ROUND(IF('Included @ Interval'!P22="yes",'Hours Per Job'!P22*'Interval Reimb'!$B$38+'Parts Cost Per Job'!P22*((1+'Interval Reimb'!$B$39)*'Interval Reimb'!$B$40),0),2)</f>
        <v>0</v>
      </c>
      <c r="Q22" s="246">
        <f>ROUND(IF('Included @ Interval'!Q22="yes",'Hours Per Job'!Q22*'Interval Reimb'!$B$38+'Parts Cost Per Job'!Q22*((1+'Interval Reimb'!$B$39)*'Interval Reimb'!$B$40),0),2)</f>
        <v>0</v>
      </c>
      <c r="R22" s="246">
        <f>ROUND(IF('Included @ Interval'!R22="yes",'Hours Per Job'!R22*'Interval Reimb'!$B$38+'Parts Cost Per Job'!R22*((1+'Interval Reimb'!$B$39)*'Interval Reimb'!$B$40),0),2)</f>
        <v>0</v>
      </c>
      <c r="S22" s="246">
        <f>ROUND(IF('Included @ Interval'!S22="yes",'Hours Per Job'!S22*'Interval Reimb'!$B$38+'Parts Cost Per Job'!S22*((1+'Interval Reimb'!$B$39)*'Interval Reimb'!$B$40),0),2)</f>
        <v>0</v>
      </c>
      <c r="T22" s="246">
        <f>ROUND(IF('Included @ Interval'!T22="yes",'Hours Per Job'!T22*'Interval Reimb'!$B$38+'Parts Cost Per Job'!T22*((1+'Interval Reimb'!$B$39)*'Interval Reimb'!$B$40),0),2)</f>
        <v>0</v>
      </c>
      <c r="U22" s="246">
        <f>ROUND(IF('Included @ Interval'!U22="yes",'Hours Per Job'!U22*'Interval Reimb'!$B$38+'Parts Cost Per Job'!U22*((1+'Interval Reimb'!$B$39)*'Interval Reimb'!$B$40),0),2)</f>
        <v>143.56</v>
      </c>
      <c r="V22" s="246">
        <f>ROUND(IF('Included @ Interval'!V22="yes",'Hours Per Job'!V22*'Interval Reimb'!$B$38+'Parts Cost Per Job'!V22*((1+'Interval Reimb'!$B$39)*'Interval Reimb'!$B$40),0),2)</f>
        <v>0</v>
      </c>
      <c r="W22" s="246">
        <f>ROUND(IF('Included @ Interval'!W22="yes",'Hours Per Job'!W22*'Interval Reimb'!$B$38+'Parts Cost Per Job'!W22*((1+'Interval Reimb'!$B$39)*'Interval Reimb'!$B$40),0),2)</f>
        <v>0</v>
      </c>
      <c r="X22" s="246">
        <f>ROUND(IF('Included @ Interval'!X22="yes",'Hours Per Job'!X22*'Interval Reimb'!$B$38+'Parts Cost Per Job'!X22*((1+'Interval Reimb'!$B$39)*'Interval Reimb'!$B$40),0),2)</f>
        <v>48.5</v>
      </c>
      <c r="Y22" s="246">
        <f>ROUND(IF('Included @ Interval'!Y22="yes",'Hours Per Job'!Y22*'Interval Reimb'!$B$38+'Parts Cost Per Job'!Y22*((1+'Interval Reimb'!$B$39)*'Interval Reimb'!$B$40),0),2)</f>
        <v>0</v>
      </c>
      <c r="Z22" s="246">
        <f>ROUND(IF('Included @ Interval'!Z22="yes",'Hours Per Job'!Z22*'Interval Reimb'!$B$38+'Parts Cost Per Job'!Z22*((1+'Interval Reimb'!$B$39)*'Interval Reimb'!$B$40),0),2)</f>
        <v>87.59</v>
      </c>
      <c r="AA22" s="246">
        <f>ROUND(IF('Included @ Interval'!AA22="yes",'Hours Per Job'!AA22*'Interval Reimb'!$B$38+'Parts Cost Per Job'!AA22*((1+'Interval Reimb'!$B$39)*'Interval Reimb'!$B$40),0),2)</f>
        <v>0</v>
      </c>
      <c r="AB22" s="246">
        <f>ROUND(IF('Included @ Interval'!AB22="yes",'Hours Per Job'!AB22*'Interval Reimb'!$B$38+'Parts Cost Per Job'!AB22*((1+'Interval Reimb'!$B$39)*'Interval Reimb'!$B$40),0),2)</f>
        <v>0</v>
      </c>
      <c r="AC22" s="246">
        <f>ROUND(IF('Included @ Interval'!AC22="yes",'Hours Per Job'!AC22*'Interval Reimb'!$B$38+'Parts Cost Per Job'!AC22*((1+'Interval Reimb'!$B$39)*'Interval Reimb'!$B$40),0),2)</f>
        <v>0</v>
      </c>
      <c r="AD22" s="246">
        <f>ROUND(IF('Included @ Interval'!AD22="yes",'Hours Per Job'!AD22*'Interval Reimb'!$B$38+'Parts Cost Per Job'!AD22*((1+'Interval Reimb'!$B$39)*'Interval Reimb'!$B$40),0),2)</f>
        <v>0</v>
      </c>
      <c r="AE22" s="246">
        <f>ROUND(IF('Included @ Interval'!AE22="yes",'Hours Per Job'!AE22*'Interval Reimb'!$B$38+'Parts Cost Per Job'!AE22*((1+'Interval Reimb'!$B$39)*'Interval Reimb'!$B$40),0),2)</f>
        <v>0</v>
      </c>
      <c r="AF22" s="246">
        <f>ROUND(IF('Included @ Interval'!AF22="yes",'Hours Per Job'!AF22*'Interval Reimb'!$B$38+'Parts Cost Per Job'!AF22*((1+'Interval Reimb'!$B$39)*'Interval Reimb'!$B$40),0),2)</f>
        <v>0</v>
      </c>
      <c r="AG22" s="246">
        <f>ROUND(IF('Included @ Interval'!AG22="yes",'Hours Per Job'!AG22*'Interval Reimb'!$B$38+'Parts Cost Per Job'!AG22*((1+'Interval Reimb'!$B$39)*'Interval Reimb'!$B$40),0),2)</f>
        <v>0</v>
      </c>
      <c r="AH22" s="246">
        <f>ROUND(IF('Included @ Interval'!AH22="yes",'Hours Per Job'!AH22*'Interval Reimb'!$B$38+'Parts Cost Per Job'!AH22*((1+'Interval Reimb'!$B$39)*'Interval Reimb'!$B$40),0),2)</f>
        <v>0</v>
      </c>
      <c r="AI22" s="246">
        <f>ROUND(IF('Included @ Interval'!AI22="yes",'Hours Per Job'!AI22*'Interval Reimb'!$B$38+'Parts Cost Per Job'!AI22*((1+'Interval Reimb'!$B$39)*'Interval Reimb'!$B$40),0),2)</f>
        <v>0</v>
      </c>
      <c r="AJ22" s="246">
        <f>ROUND(IF('Included @ Interval'!AJ22="yes",'Hours Per Job'!AJ22*'Interval Reimb'!$B$38+'Parts Cost Per Job'!AJ22*((1+'Interval Reimb'!$B$39)*'Interval Reimb'!$B$40),0),2)</f>
        <v>0</v>
      </c>
      <c r="AK22" s="246">
        <f>ROUND(IF('Included @ Interval'!AK22="yes",'Hours Per Job'!AK22*'Interval Reimb'!$B$38+'Parts Cost Per Job'!AK22*((1+'Interval Reimb'!$B$39)*'Interval Reimb'!$B$40),0),2)</f>
        <v>0</v>
      </c>
      <c r="AL22" s="246">
        <f>ROUND(IF('Included @ Interval'!AL22="yes",'Hours Per Job'!AL22*'Interval Reimb'!$B$38+'Parts Cost Per Job'!AL22*((1+'Interval Reimb'!$B$39)*'Interval Reimb'!$B$40),0),2)</f>
        <v>0</v>
      </c>
      <c r="AM22" s="246">
        <f>ROUND(IF('Included @ Interval'!AM22="yes",'Hours Per Job'!AM22*'Interval Reimb'!$B$38+'Parts Cost Per Job'!AM22*((1+'Interval Reimb'!$B$39)*'Interval Reimb'!$B$40),0),2)</f>
        <v>0</v>
      </c>
      <c r="AN22" s="246">
        <f>ROUND(IF('Included @ Interval'!AN22="yes",'Hours Per Job'!AN22*'Interval Reimb'!$B$38+'Parts Cost Per Job'!AN22*((1+'Interval Reimb'!$B$39)*'Interval Reimb'!$B$40),0),2)</f>
        <v>0</v>
      </c>
      <c r="AO22" s="246">
        <f>ROUND(IF('Included @ Interval'!AO22="yes",'Hours Per Job'!AO22*'Interval Reimb'!$B$38+'Parts Cost Per Job'!AO22*((1+'Interval Reimb'!$B$39)*'Interval Reimb'!$B$40),0),2)</f>
        <v>0</v>
      </c>
      <c r="AP22" s="246">
        <f>ROUND(IF('Included @ Interval'!AP22="yes",'Hours Per Job'!AP22*'Interval Reimb'!$B$38+'Parts Cost Per Job'!AP22*((1+'Interval Reimb'!$B$39)*'Interval Reimb'!$B$40),0),2)</f>
        <v>84</v>
      </c>
      <c r="AQ22" s="246">
        <f>ROUND(IF('Included @ Interval'!AQ22="yes",'Hours Per Job'!AQ22*'Interval Reimb'!$B$38+'Parts Cost Per Job'!AQ22*((1+'Interval Reimb'!$B$39)*'Interval Reimb'!$B$40),0),2)</f>
        <v>0</v>
      </c>
      <c r="AR22" s="246">
        <f>ROUND(IF('Included @ Interval'!AR22="yes",'Hours Per Job'!AR22*'Interval Reimb'!$B$38+'Parts Cost Per Job'!AR22*((1+'Interval Reimb'!$B$39)*'Interval Reimb'!$B$40),0),2)</f>
        <v>0</v>
      </c>
      <c r="AS22" s="246">
        <f>ROUND(IF('Included @ Interval'!AS22="yes",'Hours Per Job'!AS22*'Interval Reimb'!$B$38+'Parts Cost Per Job'!AS22*((1+'Interval Reimb'!$B$39)*'Interval Reimb'!$B$40),0),2)</f>
        <v>0</v>
      </c>
      <c r="AT22" s="246">
        <f>ROUND(IF('Included @ Interval'!AT22="yes",'Hours Per Job'!AT22*'Interval Reimb'!$B$38+'Parts Cost Per Job'!AT22*((1+'Interval Reimb'!$B$39)*'Interval Reimb'!$B$40),0),2)</f>
        <v>71.069999999999993</v>
      </c>
      <c r="AU22" s="246">
        <f>ROUND(IF('Included @ Interval'!AU22="yes",'Hours Per Job'!AU22*'Interval Reimb'!$B$38+'Parts Cost Per Job'!AU22*((1+'Interval Reimb'!$B$39)*'Interval Reimb'!$B$40),0),2)</f>
        <v>0</v>
      </c>
      <c r="AV22" s="246">
        <f>ROUND(IF('Included @ Interval'!AV22="yes",'Hours Per Job'!AV22*'Interval Reimb'!$B$38+'Parts Cost Per Job'!AV22*((1+'Interval Reimb'!$B$39)*'Interval Reimb'!$B$40),0),2)</f>
        <v>0</v>
      </c>
      <c r="AW22" s="246">
        <f>ROUND(IF('Included @ Interval'!AW22="yes",'Hours Per Job'!AW22*'Interval Reimb'!$B$38+'Parts Cost Per Job'!AW22*((1+'Interval Reimb'!$B$39)*'Interval Reimb'!$B$40),0),2)</f>
        <v>0</v>
      </c>
      <c r="AX22" s="246">
        <f>ROUND(IF('Included @ Interval'!AX22="yes",'Hours Per Job'!AX22*'Interval Reimb'!$B$38+'Parts Cost Per Job'!AX22*((1+'Interval Reimb'!$B$39)*'Interval Reimb'!$B$40),0),2)</f>
        <v>0</v>
      </c>
      <c r="AY22" s="246">
        <f>ROUND(IF('Included @ Interval'!AY22="yes",'Hours Per Job'!AY22*'Interval Reimb'!$B$38+'Parts Cost Per Job'!AY22*((1+'Interval Reimb'!$B$39)*'Interval Reimb'!$B$40),0),2)</f>
        <v>0</v>
      </c>
      <c r="AZ22" s="246">
        <f>ROUND(IF('Included @ Interval'!AZ22="yes",'Hours Per Job'!AZ22*'Interval Reimb'!$B$38+'Parts Cost Per Job'!AZ22*((1+'Interval Reimb'!$B$39)*'Interval Reimb'!$B$40),0),2)</f>
        <v>0</v>
      </c>
      <c r="BA22" s="246">
        <f>ROUND(IF('Included @ Interval'!BA22="yes",'Hours Per Job'!BA22*'Interval Reimb'!$B$38+'Parts Cost Per Job'!BA22*((1+'Interval Reimb'!$B$39)*'Interval Reimb'!$B$40),0),2)</f>
        <v>0</v>
      </c>
      <c r="BB22" s="246">
        <f>ROUND(IF('Included @ Interval'!BB22="yes",'Hours Per Job'!BB22*'Interval Reimb'!$B$38+'Parts Cost Per Job'!BB22*((1+'Interval Reimb'!$B$39)*'Interval Reimb'!$B$40),0),2)</f>
        <v>0</v>
      </c>
      <c r="BC22" s="246">
        <f>ROUND(IF('Included @ Interval'!BC22="yes",'Hours Per Job'!BC22*'Interval Reimb'!$B$38+'Parts Cost Per Job'!BC22*((1+'Interval Reimb'!$B$39)*'Interval Reimb'!$B$40),0),2)</f>
        <v>0</v>
      </c>
      <c r="BD22" s="246">
        <f>ROUND(IF('Included @ Interval'!BD22="yes",'Hours Per Job'!BD22*'Interval Reimb'!$B$38+'Parts Cost Per Job'!BD22*((1+'Interval Reimb'!$B$39)*'Interval Reimb'!$B$40),0),2)</f>
        <v>0</v>
      </c>
      <c r="BE22" s="246">
        <f>ROUND(IF('Included @ Interval'!BE22="yes",'Hours Per Job'!BE22*'Interval Reimb'!$B$38+'Parts Cost Per Job'!BE22*((1+'Interval Reimb'!$B$39)*'Interval Reimb'!$B$40),0),2)</f>
        <v>0</v>
      </c>
      <c r="BF22" s="246">
        <f>ROUND(IF('Included @ Interval'!BF22="yes",'Hours Per Job'!BF22*'Interval Reimb'!$B$38+'Parts Cost Per Job'!BF22*((1+'Interval Reimb'!$B$39)*'Interval Reimb'!$B$40),0),2)</f>
        <v>0</v>
      </c>
      <c r="BG22" s="246">
        <f>ROUND(IF('Included @ Interval'!BG22="yes",'Hours Per Job'!BG22*'Interval Reimb'!$B$38+'Parts Cost Per Job'!BG22*((1+'Interval Reimb'!$B$39)*'Interval Reimb'!$B$40),0),2)</f>
        <v>0</v>
      </c>
      <c r="BH22" s="246">
        <f>ROUND(IF('Included @ Interval'!BH22="yes",'Hours Per Job'!BH22*'Interval Reimb'!$B$38+'Parts Cost Per Job'!BH22*((1+'Interval Reimb'!$B$39)*'Interval Reimb'!$B$40),0),2)</f>
        <v>0</v>
      </c>
      <c r="BI22" s="246">
        <f>ROUND(IF('Included @ Interval'!BI22="yes",'Hours Per Job'!BI22*'Interval Reimb'!$B$38+'Parts Cost Per Job'!BI22*((1+'Interval Reimb'!$B$39)*'Interval Reimb'!$B$40),0),2)</f>
        <v>0</v>
      </c>
      <c r="BJ22" s="246">
        <f>ROUND(IF('Included @ Interval'!BJ22="yes",'Hours Per Job'!BJ22*'Interval Reimb'!$B$38+'Parts Cost Per Job'!BJ22*((1+'Interval Reimb'!$B$39)*'Interval Reimb'!$B$40),0),2)</f>
        <v>30</v>
      </c>
      <c r="BK22" s="246">
        <f>ROUND(IF('Included @ Interval'!BK22="yes",'Hours Per Job'!BK22*'Interval Reimb'!$B$38+'Parts Cost Per Job'!BK22*((1+'Interval Reimb'!$B$39)*'Interval Reimb'!$B$40),0),2)</f>
        <v>0</v>
      </c>
      <c r="BL22" s="246">
        <f>ROUND(IF('Included @ Interval'!BL22="yes",'Hours Per Job'!BL22*'Interval Reimb'!$B$38+'Parts Cost Per Job'!BL22*((1+'Interval Reimb'!$B$39)*'Interval Reimb'!$B$40),0),2)</f>
        <v>0</v>
      </c>
      <c r="BM22" s="246">
        <f>ROUND(IF('Included @ Interval'!BM22="yes",'Hours Per Job'!BM22*'Interval Reimb'!$B$38+'Parts Cost Per Job'!BM22*((1+'Interval Reimb'!$B$39)*'Interval Reimb'!$B$40),0),2)</f>
        <v>0</v>
      </c>
      <c r="BN22" s="246">
        <f>ROUND(IF('Included @ Interval'!BN22="yes",'Hours Per Job'!BN22*'Interval Reimb'!$B$38+'Parts Cost Per Job'!BN22*((1+'Interval Reimb'!$B$39)*'Interval Reimb'!$B$40),0),2)</f>
        <v>0</v>
      </c>
      <c r="BO22" s="246">
        <f>ROUND(IF('Included @ Interval'!BO22="yes",'Hours Per Job'!BO22*'Interval Reimb'!$B$38+'Parts Cost Per Job'!BO22*((1+'Interval Reimb'!$B$39)*'Interval Reimb'!$B$40),0),2)</f>
        <v>0</v>
      </c>
      <c r="BP22" s="246">
        <f>ROUND(IF('Included @ Interval'!BP22="yes",'Hours Per Job'!BP22*'Interval Reimb'!$B$38+'Parts Cost Per Job'!BP22*((1+'Interval Reimb'!$B$39)*'Interval Reimb'!$B$40),0),2)</f>
        <v>0</v>
      </c>
      <c r="BQ22" s="9">
        <f t="shared" si="0"/>
        <v>464.71999999999997</v>
      </c>
      <c r="BR22" s="9">
        <f t="shared" si="1"/>
        <v>2.65</v>
      </c>
    </row>
    <row r="23" spans="1:70" x14ac:dyDescent="0.2">
      <c r="A23" s="18" t="str">
        <f>+'Scheduled Intervals'!A23</f>
        <v>Takeuchi 260</v>
      </c>
      <c r="B23" s="246">
        <f>ROUND(IF('Included @ Interval'!B23="yes",'Hours Per Job'!B23*'Interval Reimb'!$B$38+'Parts Cost Per Job'!B23*((1+'Interval Reimb'!$B$39)*'Interval Reimb'!$B$40),0),2)</f>
        <v>0</v>
      </c>
      <c r="C23" s="246">
        <f>ROUND(IF('Included @ Interval'!C23="yes",'Hours Per Job'!C23*'Interval Reimb'!$B$38+'Parts Cost Per Job'!C23*((1+'Interval Reimb'!$B$39)*'Interval Reimb'!$B$40),0),2)</f>
        <v>0</v>
      </c>
      <c r="D23" s="246">
        <f>ROUND(IF('Included @ Interval'!D23="yes",'Hours Per Job'!D23*'Interval Reimb'!$B$38+'Parts Cost Per Job'!D23*((1+'Interval Reimb'!$B$39)*'Interval Reimb'!$B$40),0),2)</f>
        <v>0</v>
      </c>
      <c r="E23" s="246">
        <f>ROUND(IF('Included @ Interval'!E23="yes",'Hours Per Job'!E23*'Interval Reimb'!$B$38+'Parts Cost Per Job'!E23*((1+'Interval Reimb'!$B$39)*'Interval Reimb'!$B$40),0),2)</f>
        <v>0</v>
      </c>
      <c r="F23" s="246">
        <f>ROUND(IF('Included @ Interval'!F23="yes",'Hours Per Job'!F23*'Interval Reimb'!$B$38+'Parts Cost Per Job'!F23*((1+'Interval Reimb'!$B$39)*'Interval Reimb'!$B$40),0),2)</f>
        <v>0</v>
      </c>
      <c r="G23" s="246">
        <f>ROUND(IF('Included @ Interval'!G23="yes",'Hours Per Job'!G23*'Interval Reimb'!$B$38+'Parts Cost Per Job'!G23*((1+'Interval Reimb'!$B$39)*'Interval Reimb'!$B$40),0),2)</f>
        <v>0</v>
      </c>
      <c r="H23" s="246">
        <f>ROUND(IF('Included @ Interval'!H23="yes",'Hours Per Job'!H23*'Interval Reimb'!$B$38+'Parts Cost Per Job'!H23*((1+'Interval Reimb'!$B$39)*'Interval Reimb'!$B$40),0),2)</f>
        <v>0</v>
      </c>
      <c r="I23" s="246">
        <f>ROUND(IF('Included @ Interval'!I23="yes",'Hours Per Job'!I23*'Interval Reimb'!$B$38+'Parts Cost Per Job'!I23*((1+'Interval Reimb'!$B$39)*'Interval Reimb'!$B$40),0),2)</f>
        <v>0</v>
      </c>
      <c r="J23" s="246">
        <f>ROUND(IF('Included @ Interval'!J23="yes",'Hours Per Job'!J23*'Interval Reimb'!$B$38+'Parts Cost Per Job'!J23*((1+'Interval Reimb'!$B$39)*'Interval Reimb'!$B$40),0),2)</f>
        <v>0</v>
      </c>
      <c r="K23" s="246">
        <f>ROUND(IF('Included @ Interval'!K23="yes",'Hours Per Job'!K23*'Interval Reimb'!$B$38+'Parts Cost Per Job'!K23*((1+'Interval Reimb'!$B$39)*'Interval Reimb'!$B$40),0),2)</f>
        <v>0</v>
      </c>
      <c r="L23" s="246">
        <f>ROUND(IF('Included @ Interval'!L23="yes",'Hours Per Job'!L23*'Interval Reimb'!$B$38+'Parts Cost Per Job'!L23*((1+'Interval Reimb'!$B$39)*'Interval Reimb'!$B$40),0),2)</f>
        <v>0</v>
      </c>
      <c r="M23" s="246">
        <f>ROUND(IF('Included @ Interval'!M23="yes",'Hours Per Job'!M23*'Interval Reimb'!$B$38+'Parts Cost Per Job'!M23*((1+'Interval Reimb'!$B$39)*'Interval Reimb'!$B$40),0),2)</f>
        <v>0</v>
      </c>
      <c r="N23" s="246">
        <f>ROUND(IF('Included @ Interval'!N23="yes",'Hours Per Job'!N23*'Interval Reimb'!$B$38+'Parts Cost Per Job'!N23*((1+'Interval Reimb'!$B$39)*'Interval Reimb'!$B$40),0),2)</f>
        <v>0</v>
      </c>
      <c r="O23" s="246">
        <f>ROUND(IF('Included @ Interval'!O23="yes",'Hours Per Job'!O23*'Interval Reimb'!$B$38+'Parts Cost Per Job'!O23*((1+'Interval Reimb'!$B$39)*'Interval Reimb'!$B$40),0),2)</f>
        <v>0</v>
      </c>
      <c r="P23" s="246">
        <f>ROUND(IF('Included @ Interval'!P23="yes",'Hours Per Job'!P23*'Interval Reimb'!$B$38+'Parts Cost Per Job'!P23*((1+'Interval Reimb'!$B$39)*'Interval Reimb'!$B$40),0),2)</f>
        <v>0</v>
      </c>
      <c r="Q23" s="246">
        <f>ROUND(IF('Included @ Interval'!Q23="yes",'Hours Per Job'!Q23*'Interval Reimb'!$B$38+'Parts Cost Per Job'!Q23*((1+'Interval Reimb'!$B$39)*'Interval Reimb'!$B$40),0),2)</f>
        <v>0</v>
      </c>
      <c r="R23" s="246">
        <f>ROUND(IF('Included @ Interval'!R23="yes",'Hours Per Job'!R23*'Interval Reimb'!$B$38+'Parts Cost Per Job'!R23*((1+'Interval Reimb'!$B$39)*'Interval Reimb'!$B$40),0),2)</f>
        <v>0</v>
      </c>
      <c r="S23" s="246">
        <f>ROUND(IF('Included @ Interval'!S23="yes",'Hours Per Job'!S23*'Interval Reimb'!$B$38+'Parts Cost Per Job'!S23*((1+'Interval Reimb'!$B$39)*'Interval Reimb'!$B$40),0),2)</f>
        <v>0</v>
      </c>
      <c r="T23" s="246">
        <f>ROUND(IF('Included @ Interval'!T23="yes",'Hours Per Job'!T23*'Interval Reimb'!$B$38+'Parts Cost Per Job'!T23*((1+'Interval Reimb'!$B$39)*'Interval Reimb'!$B$40),0),2)</f>
        <v>0</v>
      </c>
      <c r="U23" s="246">
        <f>ROUND(IF('Included @ Interval'!U23="yes",'Hours Per Job'!U23*'Interval Reimb'!$B$38+'Parts Cost Per Job'!U23*((1+'Interval Reimb'!$B$39)*'Interval Reimb'!$B$40),0),2)</f>
        <v>142.87</v>
      </c>
      <c r="V23" s="246">
        <f>ROUND(IF('Included @ Interval'!V23="yes",'Hours Per Job'!V23*'Interval Reimb'!$B$38+'Parts Cost Per Job'!V23*((1+'Interval Reimb'!$B$39)*'Interval Reimb'!$B$40),0),2)</f>
        <v>0</v>
      </c>
      <c r="W23" s="246">
        <f>ROUND(IF('Included @ Interval'!W23="yes",'Hours Per Job'!W23*'Interval Reimb'!$B$38+'Parts Cost Per Job'!W23*((1+'Interval Reimb'!$B$39)*'Interval Reimb'!$B$40),0),2)</f>
        <v>0</v>
      </c>
      <c r="X23" s="246">
        <f>ROUND(IF('Included @ Interval'!X23="yes",'Hours Per Job'!X23*'Interval Reimb'!$B$38+'Parts Cost Per Job'!X23*((1+'Interval Reimb'!$B$39)*'Interval Reimb'!$B$40),0),2)</f>
        <v>78.63</v>
      </c>
      <c r="Y23" s="246">
        <f>ROUND(IF('Included @ Interval'!Y23="yes",'Hours Per Job'!Y23*'Interval Reimb'!$B$38+'Parts Cost Per Job'!Y23*((1+'Interval Reimb'!$B$39)*'Interval Reimb'!$B$40),0),2)</f>
        <v>0</v>
      </c>
      <c r="Z23" s="246">
        <f>ROUND(IF('Included @ Interval'!Z23="yes",'Hours Per Job'!Z23*'Interval Reimb'!$B$38+'Parts Cost Per Job'!Z23*((1+'Interval Reimb'!$B$39)*'Interval Reimb'!$B$40),0),2)</f>
        <v>91.21</v>
      </c>
      <c r="AA23" s="246">
        <f>ROUND(IF('Included @ Interval'!AA23="yes",'Hours Per Job'!AA23*'Interval Reimb'!$B$38+'Parts Cost Per Job'!AA23*((1+'Interval Reimb'!$B$39)*'Interval Reimb'!$B$40),0),2)</f>
        <v>0</v>
      </c>
      <c r="AB23" s="246">
        <f>ROUND(IF('Included @ Interval'!AB23="yes",'Hours Per Job'!AB23*'Interval Reimb'!$B$38+'Parts Cost Per Job'!AB23*((1+'Interval Reimb'!$B$39)*'Interval Reimb'!$B$40),0),2)</f>
        <v>0</v>
      </c>
      <c r="AC23" s="246">
        <f>ROUND(IF('Included @ Interval'!AC23="yes",'Hours Per Job'!AC23*'Interval Reimb'!$B$38+'Parts Cost Per Job'!AC23*((1+'Interval Reimb'!$B$39)*'Interval Reimb'!$B$40),0),2)</f>
        <v>0</v>
      </c>
      <c r="AD23" s="246">
        <f>ROUND(IF('Included @ Interval'!AD23="yes",'Hours Per Job'!AD23*'Interval Reimb'!$B$38+'Parts Cost Per Job'!AD23*((1+'Interval Reimb'!$B$39)*'Interval Reimb'!$B$40),0),2)</f>
        <v>0</v>
      </c>
      <c r="AE23" s="246">
        <f>ROUND(IF('Included @ Interval'!AE23="yes",'Hours Per Job'!AE23*'Interval Reimb'!$B$38+'Parts Cost Per Job'!AE23*((1+'Interval Reimb'!$B$39)*'Interval Reimb'!$B$40),0),2)</f>
        <v>0</v>
      </c>
      <c r="AF23" s="246">
        <f>ROUND(IF('Included @ Interval'!AF23="yes",'Hours Per Job'!AF23*'Interval Reimb'!$B$38+'Parts Cost Per Job'!AF23*((1+'Interval Reimb'!$B$39)*'Interval Reimb'!$B$40),0),2)</f>
        <v>0</v>
      </c>
      <c r="AG23" s="246">
        <f>ROUND(IF('Included @ Interval'!AG23="yes",'Hours Per Job'!AG23*'Interval Reimb'!$B$38+'Parts Cost Per Job'!AG23*((1+'Interval Reimb'!$B$39)*'Interval Reimb'!$B$40),0),2)</f>
        <v>0</v>
      </c>
      <c r="AH23" s="246">
        <f>ROUND(IF('Included @ Interval'!AH23="yes",'Hours Per Job'!AH23*'Interval Reimb'!$B$38+'Parts Cost Per Job'!AH23*((1+'Interval Reimb'!$B$39)*'Interval Reimb'!$B$40),0),2)</f>
        <v>0</v>
      </c>
      <c r="AI23" s="246">
        <f>ROUND(IF('Included @ Interval'!AI23="yes",'Hours Per Job'!AI23*'Interval Reimb'!$B$38+'Parts Cost Per Job'!AI23*((1+'Interval Reimb'!$B$39)*'Interval Reimb'!$B$40),0),2)</f>
        <v>0</v>
      </c>
      <c r="AJ23" s="246">
        <f>ROUND(IF('Included @ Interval'!AJ23="yes",'Hours Per Job'!AJ23*'Interval Reimb'!$B$38+'Parts Cost Per Job'!AJ23*((1+'Interval Reimb'!$B$39)*'Interval Reimb'!$B$40),0),2)</f>
        <v>0</v>
      </c>
      <c r="AK23" s="246">
        <f>ROUND(IF('Included @ Interval'!AK23="yes",'Hours Per Job'!AK23*'Interval Reimb'!$B$38+'Parts Cost Per Job'!AK23*((1+'Interval Reimb'!$B$39)*'Interval Reimb'!$B$40),0),2)</f>
        <v>0</v>
      </c>
      <c r="AL23" s="246">
        <f>ROUND(IF('Included @ Interval'!AL23="yes",'Hours Per Job'!AL23*'Interval Reimb'!$B$38+'Parts Cost Per Job'!AL23*((1+'Interval Reimb'!$B$39)*'Interval Reimb'!$B$40),0),2)</f>
        <v>0</v>
      </c>
      <c r="AM23" s="246">
        <f>ROUND(IF('Included @ Interval'!AM23="yes",'Hours Per Job'!AM23*'Interval Reimb'!$B$38+'Parts Cost Per Job'!AM23*((1+'Interval Reimb'!$B$39)*'Interval Reimb'!$B$40),0),2)</f>
        <v>0</v>
      </c>
      <c r="AN23" s="246">
        <f>ROUND(IF('Included @ Interval'!AN23="yes",'Hours Per Job'!AN23*'Interval Reimb'!$B$38+'Parts Cost Per Job'!AN23*((1+'Interval Reimb'!$B$39)*'Interval Reimb'!$B$40),0),2)</f>
        <v>0</v>
      </c>
      <c r="AO23" s="246">
        <f>ROUND(IF('Included @ Interval'!AO23="yes",'Hours Per Job'!AO23*'Interval Reimb'!$B$38+'Parts Cost Per Job'!AO23*((1+'Interval Reimb'!$B$39)*'Interval Reimb'!$B$40),0),2)</f>
        <v>0</v>
      </c>
      <c r="AP23" s="246">
        <f>ROUND(IF('Included @ Interval'!AP23="yes",'Hours Per Job'!AP23*'Interval Reimb'!$B$38+'Parts Cost Per Job'!AP23*((1+'Interval Reimb'!$B$39)*'Interval Reimb'!$B$40),0),2)</f>
        <v>84</v>
      </c>
      <c r="AQ23" s="246">
        <f>ROUND(IF('Included @ Interval'!AQ23="yes",'Hours Per Job'!AQ23*'Interval Reimb'!$B$38+'Parts Cost Per Job'!AQ23*((1+'Interval Reimb'!$B$39)*'Interval Reimb'!$B$40),0),2)</f>
        <v>0</v>
      </c>
      <c r="AR23" s="246">
        <f>ROUND(IF('Included @ Interval'!AR23="yes",'Hours Per Job'!AR23*'Interval Reimb'!$B$38+'Parts Cost Per Job'!AR23*((1+'Interval Reimb'!$B$39)*'Interval Reimb'!$B$40),0),2)</f>
        <v>0</v>
      </c>
      <c r="AS23" s="246">
        <f>ROUND(IF('Included @ Interval'!AS23="yes",'Hours Per Job'!AS23*'Interval Reimb'!$B$38+'Parts Cost Per Job'!AS23*((1+'Interval Reimb'!$B$39)*'Interval Reimb'!$B$40),0),2)</f>
        <v>0</v>
      </c>
      <c r="AT23" s="246">
        <f>ROUND(IF('Included @ Interval'!AT23="yes",'Hours Per Job'!AT23*'Interval Reimb'!$B$38+'Parts Cost Per Job'!AT23*((1+'Interval Reimb'!$B$39)*'Interval Reimb'!$B$40),0),2)</f>
        <v>71.069999999999993</v>
      </c>
      <c r="AU23" s="246">
        <f>ROUND(IF('Included @ Interval'!AU23="yes",'Hours Per Job'!AU23*'Interval Reimb'!$B$38+'Parts Cost Per Job'!AU23*((1+'Interval Reimb'!$B$39)*'Interval Reimb'!$B$40),0),2)</f>
        <v>0</v>
      </c>
      <c r="AV23" s="246">
        <f>ROUND(IF('Included @ Interval'!AV23="yes",'Hours Per Job'!AV23*'Interval Reimb'!$B$38+'Parts Cost Per Job'!AV23*((1+'Interval Reimb'!$B$39)*'Interval Reimb'!$B$40),0),2)</f>
        <v>0</v>
      </c>
      <c r="AW23" s="246">
        <f>ROUND(IF('Included @ Interval'!AW23="yes",'Hours Per Job'!AW23*'Interval Reimb'!$B$38+'Parts Cost Per Job'!AW23*((1+'Interval Reimb'!$B$39)*'Interval Reimb'!$B$40),0),2)</f>
        <v>0</v>
      </c>
      <c r="AX23" s="246">
        <f>ROUND(IF('Included @ Interval'!AX23="yes",'Hours Per Job'!AX23*'Interval Reimb'!$B$38+'Parts Cost Per Job'!AX23*((1+'Interval Reimb'!$B$39)*'Interval Reimb'!$B$40),0),2)</f>
        <v>0</v>
      </c>
      <c r="AY23" s="246">
        <f>ROUND(IF('Included @ Interval'!AY23="yes",'Hours Per Job'!AY23*'Interval Reimb'!$B$38+'Parts Cost Per Job'!AY23*((1+'Interval Reimb'!$B$39)*'Interval Reimb'!$B$40),0),2)</f>
        <v>0</v>
      </c>
      <c r="AZ23" s="246">
        <f>ROUND(IF('Included @ Interval'!AZ23="yes",'Hours Per Job'!AZ23*'Interval Reimb'!$B$38+'Parts Cost Per Job'!AZ23*((1+'Interval Reimb'!$B$39)*'Interval Reimb'!$B$40),0),2)</f>
        <v>0</v>
      </c>
      <c r="BA23" s="246">
        <f>ROUND(IF('Included @ Interval'!BA23="yes",'Hours Per Job'!BA23*'Interval Reimb'!$B$38+'Parts Cost Per Job'!BA23*((1+'Interval Reimb'!$B$39)*'Interval Reimb'!$B$40),0),2)</f>
        <v>0</v>
      </c>
      <c r="BB23" s="246">
        <f>ROUND(IF('Included @ Interval'!BB23="yes",'Hours Per Job'!BB23*'Interval Reimb'!$B$38+'Parts Cost Per Job'!BB23*((1+'Interval Reimb'!$B$39)*'Interval Reimb'!$B$40),0),2)</f>
        <v>0</v>
      </c>
      <c r="BC23" s="246">
        <f>ROUND(IF('Included @ Interval'!BC23="yes",'Hours Per Job'!BC23*'Interval Reimb'!$B$38+'Parts Cost Per Job'!BC23*((1+'Interval Reimb'!$B$39)*'Interval Reimb'!$B$40),0),2)</f>
        <v>0</v>
      </c>
      <c r="BD23" s="246">
        <f>ROUND(IF('Included @ Interval'!BD23="yes",'Hours Per Job'!BD23*'Interval Reimb'!$B$38+'Parts Cost Per Job'!BD23*((1+'Interval Reimb'!$B$39)*'Interval Reimb'!$B$40),0),2)</f>
        <v>0</v>
      </c>
      <c r="BE23" s="246">
        <f>ROUND(IF('Included @ Interval'!BE23="yes",'Hours Per Job'!BE23*'Interval Reimb'!$B$38+'Parts Cost Per Job'!BE23*((1+'Interval Reimb'!$B$39)*'Interval Reimb'!$B$40),0),2)</f>
        <v>0</v>
      </c>
      <c r="BF23" s="246">
        <f>ROUND(IF('Included @ Interval'!BF23="yes",'Hours Per Job'!BF23*'Interval Reimb'!$B$38+'Parts Cost Per Job'!BF23*((1+'Interval Reimb'!$B$39)*'Interval Reimb'!$B$40),0),2)</f>
        <v>0</v>
      </c>
      <c r="BG23" s="246">
        <f>ROUND(IF('Included @ Interval'!BG23="yes",'Hours Per Job'!BG23*'Interval Reimb'!$B$38+'Parts Cost Per Job'!BG23*((1+'Interval Reimb'!$B$39)*'Interval Reimb'!$B$40),0),2)</f>
        <v>0</v>
      </c>
      <c r="BH23" s="246">
        <f>ROUND(IF('Included @ Interval'!BH23="yes",'Hours Per Job'!BH23*'Interval Reimb'!$B$38+'Parts Cost Per Job'!BH23*((1+'Interval Reimb'!$B$39)*'Interval Reimb'!$B$40),0),2)</f>
        <v>0</v>
      </c>
      <c r="BI23" s="246">
        <f>ROUND(IF('Included @ Interval'!BI23="yes",'Hours Per Job'!BI23*'Interval Reimb'!$B$38+'Parts Cost Per Job'!BI23*((1+'Interval Reimb'!$B$39)*'Interval Reimb'!$B$40),0),2)</f>
        <v>0</v>
      </c>
      <c r="BJ23" s="246">
        <f>ROUND(IF('Included @ Interval'!BJ23="yes",'Hours Per Job'!BJ23*'Interval Reimb'!$B$38+'Parts Cost Per Job'!BJ23*((1+'Interval Reimb'!$B$39)*'Interval Reimb'!$B$40),0),2)</f>
        <v>30</v>
      </c>
      <c r="BK23" s="246">
        <f>ROUND(IF('Included @ Interval'!BK23="yes",'Hours Per Job'!BK23*'Interval Reimb'!$B$38+'Parts Cost Per Job'!BK23*((1+'Interval Reimb'!$B$39)*'Interval Reimb'!$B$40),0),2)</f>
        <v>0</v>
      </c>
      <c r="BL23" s="246">
        <f>ROUND(IF('Included @ Interval'!BL23="yes",'Hours Per Job'!BL23*'Interval Reimb'!$B$38+'Parts Cost Per Job'!BL23*((1+'Interval Reimb'!$B$39)*'Interval Reimb'!$B$40),0),2)</f>
        <v>0</v>
      </c>
      <c r="BM23" s="246">
        <f>ROUND(IF('Included @ Interval'!BM23="yes",'Hours Per Job'!BM23*'Interval Reimb'!$B$38+'Parts Cost Per Job'!BM23*((1+'Interval Reimb'!$B$39)*'Interval Reimb'!$B$40),0),2)</f>
        <v>0</v>
      </c>
      <c r="BN23" s="246">
        <f>ROUND(IF('Included @ Interval'!BN23="yes",'Hours Per Job'!BN23*'Interval Reimb'!$B$38+'Parts Cost Per Job'!BN23*((1+'Interval Reimb'!$B$39)*'Interval Reimb'!$B$40),0),2)</f>
        <v>0</v>
      </c>
      <c r="BO23" s="246">
        <f>ROUND(IF('Included @ Interval'!BO23="yes",'Hours Per Job'!BO23*'Interval Reimb'!$B$38+'Parts Cost Per Job'!BO23*((1+'Interval Reimb'!$B$39)*'Interval Reimb'!$B$40),0),2)</f>
        <v>0</v>
      </c>
      <c r="BP23" s="246">
        <f>ROUND(IF('Included @ Interval'!BP23="yes",'Hours Per Job'!BP23*'Interval Reimb'!$B$38+'Parts Cost Per Job'!BP23*((1+'Interval Reimb'!$B$39)*'Interval Reimb'!$B$40),0),2)</f>
        <v>0</v>
      </c>
      <c r="BQ23" s="9">
        <f t="shared" si="0"/>
        <v>497.78</v>
      </c>
      <c r="BR23" s="9">
        <f t="shared" si="1"/>
        <v>2.65</v>
      </c>
    </row>
    <row r="24" spans="1:70" x14ac:dyDescent="0.2">
      <c r="A24" s="18" t="str">
        <f>+'Scheduled Intervals'!A24</f>
        <v>Takeuchi 335</v>
      </c>
      <c r="B24" s="246">
        <f>ROUND(IF('Included @ Interval'!B24="yes",'Hours Per Job'!B24*'Interval Reimb'!$B$38+'Parts Cost Per Job'!B24*((1+'Interval Reimb'!$B$39)*'Interval Reimb'!$B$40),0),2)</f>
        <v>0</v>
      </c>
      <c r="C24" s="246">
        <f>ROUND(IF('Included @ Interval'!C24="yes",'Hours Per Job'!C24*'Interval Reimb'!$B$38+'Parts Cost Per Job'!C24*((1+'Interval Reimb'!$B$39)*'Interval Reimb'!$B$40),0),2)</f>
        <v>0</v>
      </c>
      <c r="D24" s="246">
        <f>ROUND(IF('Included @ Interval'!D24="yes",'Hours Per Job'!D24*'Interval Reimb'!$B$38+'Parts Cost Per Job'!D24*((1+'Interval Reimb'!$B$39)*'Interval Reimb'!$B$40),0),2)</f>
        <v>0</v>
      </c>
      <c r="E24" s="246">
        <f>ROUND(IF('Included @ Interval'!E24="yes",'Hours Per Job'!E24*'Interval Reimb'!$B$38+'Parts Cost Per Job'!E24*((1+'Interval Reimb'!$B$39)*'Interval Reimb'!$B$40),0),2)</f>
        <v>0</v>
      </c>
      <c r="F24" s="246">
        <f>ROUND(IF('Included @ Interval'!F24="yes",'Hours Per Job'!F24*'Interval Reimb'!$B$38+'Parts Cost Per Job'!F24*((1+'Interval Reimb'!$B$39)*'Interval Reimb'!$B$40),0),2)</f>
        <v>0</v>
      </c>
      <c r="G24" s="246">
        <f>ROUND(IF('Included @ Interval'!G24="yes",'Hours Per Job'!G24*'Interval Reimb'!$B$38+'Parts Cost Per Job'!G24*((1+'Interval Reimb'!$B$39)*'Interval Reimb'!$B$40),0),2)</f>
        <v>0</v>
      </c>
      <c r="H24" s="246">
        <f>ROUND(IF('Included @ Interval'!H24="yes",'Hours Per Job'!H24*'Interval Reimb'!$B$38+'Parts Cost Per Job'!H24*((1+'Interval Reimb'!$B$39)*'Interval Reimb'!$B$40),0),2)</f>
        <v>0</v>
      </c>
      <c r="I24" s="246">
        <f>ROUND(IF('Included @ Interval'!I24="yes",'Hours Per Job'!I24*'Interval Reimb'!$B$38+'Parts Cost Per Job'!I24*((1+'Interval Reimb'!$B$39)*'Interval Reimb'!$B$40),0),2)</f>
        <v>0</v>
      </c>
      <c r="J24" s="246">
        <f>ROUND(IF('Included @ Interval'!J24="yes",'Hours Per Job'!J24*'Interval Reimb'!$B$38+'Parts Cost Per Job'!J24*((1+'Interval Reimb'!$B$39)*'Interval Reimb'!$B$40),0),2)</f>
        <v>0</v>
      </c>
      <c r="K24" s="246">
        <f>ROUND(IF('Included @ Interval'!K24="yes",'Hours Per Job'!K24*'Interval Reimb'!$B$38+'Parts Cost Per Job'!K24*((1+'Interval Reimb'!$B$39)*'Interval Reimb'!$B$40),0),2)</f>
        <v>0</v>
      </c>
      <c r="L24" s="246">
        <f>ROUND(IF('Included @ Interval'!L24="yes",'Hours Per Job'!L24*'Interval Reimb'!$B$38+'Parts Cost Per Job'!L24*((1+'Interval Reimb'!$B$39)*'Interval Reimb'!$B$40),0),2)</f>
        <v>0</v>
      </c>
      <c r="M24" s="246">
        <f>ROUND(IF('Included @ Interval'!M24="yes",'Hours Per Job'!M24*'Interval Reimb'!$B$38+'Parts Cost Per Job'!M24*((1+'Interval Reimb'!$B$39)*'Interval Reimb'!$B$40),0),2)</f>
        <v>0</v>
      </c>
      <c r="N24" s="246">
        <f>ROUND(IF('Included @ Interval'!N24="yes",'Hours Per Job'!N24*'Interval Reimb'!$B$38+'Parts Cost Per Job'!N24*((1+'Interval Reimb'!$B$39)*'Interval Reimb'!$B$40),0),2)</f>
        <v>0</v>
      </c>
      <c r="O24" s="246">
        <f>ROUND(IF('Included @ Interval'!O24="yes",'Hours Per Job'!O24*'Interval Reimb'!$B$38+'Parts Cost Per Job'!O24*((1+'Interval Reimb'!$B$39)*'Interval Reimb'!$B$40),0),2)</f>
        <v>0</v>
      </c>
      <c r="P24" s="246">
        <f>ROUND(IF('Included @ Interval'!P24="yes",'Hours Per Job'!P24*'Interval Reimb'!$B$38+'Parts Cost Per Job'!P24*((1+'Interval Reimb'!$B$39)*'Interval Reimb'!$B$40),0),2)</f>
        <v>0</v>
      </c>
      <c r="Q24" s="246">
        <f>ROUND(IF('Included @ Interval'!Q24="yes",'Hours Per Job'!Q24*'Interval Reimb'!$B$38+'Parts Cost Per Job'!Q24*((1+'Interval Reimb'!$B$39)*'Interval Reimb'!$B$40),0),2)</f>
        <v>0</v>
      </c>
      <c r="R24" s="246">
        <f>ROUND(IF('Included @ Interval'!R24="yes",'Hours Per Job'!R24*'Interval Reimb'!$B$38+'Parts Cost Per Job'!R24*((1+'Interval Reimb'!$B$39)*'Interval Reimb'!$B$40),0),2)</f>
        <v>0</v>
      </c>
      <c r="S24" s="246">
        <f>ROUND(IF('Included @ Interval'!S24="yes",'Hours Per Job'!S24*'Interval Reimb'!$B$38+'Parts Cost Per Job'!S24*((1+'Interval Reimb'!$B$39)*'Interval Reimb'!$B$40),0),2)</f>
        <v>0</v>
      </c>
      <c r="T24" s="246">
        <f>ROUND(IF('Included @ Interval'!T24="yes",'Hours Per Job'!T24*'Interval Reimb'!$B$38+'Parts Cost Per Job'!T24*((1+'Interval Reimb'!$B$39)*'Interval Reimb'!$B$40),0),2)</f>
        <v>0</v>
      </c>
      <c r="U24" s="246">
        <f>ROUND(IF('Included @ Interval'!U24="yes",'Hours Per Job'!U24*'Interval Reimb'!$B$38+'Parts Cost Per Job'!U24*((1+'Interval Reimb'!$B$39)*'Interval Reimb'!$B$40),0),2)</f>
        <v>196.27</v>
      </c>
      <c r="V24" s="246">
        <f>ROUND(IF('Included @ Interval'!V24="yes",'Hours Per Job'!V24*'Interval Reimb'!$B$38+'Parts Cost Per Job'!V24*((1+'Interval Reimb'!$B$39)*'Interval Reimb'!$B$40),0),2)</f>
        <v>0</v>
      </c>
      <c r="W24" s="246">
        <f>ROUND(IF('Included @ Interval'!W24="yes",'Hours Per Job'!W24*'Interval Reimb'!$B$38+'Parts Cost Per Job'!W24*((1+'Interval Reimb'!$B$39)*'Interval Reimb'!$B$40),0),2)</f>
        <v>0</v>
      </c>
      <c r="X24" s="246">
        <f>ROUND(IF('Included @ Interval'!X24="yes",'Hours Per Job'!X24*'Interval Reimb'!$B$38+'Parts Cost Per Job'!X24*((1+'Interval Reimb'!$B$39)*'Interval Reimb'!$B$40),0),2)</f>
        <v>49.87</v>
      </c>
      <c r="Y24" s="246">
        <f>ROUND(IF('Included @ Interval'!Y24="yes",'Hours Per Job'!Y24*'Interval Reimb'!$B$38+'Parts Cost Per Job'!Y24*((1+'Interval Reimb'!$B$39)*'Interval Reimb'!$B$40),0),2)</f>
        <v>0</v>
      </c>
      <c r="Z24" s="246">
        <f>ROUND(IF('Included @ Interval'!Z24="yes",'Hours Per Job'!Z24*'Interval Reimb'!$B$38+'Parts Cost Per Job'!Z24*((1+'Interval Reimb'!$B$39)*'Interval Reimb'!$B$40),0),2)</f>
        <v>56.18</v>
      </c>
      <c r="AA24" s="246">
        <f>ROUND(IF('Included @ Interval'!AA24="yes",'Hours Per Job'!AA24*'Interval Reimb'!$B$38+'Parts Cost Per Job'!AA24*((1+'Interval Reimb'!$B$39)*'Interval Reimb'!$B$40),0),2)</f>
        <v>0</v>
      </c>
      <c r="AB24" s="246">
        <f>ROUND(IF('Included @ Interval'!AB24="yes",'Hours Per Job'!AB24*'Interval Reimb'!$B$38+'Parts Cost Per Job'!AB24*((1+'Interval Reimb'!$B$39)*'Interval Reimb'!$B$40),0),2)</f>
        <v>0</v>
      </c>
      <c r="AC24" s="246">
        <f>ROUND(IF('Included @ Interval'!AC24="yes",'Hours Per Job'!AC24*'Interval Reimb'!$B$38+'Parts Cost Per Job'!AC24*((1+'Interval Reimb'!$B$39)*'Interval Reimb'!$B$40),0),2)</f>
        <v>0</v>
      </c>
      <c r="AD24" s="246">
        <f>ROUND(IF('Included @ Interval'!AD24="yes",'Hours Per Job'!AD24*'Interval Reimb'!$B$38+'Parts Cost Per Job'!AD24*((1+'Interval Reimb'!$B$39)*'Interval Reimb'!$B$40),0),2)</f>
        <v>0</v>
      </c>
      <c r="AE24" s="246">
        <f>ROUND(IF('Included @ Interval'!AE24="yes",'Hours Per Job'!AE24*'Interval Reimb'!$B$38+'Parts Cost Per Job'!AE24*((1+'Interval Reimb'!$B$39)*'Interval Reimb'!$B$40),0),2)</f>
        <v>0</v>
      </c>
      <c r="AF24" s="246">
        <f>ROUND(IF('Included @ Interval'!AF24="yes",'Hours Per Job'!AF24*'Interval Reimb'!$B$38+'Parts Cost Per Job'!AF24*((1+'Interval Reimb'!$B$39)*'Interval Reimb'!$B$40),0),2)</f>
        <v>0</v>
      </c>
      <c r="AG24" s="246">
        <f>ROUND(IF('Included @ Interval'!AG24="yes",'Hours Per Job'!AG24*'Interval Reimb'!$B$38+'Parts Cost Per Job'!AG24*((1+'Interval Reimb'!$B$39)*'Interval Reimb'!$B$40),0),2)</f>
        <v>0</v>
      </c>
      <c r="AH24" s="246">
        <f>ROUND(IF('Included @ Interval'!AH24="yes",'Hours Per Job'!AH24*'Interval Reimb'!$B$38+'Parts Cost Per Job'!AH24*((1+'Interval Reimb'!$B$39)*'Interval Reimb'!$B$40),0),2)</f>
        <v>0</v>
      </c>
      <c r="AI24" s="246">
        <f>ROUND(IF('Included @ Interval'!AI24="yes",'Hours Per Job'!AI24*'Interval Reimb'!$B$38+'Parts Cost Per Job'!AI24*((1+'Interval Reimb'!$B$39)*'Interval Reimb'!$B$40),0),2)</f>
        <v>0</v>
      </c>
      <c r="AJ24" s="246">
        <f>ROUND(IF('Included @ Interval'!AJ24="yes",'Hours Per Job'!AJ24*'Interval Reimb'!$B$38+'Parts Cost Per Job'!AJ24*((1+'Interval Reimb'!$B$39)*'Interval Reimb'!$B$40),0),2)</f>
        <v>0</v>
      </c>
      <c r="AK24" s="246">
        <f>ROUND(IF('Included @ Interval'!AK24="yes",'Hours Per Job'!AK24*'Interval Reimb'!$B$38+'Parts Cost Per Job'!AK24*((1+'Interval Reimb'!$B$39)*'Interval Reimb'!$B$40),0),2)</f>
        <v>0</v>
      </c>
      <c r="AL24" s="246">
        <f>ROUND(IF('Included @ Interval'!AL24="yes",'Hours Per Job'!AL24*'Interval Reimb'!$B$38+'Parts Cost Per Job'!AL24*((1+'Interval Reimb'!$B$39)*'Interval Reimb'!$B$40),0),2)</f>
        <v>0</v>
      </c>
      <c r="AM24" s="246">
        <f>ROUND(IF('Included @ Interval'!AM24="yes",'Hours Per Job'!AM24*'Interval Reimb'!$B$38+'Parts Cost Per Job'!AM24*((1+'Interval Reimb'!$B$39)*'Interval Reimb'!$B$40),0),2)</f>
        <v>0</v>
      </c>
      <c r="AN24" s="246">
        <f>ROUND(IF('Included @ Interval'!AN24="yes",'Hours Per Job'!AN24*'Interval Reimb'!$B$38+'Parts Cost Per Job'!AN24*((1+'Interval Reimb'!$B$39)*'Interval Reimb'!$B$40),0),2)</f>
        <v>0</v>
      </c>
      <c r="AO24" s="246">
        <f>ROUND(IF('Included @ Interval'!AO24="yes",'Hours Per Job'!AO24*'Interval Reimb'!$B$38+'Parts Cost Per Job'!AO24*((1+'Interval Reimb'!$B$39)*'Interval Reimb'!$B$40),0),2)</f>
        <v>0</v>
      </c>
      <c r="AP24" s="246">
        <f>ROUND(IF('Included @ Interval'!AP24="yes",'Hours Per Job'!AP24*'Interval Reimb'!$B$38+'Parts Cost Per Job'!AP24*((1+'Interval Reimb'!$B$39)*'Interval Reimb'!$B$40),0),2)</f>
        <v>84</v>
      </c>
      <c r="AQ24" s="246">
        <f>ROUND(IF('Included @ Interval'!AQ24="yes",'Hours Per Job'!AQ24*'Interval Reimb'!$B$38+'Parts Cost Per Job'!AQ24*((1+'Interval Reimb'!$B$39)*'Interval Reimb'!$B$40),0),2)</f>
        <v>0</v>
      </c>
      <c r="AR24" s="246">
        <f>ROUND(IF('Included @ Interval'!AR24="yes",'Hours Per Job'!AR24*'Interval Reimb'!$B$38+'Parts Cost Per Job'!AR24*((1+'Interval Reimb'!$B$39)*'Interval Reimb'!$B$40),0),2)</f>
        <v>0</v>
      </c>
      <c r="AS24" s="246">
        <f>ROUND(IF('Included @ Interval'!AS24="yes",'Hours Per Job'!AS24*'Interval Reimb'!$B$38+'Parts Cost Per Job'!AS24*((1+'Interval Reimb'!$B$39)*'Interval Reimb'!$B$40),0),2)</f>
        <v>0</v>
      </c>
      <c r="AT24" s="246">
        <f>ROUND(IF('Included @ Interval'!AT24="yes",'Hours Per Job'!AT24*'Interval Reimb'!$B$38+'Parts Cost Per Job'!AT24*((1+'Interval Reimb'!$B$39)*'Interval Reimb'!$B$40),0),2)</f>
        <v>71.069999999999993</v>
      </c>
      <c r="AU24" s="246">
        <f>ROUND(IF('Included @ Interval'!AU24="yes",'Hours Per Job'!AU24*'Interval Reimb'!$B$38+'Parts Cost Per Job'!AU24*((1+'Interval Reimb'!$B$39)*'Interval Reimb'!$B$40),0),2)</f>
        <v>0</v>
      </c>
      <c r="AV24" s="246">
        <f>ROUND(IF('Included @ Interval'!AV24="yes",'Hours Per Job'!AV24*'Interval Reimb'!$B$38+'Parts Cost Per Job'!AV24*((1+'Interval Reimb'!$B$39)*'Interval Reimb'!$B$40),0),2)</f>
        <v>0</v>
      </c>
      <c r="AW24" s="246">
        <f>ROUND(IF('Included @ Interval'!AW24="yes",'Hours Per Job'!AW24*'Interval Reimb'!$B$38+'Parts Cost Per Job'!AW24*((1+'Interval Reimb'!$B$39)*'Interval Reimb'!$B$40),0),2)</f>
        <v>0</v>
      </c>
      <c r="AX24" s="246">
        <f>ROUND(IF('Included @ Interval'!AX24="yes",'Hours Per Job'!AX24*'Interval Reimb'!$B$38+'Parts Cost Per Job'!AX24*((1+'Interval Reimb'!$B$39)*'Interval Reimb'!$B$40),0),2)</f>
        <v>0</v>
      </c>
      <c r="AY24" s="246">
        <f>ROUND(IF('Included @ Interval'!AY24="yes",'Hours Per Job'!AY24*'Interval Reimb'!$B$38+'Parts Cost Per Job'!AY24*((1+'Interval Reimb'!$B$39)*'Interval Reimb'!$B$40),0),2)</f>
        <v>0</v>
      </c>
      <c r="AZ24" s="246">
        <f>ROUND(IF('Included @ Interval'!AZ24="yes",'Hours Per Job'!AZ24*'Interval Reimb'!$B$38+'Parts Cost Per Job'!AZ24*((1+'Interval Reimb'!$B$39)*'Interval Reimb'!$B$40),0),2)</f>
        <v>153.66</v>
      </c>
      <c r="BA24" s="246">
        <f>ROUND(IF('Included @ Interval'!BA24="yes",'Hours Per Job'!BA24*'Interval Reimb'!$B$38+'Parts Cost Per Job'!BA24*((1+'Interval Reimb'!$B$39)*'Interval Reimb'!$B$40),0),2)</f>
        <v>0</v>
      </c>
      <c r="BB24" s="246">
        <f>ROUND(IF('Included @ Interval'!BB24="yes",'Hours Per Job'!BB24*'Interval Reimb'!$B$38+'Parts Cost Per Job'!BB24*((1+'Interval Reimb'!$B$39)*'Interval Reimb'!$B$40),0),2)</f>
        <v>38.369999999999997</v>
      </c>
      <c r="BC24" s="246">
        <f>ROUND(IF('Included @ Interval'!BC24="yes",'Hours Per Job'!BC24*'Interval Reimb'!$B$38+'Parts Cost Per Job'!BC24*((1+'Interval Reimb'!$B$39)*'Interval Reimb'!$B$40),0),2)</f>
        <v>0</v>
      </c>
      <c r="BD24" s="246">
        <f>ROUND(IF('Included @ Interval'!BD24="yes",'Hours Per Job'!BD24*'Interval Reimb'!$B$38+'Parts Cost Per Job'!BD24*((1+'Interval Reimb'!$B$39)*'Interval Reimb'!$B$40),0),2)</f>
        <v>0</v>
      </c>
      <c r="BE24" s="246">
        <f>ROUND(IF('Included @ Interval'!BE24="yes",'Hours Per Job'!BE24*'Interval Reimb'!$B$38+'Parts Cost Per Job'!BE24*((1+'Interval Reimb'!$B$39)*'Interval Reimb'!$B$40),0),2)</f>
        <v>0</v>
      </c>
      <c r="BF24" s="246">
        <f>ROUND(IF('Included @ Interval'!BF24="yes",'Hours Per Job'!BF24*'Interval Reimb'!$B$38+'Parts Cost Per Job'!BF24*((1+'Interval Reimb'!$B$39)*'Interval Reimb'!$B$40),0),2)</f>
        <v>0</v>
      </c>
      <c r="BG24" s="246">
        <f>ROUND(IF('Included @ Interval'!BG24="yes",'Hours Per Job'!BG24*'Interval Reimb'!$B$38+'Parts Cost Per Job'!BG24*((1+'Interval Reimb'!$B$39)*'Interval Reimb'!$B$40),0),2)</f>
        <v>0</v>
      </c>
      <c r="BH24" s="246">
        <f>ROUND(IF('Included @ Interval'!BH24="yes",'Hours Per Job'!BH24*'Interval Reimb'!$B$38+'Parts Cost Per Job'!BH24*((1+'Interval Reimb'!$B$39)*'Interval Reimb'!$B$40),0),2)</f>
        <v>0</v>
      </c>
      <c r="BI24" s="246">
        <f>ROUND(IF('Included @ Interval'!BI24="yes",'Hours Per Job'!BI24*'Interval Reimb'!$B$38+'Parts Cost Per Job'!BI24*((1+'Interval Reimb'!$B$39)*'Interval Reimb'!$B$40),0),2)</f>
        <v>0</v>
      </c>
      <c r="BJ24" s="246">
        <f>ROUND(IF('Included @ Interval'!BJ24="yes",'Hours Per Job'!BJ24*'Interval Reimb'!$B$38+'Parts Cost Per Job'!BJ24*((1+'Interval Reimb'!$B$39)*'Interval Reimb'!$B$40),0),2)</f>
        <v>30</v>
      </c>
      <c r="BK24" s="246">
        <f>ROUND(IF('Included @ Interval'!BK24="yes",'Hours Per Job'!BK24*'Interval Reimb'!$B$38+'Parts Cost Per Job'!BK24*((1+'Interval Reimb'!$B$39)*'Interval Reimb'!$B$40),0),2)</f>
        <v>0</v>
      </c>
      <c r="BL24" s="246">
        <f>ROUND(IF('Included @ Interval'!BL24="yes",'Hours Per Job'!BL24*'Interval Reimb'!$B$38+'Parts Cost Per Job'!BL24*((1+'Interval Reimb'!$B$39)*'Interval Reimb'!$B$40),0),2)</f>
        <v>0</v>
      </c>
      <c r="BM24" s="246">
        <f>ROUND(IF('Included @ Interval'!BM24="yes",'Hours Per Job'!BM24*'Interval Reimb'!$B$38+'Parts Cost Per Job'!BM24*((1+'Interval Reimb'!$B$39)*'Interval Reimb'!$B$40),0),2)</f>
        <v>0</v>
      </c>
      <c r="BN24" s="246">
        <f>ROUND(IF('Included @ Interval'!BN24="yes",'Hours Per Job'!BN24*'Interval Reimb'!$B$38+'Parts Cost Per Job'!BN24*((1+'Interval Reimb'!$B$39)*'Interval Reimb'!$B$40),0),2)</f>
        <v>0</v>
      </c>
      <c r="BO24" s="246">
        <f>ROUND(IF('Included @ Interval'!BO24="yes",'Hours Per Job'!BO24*'Interval Reimb'!$B$38+'Parts Cost Per Job'!BO24*((1+'Interval Reimb'!$B$39)*'Interval Reimb'!$B$40),0),2)</f>
        <v>0</v>
      </c>
      <c r="BP24" s="246">
        <f>ROUND(IF('Included @ Interval'!BP24="yes",'Hours Per Job'!BP24*'Interval Reimb'!$B$38+'Parts Cost Per Job'!BP24*((1+'Interval Reimb'!$B$39)*'Interval Reimb'!$B$40),0),2)</f>
        <v>0</v>
      </c>
      <c r="BQ24" s="9">
        <f t="shared" si="0"/>
        <v>679.42</v>
      </c>
      <c r="BR24" s="9">
        <f t="shared" si="1"/>
        <v>3.75</v>
      </c>
    </row>
    <row r="25" spans="1:70" x14ac:dyDescent="0.2">
      <c r="A25" s="18" t="str">
        <f>+'Scheduled Intervals'!A25</f>
        <v>Sany SY up to 35</v>
      </c>
      <c r="B25" s="246">
        <f>ROUND(IF('Included @ Interval'!B25="yes",'Hours Per Job'!B25*'Interval Reimb'!$B$38+'Parts Cost Per Job'!B25*((1+'Interval Reimb'!$B$39)*'Interval Reimb'!$B$40),0),2)</f>
        <v>0</v>
      </c>
      <c r="C25" s="246">
        <f>ROUND(IF('Included @ Interval'!C25="yes",'Hours Per Job'!C25*'Interval Reimb'!$B$38+'Parts Cost Per Job'!C25*((1+'Interval Reimb'!$B$39)*'Interval Reimb'!$B$40),0),2)</f>
        <v>0</v>
      </c>
      <c r="D25" s="246">
        <f>ROUND(IF('Included @ Interval'!D25="yes",'Hours Per Job'!D25*'Interval Reimb'!$B$38+'Parts Cost Per Job'!D25*((1+'Interval Reimb'!$B$39)*'Interval Reimb'!$B$40),0),2)</f>
        <v>0</v>
      </c>
      <c r="E25" s="246">
        <f>ROUND(IF('Included @ Interval'!E25="yes",'Hours Per Job'!E25*'Interval Reimb'!$B$38+'Parts Cost Per Job'!E25*((1+'Interval Reimb'!$B$39)*'Interval Reimb'!$B$40),0),2)</f>
        <v>0</v>
      </c>
      <c r="F25" s="246">
        <f>ROUND(IF('Included @ Interval'!F25="yes",'Hours Per Job'!F25*'Interval Reimb'!$B$38+'Parts Cost Per Job'!F25*((1+'Interval Reimb'!$B$39)*'Interval Reimb'!$B$40),0),2)</f>
        <v>0</v>
      </c>
      <c r="G25" s="246">
        <f>ROUND(IF('Included @ Interval'!G25="yes",'Hours Per Job'!G25*'Interval Reimb'!$B$38+'Parts Cost Per Job'!G25*((1+'Interval Reimb'!$B$39)*'Interval Reimb'!$B$40),0),2)</f>
        <v>0</v>
      </c>
      <c r="H25" s="246">
        <f>ROUND(IF('Included @ Interval'!H25="yes",'Hours Per Job'!H25*'Interval Reimb'!$B$38+'Parts Cost Per Job'!H25*((1+'Interval Reimb'!$B$39)*'Interval Reimb'!$B$40),0),2)</f>
        <v>0</v>
      </c>
      <c r="I25" s="246">
        <f>ROUND(IF('Included @ Interval'!I25="yes",'Hours Per Job'!I25*'Interval Reimb'!$B$38+'Parts Cost Per Job'!I25*((1+'Interval Reimb'!$B$39)*'Interval Reimb'!$B$40),0),2)</f>
        <v>0</v>
      </c>
      <c r="J25" s="246">
        <f>ROUND(IF('Included @ Interval'!J25="yes",'Hours Per Job'!J25*'Interval Reimb'!$B$38+'Parts Cost Per Job'!J25*((1+'Interval Reimb'!$B$39)*'Interval Reimb'!$B$40),0),2)</f>
        <v>0</v>
      </c>
      <c r="K25" s="246">
        <f>ROUND(IF('Included @ Interval'!K25="yes",'Hours Per Job'!K25*'Interval Reimb'!$B$38+'Parts Cost Per Job'!K25*((1+'Interval Reimb'!$B$39)*'Interval Reimb'!$B$40),0),2)</f>
        <v>0</v>
      </c>
      <c r="L25" s="246">
        <f>ROUND(IF('Included @ Interval'!L25="yes",'Hours Per Job'!L25*'Interval Reimb'!$B$38+'Parts Cost Per Job'!L25*((1+'Interval Reimb'!$B$39)*'Interval Reimb'!$B$40),0),2)</f>
        <v>0</v>
      </c>
      <c r="M25" s="246">
        <f>ROUND(IF('Included @ Interval'!M25="yes",'Hours Per Job'!M25*'Interval Reimb'!$B$38+'Parts Cost Per Job'!M25*((1+'Interval Reimb'!$B$39)*'Interval Reimb'!$B$40),0),2)</f>
        <v>0</v>
      </c>
      <c r="N25" s="246">
        <f>ROUND(IF('Included @ Interval'!N25="yes",'Hours Per Job'!N25*'Interval Reimb'!$B$38+'Parts Cost Per Job'!N25*((1+'Interval Reimb'!$B$39)*'Interval Reimb'!$B$40),0),2)</f>
        <v>0</v>
      </c>
      <c r="O25" s="246">
        <f>ROUND(IF('Included @ Interval'!O25="yes",'Hours Per Job'!O25*'Interval Reimb'!$B$38+'Parts Cost Per Job'!O25*((1+'Interval Reimb'!$B$39)*'Interval Reimb'!$B$40),0),2)</f>
        <v>0</v>
      </c>
      <c r="P25" s="246">
        <f>ROUND(IF('Included @ Interval'!P25="yes",'Hours Per Job'!P25*'Interval Reimb'!$B$38+'Parts Cost Per Job'!P25*((1+'Interval Reimb'!$B$39)*'Interval Reimb'!$B$40),0),2)</f>
        <v>0</v>
      </c>
      <c r="Q25" s="246">
        <f>ROUND(IF('Included @ Interval'!Q25="yes",'Hours Per Job'!Q25*'Interval Reimb'!$B$38+'Parts Cost Per Job'!Q25*((1+'Interval Reimb'!$B$39)*'Interval Reimb'!$B$40),0),2)</f>
        <v>0</v>
      </c>
      <c r="R25" s="246">
        <f>ROUND(IF('Included @ Interval'!R25="yes",'Hours Per Job'!R25*'Interval Reimb'!$B$38+'Parts Cost Per Job'!R25*((1+'Interval Reimb'!$B$39)*'Interval Reimb'!$B$40),0),2)</f>
        <v>0</v>
      </c>
      <c r="S25" s="246">
        <f>ROUND(IF('Included @ Interval'!S25="yes",'Hours Per Job'!S25*'Interval Reimb'!$B$38+'Parts Cost Per Job'!S25*((1+'Interval Reimb'!$B$39)*'Interval Reimb'!$B$40),0),2)</f>
        <v>0</v>
      </c>
      <c r="T25" s="246">
        <f>ROUND(IF('Included @ Interval'!T25="yes",'Hours Per Job'!T25*'Interval Reimb'!$B$38+'Parts Cost Per Job'!T25*((1+'Interval Reimb'!$B$39)*'Interval Reimb'!$B$40),0),2)</f>
        <v>0</v>
      </c>
      <c r="U25" s="246">
        <f>ROUND(IF('Included @ Interval'!U25="yes",'Hours Per Job'!U25*'Interval Reimb'!$B$38+'Parts Cost Per Job'!U25*((1+'Interval Reimb'!$B$39)*'Interval Reimb'!$B$40),0),2)</f>
        <v>152.5</v>
      </c>
      <c r="V25" s="246">
        <f>ROUND(IF('Included @ Interval'!V25="yes",'Hours Per Job'!V25*'Interval Reimb'!$B$38+'Parts Cost Per Job'!V25*((1+'Interval Reimb'!$B$39)*'Interval Reimb'!$B$40),0),2)</f>
        <v>0</v>
      </c>
      <c r="W25" s="246">
        <f>ROUND(IF('Included @ Interval'!W25="yes",'Hours Per Job'!W25*'Interval Reimb'!$B$38+'Parts Cost Per Job'!W25*((1+'Interval Reimb'!$B$39)*'Interval Reimb'!$B$40),0),2)</f>
        <v>0</v>
      </c>
      <c r="X25" s="246">
        <f>ROUND(IF('Included @ Interval'!X25="yes",'Hours Per Job'!X25*'Interval Reimb'!$B$38+'Parts Cost Per Job'!X25*((1+'Interval Reimb'!$B$39)*'Interval Reimb'!$B$40),0),2)</f>
        <v>48.96</v>
      </c>
      <c r="Y25" s="246">
        <f>ROUND(IF('Included @ Interval'!Y25="yes",'Hours Per Job'!Y25*'Interval Reimb'!$B$38+'Parts Cost Per Job'!Y25*((1+'Interval Reimb'!$B$39)*'Interval Reimb'!$B$40),0),2)</f>
        <v>0</v>
      </c>
      <c r="Z25" s="246">
        <f>ROUND(IF('Included @ Interval'!Z25="yes",'Hours Per Job'!Z25*'Interval Reimb'!$B$38+'Parts Cost Per Job'!Z25*((1+'Interval Reimb'!$B$39)*'Interval Reimb'!$B$40),0),2)</f>
        <v>64.760000000000005</v>
      </c>
      <c r="AA25" s="246">
        <f>ROUND(IF('Included @ Interval'!AA25="yes",'Hours Per Job'!AA25*'Interval Reimb'!$B$38+'Parts Cost Per Job'!AA25*((1+'Interval Reimb'!$B$39)*'Interval Reimb'!$B$40),0),2)</f>
        <v>0</v>
      </c>
      <c r="AB25" s="246">
        <f>ROUND(IF('Included @ Interval'!AB25="yes",'Hours Per Job'!AB25*'Interval Reimb'!$B$38+'Parts Cost Per Job'!AB25*((1+'Interval Reimb'!$B$39)*'Interval Reimb'!$B$40),0),2)</f>
        <v>0</v>
      </c>
      <c r="AC25" s="246">
        <f>ROUND(IF('Included @ Interval'!AC25="yes",'Hours Per Job'!AC25*'Interval Reimb'!$B$38+'Parts Cost Per Job'!AC25*((1+'Interval Reimb'!$B$39)*'Interval Reimb'!$B$40),0),2)</f>
        <v>0</v>
      </c>
      <c r="AD25" s="246">
        <f>ROUND(IF('Included @ Interval'!AD25="yes",'Hours Per Job'!AD25*'Interval Reimb'!$B$38+'Parts Cost Per Job'!AD25*((1+'Interval Reimb'!$B$39)*'Interval Reimb'!$B$40),0),2)</f>
        <v>0</v>
      </c>
      <c r="AE25" s="246">
        <f>ROUND(IF('Included @ Interval'!AE25="yes",'Hours Per Job'!AE25*'Interval Reimb'!$B$38+'Parts Cost Per Job'!AE25*((1+'Interval Reimb'!$B$39)*'Interval Reimb'!$B$40),0),2)</f>
        <v>0</v>
      </c>
      <c r="AF25" s="246">
        <f>ROUND(IF('Included @ Interval'!AF25="yes",'Hours Per Job'!AF25*'Interval Reimb'!$B$38+'Parts Cost Per Job'!AF25*((1+'Interval Reimb'!$B$39)*'Interval Reimb'!$B$40),0),2)</f>
        <v>0</v>
      </c>
      <c r="AG25" s="246">
        <f>ROUND(IF('Included @ Interval'!AG25="yes",'Hours Per Job'!AG25*'Interval Reimb'!$B$38+'Parts Cost Per Job'!AG25*((1+'Interval Reimb'!$B$39)*'Interval Reimb'!$B$40),0),2)</f>
        <v>0</v>
      </c>
      <c r="AH25" s="246">
        <f>ROUND(IF('Included @ Interval'!AH25="yes",'Hours Per Job'!AH25*'Interval Reimb'!$B$38+'Parts Cost Per Job'!AH25*((1+'Interval Reimb'!$B$39)*'Interval Reimb'!$B$40),0),2)</f>
        <v>0</v>
      </c>
      <c r="AI25" s="246">
        <f>ROUND(IF('Included @ Interval'!AI25="yes",'Hours Per Job'!AI25*'Interval Reimb'!$B$38+'Parts Cost Per Job'!AI25*((1+'Interval Reimb'!$B$39)*'Interval Reimb'!$B$40),0),2)</f>
        <v>0</v>
      </c>
      <c r="AJ25" s="246">
        <f>ROUND(IF('Included @ Interval'!AJ25="yes",'Hours Per Job'!AJ25*'Interval Reimb'!$B$38+'Parts Cost Per Job'!AJ25*((1+'Interval Reimb'!$B$39)*'Interval Reimb'!$B$40),0),2)</f>
        <v>0</v>
      </c>
      <c r="AK25" s="246">
        <f>ROUND(IF('Included @ Interval'!AK25="yes",'Hours Per Job'!AK25*'Interval Reimb'!$B$38+'Parts Cost Per Job'!AK25*((1+'Interval Reimb'!$B$39)*'Interval Reimb'!$B$40),0),2)</f>
        <v>138.08000000000001</v>
      </c>
      <c r="AL25" s="246">
        <f>ROUND(IF('Included @ Interval'!AL25="yes",'Hours Per Job'!AL25*'Interval Reimb'!$B$38+'Parts Cost Per Job'!AL25*((1+'Interval Reimb'!$B$39)*'Interval Reimb'!$B$40),0),2)</f>
        <v>0</v>
      </c>
      <c r="AM25" s="246">
        <f>ROUND(IF('Included @ Interval'!AM25="yes",'Hours Per Job'!AM25*'Interval Reimb'!$B$38+'Parts Cost Per Job'!AM25*((1+'Interval Reimb'!$B$39)*'Interval Reimb'!$B$40),0),2)</f>
        <v>0</v>
      </c>
      <c r="AN25" s="246">
        <f>ROUND(IF('Included @ Interval'!AN25="yes",'Hours Per Job'!AN25*'Interval Reimb'!$B$38+'Parts Cost Per Job'!AN25*((1+'Interval Reimb'!$B$39)*'Interval Reimb'!$B$40),0),2)</f>
        <v>0</v>
      </c>
      <c r="AO25" s="246">
        <f>ROUND(IF('Included @ Interval'!AO25="yes",'Hours Per Job'!AO25*'Interval Reimb'!$B$38+'Parts Cost Per Job'!AO25*((1+'Interval Reimb'!$B$39)*'Interval Reimb'!$B$40),0),2)</f>
        <v>0</v>
      </c>
      <c r="AP25" s="246">
        <f>ROUND(IF('Included @ Interval'!AP25="yes",'Hours Per Job'!AP25*'Interval Reimb'!$B$38+'Parts Cost Per Job'!AP25*((1+'Interval Reimb'!$B$39)*'Interval Reimb'!$B$40),0),2)</f>
        <v>0</v>
      </c>
      <c r="AQ25" s="246">
        <f>ROUND(IF('Included @ Interval'!AQ25="yes",'Hours Per Job'!AQ25*'Interval Reimb'!$B$38+'Parts Cost Per Job'!AQ25*((1+'Interval Reimb'!$B$39)*'Interval Reimb'!$B$40),0),2)</f>
        <v>0</v>
      </c>
      <c r="AR25" s="246">
        <f>ROUND(IF('Included @ Interval'!AR25="yes",'Hours Per Job'!AR25*'Interval Reimb'!$B$38+'Parts Cost Per Job'!AR25*((1+'Interval Reimb'!$B$39)*'Interval Reimb'!$B$40),0),2)</f>
        <v>0</v>
      </c>
      <c r="AS25" s="246">
        <f>ROUND(IF('Included @ Interval'!AS25="yes",'Hours Per Job'!AS25*'Interval Reimb'!$B$38+'Parts Cost Per Job'!AS25*((1+'Interval Reimb'!$B$39)*'Interval Reimb'!$B$40),0),2)</f>
        <v>0</v>
      </c>
      <c r="AT25" s="246">
        <f>ROUND(IF('Included @ Interval'!AT25="yes",'Hours Per Job'!AT25*'Interval Reimb'!$B$38+'Parts Cost Per Job'!AT25*((1+'Interval Reimb'!$B$39)*'Interval Reimb'!$B$40),0),2)</f>
        <v>71.069999999999993</v>
      </c>
      <c r="AU25" s="246">
        <f>ROUND(IF('Included @ Interval'!AU25="yes",'Hours Per Job'!AU25*'Interval Reimb'!$B$38+'Parts Cost Per Job'!AU25*((1+'Interval Reimb'!$B$39)*'Interval Reimb'!$B$40),0),2)</f>
        <v>0</v>
      </c>
      <c r="AV25" s="246">
        <f>ROUND(IF('Included @ Interval'!AV25="yes",'Hours Per Job'!AV25*'Interval Reimb'!$B$38+'Parts Cost Per Job'!AV25*((1+'Interval Reimb'!$B$39)*'Interval Reimb'!$B$40),0),2)</f>
        <v>0</v>
      </c>
      <c r="AW25" s="246">
        <f>ROUND(IF('Included @ Interval'!AW25="yes",'Hours Per Job'!AW25*'Interval Reimb'!$B$38+'Parts Cost Per Job'!AW25*((1+'Interval Reimb'!$B$39)*'Interval Reimb'!$B$40),0),2)</f>
        <v>0</v>
      </c>
      <c r="AX25" s="246">
        <f>ROUND(IF('Included @ Interval'!AX25="yes",'Hours Per Job'!AX25*'Interval Reimb'!$B$38+'Parts Cost Per Job'!AX25*((1+'Interval Reimb'!$B$39)*'Interval Reimb'!$B$40),0),2)</f>
        <v>0</v>
      </c>
      <c r="AY25" s="246">
        <f>ROUND(IF('Included @ Interval'!AY25="yes",'Hours Per Job'!AY25*'Interval Reimb'!$B$38+'Parts Cost Per Job'!AY25*((1+'Interval Reimb'!$B$39)*'Interval Reimb'!$B$40),0),2)</f>
        <v>0</v>
      </c>
      <c r="AZ25" s="246">
        <f>ROUND(IF('Included @ Interval'!AZ25="yes",'Hours Per Job'!AZ25*'Interval Reimb'!$B$38+'Parts Cost Per Job'!AZ25*((1+'Interval Reimb'!$B$39)*'Interval Reimb'!$B$40),0),2)</f>
        <v>0</v>
      </c>
      <c r="BA25" s="246">
        <f>ROUND(IF('Included @ Interval'!BA25="yes",'Hours Per Job'!BA25*'Interval Reimb'!$B$38+'Parts Cost Per Job'!BA25*((1+'Interval Reimb'!$B$39)*'Interval Reimb'!$B$40),0),2)</f>
        <v>0</v>
      </c>
      <c r="BB25" s="246">
        <f>ROUND(IF('Included @ Interval'!BB25="yes",'Hours Per Job'!BB25*'Interval Reimb'!$B$38+'Parts Cost Per Job'!BB25*((1+'Interval Reimb'!$B$39)*'Interval Reimb'!$B$40),0),2)</f>
        <v>65.97</v>
      </c>
      <c r="BC25" s="246">
        <f>ROUND(IF('Included @ Interval'!BC25="yes",'Hours Per Job'!BC25*'Interval Reimb'!$B$38+'Parts Cost Per Job'!BC25*((1+'Interval Reimb'!$B$39)*'Interval Reimb'!$B$40),0),2)</f>
        <v>0</v>
      </c>
      <c r="BD25" s="246">
        <f>ROUND(IF('Included @ Interval'!BD25="yes",'Hours Per Job'!BD25*'Interval Reimb'!$B$38+'Parts Cost Per Job'!BD25*((1+'Interval Reimb'!$B$39)*'Interval Reimb'!$B$40),0),2)</f>
        <v>0</v>
      </c>
      <c r="BE25" s="246">
        <f>ROUND(IF('Included @ Interval'!BE25="yes",'Hours Per Job'!BE25*'Interval Reimb'!$B$38+'Parts Cost Per Job'!BE25*((1+'Interval Reimb'!$B$39)*'Interval Reimb'!$B$40),0),2)</f>
        <v>0</v>
      </c>
      <c r="BF25" s="246">
        <f>ROUND(IF('Included @ Interval'!BF25="yes",'Hours Per Job'!BF25*'Interval Reimb'!$B$38+'Parts Cost Per Job'!BF25*((1+'Interval Reimb'!$B$39)*'Interval Reimb'!$B$40),0),2)</f>
        <v>0</v>
      </c>
      <c r="BG25" s="246">
        <f>ROUND(IF('Included @ Interval'!BG25="yes",'Hours Per Job'!BG25*'Interval Reimb'!$B$38+'Parts Cost Per Job'!BG25*((1+'Interval Reimb'!$B$39)*'Interval Reimb'!$B$40),0),2)</f>
        <v>0</v>
      </c>
      <c r="BH25" s="246">
        <f>ROUND(IF('Included @ Interval'!BH25="yes",'Hours Per Job'!BH25*'Interval Reimb'!$B$38+'Parts Cost Per Job'!BH25*((1+'Interval Reimb'!$B$39)*'Interval Reimb'!$B$40),0),2)</f>
        <v>0</v>
      </c>
      <c r="BI25" s="246">
        <f>ROUND(IF('Included @ Interval'!BI25="yes",'Hours Per Job'!BI25*'Interval Reimb'!$B$38+'Parts Cost Per Job'!BI25*((1+'Interval Reimb'!$B$39)*'Interval Reimb'!$B$40),0),2)</f>
        <v>0</v>
      </c>
      <c r="BJ25" s="246">
        <f>ROUND(IF('Included @ Interval'!BJ25="yes",'Hours Per Job'!BJ25*'Interval Reimb'!$B$38+'Parts Cost Per Job'!BJ25*((1+'Interval Reimb'!$B$39)*'Interval Reimb'!$B$40),0),2)</f>
        <v>30</v>
      </c>
      <c r="BK25" s="246">
        <f>ROUND(IF('Included @ Interval'!BK25="yes",'Hours Per Job'!BK25*'Interval Reimb'!$B$38+'Parts Cost Per Job'!BK25*((1+'Interval Reimb'!$B$39)*'Interval Reimb'!$B$40),0),2)</f>
        <v>0</v>
      </c>
      <c r="BL25" s="246">
        <f>ROUND(IF('Included @ Interval'!BL25="yes",'Hours Per Job'!BL25*'Interval Reimb'!$B$38+'Parts Cost Per Job'!BL25*((1+'Interval Reimb'!$B$39)*'Interval Reimb'!$B$40),0),2)</f>
        <v>0</v>
      </c>
      <c r="BM25" s="246">
        <f>ROUND(IF('Included @ Interval'!BM25="yes",'Hours Per Job'!BM25*'Interval Reimb'!$B$38+'Parts Cost Per Job'!BM25*((1+'Interval Reimb'!$B$39)*'Interval Reimb'!$B$40),0),2)</f>
        <v>0</v>
      </c>
      <c r="BN25" s="246">
        <f>ROUND(IF('Included @ Interval'!BN25="yes",'Hours Per Job'!BN25*'Interval Reimb'!$B$38+'Parts Cost Per Job'!BN25*((1+'Interval Reimb'!$B$39)*'Interval Reimb'!$B$40),0),2)</f>
        <v>0</v>
      </c>
      <c r="BO25" s="246">
        <f>ROUND(IF('Included @ Interval'!BO25="yes",'Hours Per Job'!BO25*'Interval Reimb'!$B$38+'Parts Cost Per Job'!BO25*((1+'Interval Reimb'!$B$39)*'Interval Reimb'!$B$40),0),2)</f>
        <v>0</v>
      </c>
      <c r="BP25" s="246">
        <f>ROUND(IF('Included @ Interval'!BP25="yes",'Hours Per Job'!BP25*'Interval Reimb'!$B$38+'Parts Cost Per Job'!BP25*((1+'Interval Reimb'!$B$39)*'Interval Reimb'!$B$40),0),2)</f>
        <v>0</v>
      </c>
      <c r="BQ25" s="9">
        <f t="shared" si="0"/>
        <v>571.34</v>
      </c>
      <c r="BR25" s="9">
        <f t="shared" si="1"/>
        <v>3.0500000000000003</v>
      </c>
    </row>
    <row r="26" spans="1:70" x14ac:dyDescent="0.2">
      <c r="A26" s="18" t="str">
        <f>+'Scheduled Intervals'!A26</f>
        <v>Sany SY up to 60</v>
      </c>
      <c r="B26" s="246">
        <f>ROUND(IF('Included @ Interval'!B26="yes",'Hours Per Job'!B26*'Interval Reimb'!$B$38+'Parts Cost Per Job'!B26*((1+'Interval Reimb'!$B$39)*'Interval Reimb'!$B$40),0),2)</f>
        <v>0</v>
      </c>
      <c r="C26" s="246">
        <f>ROUND(IF('Included @ Interval'!C26="yes",'Hours Per Job'!C26*'Interval Reimb'!$B$38+'Parts Cost Per Job'!C26*((1+'Interval Reimb'!$B$39)*'Interval Reimb'!$B$40),0),2)</f>
        <v>0</v>
      </c>
      <c r="D26" s="246">
        <f>ROUND(IF('Included @ Interval'!D26="yes",'Hours Per Job'!D26*'Interval Reimb'!$B$38+'Parts Cost Per Job'!D26*((1+'Interval Reimb'!$B$39)*'Interval Reimb'!$B$40),0),2)</f>
        <v>0</v>
      </c>
      <c r="E26" s="246">
        <f>ROUND(IF('Included @ Interval'!E26="yes",'Hours Per Job'!E26*'Interval Reimb'!$B$38+'Parts Cost Per Job'!E26*((1+'Interval Reimb'!$B$39)*'Interval Reimb'!$B$40),0),2)</f>
        <v>0</v>
      </c>
      <c r="F26" s="246">
        <f>ROUND(IF('Included @ Interval'!F26="yes",'Hours Per Job'!F26*'Interval Reimb'!$B$38+'Parts Cost Per Job'!F26*((1+'Interval Reimb'!$B$39)*'Interval Reimb'!$B$40),0),2)</f>
        <v>0</v>
      </c>
      <c r="G26" s="246">
        <f>ROUND(IF('Included @ Interval'!G26="yes",'Hours Per Job'!G26*'Interval Reimb'!$B$38+'Parts Cost Per Job'!G26*((1+'Interval Reimb'!$B$39)*'Interval Reimb'!$B$40),0),2)</f>
        <v>0</v>
      </c>
      <c r="H26" s="246">
        <f>ROUND(IF('Included @ Interval'!H26="yes",'Hours Per Job'!H26*'Interval Reimb'!$B$38+'Parts Cost Per Job'!H26*((1+'Interval Reimb'!$B$39)*'Interval Reimb'!$B$40),0),2)</f>
        <v>0</v>
      </c>
      <c r="I26" s="246">
        <f>ROUND(IF('Included @ Interval'!I26="yes",'Hours Per Job'!I26*'Interval Reimb'!$B$38+'Parts Cost Per Job'!I26*((1+'Interval Reimb'!$B$39)*'Interval Reimb'!$B$40),0),2)</f>
        <v>0</v>
      </c>
      <c r="J26" s="246">
        <f>ROUND(IF('Included @ Interval'!J26="yes",'Hours Per Job'!J26*'Interval Reimb'!$B$38+'Parts Cost Per Job'!J26*((1+'Interval Reimb'!$B$39)*'Interval Reimb'!$B$40),0),2)</f>
        <v>0</v>
      </c>
      <c r="K26" s="246">
        <f>ROUND(IF('Included @ Interval'!K26="yes",'Hours Per Job'!K26*'Interval Reimb'!$B$38+'Parts Cost Per Job'!K26*((1+'Interval Reimb'!$B$39)*'Interval Reimb'!$B$40),0),2)</f>
        <v>0</v>
      </c>
      <c r="L26" s="246">
        <f>ROUND(IF('Included @ Interval'!L26="yes",'Hours Per Job'!L26*'Interval Reimb'!$B$38+'Parts Cost Per Job'!L26*((1+'Interval Reimb'!$B$39)*'Interval Reimb'!$B$40),0),2)</f>
        <v>0</v>
      </c>
      <c r="M26" s="246">
        <f>ROUND(IF('Included @ Interval'!M26="yes",'Hours Per Job'!M26*'Interval Reimb'!$B$38+'Parts Cost Per Job'!M26*((1+'Interval Reimb'!$B$39)*'Interval Reimb'!$B$40),0),2)</f>
        <v>0</v>
      </c>
      <c r="N26" s="246">
        <f>ROUND(IF('Included @ Interval'!N26="yes",'Hours Per Job'!N26*'Interval Reimb'!$B$38+'Parts Cost Per Job'!N26*((1+'Interval Reimb'!$B$39)*'Interval Reimb'!$B$40),0),2)</f>
        <v>0</v>
      </c>
      <c r="O26" s="246">
        <f>ROUND(IF('Included @ Interval'!O26="yes",'Hours Per Job'!O26*'Interval Reimb'!$B$38+'Parts Cost Per Job'!O26*((1+'Interval Reimb'!$B$39)*'Interval Reimb'!$B$40),0),2)</f>
        <v>0</v>
      </c>
      <c r="P26" s="246">
        <f>ROUND(IF('Included @ Interval'!P26="yes",'Hours Per Job'!P26*'Interval Reimb'!$B$38+'Parts Cost Per Job'!P26*((1+'Interval Reimb'!$B$39)*'Interval Reimb'!$B$40),0),2)</f>
        <v>0</v>
      </c>
      <c r="Q26" s="246">
        <f>ROUND(IF('Included @ Interval'!Q26="yes",'Hours Per Job'!Q26*'Interval Reimb'!$B$38+'Parts Cost Per Job'!Q26*((1+'Interval Reimb'!$B$39)*'Interval Reimb'!$B$40),0),2)</f>
        <v>0</v>
      </c>
      <c r="R26" s="246">
        <f>ROUND(IF('Included @ Interval'!R26="yes",'Hours Per Job'!R26*'Interval Reimb'!$B$38+'Parts Cost Per Job'!R26*((1+'Interval Reimb'!$B$39)*'Interval Reimb'!$B$40),0),2)</f>
        <v>0</v>
      </c>
      <c r="S26" s="246">
        <f>ROUND(IF('Included @ Interval'!S26="yes",'Hours Per Job'!S26*'Interval Reimb'!$B$38+'Parts Cost Per Job'!S26*((1+'Interval Reimb'!$B$39)*'Interval Reimb'!$B$40),0),2)</f>
        <v>0</v>
      </c>
      <c r="T26" s="246">
        <f>ROUND(IF('Included @ Interval'!T26="yes",'Hours Per Job'!T26*'Interval Reimb'!$B$38+'Parts Cost Per Job'!T26*((1+'Interval Reimb'!$B$39)*'Interval Reimb'!$B$40),0),2)</f>
        <v>0</v>
      </c>
      <c r="U26" s="246">
        <f>ROUND(IF('Included @ Interval'!U26="yes",'Hours Per Job'!U26*'Interval Reimb'!$B$38+'Parts Cost Per Job'!U26*((1+'Interval Reimb'!$B$39)*'Interval Reimb'!$B$40),0),2)</f>
        <v>164.59</v>
      </c>
      <c r="V26" s="246">
        <f>ROUND(IF('Included @ Interval'!V26="yes",'Hours Per Job'!V26*'Interval Reimb'!$B$38+'Parts Cost Per Job'!V26*((1+'Interval Reimb'!$B$39)*'Interval Reimb'!$B$40),0),2)</f>
        <v>0</v>
      </c>
      <c r="W26" s="246">
        <f>ROUND(IF('Included @ Interval'!W26="yes",'Hours Per Job'!W26*'Interval Reimb'!$B$38+'Parts Cost Per Job'!W26*((1+'Interval Reimb'!$B$39)*'Interval Reimb'!$B$40),0),2)</f>
        <v>0</v>
      </c>
      <c r="X26" s="246">
        <f>ROUND(IF('Included @ Interval'!X26="yes",'Hours Per Job'!X26*'Interval Reimb'!$B$38+'Parts Cost Per Job'!X26*((1+'Interval Reimb'!$B$39)*'Interval Reimb'!$B$40),0),2)</f>
        <v>103.51</v>
      </c>
      <c r="Y26" s="246">
        <f>ROUND(IF('Included @ Interval'!Y26="yes",'Hours Per Job'!Y26*'Interval Reimb'!$B$38+'Parts Cost Per Job'!Y26*((1+'Interval Reimb'!$B$39)*'Interval Reimb'!$B$40),0),2)</f>
        <v>0</v>
      </c>
      <c r="Z26" s="246">
        <f>ROUND(IF('Included @ Interval'!Z26="yes",'Hours Per Job'!Z26*'Interval Reimb'!$B$38+'Parts Cost Per Job'!Z26*((1+'Interval Reimb'!$B$39)*'Interval Reimb'!$B$40),0),2)</f>
        <v>64.760000000000005</v>
      </c>
      <c r="AA26" s="246">
        <f>ROUND(IF('Included @ Interval'!AA26="yes",'Hours Per Job'!AA26*'Interval Reimb'!$B$38+'Parts Cost Per Job'!AA26*((1+'Interval Reimb'!$B$39)*'Interval Reimb'!$B$40),0),2)</f>
        <v>0</v>
      </c>
      <c r="AB26" s="246">
        <f>ROUND(IF('Included @ Interval'!AB26="yes",'Hours Per Job'!AB26*'Interval Reimb'!$B$38+'Parts Cost Per Job'!AB26*((1+'Interval Reimb'!$B$39)*'Interval Reimb'!$B$40),0),2)</f>
        <v>0</v>
      </c>
      <c r="AC26" s="246">
        <f>ROUND(IF('Included @ Interval'!AC26="yes",'Hours Per Job'!AC26*'Interval Reimb'!$B$38+'Parts Cost Per Job'!AC26*((1+'Interval Reimb'!$B$39)*'Interval Reimb'!$B$40),0),2)</f>
        <v>0</v>
      </c>
      <c r="AD26" s="246">
        <f>ROUND(IF('Included @ Interval'!AD26="yes",'Hours Per Job'!AD26*'Interval Reimb'!$B$38+'Parts Cost Per Job'!AD26*((1+'Interval Reimb'!$B$39)*'Interval Reimb'!$B$40),0),2)</f>
        <v>0</v>
      </c>
      <c r="AE26" s="246">
        <f>ROUND(IF('Included @ Interval'!AE26="yes",'Hours Per Job'!AE26*'Interval Reimb'!$B$38+'Parts Cost Per Job'!AE26*((1+'Interval Reimb'!$B$39)*'Interval Reimb'!$B$40),0),2)</f>
        <v>0</v>
      </c>
      <c r="AF26" s="246">
        <f>ROUND(IF('Included @ Interval'!AF26="yes",'Hours Per Job'!AF26*'Interval Reimb'!$B$38+'Parts Cost Per Job'!AF26*((1+'Interval Reimb'!$B$39)*'Interval Reimb'!$B$40),0),2)</f>
        <v>0</v>
      </c>
      <c r="AG26" s="246">
        <f>ROUND(IF('Included @ Interval'!AG26="yes",'Hours Per Job'!AG26*'Interval Reimb'!$B$38+'Parts Cost Per Job'!AG26*((1+'Interval Reimb'!$B$39)*'Interval Reimb'!$B$40),0),2)</f>
        <v>0</v>
      </c>
      <c r="AH26" s="246">
        <f>ROUND(IF('Included @ Interval'!AH26="yes",'Hours Per Job'!AH26*'Interval Reimb'!$B$38+'Parts Cost Per Job'!AH26*((1+'Interval Reimb'!$B$39)*'Interval Reimb'!$B$40),0),2)</f>
        <v>0</v>
      </c>
      <c r="AI26" s="246">
        <f>ROUND(IF('Included @ Interval'!AI26="yes",'Hours Per Job'!AI26*'Interval Reimb'!$B$38+'Parts Cost Per Job'!AI26*((1+'Interval Reimb'!$B$39)*'Interval Reimb'!$B$40),0),2)</f>
        <v>0</v>
      </c>
      <c r="AJ26" s="246">
        <f>ROUND(IF('Included @ Interval'!AJ26="yes",'Hours Per Job'!AJ26*'Interval Reimb'!$B$38+'Parts Cost Per Job'!AJ26*((1+'Interval Reimb'!$B$39)*'Interval Reimb'!$B$40),0),2)</f>
        <v>0</v>
      </c>
      <c r="AK26" s="246">
        <f>ROUND(IF('Included @ Interval'!AK26="yes",'Hours Per Job'!AK26*'Interval Reimb'!$B$38+'Parts Cost Per Job'!AK26*((1+'Interval Reimb'!$B$39)*'Interval Reimb'!$B$40),0),2)</f>
        <v>138.08000000000001</v>
      </c>
      <c r="AL26" s="246">
        <f>ROUND(IF('Included @ Interval'!AL26="yes",'Hours Per Job'!AL26*'Interval Reimb'!$B$38+'Parts Cost Per Job'!AL26*((1+'Interval Reimb'!$B$39)*'Interval Reimb'!$B$40),0),2)</f>
        <v>0</v>
      </c>
      <c r="AM26" s="246">
        <f>ROUND(IF('Included @ Interval'!AM26="yes",'Hours Per Job'!AM26*'Interval Reimb'!$B$38+'Parts Cost Per Job'!AM26*((1+'Interval Reimb'!$B$39)*'Interval Reimb'!$B$40),0),2)</f>
        <v>0</v>
      </c>
      <c r="AN26" s="246">
        <f>ROUND(IF('Included @ Interval'!AN26="yes",'Hours Per Job'!AN26*'Interval Reimb'!$B$38+'Parts Cost Per Job'!AN26*((1+'Interval Reimb'!$B$39)*'Interval Reimb'!$B$40),0),2)</f>
        <v>0</v>
      </c>
      <c r="AO26" s="246">
        <f>ROUND(IF('Included @ Interval'!AO26="yes",'Hours Per Job'!AO26*'Interval Reimb'!$B$38+'Parts Cost Per Job'!AO26*((1+'Interval Reimb'!$B$39)*'Interval Reimb'!$B$40),0),2)</f>
        <v>0</v>
      </c>
      <c r="AP26" s="246">
        <f>ROUND(IF('Included @ Interval'!AP26="yes",'Hours Per Job'!AP26*'Interval Reimb'!$B$38+'Parts Cost Per Job'!AP26*((1+'Interval Reimb'!$B$39)*'Interval Reimb'!$B$40),0),2)</f>
        <v>0</v>
      </c>
      <c r="AQ26" s="246">
        <f>ROUND(IF('Included @ Interval'!AQ26="yes",'Hours Per Job'!AQ26*'Interval Reimb'!$B$38+'Parts Cost Per Job'!AQ26*((1+'Interval Reimb'!$B$39)*'Interval Reimb'!$B$40),0),2)</f>
        <v>0</v>
      </c>
      <c r="AR26" s="246">
        <f>ROUND(IF('Included @ Interval'!AR26="yes",'Hours Per Job'!AR26*'Interval Reimb'!$B$38+'Parts Cost Per Job'!AR26*((1+'Interval Reimb'!$B$39)*'Interval Reimb'!$B$40),0),2)</f>
        <v>0</v>
      </c>
      <c r="AS26" s="246">
        <f>ROUND(IF('Included @ Interval'!AS26="yes",'Hours Per Job'!AS26*'Interval Reimb'!$B$38+'Parts Cost Per Job'!AS26*((1+'Interval Reimb'!$B$39)*'Interval Reimb'!$B$40),0),2)</f>
        <v>0</v>
      </c>
      <c r="AT26" s="246">
        <f>ROUND(IF('Included @ Interval'!AT26="yes",'Hours Per Job'!AT26*'Interval Reimb'!$B$38+'Parts Cost Per Job'!AT26*((1+'Interval Reimb'!$B$39)*'Interval Reimb'!$B$40),0),2)</f>
        <v>71.069999999999993</v>
      </c>
      <c r="AU26" s="246">
        <f>ROUND(IF('Included @ Interval'!AU26="yes",'Hours Per Job'!AU26*'Interval Reimb'!$B$38+'Parts Cost Per Job'!AU26*((1+'Interval Reimb'!$B$39)*'Interval Reimb'!$B$40),0),2)</f>
        <v>0</v>
      </c>
      <c r="AV26" s="246">
        <f>ROUND(IF('Included @ Interval'!AV26="yes",'Hours Per Job'!AV26*'Interval Reimb'!$B$38+'Parts Cost Per Job'!AV26*((1+'Interval Reimb'!$B$39)*'Interval Reimb'!$B$40),0),2)</f>
        <v>0</v>
      </c>
      <c r="AW26" s="246">
        <f>ROUND(IF('Included @ Interval'!AW26="yes",'Hours Per Job'!AW26*'Interval Reimb'!$B$38+'Parts Cost Per Job'!AW26*((1+'Interval Reimb'!$B$39)*'Interval Reimb'!$B$40),0),2)</f>
        <v>0</v>
      </c>
      <c r="AX26" s="246">
        <f>ROUND(IF('Included @ Interval'!AX26="yes",'Hours Per Job'!AX26*'Interval Reimb'!$B$38+'Parts Cost Per Job'!AX26*((1+'Interval Reimb'!$B$39)*'Interval Reimb'!$B$40),0),2)</f>
        <v>0</v>
      </c>
      <c r="AY26" s="246">
        <f>ROUND(IF('Included @ Interval'!AY26="yes",'Hours Per Job'!AY26*'Interval Reimb'!$B$38+'Parts Cost Per Job'!AY26*((1+'Interval Reimb'!$B$39)*'Interval Reimb'!$B$40),0),2)</f>
        <v>0</v>
      </c>
      <c r="AZ26" s="246">
        <f>ROUND(IF('Included @ Interval'!AZ26="yes",'Hours Per Job'!AZ26*'Interval Reimb'!$B$38+'Parts Cost Per Job'!AZ26*((1+'Interval Reimb'!$B$39)*'Interval Reimb'!$B$40),0),2)</f>
        <v>0</v>
      </c>
      <c r="BA26" s="246">
        <f>ROUND(IF('Included @ Interval'!BA26="yes",'Hours Per Job'!BA26*'Interval Reimb'!$B$38+'Parts Cost Per Job'!BA26*((1+'Interval Reimb'!$B$39)*'Interval Reimb'!$B$40),0),2)</f>
        <v>0</v>
      </c>
      <c r="BB26" s="246">
        <f>ROUND(IF('Included @ Interval'!BB26="yes",'Hours Per Job'!BB26*'Interval Reimb'!$B$38+'Parts Cost Per Job'!BB26*((1+'Interval Reimb'!$B$39)*'Interval Reimb'!$B$40),0),2)</f>
        <v>65.97</v>
      </c>
      <c r="BC26" s="246">
        <f>ROUND(IF('Included @ Interval'!BC26="yes",'Hours Per Job'!BC26*'Interval Reimb'!$B$38+'Parts Cost Per Job'!BC26*((1+'Interval Reimb'!$B$39)*'Interval Reimb'!$B$40),0),2)</f>
        <v>0</v>
      </c>
      <c r="BD26" s="246">
        <f>ROUND(IF('Included @ Interval'!BD26="yes",'Hours Per Job'!BD26*'Interval Reimb'!$B$38+'Parts Cost Per Job'!BD26*((1+'Interval Reimb'!$B$39)*'Interval Reimb'!$B$40),0),2)</f>
        <v>0</v>
      </c>
      <c r="BE26" s="246">
        <f>ROUND(IF('Included @ Interval'!BE26="yes",'Hours Per Job'!BE26*'Interval Reimb'!$B$38+'Parts Cost Per Job'!BE26*((1+'Interval Reimb'!$B$39)*'Interval Reimb'!$B$40),0),2)</f>
        <v>0</v>
      </c>
      <c r="BF26" s="246">
        <f>ROUND(IF('Included @ Interval'!BF26="yes",'Hours Per Job'!BF26*'Interval Reimb'!$B$38+'Parts Cost Per Job'!BF26*((1+'Interval Reimb'!$B$39)*'Interval Reimb'!$B$40),0),2)</f>
        <v>0</v>
      </c>
      <c r="BG26" s="246">
        <f>ROUND(IF('Included @ Interval'!BG26="yes",'Hours Per Job'!BG26*'Interval Reimb'!$B$38+'Parts Cost Per Job'!BG26*((1+'Interval Reimb'!$B$39)*'Interval Reimb'!$B$40),0),2)</f>
        <v>0</v>
      </c>
      <c r="BH26" s="246">
        <f>ROUND(IF('Included @ Interval'!BH26="yes",'Hours Per Job'!BH26*'Interval Reimb'!$B$38+'Parts Cost Per Job'!BH26*((1+'Interval Reimb'!$B$39)*'Interval Reimb'!$B$40),0),2)</f>
        <v>0</v>
      </c>
      <c r="BI26" s="246">
        <f>ROUND(IF('Included @ Interval'!BI26="yes",'Hours Per Job'!BI26*'Interval Reimb'!$B$38+'Parts Cost Per Job'!BI26*((1+'Interval Reimb'!$B$39)*'Interval Reimb'!$B$40),0),2)</f>
        <v>0</v>
      </c>
      <c r="BJ26" s="246">
        <f>ROUND(IF('Included @ Interval'!BJ26="yes",'Hours Per Job'!BJ26*'Interval Reimb'!$B$38+'Parts Cost Per Job'!BJ26*((1+'Interval Reimb'!$B$39)*'Interval Reimb'!$B$40),0),2)</f>
        <v>30</v>
      </c>
      <c r="BK26" s="246">
        <f>ROUND(IF('Included @ Interval'!BK26="yes",'Hours Per Job'!BK26*'Interval Reimb'!$B$38+'Parts Cost Per Job'!BK26*((1+'Interval Reimb'!$B$39)*'Interval Reimb'!$B$40),0),2)</f>
        <v>0</v>
      </c>
      <c r="BL26" s="246">
        <f>ROUND(IF('Included @ Interval'!BL26="yes",'Hours Per Job'!BL26*'Interval Reimb'!$B$38+'Parts Cost Per Job'!BL26*((1+'Interval Reimb'!$B$39)*'Interval Reimb'!$B$40),0),2)</f>
        <v>0</v>
      </c>
      <c r="BM26" s="246">
        <f>ROUND(IF('Included @ Interval'!BM26="yes",'Hours Per Job'!BM26*'Interval Reimb'!$B$38+'Parts Cost Per Job'!BM26*((1+'Interval Reimb'!$B$39)*'Interval Reimb'!$B$40),0),2)</f>
        <v>0</v>
      </c>
      <c r="BN26" s="246">
        <f>ROUND(IF('Included @ Interval'!BN26="yes",'Hours Per Job'!BN26*'Interval Reimb'!$B$38+'Parts Cost Per Job'!BN26*((1+'Interval Reimb'!$B$39)*'Interval Reimb'!$B$40),0),2)</f>
        <v>0</v>
      </c>
      <c r="BO26" s="246">
        <f>ROUND(IF('Included @ Interval'!BO26="yes",'Hours Per Job'!BO26*'Interval Reimb'!$B$38+'Parts Cost Per Job'!BO26*((1+'Interval Reimb'!$B$39)*'Interval Reimb'!$B$40),0),2)</f>
        <v>0</v>
      </c>
      <c r="BP26" s="246">
        <f>ROUND(IF('Included @ Interval'!BP26="yes",'Hours Per Job'!BP26*'Interval Reimb'!$B$38+'Parts Cost Per Job'!BP26*((1+'Interval Reimb'!$B$39)*'Interval Reimb'!$B$40),0),2)</f>
        <v>0</v>
      </c>
      <c r="BQ26" s="9">
        <f t="shared" si="0"/>
        <v>637.98</v>
      </c>
      <c r="BR26" s="9">
        <f t="shared" si="1"/>
        <v>3.0500000000000003</v>
      </c>
    </row>
    <row r="27" spans="1:70" x14ac:dyDescent="0.2">
      <c r="A27" s="18" t="str">
        <f>+'Scheduled Intervals'!A27</f>
        <v>Sany SY up to 155</v>
      </c>
      <c r="B27" s="246">
        <f>ROUND(IF('Included @ Interval'!B27="yes",'Hours Per Job'!B27*'Interval Reimb'!$B$38+'Parts Cost Per Job'!B27*((1+'Interval Reimb'!$B$39)*'Interval Reimb'!$B$40),0),2)</f>
        <v>0</v>
      </c>
      <c r="C27" s="246">
        <f>ROUND(IF('Included @ Interval'!C27="yes",'Hours Per Job'!C27*'Interval Reimb'!$B$38+'Parts Cost Per Job'!C27*((1+'Interval Reimb'!$B$39)*'Interval Reimb'!$B$40),0),2)</f>
        <v>0</v>
      </c>
      <c r="D27" s="246">
        <f>ROUND(IF('Included @ Interval'!D27="yes",'Hours Per Job'!D27*'Interval Reimb'!$B$38+'Parts Cost Per Job'!D27*((1+'Interval Reimb'!$B$39)*'Interval Reimb'!$B$40),0),2)</f>
        <v>0</v>
      </c>
      <c r="E27" s="246">
        <f>ROUND(IF('Included @ Interval'!E27="yes",'Hours Per Job'!E27*'Interval Reimb'!$B$38+'Parts Cost Per Job'!E27*((1+'Interval Reimb'!$B$39)*'Interval Reimb'!$B$40),0),2)</f>
        <v>0</v>
      </c>
      <c r="F27" s="246">
        <f>ROUND(IF('Included @ Interval'!F27="yes",'Hours Per Job'!F27*'Interval Reimb'!$B$38+'Parts Cost Per Job'!F27*((1+'Interval Reimb'!$B$39)*'Interval Reimb'!$B$40),0),2)</f>
        <v>0</v>
      </c>
      <c r="G27" s="246">
        <f>ROUND(IF('Included @ Interval'!G27="yes",'Hours Per Job'!G27*'Interval Reimb'!$B$38+'Parts Cost Per Job'!G27*((1+'Interval Reimb'!$B$39)*'Interval Reimb'!$B$40),0),2)</f>
        <v>0</v>
      </c>
      <c r="H27" s="246">
        <f>ROUND(IF('Included @ Interval'!H27="yes",'Hours Per Job'!H27*'Interval Reimb'!$B$38+'Parts Cost Per Job'!H27*((1+'Interval Reimb'!$B$39)*'Interval Reimb'!$B$40),0),2)</f>
        <v>0</v>
      </c>
      <c r="I27" s="246">
        <f>ROUND(IF('Included @ Interval'!I27="yes",'Hours Per Job'!I27*'Interval Reimb'!$B$38+'Parts Cost Per Job'!I27*((1+'Interval Reimb'!$B$39)*'Interval Reimb'!$B$40),0),2)</f>
        <v>0</v>
      </c>
      <c r="J27" s="246">
        <f>ROUND(IF('Included @ Interval'!J27="yes",'Hours Per Job'!J27*'Interval Reimb'!$B$38+'Parts Cost Per Job'!J27*((1+'Interval Reimb'!$B$39)*'Interval Reimb'!$B$40),0),2)</f>
        <v>0</v>
      </c>
      <c r="K27" s="246">
        <f>ROUND(IF('Included @ Interval'!K27="yes",'Hours Per Job'!K27*'Interval Reimb'!$B$38+'Parts Cost Per Job'!K27*((1+'Interval Reimb'!$B$39)*'Interval Reimb'!$B$40),0),2)</f>
        <v>0</v>
      </c>
      <c r="L27" s="246">
        <f>ROUND(IF('Included @ Interval'!L27="yes",'Hours Per Job'!L27*'Interval Reimb'!$B$38+'Parts Cost Per Job'!L27*((1+'Interval Reimb'!$B$39)*'Interval Reimb'!$B$40),0),2)</f>
        <v>0</v>
      </c>
      <c r="M27" s="246">
        <f>ROUND(IF('Included @ Interval'!M27="yes",'Hours Per Job'!M27*'Interval Reimb'!$B$38+'Parts Cost Per Job'!M27*((1+'Interval Reimb'!$B$39)*'Interval Reimb'!$B$40),0),2)</f>
        <v>0</v>
      </c>
      <c r="N27" s="246">
        <f>ROUND(IF('Included @ Interval'!N27="yes",'Hours Per Job'!N27*'Interval Reimb'!$B$38+'Parts Cost Per Job'!N27*((1+'Interval Reimb'!$B$39)*'Interval Reimb'!$B$40),0),2)</f>
        <v>0</v>
      </c>
      <c r="O27" s="246">
        <f>ROUND(IF('Included @ Interval'!O27="yes",'Hours Per Job'!O27*'Interval Reimb'!$B$38+'Parts Cost Per Job'!O27*((1+'Interval Reimb'!$B$39)*'Interval Reimb'!$B$40),0),2)</f>
        <v>0</v>
      </c>
      <c r="P27" s="246">
        <f>ROUND(IF('Included @ Interval'!P27="yes",'Hours Per Job'!P27*'Interval Reimb'!$B$38+'Parts Cost Per Job'!P27*((1+'Interval Reimb'!$B$39)*'Interval Reimb'!$B$40),0),2)</f>
        <v>0</v>
      </c>
      <c r="Q27" s="246">
        <f>ROUND(IF('Included @ Interval'!Q27="yes",'Hours Per Job'!Q27*'Interval Reimb'!$B$38+'Parts Cost Per Job'!Q27*((1+'Interval Reimb'!$B$39)*'Interval Reimb'!$B$40),0),2)</f>
        <v>0</v>
      </c>
      <c r="R27" s="246">
        <f>ROUND(IF('Included @ Interval'!R27="yes",'Hours Per Job'!R27*'Interval Reimb'!$B$38+'Parts Cost Per Job'!R27*((1+'Interval Reimb'!$B$39)*'Interval Reimb'!$B$40),0),2)</f>
        <v>0</v>
      </c>
      <c r="S27" s="246">
        <f>ROUND(IF('Included @ Interval'!S27="yes",'Hours Per Job'!S27*'Interval Reimb'!$B$38+'Parts Cost Per Job'!S27*((1+'Interval Reimb'!$B$39)*'Interval Reimb'!$B$40),0),2)</f>
        <v>0</v>
      </c>
      <c r="T27" s="246">
        <f>ROUND(IF('Included @ Interval'!T27="yes",'Hours Per Job'!T27*'Interval Reimb'!$B$38+'Parts Cost Per Job'!T27*((1+'Interval Reimb'!$B$39)*'Interval Reimb'!$B$40),0),2)</f>
        <v>0</v>
      </c>
      <c r="U27" s="246">
        <f>ROUND(IF('Included @ Interval'!U27="yes",'Hours Per Job'!U27*'Interval Reimb'!$B$38+'Parts Cost Per Job'!U27*((1+'Interval Reimb'!$B$39)*'Interval Reimb'!$B$40),0),2)</f>
        <v>200.84</v>
      </c>
      <c r="V27" s="246">
        <f>ROUND(IF('Included @ Interval'!V27="yes",'Hours Per Job'!V27*'Interval Reimb'!$B$38+'Parts Cost Per Job'!V27*((1+'Interval Reimb'!$B$39)*'Interval Reimb'!$B$40),0),2)</f>
        <v>0</v>
      </c>
      <c r="W27" s="246">
        <f>ROUND(IF('Included @ Interval'!W27="yes",'Hours Per Job'!W27*'Interval Reimb'!$B$38+'Parts Cost Per Job'!W27*((1+'Interval Reimb'!$B$39)*'Interval Reimb'!$B$40),0),2)</f>
        <v>0</v>
      </c>
      <c r="X27" s="246">
        <f>ROUND(IF('Included @ Interval'!X27="yes",'Hours Per Job'!X27*'Interval Reimb'!$B$38+'Parts Cost Per Job'!X27*((1+'Interval Reimb'!$B$39)*'Interval Reimb'!$B$40),0),2)</f>
        <v>0</v>
      </c>
      <c r="Y27" s="246">
        <f>ROUND(IF('Included @ Interval'!Y27="yes",'Hours Per Job'!Y27*'Interval Reimb'!$B$38+'Parts Cost Per Job'!Y27*((1+'Interval Reimb'!$B$39)*'Interval Reimb'!$B$40),0),2)</f>
        <v>0</v>
      </c>
      <c r="Z27" s="246">
        <f>ROUND(IF('Included @ Interval'!Z27="yes",'Hours Per Job'!Z27*'Interval Reimb'!$B$38+'Parts Cost Per Job'!Z27*((1+'Interval Reimb'!$B$39)*'Interval Reimb'!$B$40),0),2)</f>
        <v>64.760000000000005</v>
      </c>
      <c r="AA27" s="246">
        <f>ROUND(IF('Included @ Interval'!AA27="yes",'Hours Per Job'!AA27*'Interval Reimb'!$B$38+'Parts Cost Per Job'!AA27*((1+'Interval Reimb'!$B$39)*'Interval Reimb'!$B$40),0),2)</f>
        <v>0</v>
      </c>
      <c r="AB27" s="246">
        <f>ROUND(IF('Included @ Interval'!AB27="yes",'Hours Per Job'!AB27*'Interval Reimb'!$B$38+'Parts Cost Per Job'!AB27*((1+'Interval Reimb'!$B$39)*'Interval Reimb'!$B$40),0),2)</f>
        <v>0</v>
      </c>
      <c r="AC27" s="246">
        <f>ROUND(IF('Included @ Interval'!AC27="yes",'Hours Per Job'!AC27*'Interval Reimb'!$B$38+'Parts Cost Per Job'!AC27*((1+'Interval Reimb'!$B$39)*'Interval Reimb'!$B$40),0),2)</f>
        <v>0</v>
      </c>
      <c r="AD27" s="246">
        <f>ROUND(IF('Included @ Interval'!AD27="yes",'Hours Per Job'!AD27*'Interval Reimb'!$B$38+'Parts Cost Per Job'!AD27*((1+'Interval Reimb'!$B$39)*'Interval Reimb'!$B$40),0),2)</f>
        <v>0</v>
      </c>
      <c r="AE27" s="246">
        <f>ROUND(IF('Included @ Interval'!AE27="yes",'Hours Per Job'!AE27*'Interval Reimb'!$B$38+'Parts Cost Per Job'!AE27*((1+'Interval Reimb'!$B$39)*'Interval Reimb'!$B$40),0),2)</f>
        <v>0</v>
      </c>
      <c r="AF27" s="246">
        <f>ROUND(IF('Included @ Interval'!AF27="yes",'Hours Per Job'!AF27*'Interval Reimb'!$B$38+'Parts Cost Per Job'!AF27*((1+'Interval Reimb'!$B$39)*'Interval Reimb'!$B$40),0),2)</f>
        <v>44.77</v>
      </c>
      <c r="AG27" s="246">
        <f>ROUND(IF('Included @ Interval'!AG27="yes",'Hours Per Job'!AG27*'Interval Reimb'!$B$38+'Parts Cost Per Job'!AG27*((1+'Interval Reimb'!$B$39)*'Interval Reimb'!$B$40),0),2)</f>
        <v>0</v>
      </c>
      <c r="AH27" s="246">
        <f>ROUND(IF('Included @ Interval'!AH27="yes",'Hours Per Job'!AH27*'Interval Reimb'!$B$38+'Parts Cost Per Job'!AH27*((1+'Interval Reimb'!$B$39)*'Interval Reimb'!$B$40),0),2)</f>
        <v>0</v>
      </c>
      <c r="AI27" s="246">
        <f>ROUND(IF('Included @ Interval'!AI27="yes",'Hours Per Job'!AI27*'Interval Reimb'!$B$38+'Parts Cost Per Job'!AI27*((1+'Interval Reimb'!$B$39)*'Interval Reimb'!$B$40),0),2)</f>
        <v>0</v>
      </c>
      <c r="AJ27" s="246">
        <f>ROUND(IF('Included @ Interval'!AJ27="yes",'Hours Per Job'!AJ27*'Interval Reimb'!$B$38+'Parts Cost Per Job'!AJ27*((1+'Interval Reimb'!$B$39)*'Interval Reimb'!$B$40),0),2)</f>
        <v>0</v>
      </c>
      <c r="AK27" s="246">
        <f>ROUND(IF('Included @ Interval'!AK27="yes",'Hours Per Job'!AK27*'Interval Reimb'!$B$38+'Parts Cost Per Job'!AK27*((1+'Interval Reimb'!$B$39)*'Interval Reimb'!$B$40),0),2)</f>
        <v>0</v>
      </c>
      <c r="AL27" s="246">
        <f>ROUND(IF('Included @ Interval'!AL27="yes",'Hours Per Job'!AL27*'Interval Reimb'!$B$38+'Parts Cost Per Job'!AL27*((1+'Interval Reimb'!$B$39)*'Interval Reimb'!$B$40),0),2)</f>
        <v>0</v>
      </c>
      <c r="AM27" s="246">
        <f>ROUND(IF('Included @ Interval'!AM27="yes",'Hours Per Job'!AM27*'Interval Reimb'!$B$38+'Parts Cost Per Job'!AM27*((1+'Interval Reimb'!$B$39)*'Interval Reimb'!$B$40),0),2)</f>
        <v>0</v>
      </c>
      <c r="AN27" s="246">
        <f>ROUND(IF('Included @ Interval'!AN27="yes",'Hours Per Job'!AN27*'Interval Reimb'!$B$38+'Parts Cost Per Job'!AN27*((1+'Interval Reimb'!$B$39)*'Interval Reimb'!$B$40),0),2)</f>
        <v>0</v>
      </c>
      <c r="AO27" s="246">
        <f>ROUND(IF('Included @ Interval'!AO27="yes",'Hours Per Job'!AO27*'Interval Reimb'!$B$38+'Parts Cost Per Job'!AO27*((1+'Interval Reimb'!$B$39)*'Interval Reimb'!$B$40),0),2)</f>
        <v>0</v>
      </c>
      <c r="AP27" s="246">
        <f>ROUND(IF('Included @ Interval'!AP27="yes",'Hours Per Job'!AP27*'Interval Reimb'!$B$38+'Parts Cost Per Job'!AP27*((1+'Interval Reimb'!$B$39)*'Interval Reimb'!$B$40),0),2)</f>
        <v>0</v>
      </c>
      <c r="AQ27" s="246">
        <f>ROUND(IF('Included @ Interval'!AQ27="yes",'Hours Per Job'!AQ27*'Interval Reimb'!$B$38+'Parts Cost Per Job'!AQ27*((1+'Interval Reimb'!$B$39)*'Interval Reimb'!$B$40),0),2)</f>
        <v>0</v>
      </c>
      <c r="AR27" s="246">
        <f>ROUND(IF('Included @ Interval'!AR27="yes",'Hours Per Job'!AR27*'Interval Reimb'!$B$38+'Parts Cost Per Job'!AR27*((1+'Interval Reimb'!$B$39)*'Interval Reimb'!$B$40),0),2)</f>
        <v>0</v>
      </c>
      <c r="AS27" s="246">
        <f>ROUND(IF('Included @ Interval'!AS27="yes",'Hours Per Job'!AS27*'Interval Reimb'!$B$38+'Parts Cost Per Job'!AS27*((1+'Interval Reimb'!$B$39)*'Interval Reimb'!$B$40),0),2)</f>
        <v>0</v>
      </c>
      <c r="AT27" s="246">
        <f>ROUND(IF('Included @ Interval'!AT27="yes",'Hours Per Job'!AT27*'Interval Reimb'!$B$38+'Parts Cost Per Job'!AT27*((1+'Interval Reimb'!$B$39)*'Interval Reimb'!$B$40),0),2)</f>
        <v>71.069999999999993</v>
      </c>
      <c r="AU27" s="246">
        <f>ROUND(IF('Included @ Interval'!AU27="yes",'Hours Per Job'!AU27*'Interval Reimb'!$B$38+'Parts Cost Per Job'!AU27*((1+'Interval Reimb'!$B$39)*'Interval Reimb'!$B$40),0),2)</f>
        <v>0</v>
      </c>
      <c r="AV27" s="246">
        <f>ROUND(IF('Included @ Interval'!AV27="yes",'Hours Per Job'!AV27*'Interval Reimb'!$B$38+'Parts Cost Per Job'!AV27*((1+'Interval Reimb'!$B$39)*'Interval Reimb'!$B$40),0),2)</f>
        <v>0</v>
      </c>
      <c r="AW27" s="246">
        <f>ROUND(IF('Included @ Interval'!AW27="yes",'Hours Per Job'!AW27*'Interval Reimb'!$B$38+'Parts Cost Per Job'!AW27*((1+'Interval Reimb'!$B$39)*'Interval Reimb'!$B$40),0),2)</f>
        <v>0</v>
      </c>
      <c r="AX27" s="246">
        <f>ROUND(IF('Included @ Interval'!AX27="yes",'Hours Per Job'!AX27*'Interval Reimb'!$B$38+'Parts Cost Per Job'!AX27*((1+'Interval Reimb'!$B$39)*'Interval Reimb'!$B$40),0),2)</f>
        <v>0</v>
      </c>
      <c r="AY27" s="246">
        <f>ROUND(IF('Included @ Interval'!AY27="yes",'Hours Per Job'!AY27*'Interval Reimb'!$B$38+'Parts Cost Per Job'!AY27*((1+'Interval Reimb'!$B$39)*'Interval Reimb'!$B$40),0),2)</f>
        <v>0</v>
      </c>
      <c r="AZ27" s="246">
        <f>ROUND(IF('Included @ Interval'!AZ27="yes",'Hours Per Job'!AZ27*'Interval Reimb'!$B$38+'Parts Cost Per Job'!AZ27*((1+'Interval Reimb'!$B$39)*'Interval Reimb'!$B$40),0),2)</f>
        <v>0</v>
      </c>
      <c r="BA27" s="246">
        <f>ROUND(IF('Included @ Interval'!BA27="yes",'Hours Per Job'!BA27*'Interval Reimb'!$B$38+'Parts Cost Per Job'!BA27*((1+'Interval Reimb'!$B$39)*'Interval Reimb'!$B$40),0),2)</f>
        <v>0</v>
      </c>
      <c r="BB27" s="246">
        <f>ROUND(IF('Included @ Interval'!BB27="yes",'Hours Per Job'!BB27*'Interval Reimb'!$B$38+'Parts Cost Per Job'!BB27*((1+'Interval Reimb'!$B$39)*'Interval Reimb'!$B$40),0),2)</f>
        <v>188.04</v>
      </c>
      <c r="BC27" s="246">
        <f>ROUND(IF('Included @ Interval'!BC27="yes",'Hours Per Job'!BC27*'Interval Reimb'!$B$38+'Parts Cost Per Job'!BC27*((1+'Interval Reimb'!$B$39)*'Interval Reimb'!$B$40),0),2)</f>
        <v>0</v>
      </c>
      <c r="BD27" s="246">
        <f>ROUND(IF('Included @ Interval'!BD27="yes",'Hours Per Job'!BD27*'Interval Reimb'!$B$38+'Parts Cost Per Job'!BD27*((1+'Interval Reimb'!$B$39)*'Interval Reimb'!$B$40),0),2)</f>
        <v>0</v>
      </c>
      <c r="BE27" s="246">
        <f>ROUND(IF('Included @ Interval'!BE27="yes",'Hours Per Job'!BE27*'Interval Reimb'!$B$38+'Parts Cost Per Job'!BE27*((1+'Interval Reimb'!$B$39)*'Interval Reimb'!$B$40),0),2)</f>
        <v>0</v>
      </c>
      <c r="BF27" s="246">
        <f>ROUND(IF('Included @ Interval'!BF27="yes",'Hours Per Job'!BF27*'Interval Reimb'!$B$38+'Parts Cost Per Job'!BF27*((1+'Interval Reimb'!$B$39)*'Interval Reimb'!$B$40),0),2)</f>
        <v>0</v>
      </c>
      <c r="BG27" s="246">
        <f>ROUND(IF('Included @ Interval'!BG27="yes",'Hours Per Job'!BG27*'Interval Reimb'!$B$38+'Parts Cost Per Job'!BG27*((1+'Interval Reimb'!$B$39)*'Interval Reimb'!$B$40),0),2)</f>
        <v>0</v>
      </c>
      <c r="BH27" s="246">
        <f>ROUND(IF('Included @ Interval'!BH27="yes",'Hours Per Job'!BH27*'Interval Reimb'!$B$38+'Parts Cost Per Job'!BH27*((1+'Interval Reimb'!$B$39)*'Interval Reimb'!$B$40),0),2)</f>
        <v>0</v>
      </c>
      <c r="BI27" s="246">
        <f>ROUND(IF('Included @ Interval'!BI27="yes",'Hours Per Job'!BI27*'Interval Reimb'!$B$38+'Parts Cost Per Job'!BI27*((1+'Interval Reimb'!$B$39)*'Interval Reimb'!$B$40),0),2)</f>
        <v>0</v>
      </c>
      <c r="BJ27" s="246">
        <f>ROUND(IF('Included @ Interval'!BJ27="yes",'Hours Per Job'!BJ27*'Interval Reimb'!$B$38+'Parts Cost Per Job'!BJ27*((1+'Interval Reimb'!$B$39)*'Interval Reimb'!$B$40),0),2)</f>
        <v>30</v>
      </c>
      <c r="BK27" s="246">
        <f>ROUND(IF('Included @ Interval'!BK27="yes",'Hours Per Job'!BK27*'Interval Reimb'!$B$38+'Parts Cost Per Job'!BK27*((1+'Interval Reimb'!$B$39)*'Interval Reimb'!$B$40),0),2)</f>
        <v>0</v>
      </c>
      <c r="BL27" s="246">
        <f>ROUND(IF('Included @ Interval'!BL27="yes",'Hours Per Job'!BL27*'Interval Reimb'!$B$38+'Parts Cost Per Job'!BL27*((1+'Interval Reimb'!$B$39)*'Interval Reimb'!$B$40),0),2)</f>
        <v>0</v>
      </c>
      <c r="BM27" s="246">
        <f>ROUND(IF('Included @ Interval'!BM27="yes",'Hours Per Job'!BM27*'Interval Reimb'!$B$38+'Parts Cost Per Job'!BM27*((1+'Interval Reimb'!$B$39)*'Interval Reimb'!$B$40),0),2)</f>
        <v>0</v>
      </c>
      <c r="BN27" s="246">
        <f>ROUND(IF('Included @ Interval'!BN27="yes",'Hours Per Job'!BN27*'Interval Reimb'!$B$38+'Parts Cost Per Job'!BN27*((1+'Interval Reimb'!$B$39)*'Interval Reimb'!$B$40),0),2)</f>
        <v>0</v>
      </c>
      <c r="BO27" s="246">
        <f>ROUND(IF('Included @ Interval'!BO27="yes",'Hours Per Job'!BO27*'Interval Reimb'!$B$38+'Parts Cost Per Job'!BO27*((1+'Interval Reimb'!$B$39)*'Interval Reimb'!$B$40),0),2)</f>
        <v>0</v>
      </c>
      <c r="BP27" s="246">
        <f>ROUND(IF('Included @ Interval'!BP27="yes",'Hours Per Job'!BP27*'Interval Reimb'!$B$38+'Parts Cost Per Job'!BP27*((1+'Interval Reimb'!$B$39)*'Interval Reimb'!$B$40),0),2)</f>
        <v>0</v>
      </c>
      <c r="BQ27" s="9">
        <f t="shared" si="0"/>
        <v>599.48</v>
      </c>
      <c r="BR27" s="9">
        <f t="shared" si="1"/>
        <v>1.9500000000000002</v>
      </c>
    </row>
    <row r="28" spans="1:70" x14ac:dyDescent="0.2">
      <c r="A28" s="18" t="str">
        <f>+'Scheduled Intervals'!A28</f>
        <v>Sany SY up to 215</v>
      </c>
      <c r="B28" s="246">
        <f>ROUND(IF('Included @ Interval'!B28="yes",'Hours Per Job'!B28*'Interval Reimb'!$B$38+'Parts Cost Per Job'!B28*((1+'Interval Reimb'!$B$39)*'Interval Reimb'!$B$40),0),2)</f>
        <v>0</v>
      </c>
      <c r="C28" s="246">
        <f>ROUND(IF('Included @ Interval'!C28="yes",'Hours Per Job'!C28*'Interval Reimb'!$B$38+'Parts Cost Per Job'!C28*((1+'Interval Reimb'!$B$39)*'Interval Reimb'!$B$40),0),2)</f>
        <v>0</v>
      </c>
      <c r="D28" s="246">
        <f>ROUND(IF('Included @ Interval'!D28="yes",'Hours Per Job'!D28*'Interval Reimb'!$B$38+'Parts Cost Per Job'!D28*((1+'Interval Reimb'!$B$39)*'Interval Reimb'!$B$40),0),2)</f>
        <v>0</v>
      </c>
      <c r="E28" s="246">
        <f>ROUND(IF('Included @ Interval'!E28="yes",'Hours Per Job'!E28*'Interval Reimb'!$B$38+'Parts Cost Per Job'!E28*((1+'Interval Reimb'!$B$39)*'Interval Reimb'!$B$40),0),2)</f>
        <v>0</v>
      </c>
      <c r="F28" s="246">
        <f>ROUND(IF('Included @ Interval'!F28="yes",'Hours Per Job'!F28*'Interval Reimb'!$B$38+'Parts Cost Per Job'!F28*((1+'Interval Reimb'!$B$39)*'Interval Reimb'!$B$40),0),2)</f>
        <v>0</v>
      </c>
      <c r="G28" s="246">
        <f>ROUND(IF('Included @ Interval'!G28="yes",'Hours Per Job'!G28*'Interval Reimb'!$B$38+'Parts Cost Per Job'!G28*((1+'Interval Reimb'!$B$39)*'Interval Reimb'!$B$40),0),2)</f>
        <v>0</v>
      </c>
      <c r="H28" s="246">
        <f>ROUND(IF('Included @ Interval'!H28="yes",'Hours Per Job'!H28*'Interval Reimb'!$B$38+'Parts Cost Per Job'!H28*((1+'Interval Reimb'!$B$39)*'Interval Reimb'!$B$40),0),2)</f>
        <v>0</v>
      </c>
      <c r="I28" s="246">
        <f>ROUND(IF('Included @ Interval'!I28="yes",'Hours Per Job'!I28*'Interval Reimb'!$B$38+'Parts Cost Per Job'!I28*((1+'Interval Reimb'!$B$39)*'Interval Reimb'!$B$40),0),2)</f>
        <v>0</v>
      </c>
      <c r="J28" s="246">
        <f>ROUND(IF('Included @ Interval'!J28="yes",'Hours Per Job'!J28*'Interval Reimb'!$B$38+'Parts Cost Per Job'!J28*((1+'Interval Reimb'!$B$39)*'Interval Reimb'!$B$40),0),2)</f>
        <v>0</v>
      </c>
      <c r="K28" s="246">
        <f>ROUND(IF('Included @ Interval'!K28="yes",'Hours Per Job'!K28*'Interval Reimb'!$B$38+'Parts Cost Per Job'!K28*((1+'Interval Reimb'!$B$39)*'Interval Reimb'!$B$40),0),2)</f>
        <v>0</v>
      </c>
      <c r="L28" s="246">
        <f>ROUND(IF('Included @ Interval'!L28="yes",'Hours Per Job'!L28*'Interval Reimb'!$B$38+'Parts Cost Per Job'!L28*((1+'Interval Reimb'!$B$39)*'Interval Reimb'!$B$40),0),2)</f>
        <v>0</v>
      </c>
      <c r="M28" s="246">
        <f>ROUND(IF('Included @ Interval'!M28="yes",'Hours Per Job'!M28*'Interval Reimb'!$B$38+'Parts Cost Per Job'!M28*((1+'Interval Reimb'!$B$39)*'Interval Reimb'!$B$40),0),2)</f>
        <v>0</v>
      </c>
      <c r="N28" s="246">
        <f>ROUND(IF('Included @ Interval'!N28="yes",'Hours Per Job'!N28*'Interval Reimb'!$B$38+'Parts Cost Per Job'!N28*((1+'Interval Reimb'!$B$39)*'Interval Reimb'!$B$40),0),2)</f>
        <v>0</v>
      </c>
      <c r="O28" s="246">
        <f>ROUND(IF('Included @ Interval'!O28="yes",'Hours Per Job'!O28*'Interval Reimb'!$B$38+'Parts Cost Per Job'!O28*((1+'Interval Reimb'!$B$39)*'Interval Reimb'!$B$40),0),2)</f>
        <v>0</v>
      </c>
      <c r="P28" s="246">
        <f>ROUND(IF('Included @ Interval'!P28="yes",'Hours Per Job'!P28*'Interval Reimb'!$B$38+'Parts Cost Per Job'!P28*((1+'Interval Reimb'!$B$39)*'Interval Reimb'!$B$40),0),2)</f>
        <v>0</v>
      </c>
      <c r="Q28" s="246">
        <f>ROUND(IF('Included @ Interval'!Q28="yes",'Hours Per Job'!Q28*'Interval Reimb'!$B$38+'Parts Cost Per Job'!Q28*((1+'Interval Reimb'!$B$39)*'Interval Reimb'!$B$40),0),2)</f>
        <v>0</v>
      </c>
      <c r="R28" s="246">
        <f>ROUND(IF('Included @ Interval'!R28="yes",'Hours Per Job'!R28*'Interval Reimb'!$B$38+'Parts Cost Per Job'!R28*((1+'Interval Reimb'!$B$39)*'Interval Reimb'!$B$40),0),2)</f>
        <v>0</v>
      </c>
      <c r="S28" s="246">
        <f>ROUND(IF('Included @ Interval'!S28="yes",'Hours Per Job'!S28*'Interval Reimb'!$B$38+'Parts Cost Per Job'!S28*((1+'Interval Reimb'!$B$39)*'Interval Reimb'!$B$40),0),2)</f>
        <v>0</v>
      </c>
      <c r="T28" s="246">
        <f>ROUND(IF('Included @ Interval'!T28="yes",'Hours Per Job'!T28*'Interval Reimb'!$B$38+'Parts Cost Per Job'!T28*((1+'Interval Reimb'!$B$39)*'Interval Reimb'!$B$40),0),2)</f>
        <v>0</v>
      </c>
      <c r="U28" s="246">
        <f>ROUND(IF('Included @ Interval'!U28="yes",'Hours Per Job'!U28*'Interval Reimb'!$B$38+'Parts Cost Per Job'!U28*((1+'Interval Reimb'!$B$39)*'Interval Reimb'!$B$40),0),2)</f>
        <v>279.39999999999998</v>
      </c>
      <c r="V28" s="246">
        <f>ROUND(IF('Included @ Interval'!V28="yes",'Hours Per Job'!V28*'Interval Reimb'!$B$38+'Parts Cost Per Job'!V28*((1+'Interval Reimb'!$B$39)*'Interval Reimb'!$B$40),0),2)</f>
        <v>0</v>
      </c>
      <c r="W28" s="246">
        <f>ROUND(IF('Included @ Interval'!W28="yes",'Hours Per Job'!W28*'Interval Reimb'!$B$38+'Parts Cost Per Job'!W28*((1+'Interval Reimb'!$B$39)*'Interval Reimb'!$B$40),0),2)</f>
        <v>0</v>
      </c>
      <c r="X28" s="246">
        <f>ROUND(IF('Included @ Interval'!X28="yes",'Hours Per Job'!X28*'Interval Reimb'!$B$38+'Parts Cost Per Job'!X28*((1+'Interval Reimb'!$B$39)*'Interval Reimb'!$B$40),0),2)</f>
        <v>0</v>
      </c>
      <c r="Y28" s="246">
        <f>ROUND(IF('Included @ Interval'!Y28="yes",'Hours Per Job'!Y28*'Interval Reimb'!$B$38+'Parts Cost Per Job'!Y28*((1+'Interval Reimb'!$B$39)*'Interval Reimb'!$B$40),0),2)</f>
        <v>0</v>
      </c>
      <c r="Z28" s="246">
        <f>ROUND(IF('Included @ Interval'!Z28="yes",'Hours Per Job'!Z28*'Interval Reimb'!$B$38+'Parts Cost Per Job'!Z28*((1+'Interval Reimb'!$B$39)*'Interval Reimb'!$B$40),0),2)</f>
        <v>170.13</v>
      </c>
      <c r="AA28" s="246">
        <f>ROUND(IF('Included @ Interval'!AA28="yes",'Hours Per Job'!AA28*'Interval Reimb'!$B$38+'Parts Cost Per Job'!AA28*((1+'Interval Reimb'!$B$39)*'Interval Reimb'!$B$40),0),2)</f>
        <v>0</v>
      </c>
      <c r="AB28" s="246">
        <f>ROUND(IF('Included @ Interval'!AB28="yes",'Hours Per Job'!AB28*'Interval Reimb'!$B$38+'Parts Cost Per Job'!AB28*((1+'Interval Reimb'!$B$39)*'Interval Reimb'!$B$40),0),2)</f>
        <v>0</v>
      </c>
      <c r="AC28" s="246">
        <f>ROUND(IF('Included @ Interval'!AC28="yes",'Hours Per Job'!AC28*'Interval Reimb'!$B$38+'Parts Cost Per Job'!AC28*((1+'Interval Reimb'!$B$39)*'Interval Reimb'!$B$40),0),2)</f>
        <v>0</v>
      </c>
      <c r="AD28" s="246">
        <f>ROUND(IF('Included @ Interval'!AD28="yes",'Hours Per Job'!AD28*'Interval Reimb'!$B$38+'Parts Cost Per Job'!AD28*((1+'Interval Reimb'!$B$39)*'Interval Reimb'!$B$40),0),2)</f>
        <v>0</v>
      </c>
      <c r="AE28" s="246">
        <f>ROUND(IF('Included @ Interval'!AE28="yes",'Hours Per Job'!AE28*'Interval Reimb'!$B$38+'Parts Cost Per Job'!AE28*((1+'Interval Reimb'!$B$39)*'Interval Reimb'!$B$40),0),2)</f>
        <v>0</v>
      </c>
      <c r="AF28" s="246">
        <f>ROUND(IF('Included @ Interval'!AF28="yes",'Hours Per Job'!AF28*'Interval Reimb'!$B$38+'Parts Cost Per Job'!AF28*((1+'Interval Reimb'!$B$39)*'Interval Reimb'!$B$40),0),2)</f>
        <v>44.77</v>
      </c>
      <c r="AG28" s="246">
        <f>ROUND(IF('Included @ Interval'!AG28="yes",'Hours Per Job'!AG28*'Interval Reimb'!$B$38+'Parts Cost Per Job'!AG28*((1+'Interval Reimb'!$B$39)*'Interval Reimb'!$B$40),0),2)</f>
        <v>0</v>
      </c>
      <c r="AH28" s="246">
        <f>ROUND(IF('Included @ Interval'!AH28="yes",'Hours Per Job'!AH28*'Interval Reimb'!$B$38+'Parts Cost Per Job'!AH28*((1+'Interval Reimb'!$B$39)*'Interval Reimb'!$B$40),0),2)</f>
        <v>85.07</v>
      </c>
      <c r="AI28" s="246">
        <f>ROUND(IF('Included @ Interval'!AI28="yes",'Hours Per Job'!AI28*'Interval Reimb'!$B$38+'Parts Cost Per Job'!AI28*((1+'Interval Reimb'!$B$39)*'Interval Reimb'!$B$40),0),2)</f>
        <v>0</v>
      </c>
      <c r="AJ28" s="246">
        <f>ROUND(IF('Included @ Interval'!AJ28="yes",'Hours Per Job'!AJ28*'Interval Reimb'!$B$38+'Parts Cost Per Job'!AJ28*((1+'Interval Reimb'!$B$39)*'Interval Reimb'!$B$40),0),2)</f>
        <v>210.56</v>
      </c>
      <c r="AK28" s="246">
        <f>ROUND(IF('Included @ Interval'!AK28="yes",'Hours Per Job'!AK28*'Interval Reimb'!$B$38+'Parts Cost Per Job'!AK28*((1+'Interval Reimb'!$B$39)*'Interval Reimb'!$B$40),0),2)</f>
        <v>0</v>
      </c>
      <c r="AL28" s="246">
        <f>ROUND(IF('Included @ Interval'!AL28="yes",'Hours Per Job'!AL28*'Interval Reimb'!$B$38+'Parts Cost Per Job'!AL28*((1+'Interval Reimb'!$B$39)*'Interval Reimb'!$B$40),0),2)</f>
        <v>0</v>
      </c>
      <c r="AM28" s="246">
        <f>ROUND(IF('Included @ Interval'!AM28="yes",'Hours Per Job'!AM28*'Interval Reimb'!$B$38+'Parts Cost Per Job'!AM28*((1+'Interval Reimb'!$B$39)*'Interval Reimb'!$B$40),0),2)</f>
        <v>0</v>
      </c>
      <c r="AN28" s="246">
        <f>ROUND(IF('Included @ Interval'!AN28="yes",'Hours Per Job'!AN28*'Interval Reimb'!$B$38+'Parts Cost Per Job'!AN28*((1+'Interval Reimb'!$B$39)*'Interval Reimb'!$B$40),0),2)</f>
        <v>0</v>
      </c>
      <c r="AO28" s="246">
        <f>ROUND(IF('Included @ Interval'!AO28="yes",'Hours Per Job'!AO28*'Interval Reimb'!$B$38+'Parts Cost Per Job'!AO28*((1+'Interval Reimb'!$B$39)*'Interval Reimb'!$B$40),0),2)</f>
        <v>0</v>
      </c>
      <c r="AP28" s="246">
        <f>ROUND(IF('Included @ Interval'!AP28="yes",'Hours Per Job'!AP28*'Interval Reimb'!$B$38+'Parts Cost Per Job'!AP28*((1+'Interval Reimb'!$B$39)*'Interval Reimb'!$B$40),0),2)</f>
        <v>0</v>
      </c>
      <c r="AQ28" s="246">
        <f>ROUND(IF('Included @ Interval'!AQ28="yes",'Hours Per Job'!AQ28*'Interval Reimb'!$B$38+'Parts Cost Per Job'!AQ28*((1+'Interval Reimb'!$B$39)*'Interval Reimb'!$B$40),0),2)</f>
        <v>0</v>
      </c>
      <c r="AR28" s="246">
        <f>ROUND(IF('Included @ Interval'!AR28="yes",'Hours Per Job'!AR28*'Interval Reimb'!$B$38+'Parts Cost Per Job'!AR28*((1+'Interval Reimb'!$B$39)*'Interval Reimb'!$B$40),0),2)</f>
        <v>0</v>
      </c>
      <c r="AS28" s="246">
        <f>ROUND(IF('Included @ Interval'!AS28="yes",'Hours Per Job'!AS28*'Interval Reimb'!$B$38+'Parts Cost Per Job'!AS28*((1+'Interval Reimb'!$B$39)*'Interval Reimb'!$B$40),0),2)</f>
        <v>0</v>
      </c>
      <c r="AT28" s="246">
        <f>ROUND(IF('Included @ Interval'!AT28="yes",'Hours Per Job'!AT28*'Interval Reimb'!$B$38+'Parts Cost Per Job'!AT28*((1+'Interval Reimb'!$B$39)*'Interval Reimb'!$B$40),0),2)</f>
        <v>95.07</v>
      </c>
      <c r="AU28" s="246">
        <f>ROUND(IF('Included @ Interval'!AU28="yes",'Hours Per Job'!AU28*'Interval Reimb'!$B$38+'Parts Cost Per Job'!AU28*((1+'Interval Reimb'!$B$39)*'Interval Reimb'!$B$40),0),2)</f>
        <v>0</v>
      </c>
      <c r="AV28" s="246">
        <f>ROUND(IF('Included @ Interval'!AV28="yes",'Hours Per Job'!AV28*'Interval Reimb'!$B$38+'Parts Cost Per Job'!AV28*((1+'Interval Reimb'!$B$39)*'Interval Reimb'!$B$40),0),2)</f>
        <v>0</v>
      </c>
      <c r="AW28" s="246">
        <f>ROUND(IF('Included @ Interval'!AW28="yes",'Hours Per Job'!AW28*'Interval Reimb'!$B$38+'Parts Cost Per Job'!AW28*((1+'Interval Reimb'!$B$39)*'Interval Reimb'!$B$40),0),2)</f>
        <v>0</v>
      </c>
      <c r="AX28" s="246">
        <f>ROUND(IF('Included @ Interval'!AX28="yes",'Hours Per Job'!AX28*'Interval Reimb'!$B$38+'Parts Cost Per Job'!AX28*((1+'Interval Reimb'!$B$39)*'Interval Reimb'!$B$40),0),2)</f>
        <v>0</v>
      </c>
      <c r="AY28" s="246">
        <f>ROUND(IF('Included @ Interval'!AY28="yes",'Hours Per Job'!AY28*'Interval Reimb'!$B$38+'Parts Cost Per Job'!AY28*((1+'Interval Reimb'!$B$39)*'Interval Reimb'!$B$40),0),2)</f>
        <v>0</v>
      </c>
      <c r="AZ28" s="246">
        <f>ROUND(IF('Included @ Interval'!AZ28="yes",'Hours Per Job'!AZ28*'Interval Reimb'!$B$38+'Parts Cost Per Job'!AZ28*((1+'Interval Reimb'!$B$39)*'Interval Reimb'!$B$40),0),2)</f>
        <v>0</v>
      </c>
      <c r="BA28" s="246">
        <f>ROUND(IF('Included @ Interval'!BA28="yes",'Hours Per Job'!BA28*'Interval Reimb'!$B$38+'Parts Cost Per Job'!BA28*((1+'Interval Reimb'!$B$39)*'Interval Reimb'!$B$40),0),2)</f>
        <v>0</v>
      </c>
      <c r="BB28" s="246">
        <f>ROUND(IF('Included @ Interval'!BB28="yes",'Hours Per Job'!BB28*'Interval Reimb'!$B$38+'Parts Cost Per Job'!BB28*((1+'Interval Reimb'!$B$39)*'Interval Reimb'!$B$40),0),2)</f>
        <v>188.04</v>
      </c>
      <c r="BC28" s="246">
        <f>ROUND(IF('Included @ Interval'!BC28="yes",'Hours Per Job'!BC28*'Interval Reimb'!$B$38+'Parts Cost Per Job'!BC28*((1+'Interval Reimb'!$B$39)*'Interval Reimb'!$B$40),0),2)</f>
        <v>0</v>
      </c>
      <c r="BD28" s="246">
        <f>ROUND(IF('Included @ Interval'!BD28="yes",'Hours Per Job'!BD28*'Interval Reimb'!$B$38+'Parts Cost Per Job'!BD28*((1+'Interval Reimb'!$B$39)*'Interval Reimb'!$B$40),0),2)</f>
        <v>0</v>
      </c>
      <c r="BE28" s="246">
        <f>ROUND(IF('Included @ Interval'!BE28="yes",'Hours Per Job'!BE28*'Interval Reimb'!$B$38+'Parts Cost Per Job'!BE28*((1+'Interval Reimb'!$B$39)*'Interval Reimb'!$B$40),0),2)</f>
        <v>0</v>
      </c>
      <c r="BF28" s="246">
        <f>ROUND(IF('Included @ Interval'!BF28="yes",'Hours Per Job'!BF28*'Interval Reimb'!$B$38+'Parts Cost Per Job'!BF28*((1+'Interval Reimb'!$B$39)*'Interval Reimb'!$B$40),0),2)</f>
        <v>0</v>
      </c>
      <c r="BG28" s="246">
        <f>ROUND(IF('Included @ Interval'!BG28="yes",'Hours Per Job'!BG28*'Interval Reimb'!$B$38+'Parts Cost Per Job'!BG28*((1+'Interval Reimb'!$B$39)*'Interval Reimb'!$B$40),0),2)</f>
        <v>0</v>
      </c>
      <c r="BH28" s="246">
        <f>ROUND(IF('Included @ Interval'!BH28="yes",'Hours Per Job'!BH28*'Interval Reimb'!$B$38+'Parts Cost Per Job'!BH28*((1+'Interval Reimb'!$B$39)*'Interval Reimb'!$B$40),0),2)</f>
        <v>0</v>
      </c>
      <c r="BI28" s="246">
        <f>ROUND(IF('Included @ Interval'!BI28="yes",'Hours Per Job'!BI28*'Interval Reimb'!$B$38+'Parts Cost Per Job'!BI28*((1+'Interval Reimb'!$B$39)*'Interval Reimb'!$B$40),0),2)</f>
        <v>0</v>
      </c>
      <c r="BJ28" s="246">
        <f>ROUND(IF('Included @ Interval'!BJ28="yes",'Hours Per Job'!BJ28*'Interval Reimb'!$B$38+'Parts Cost Per Job'!BJ28*((1+'Interval Reimb'!$B$39)*'Interval Reimb'!$B$40),0),2)</f>
        <v>30</v>
      </c>
      <c r="BK28" s="246">
        <f>ROUND(IF('Included @ Interval'!BK28="yes",'Hours Per Job'!BK28*'Interval Reimb'!$B$38+'Parts Cost Per Job'!BK28*((1+'Interval Reimb'!$B$39)*'Interval Reimb'!$B$40),0),2)</f>
        <v>0</v>
      </c>
      <c r="BL28" s="246">
        <f>ROUND(IF('Included @ Interval'!BL28="yes",'Hours Per Job'!BL28*'Interval Reimb'!$B$38+'Parts Cost Per Job'!BL28*((1+'Interval Reimb'!$B$39)*'Interval Reimb'!$B$40),0),2)</f>
        <v>0</v>
      </c>
      <c r="BM28" s="246">
        <f>ROUND(IF('Included @ Interval'!BM28="yes",'Hours Per Job'!BM28*'Interval Reimb'!$B$38+'Parts Cost Per Job'!BM28*((1+'Interval Reimb'!$B$39)*'Interval Reimb'!$B$40),0),2)</f>
        <v>0</v>
      </c>
      <c r="BN28" s="246">
        <f>ROUND(IF('Included @ Interval'!BN28="yes",'Hours Per Job'!BN28*'Interval Reimb'!$B$38+'Parts Cost Per Job'!BN28*((1+'Interval Reimb'!$B$39)*'Interval Reimb'!$B$40),0),2)</f>
        <v>0</v>
      </c>
      <c r="BO28" s="246">
        <f>ROUND(IF('Included @ Interval'!BO28="yes",'Hours Per Job'!BO28*'Interval Reimb'!$B$38+'Parts Cost Per Job'!BO28*((1+'Interval Reimb'!$B$39)*'Interval Reimb'!$B$40),0),2)</f>
        <v>0</v>
      </c>
      <c r="BP28" s="246">
        <f>ROUND(IF('Included @ Interval'!BP28="yes",'Hours Per Job'!BP28*'Interval Reimb'!$B$38+'Parts Cost Per Job'!BP28*((1+'Interval Reimb'!$B$39)*'Interval Reimb'!$B$40),0),2)</f>
        <v>0</v>
      </c>
      <c r="BQ28" s="9">
        <f t="shared" si="0"/>
        <v>1103.0399999999997</v>
      </c>
      <c r="BR28" s="9">
        <f t="shared" si="1"/>
        <v>3.65</v>
      </c>
    </row>
    <row r="29" spans="1:70" x14ac:dyDescent="0.2">
      <c r="A29" s="18" t="str">
        <f>+'Scheduled Intervals'!A29</f>
        <v>Sany SY up to 500</v>
      </c>
      <c r="B29" s="246">
        <f>ROUND(IF('Included @ Interval'!B29="yes",'Hours Per Job'!B29*'Interval Reimb'!$B$38+'Parts Cost Per Job'!B29*((1+'Interval Reimb'!$B$39)*'Interval Reimb'!$B$40),0),2)</f>
        <v>0</v>
      </c>
      <c r="C29" s="246">
        <f>ROUND(IF('Included @ Interval'!C29="yes",'Hours Per Job'!C29*'Interval Reimb'!$B$38+'Parts Cost Per Job'!C29*((1+'Interval Reimb'!$B$39)*'Interval Reimb'!$B$40),0),2)</f>
        <v>0</v>
      </c>
      <c r="D29" s="246">
        <f>ROUND(IF('Included @ Interval'!D29="yes",'Hours Per Job'!D29*'Interval Reimb'!$B$38+'Parts Cost Per Job'!D29*((1+'Interval Reimb'!$B$39)*'Interval Reimb'!$B$40),0),2)</f>
        <v>0</v>
      </c>
      <c r="E29" s="246">
        <f>ROUND(IF('Included @ Interval'!E29="yes",'Hours Per Job'!E29*'Interval Reimb'!$B$38+'Parts Cost Per Job'!E29*((1+'Interval Reimb'!$B$39)*'Interval Reimb'!$B$40),0),2)</f>
        <v>0</v>
      </c>
      <c r="F29" s="246">
        <f>ROUND(IF('Included @ Interval'!F29="yes",'Hours Per Job'!F29*'Interval Reimb'!$B$38+'Parts Cost Per Job'!F29*((1+'Interval Reimb'!$B$39)*'Interval Reimb'!$B$40),0),2)</f>
        <v>0</v>
      </c>
      <c r="G29" s="246">
        <f>ROUND(IF('Included @ Interval'!G29="yes",'Hours Per Job'!G29*'Interval Reimb'!$B$38+'Parts Cost Per Job'!G29*((1+'Interval Reimb'!$B$39)*'Interval Reimb'!$B$40),0),2)</f>
        <v>0</v>
      </c>
      <c r="H29" s="246">
        <f>ROUND(IF('Included @ Interval'!H29="yes",'Hours Per Job'!H29*'Interval Reimb'!$B$38+'Parts Cost Per Job'!H29*((1+'Interval Reimb'!$B$39)*'Interval Reimb'!$B$40),0),2)</f>
        <v>0</v>
      </c>
      <c r="I29" s="246">
        <f>ROUND(IF('Included @ Interval'!I29="yes",'Hours Per Job'!I29*'Interval Reimb'!$B$38+'Parts Cost Per Job'!I29*((1+'Interval Reimb'!$B$39)*'Interval Reimb'!$B$40),0),2)</f>
        <v>0</v>
      </c>
      <c r="J29" s="246">
        <f>ROUND(IF('Included @ Interval'!J29="yes",'Hours Per Job'!J29*'Interval Reimb'!$B$38+'Parts Cost Per Job'!J29*((1+'Interval Reimb'!$B$39)*'Interval Reimb'!$B$40),0),2)</f>
        <v>0</v>
      </c>
      <c r="K29" s="246">
        <f>ROUND(IF('Included @ Interval'!K29="yes",'Hours Per Job'!K29*'Interval Reimb'!$B$38+'Parts Cost Per Job'!K29*((1+'Interval Reimb'!$B$39)*'Interval Reimb'!$B$40),0),2)</f>
        <v>0</v>
      </c>
      <c r="L29" s="246">
        <f>ROUND(IF('Included @ Interval'!L29="yes",'Hours Per Job'!L29*'Interval Reimb'!$B$38+'Parts Cost Per Job'!L29*((1+'Interval Reimb'!$B$39)*'Interval Reimb'!$B$40),0),2)</f>
        <v>0</v>
      </c>
      <c r="M29" s="246">
        <f>ROUND(IF('Included @ Interval'!M29="yes",'Hours Per Job'!M29*'Interval Reimb'!$B$38+'Parts Cost Per Job'!M29*((1+'Interval Reimb'!$B$39)*'Interval Reimb'!$B$40),0),2)</f>
        <v>0</v>
      </c>
      <c r="N29" s="246">
        <f>ROUND(IF('Included @ Interval'!N29="yes",'Hours Per Job'!N29*'Interval Reimb'!$B$38+'Parts Cost Per Job'!N29*((1+'Interval Reimb'!$B$39)*'Interval Reimb'!$B$40),0),2)</f>
        <v>0</v>
      </c>
      <c r="O29" s="246">
        <f>ROUND(IF('Included @ Interval'!O29="yes",'Hours Per Job'!O29*'Interval Reimb'!$B$38+'Parts Cost Per Job'!O29*((1+'Interval Reimb'!$B$39)*'Interval Reimb'!$B$40),0),2)</f>
        <v>0</v>
      </c>
      <c r="P29" s="246">
        <f>ROUND(IF('Included @ Interval'!P29="yes",'Hours Per Job'!P29*'Interval Reimb'!$B$38+'Parts Cost Per Job'!P29*((1+'Interval Reimb'!$B$39)*'Interval Reimb'!$B$40),0),2)</f>
        <v>0</v>
      </c>
      <c r="Q29" s="246">
        <f>ROUND(IF('Included @ Interval'!Q29="yes",'Hours Per Job'!Q29*'Interval Reimb'!$B$38+'Parts Cost Per Job'!Q29*((1+'Interval Reimb'!$B$39)*'Interval Reimb'!$B$40),0),2)</f>
        <v>0</v>
      </c>
      <c r="R29" s="246">
        <f>ROUND(IF('Included @ Interval'!R29="yes",'Hours Per Job'!R29*'Interval Reimb'!$B$38+'Parts Cost Per Job'!R29*((1+'Interval Reimb'!$B$39)*'Interval Reimb'!$B$40),0),2)</f>
        <v>0</v>
      </c>
      <c r="S29" s="246">
        <f>ROUND(IF('Included @ Interval'!S29="yes",'Hours Per Job'!S29*'Interval Reimb'!$B$38+'Parts Cost Per Job'!S29*((1+'Interval Reimb'!$B$39)*'Interval Reimb'!$B$40),0),2)</f>
        <v>0</v>
      </c>
      <c r="T29" s="246">
        <f>ROUND(IF('Included @ Interval'!T29="yes",'Hours Per Job'!T29*'Interval Reimb'!$B$38+'Parts Cost Per Job'!T29*((1+'Interval Reimb'!$B$39)*'Interval Reimb'!$B$40),0),2)</f>
        <v>0</v>
      </c>
      <c r="U29" s="246">
        <f>ROUND(IF('Included @ Interval'!U29="yes",'Hours Per Job'!U29*'Interval Reimb'!$B$38+'Parts Cost Per Job'!U29*((1+'Interval Reimb'!$B$39)*'Interval Reimb'!$B$40),0),2)</f>
        <v>365.54</v>
      </c>
      <c r="V29" s="246">
        <f>ROUND(IF('Included @ Interval'!V29="yes",'Hours Per Job'!V29*'Interval Reimb'!$B$38+'Parts Cost Per Job'!V29*((1+'Interval Reimb'!$B$39)*'Interval Reimb'!$B$40),0),2)</f>
        <v>0</v>
      </c>
      <c r="W29" s="246">
        <f>ROUND(IF('Included @ Interval'!W29="yes",'Hours Per Job'!W29*'Interval Reimb'!$B$38+'Parts Cost Per Job'!W29*((1+'Interval Reimb'!$B$39)*'Interval Reimb'!$B$40),0),2)</f>
        <v>0</v>
      </c>
      <c r="X29" s="246">
        <f>ROUND(IF('Included @ Interval'!X29="yes",'Hours Per Job'!X29*'Interval Reimb'!$B$38+'Parts Cost Per Job'!X29*((1+'Interval Reimb'!$B$39)*'Interval Reimb'!$B$40),0),2)</f>
        <v>0</v>
      </c>
      <c r="Y29" s="246">
        <f>ROUND(IF('Included @ Interval'!Y29="yes",'Hours Per Job'!Y29*'Interval Reimb'!$B$38+'Parts Cost Per Job'!Y29*((1+'Interval Reimb'!$B$39)*'Interval Reimb'!$B$40),0),2)</f>
        <v>0</v>
      </c>
      <c r="Z29" s="246">
        <f>ROUND(IF('Included @ Interval'!Z29="yes",'Hours Per Job'!Z29*'Interval Reimb'!$B$38+'Parts Cost Per Job'!Z29*((1+'Interval Reimb'!$B$39)*'Interval Reimb'!$B$40),0),2)</f>
        <v>115.51</v>
      </c>
      <c r="AA29" s="246">
        <f>ROUND(IF('Included @ Interval'!AA29="yes",'Hours Per Job'!AA29*'Interval Reimb'!$B$38+'Parts Cost Per Job'!AA29*((1+'Interval Reimb'!$B$39)*'Interval Reimb'!$B$40),0),2)</f>
        <v>0</v>
      </c>
      <c r="AB29" s="246">
        <f>ROUND(IF('Included @ Interval'!AB29="yes",'Hours Per Job'!AB29*'Interval Reimb'!$B$38+'Parts Cost Per Job'!AB29*((1+'Interval Reimb'!$B$39)*'Interval Reimb'!$B$40),0),2)</f>
        <v>0</v>
      </c>
      <c r="AC29" s="246">
        <f>ROUND(IF('Included @ Interval'!AC29="yes",'Hours Per Job'!AC29*'Interval Reimb'!$B$38+'Parts Cost Per Job'!AC29*((1+'Interval Reimb'!$B$39)*'Interval Reimb'!$B$40),0),2)</f>
        <v>0</v>
      </c>
      <c r="AD29" s="246">
        <f>ROUND(IF('Included @ Interval'!AD29="yes",'Hours Per Job'!AD29*'Interval Reimb'!$B$38+'Parts Cost Per Job'!AD29*((1+'Interval Reimb'!$B$39)*'Interval Reimb'!$B$40),0),2)</f>
        <v>0</v>
      </c>
      <c r="AE29" s="246">
        <f>ROUND(IF('Included @ Interval'!AE29="yes",'Hours Per Job'!AE29*'Interval Reimb'!$B$38+'Parts Cost Per Job'!AE29*((1+'Interval Reimb'!$B$39)*'Interval Reimb'!$B$40),0),2)</f>
        <v>0</v>
      </c>
      <c r="AF29" s="246">
        <f>ROUND(IF('Included @ Interval'!AF29="yes",'Hours Per Job'!AF29*'Interval Reimb'!$B$38+'Parts Cost Per Job'!AF29*((1+'Interval Reimb'!$B$39)*'Interval Reimb'!$B$40),0),2)</f>
        <v>0</v>
      </c>
      <c r="AG29" s="246">
        <f>ROUND(IF('Included @ Interval'!AG29="yes",'Hours Per Job'!AG29*'Interval Reimb'!$B$38+'Parts Cost Per Job'!AG29*((1+'Interval Reimb'!$B$39)*'Interval Reimb'!$B$40),0),2)</f>
        <v>0</v>
      </c>
      <c r="AH29" s="246">
        <f>ROUND(IF('Included @ Interval'!AH29="yes",'Hours Per Job'!AH29*'Interval Reimb'!$B$38+'Parts Cost Per Job'!AH29*((1+'Interval Reimb'!$B$39)*'Interval Reimb'!$B$40),0),2)</f>
        <v>0</v>
      </c>
      <c r="AI29" s="246">
        <f>ROUND(IF('Included @ Interval'!AI29="yes",'Hours Per Job'!AI29*'Interval Reimb'!$B$38+'Parts Cost Per Job'!AI29*((1+'Interval Reimb'!$B$39)*'Interval Reimb'!$B$40),0),2)</f>
        <v>0</v>
      </c>
      <c r="AJ29" s="246">
        <f>ROUND(IF('Included @ Interval'!AJ29="yes",'Hours Per Job'!AJ29*'Interval Reimb'!$B$38+'Parts Cost Per Job'!AJ29*((1+'Interval Reimb'!$B$39)*'Interval Reimb'!$B$40),0),2)</f>
        <v>0</v>
      </c>
      <c r="AK29" s="246">
        <f>ROUND(IF('Included @ Interval'!AK29="yes",'Hours Per Job'!AK29*'Interval Reimb'!$B$38+'Parts Cost Per Job'!AK29*((1+'Interval Reimb'!$B$39)*'Interval Reimb'!$B$40),0),2)</f>
        <v>0</v>
      </c>
      <c r="AL29" s="246">
        <f>ROUND(IF('Included @ Interval'!AL29="yes",'Hours Per Job'!AL29*'Interval Reimb'!$B$38+'Parts Cost Per Job'!AL29*((1+'Interval Reimb'!$B$39)*'Interval Reimb'!$B$40),0),2)</f>
        <v>0</v>
      </c>
      <c r="AM29" s="246">
        <f>ROUND(IF('Included @ Interval'!AM29="yes",'Hours Per Job'!AM29*'Interval Reimb'!$B$38+'Parts Cost Per Job'!AM29*((1+'Interval Reimb'!$B$39)*'Interval Reimb'!$B$40),0),2)</f>
        <v>0</v>
      </c>
      <c r="AN29" s="246">
        <f>ROUND(IF('Included @ Interval'!AN29="yes",'Hours Per Job'!AN29*'Interval Reimb'!$B$38+'Parts Cost Per Job'!AN29*((1+'Interval Reimb'!$B$39)*'Interval Reimb'!$B$40),0),2)</f>
        <v>0</v>
      </c>
      <c r="AO29" s="246">
        <f>ROUND(IF('Included @ Interval'!AO29="yes",'Hours Per Job'!AO29*'Interval Reimb'!$B$38+'Parts Cost Per Job'!AO29*((1+'Interval Reimb'!$B$39)*'Interval Reimb'!$B$40),0),2)</f>
        <v>0</v>
      </c>
      <c r="AP29" s="246">
        <f>ROUND(IF('Included @ Interval'!AP29="yes",'Hours Per Job'!AP29*'Interval Reimb'!$B$38+'Parts Cost Per Job'!AP29*((1+'Interval Reimb'!$B$39)*'Interval Reimb'!$B$40),0),2)</f>
        <v>0</v>
      </c>
      <c r="AQ29" s="246">
        <f>ROUND(IF('Included @ Interval'!AQ29="yes",'Hours Per Job'!AQ29*'Interval Reimb'!$B$38+'Parts Cost Per Job'!AQ29*((1+'Interval Reimb'!$B$39)*'Interval Reimb'!$B$40),0),2)</f>
        <v>0</v>
      </c>
      <c r="AR29" s="246">
        <f>ROUND(IF('Included @ Interval'!AR29="yes",'Hours Per Job'!AR29*'Interval Reimb'!$B$38+'Parts Cost Per Job'!AR29*((1+'Interval Reimb'!$B$39)*'Interval Reimb'!$B$40),0),2)</f>
        <v>0</v>
      </c>
      <c r="AS29" s="246">
        <f>ROUND(IF('Included @ Interval'!AS29="yes",'Hours Per Job'!AS29*'Interval Reimb'!$B$38+'Parts Cost Per Job'!AS29*((1+'Interval Reimb'!$B$39)*'Interval Reimb'!$B$40),0),2)</f>
        <v>0</v>
      </c>
      <c r="AT29" s="246">
        <f>ROUND(IF('Included @ Interval'!AT29="yes",'Hours Per Job'!AT29*'Interval Reimb'!$B$38+'Parts Cost Per Job'!AT29*((1+'Interval Reimb'!$B$39)*'Interval Reimb'!$B$40),0),2)</f>
        <v>95.07</v>
      </c>
      <c r="AU29" s="246">
        <f>ROUND(IF('Included @ Interval'!AU29="yes",'Hours Per Job'!AU29*'Interval Reimb'!$B$38+'Parts Cost Per Job'!AU29*((1+'Interval Reimb'!$B$39)*'Interval Reimb'!$B$40),0),2)</f>
        <v>0</v>
      </c>
      <c r="AV29" s="246">
        <f>ROUND(IF('Included @ Interval'!AV29="yes",'Hours Per Job'!AV29*'Interval Reimb'!$B$38+'Parts Cost Per Job'!AV29*((1+'Interval Reimb'!$B$39)*'Interval Reimb'!$B$40),0),2)</f>
        <v>0</v>
      </c>
      <c r="AW29" s="246">
        <f>ROUND(IF('Included @ Interval'!AW29="yes",'Hours Per Job'!AW29*'Interval Reimb'!$B$38+'Parts Cost Per Job'!AW29*((1+'Interval Reimb'!$B$39)*'Interval Reimb'!$B$40),0),2)</f>
        <v>0</v>
      </c>
      <c r="AX29" s="246">
        <f>ROUND(IF('Included @ Interval'!AX29="yes",'Hours Per Job'!AX29*'Interval Reimb'!$B$38+'Parts Cost Per Job'!AX29*((1+'Interval Reimb'!$B$39)*'Interval Reimb'!$B$40),0),2)</f>
        <v>0</v>
      </c>
      <c r="AY29" s="246">
        <f>ROUND(IF('Included @ Interval'!AY29="yes",'Hours Per Job'!AY29*'Interval Reimb'!$B$38+'Parts Cost Per Job'!AY29*((1+'Interval Reimb'!$B$39)*'Interval Reimb'!$B$40),0),2)</f>
        <v>0</v>
      </c>
      <c r="AZ29" s="246">
        <f>ROUND(IF('Included @ Interval'!AZ29="yes",'Hours Per Job'!AZ29*'Interval Reimb'!$B$38+'Parts Cost Per Job'!AZ29*((1+'Interval Reimb'!$B$39)*'Interval Reimb'!$B$40),0),2)</f>
        <v>0</v>
      </c>
      <c r="BA29" s="246">
        <f>ROUND(IF('Included @ Interval'!BA29="yes",'Hours Per Job'!BA29*'Interval Reimb'!$B$38+'Parts Cost Per Job'!BA29*((1+'Interval Reimb'!$B$39)*'Interval Reimb'!$B$40),0),2)</f>
        <v>0</v>
      </c>
      <c r="BB29" s="246">
        <f>ROUND(IF('Included @ Interval'!BB29="yes",'Hours Per Job'!BB29*'Interval Reimb'!$B$38+'Parts Cost Per Job'!BB29*((1+'Interval Reimb'!$B$39)*'Interval Reimb'!$B$40),0),2)</f>
        <v>364.8</v>
      </c>
      <c r="BC29" s="246">
        <f>ROUND(IF('Included @ Interval'!BC29="yes",'Hours Per Job'!BC29*'Interval Reimb'!$B$38+'Parts Cost Per Job'!BC29*((1+'Interval Reimb'!$B$39)*'Interval Reimb'!$B$40),0),2)</f>
        <v>193.27</v>
      </c>
      <c r="BD29" s="246">
        <f>ROUND(IF('Included @ Interval'!BD29="yes",'Hours Per Job'!BD29*'Interval Reimb'!$B$38+'Parts Cost Per Job'!BD29*((1+'Interval Reimb'!$B$39)*'Interval Reimb'!$B$40),0),2)</f>
        <v>0</v>
      </c>
      <c r="BE29" s="246">
        <f>ROUND(IF('Included @ Interval'!BE29="yes",'Hours Per Job'!BE29*'Interval Reimb'!$B$38+'Parts Cost Per Job'!BE29*((1+'Interval Reimb'!$B$39)*'Interval Reimb'!$B$40),0),2)</f>
        <v>0</v>
      </c>
      <c r="BF29" s="246">
        <f>ROUND(IF('Included @ Interval'!BF29="yes",'Hours Per Job'!BF29*'Interval Reimb'!$B$38+'Parts Cost Per Job'!BF29*((1+'Interval Reimb'!$B$39)*'Interval Reimb'!$B$40),0),2)</f>
        <v>0</v>
      </c>
      <c r="BG29" s="246">
        <f>ROUND(IF('Included @ Interval'!BG29="yes",'Hours Per Job'!BG29*'Interval Reimb'!$B$38+'Parts Cost Per Job'!BG29*((1+'Interval Reimb'!$B$39)*'Interval Reimb'!$B$40),0),2)</f>
        <v>0</v>
      </c>
      <c r="BH29" s="246">
        <f>ROUND(IF('Included @ Interval'!BH29="yes",'Hours Per Job'!BH29*'Interval Reimb'!$B$38+'Parts Cost Per Job'!BH29*((1+'Interval Reimb'!$B$39)*'Interval Reimb'!$B$40),0),2)</f>
        <v>0</v>
      </c>
      <c r="BI29" s="246">
        <f>ROUND(IF('Included @ Interval'!BI29="yes",'Hours Per Job'!BI29*'Interval Reimb'!$B$38+'Parts Cost Per Job'!BI29*((1+'Interval Reimb'!$B$39)*'Interval Reimb'!$B$40),0),2)</f>
        <v>0</v>
      </c>
      <c r="BJ29" s="246">
        <f>ROUND(IF('Included @ Interval'!BJ29="yes",'Hours Per Job'!BJ29*'Interval Reimb'!$B$38+'Parts Cost Per Job'!BJ29*((1+'Interval Reimb'!$B$39)*'Interval Reimb'!$B$40),0),2)</f>
        <v>30</v>
      </c>
      <c r="BK29" s="246">
        <f>ROUND(IF('Included @ Interval'!BK29="yes",'Hours Per Job'!BK29*'Interval Reimb'!$B$38+'Parts Cost Per Job'!BK29*((1+'Interval Reimb'!$B$39)*'Interval Reimb'!$B$40),0),2)</f>
        <v>0</v>
      </c>
      <c r="BL29" s="246">
        <f>ROUND(IF('Included @ Interval'!BL29="yes",'Hours Per Job'!BL29*'Interval Reimb'!$B$38+'Parts Cost Per Job'!BL29*((1+'Interval Reimb'!$B$39)*'Interval Reimb'!$B$40),0),2)</f>
        <v>0</v>
      </c>
      <c r="BM29" s="246">
        <f>ROUND(IF('Included @ Interval'!BM29="yes",'Hours Per Job'!BM29*'Interval Reimb'!$B$38+'Parts Cost Per Job'!BM29*((1+'Interval Reimb'!$B$39)*'Interval Reimb'!$B$40),0),2)</f>
        <v>228.68</v>
      </c>
      <c r="BN29" s="246">
        <f>ROUND(IF('Included @ Interval'!BN29="yes",'Hours Per Job'!BN29*'Interval Reimb'!$B$38+'Parts Cost Per Job'!BN29*((1+'Interval Reimb'!$B$39)*'Interval Reimb'!$B$40),0),2)</f>
        <v>0</v>
      </c>
      <c r="BO29" s="246">
        <f>ROUND(IF('Included @ Interval'!BO29="yes",'Hours Per Job'!BO29*'Interval Reimb'!$B$38+'Parts Cost Per Job'!BO29*((1+'Interval Reimb'!$B$39)*'Interval Reimb'!$B$40),0),2)</f>
        <v>0</v>
      </c>
      <c r="BP29" s="246">
        <f>ROUND(IF('Included @ Interval'!BP29="yes",'Hours Per Job'!BP29*'Interval Reimb'!$B$38+'Parts Cost Per Job'!BP29*((1+'Interval Reimb'!$B$39)*'Interval Reimb'!$B$40),0),2)</f>
        <v>0</v>
      </c>
      <c r="BQ29" s="9">
        <f t="shared" si="0"/>
        <v>1392.8700000000001</v>
      </c>
      <c r="BR29" s="9">
        <f t="shared" si="1"/>
        <v>3.5500000000000003</v>
      </c>
    </row>
    <row r="30" spans="1:70" x14ac:dyDescent="0.2">
      <c r="A30" s="18" t="str">
        <f>+'Scheduled Intervals'!A30</f>
        <v>Sany SW up to 305</v>
      </c>
      <c r="B30" s="246">
        <f>ROUND(IF('Included @ Interval'!B30="yes",'Hours Per Job'!B30*'Interval Reimb'!$B$38+'Parts Cost Per Job'!B30*((1+'Interval Reimb'!$B$39)*'Interval Reimb'!$B$40),0),2)</f>
        <v>0</v>
      </c>
      <c r="C30" s="246">
        <f>ROUND(IF('Included @ Interval'!C30="yes",'Hours Per Job'!C30*'Interval Reimb'!$B$38+'Parts Cost Per Job'!C30*((1+'Interval Reimb'!$B$39)*'Interval Reimb'!$B$40),0),2)</f>
        <v>0</v>
      </c>
      <c r="D30" s="246">
        <f>ROUND(IF('Included @ Interval'!D30="yes",'Hours Per Job'!D30*'Interval Reimb'!$B$38+'Parts Cost Per Job'!D30*((1+'Interval Reimb'!$B$39)*'Interval Reimb'!$B$40),0),2)</f>
        <v>0</v>
      </c>
      <c r="E30" s="246">
        <f>ROUND(IF('Included @ Interval'!E30="yes",'Hours Per Job'!E30*'Interval Reimb'!$B$38+'Parts Cost Per Job'!E30*((1+'Interval Reimb'!$B$39)*'Interval Reimb'!$B$40),0),2)</f>
        <v>0</v>
      </c>
      <c r="F30" s="246">
        <f>ROUND(IF('Included @ Interval'!F30="yes",'Hours Per Job'!F30*'Interval Reimb'!$B$38+'Parts Cost Per Job'!F30*((1+'Interval Reimb'!$B$39)*'Interval Reimb'!$B$40),0),2)</f>
        <v>0</v>
      </c>
      <c r="G30" s="246">
        <f>ROUND(IF('Included @ Interval'!G30="yes",'Hours Per Job'!G30*'Interval Reimb'!$B$38+'Parts Cost Per Job'!G30*((1+'Interval Reimb'!$B$39)*'Interval Reimb'!$B$40),0),2)</f>
        <v>0</v>
      </c>
      <c r="H30" s="246">
        <f>ROUND(IF('Included @ Interval'!H30="yes",'Hours Per Job'!H30*'Interval Reimb'!$B$38+'Parts Cost Per Job'!H30*((1+'Interval Reimb'!$B$39)*'Interval Reimb'!$B$40),0),2)</f>
        <v>0</v>
      </c>
      <c r="I30" s="246">
        <f>ROUND(IF('Included @ Interval'!I30="yes",'Hours Per Job'!I30*'Interval Reimb'!$B$38+'Parts Cost Per Job'!I30*((1+'Interval Reimb'!$B$39)*'Interval Reimb'!$B$40),0),2)</f>
        <v>0</v>
      </c>
      <c r="J30" s="246">
        <f>ROUND(IF('Included @ Interval'!J30="yes",'Hours Per Job'!J30*'Interval Reimb'!$B$38+'Parts Cost Per Job'!J30*((1+'Interval Reimb'!$B$39)*'Interval Reimb'!$B$40),0),2)</f>
        <v>0</v>
      </c>
      <c r="K30" s="246">
        <f>ROUND(IF('Included @ Interval'!K30="yes",'Hours Per Job'!K30*'Interval Reimb'!$B$38+'Parts Cost Per Job'!K30*((1+'Interval Reimb'!$B$39)*'Interval Reimb'!$B$40),0),2)</f>
        <v>0</v>
      </c>
      <c r="L30" s="246">
        <f>ROUND(IF('Included @ Interval'!L30="yes",'Hours Per Job'!L30*'Interval Reimb'!$B$38+'Parts Cost Per Job'!L30*((1+'Interval Reimb'!$B$39)*'Interval Reimb'!$B$40),0),2)</f>
        <v>0</v>
      </c>
      <c r="M30" s="246">
        <f>ROUND(IF('Included @ Interval'!M30="yes",'Hours Per Job'!M30*'Interval Reimb'!$B$38+'Parts Cost Per Job'!M30*((1+'Interval Reimb'!$B$39)*'Interval Reimb'!$B$40),0),2)</f>
        <v>0</v>
      </c>
      <c r="N30" s="246">
        <f>ROUND(IF('Included @ Interval'!N30="yes",'Hours Per Job'!N30*'Interval Reimb'!$B$38+'Parts Cost Per Job'!N30*((1+'Interval Reimb'!$B$39)*'Interval Reimb'!$B$40),0),2)</f>
        <v>0</v>
      </c>
      <c r="O30" s="246">
        <f>ROUND(IF('Included @ Interval'!O30="yes",'Hours Per Job'!O30*'Interval Reimb'!$B$38+'Parts Cost Per Job'!O30*((1+'Interval Reimb'!$B$39)*'Interval Reimb'!$B$40),0),2)</f>
        <v>0</v>
      </c>
      <c r="P30" s="246">
        <f>ROUND(IF('Included @ Interval'!P30="yes",'Hours Per Job'!P30*'Interval Reimb'!$B$38+'Parts Cost Per Job'!P30*((1+'Interval Reimb'!$B$39)*'Interval Reimb'!$B$40),0),2)</f>
        <v>0</v>
      </c>
      <c r="Q30" s="246">
        <f>ROUND(IF('Included @ Interval'!Q30="yes",'Hours Per Job'!Q30*'Interval Reimb'!$B$38+'Parts Cost Per Job'!Q30*((1+'Interval Reimb'!$B$39)*'Interval Reimb'!$B$40),0),2)</f>
        <v>0</v>
      </c>
      <c r="R30" s="246">
        <f>ROUND(IF('Included @ Interval'!R30="yes",'Hours Per Job'!R30*'Interval Reimb'!$B$38+'Parts Cost Per Job'!R30*((1+'Interval Reimb'!$B$39)*'Interval Reimb'!$B$40),0),2)</f>
        <v>0</v>
      </c>
      <c r="S30" s="246">
        <f>ROUND(IF('Included @ Interval'!S30="yes",'Hours Per Job'!S30*'Interval Reimb'!$B$38+'Parts Cost Per Job'!S30*((1+'Interval Reimb'!$B$39)*'Interval Reimb'!$B$40),0),2)</f>
        <v>0</v>
      </c>
      <c r="T30" s="246">
        <f>ROUND(IF('Included @ Interval'!T30="yes",'Hours Per Job'!T30*'Interval Reimb'!$B$38+'Parts Cost Per Job'!T30*((1+'Interval Reimb'!$B$39)*'Interval Reimb'!$B$40),0),2)</f>
        <v>0</v>
      </c>
      <c r="U30" s="246">
        <f>ROUND(IF('Included @ Interval'!U30="yes",'Hours Per Job'!U30*'Interval Reimb'!$B$38+'Parts Cost Per Job'!U30*((1+'Interval Reimb'!$B$39)*'Interval Reimb'!$B$40),0),2)</f>
        <v>262.22000000000003</v>
      </c>
      <c r="V30" s="246">
        <f>ROUND(IF('Included @ Interval'!V30="yes",'Hours Per Job'!V30*'Interval Reimb'!$B$38+'Parts Cost Per Job'!V30*((1+'Interval Reimb'!$B$39)*'Interval Reimb'!$B$40),0),2)</f>
        <v>0</v>
      </c>
      <c r="W30" s="246">
        <f>ROUND(IF('Included @ Interval'!W30="yes",'Hours Per Job'!W30*'Interval Reimb'!$B$38+'Parts Cost Per Job'!W30*((1+'Interval Reimb'!$B$39)*'Interval Reimb'!$B$40),0),2)</f>
        <v>0</v>
      </c>
      <c r="X30" s="246">
        <f>ROUND(IF('Included @ Interval'!X30="yes",'Hours Per Job'!X30*'Interval Reimb'!$B$38+'Parts Cost Per Job'!X30*((1+'Interval Reimb'!$B$39)*'Interval Reimb'!$B$40),0),2)</f>
        <v>0</v>
      </c>
      <c r="Y30" s="246">
        <f>ROUND(IF('Included @ Interval'!Y30="yes",'Hours Per Job'!Y30*'Interval Reimb'!$B$38+'Parts Cost Per Job'!Y30*((1+'Interval Reimb'!$B$39)*'Interval Reimb'!$B$40),0),2)</f>
        <v>0</v>
      </c>
      <c r="Z30" s="246">
        <f>ROUND(IF('Included @ Interval'!Z30="yes",'Hours Per Job'!Z30*'Interval Reimb'!$B$38+'Parts Cost Per Job'!Z30*((1+'Interval Reimb'!$B$39)*'Interval Reimb'!$B$40),0),2)</f>
        <v>278.72000000000003</v>
      </c>
      <c r="AA30" s="246">
        <f>ROUND(IF('Included @ Interval'!AA30="yes",'Hours Per Job'!AA30*'Interval Reimb'!$B$38+'Parts Cost Per Job'!AA30*((1+'Interval Reimb'!$B$39)*'Interval Reimb'!$B$40),0),2)</f>
        <v>0</v>
      </c>
      <c r="AB30" s="246">
        <f>ROUND(IF('Included @ Interval'!AB30="yes",'Hours Per Job'!AB30*'Interval Reimb'!$B$38+'Parts Cost Per Job'!AB30*((1+'Interval Reimb'!$B$39)*'Interval Reimb'!$B$40),0),2)</f>
        <v>0</v>
      </c>
      <c r="AC30" s="246">
        <f>ROUND(IF('Included @ Interval'!AC30="yes",'Hours Per Job'!AC30*'Interval Reimb'!$B$38+'Parts Cost Per Job'!AC30*((1+'Interval Reimb'!$B$39)*'Interval Reimb'!$B$40),0),2)</f>
        <v>0</v>
      </c>
      <c r="AD30" s="246">
        <f>ROUND(IF('Included @ Interval'!AD30="yes",'Hours Per Job'!AD30*'Interval Reimb'!$B$38+'Parts Cost Per Job'!AD30*((1+'Interval Reimb'!$B$39)*'Interval Reimb'!$B$40),0),2)</f>
        <v>0</v>
      </c>
      <c r="AE30" s="246">
        <f>ROUND(IF('Included @ Interval'!AE30="yes",'Hours Per Job'!AE30*'Interval Reimb'!$B$38+'Parts Cost Per Job'!AE30*((1+'Interval Reimb'!$B$39)*'Interval Reimb'!$B$40),0),2)</f>
        <v>0</v>
      </c>
      <c r="AF30" s="246">
        <f>ROUND(IF('Included @ Interval'!AF30="yes",'Hours Per Job'!AF30*'Interval Reimb'!$B$38+'Parts Cost Per Job'!AF30*((1+'Interval Reimb'!$B$39)*'Interval Reimb'!$B$40),0),2)</f>
        <v>38.729999999999997</v>
      </c>
      <c r="AG30" s="246">
        <f>ROUND(IF('Included @ Interval'!AG30="yes",'Hours Per Job'!AG30*'Interval Reimb'!$B$38+'Parts Cost Per Job'!AG30*((1+'Interval Reimb'!$B$39)*'Interval Reimb'!$B$40),0),2)</f>
        <v>0</v>
      </c>
      <c r="AH30" s="246">
        <f>ROUND(IF('Included @ Interval'!AH30="yes",'Hours Per Job'!AH30*'Interval Reimb'!$B$38+'Parts Cost Per Job'!AH30*((1+'Interval Reimb'!$B$39)*'Interval Reimb'!$B$40),0),2)</f>
        <v>0</v>
      </c>
      <c r="AI30" s="246">
        <f>ROUND(IF('Included @ Interval'!AI30="yes",'Hours Per Job'!AI30*'Interval Reimb'!$B$38+'Parts Cost Per Job'!AI30*((1+'Interval Reimb'!$B$39)*'Interval Reimb'!$B$40),0),2)</f>
        <v>0</v>
      </c>
      <c r="AJ30" s="246">
        <f>ROUND(IF('Included @ Interval'!AJ30="yes",'Hours Per Job'!AJ30*'Interval Reimb'!$B$38+'Parts Cost Per Job'!AJ30*((1+'Interval Reimb'!$B$39)*'Interval Reimb'!$B$40),0),2)</f>
        <v>0</v>
      </c>
      <c r="AK30" s="246">
        <f>ROUND(IF('Included @ Interval'!AK30="yes",'Hours Per Job'!AK30*'Interval Reimb'!$B$38+'Parts Cost Per Job'!AK30*((1+'Interval Reimb'!$B$39)*'Interval Reimb'!$B$40),0),2)</f>
        <v>0</v>
      </c>
      <c r="AL30" s="246">
        <f>ROUND(IF('Included @ Interval'!AL30="yes",'Hours Per Job'!AL30*'Interval Reimb'!$B$38+'Parts Cost Per Job'!AL30*((1+'Interval Reimb'!$B$39)*'Interval Reimb'!$B$40),0),2)</f>
        <v>0</v>
      </c>
      <c r="AM30" s="246">
        <f>ROUND(IF('Included @ Interval'!AM30="yes",'Hours Per Job'!AM30*'Interval Reimb'!$B$38+'Parts Cost Per Job'!AM30*((1+'Interval Reimb'!$B$39)*'Interval Reimb'!$B$40),0),2)</f>
        <v>0</v>
      </c>
      <c r="AN30" s="246">
        <f>ROUND(IF('Included @ Interval'!AN30="yes",'Hours Per Job'!AN30*'Interval Reimb'!$B$38+'Parts Cost Per Job'!AN30*((1+'Interval Reimb'!$B$39)*'Interval Reimb'!$B$40),0),2)</f>
        <v>0</v>
      </c>
      <c r="AO30" s="246">
        <f>ROUND(IF('Included @ Interval'!AO30="yes",'Hours Per Job'!AO30*'Interval Reimb'!$B$38+'Parts Cost Per Job'!AO30*((1+'Interval Reimb'!$B$39)*'Interval Reimb'!$B$40),0),2)</f>
        <v>0</v>
      </c>
      <c r="AP30" s="246">
        <f>ROUND(IF('Included @ Interval'!AP30="yes",'Hours Per Job'!AP30*'Interval Reimb'!$B$38+'Parts Cost Per Job'!AP30*((1+'Interval Reimb'!$B$39)*'Interval Reimb'!$B$40),0),2)</f>
        <v>0</v>
      </c>
      <c r="AQ30" s="246">
        <f>ROUND(IF('Included @ Interval'!AQ30="yes",'Hours Per Job'!AQ30*'Interval Reimb'!$B$38+'Parts Cost Per Job'!AQ30*((1+'Interval Reimb'!$B$39)*'Interval Reimb'!$B$40),0),2)</f>
        <v>0</v>
      </c>
      <c r="AR30" s="246">
        <f>ROUND(IF('Included @ Interval'!AR30="yes",'Hours Per Job'!AR30*'Interval Reimb'!$B$38+'Parts Cost Per Job'!AR30*((1+'Interval Reimb'!$B$39)*'Interval Reimb'!$B$40),0),2)</f>
        <v>0</v>
      </c>
      <c r="AS30" s="246">
        <f>ROUND(IF('Included @ Interval'!AS30="yes",'Hours Per Job'!AS30*'Interval Reimb'!$B$38+'Parts Cost Per Job'!AS30*((1+'Interval Reimb'!$B$39)*'Interval Reimb'!$B$40),0),2)</f>
        <v>0</v>
      </c>
      <c r="AT30" s="246">
        <f>ROUND(IF('Included @ Interval'!AT30="yes",'Hours Per Job'!AT30*'Interval Reimb'!$B$38+'Parts Cost Per Job'!AT30*((1+'Interval Reimb'!$B$39)*'Interval Reimb'!$B$40),0),2)</f>
        <v>95.07</v>
      </c>
      <c r="AU30" s="246">
        <f>ROUND(IF('Included @ Interval'!AU30="yes",'Hours Per Job'!AU30*'Interval Reimb'!$B$38+'Parts Cost Per Job'!AU30*((1+'Interval Reimb'!$B$39)*'Interval Reimb'!$B$40),0),2)</f>
        <v>0</v>
      </c>
      <c r="AV30" s="246">
        <f>ROUND(IF('Included @ Interval'!AV30="yes",'Hours Per Job'!AV30*'Interval Reimb'!$B$38+'Parts Cost Per Job'!AV30*((1+'Interval Reimb'!$B$39)*'Interval Reimb'!$B$40),0),2)</f>
        <v>0</v>
      </c>
      <c r="AW30" s="246">
        <f>ROUND(IF('Included @ Interval'!AW30="yes",'Hours Per Job'!AW30*'Interval Reimb'!$B$38+'Parts Cost Per Job'!AW30*((1+'Interval Reimb'!$B$39)*'Interval Reimb'!$B$40),0),2)</f>
        <v>0</v>
      </c>
      <c r="AX30" s="246">
        <f>ROUND(IF('Included @ Interval'!AX30="yes",'Hours Per Job'!AX30*'Interval Reimb'!$B$38+'Parts Cost Per Job'!AX30*((1+'Interval Reimb'!$B$39)*'Interval Reimb'!$B$40),0),2)</f>
        <v>0</v>
      </c>
      <c r="AY30" s="246">
        <f>ROUND(IF('Included @ Interval'!AY30="yes",'Hours Per Job'!AY30*'Interval Reimb'!$B$38+'Parts Cost Per Job'!AY30*((1+'Interval Reimb'!$B$39)*'Interval Reimb'!$B$40),0),2)</f>
        <v>0</v>
      </c>
      <c r="AZ30" s="246">
        <f>ROUND(IF('Included @ Interval'!AZ30="yes",'Hours Per Job'!AZ30*'Interval Reimb'!$B$38+'Parts Cost Per Job'!AZ30*((1+'Interval Reimb'!$B$39)*'Interval Reimb'!$B$40),0),2)</f>
        <v>0</v>
      </c>
      <c r="BA30" s="246">
        <f>ROUND(IF('Included @ Interval'!BA30="yes",'Hours Per Job'!BA30*'Interval Reimb'!$B$38+'Parts Cost Per Job'!BA30*((1+'Interval Reimb'!$B$39)*'Interval Reimb'!$B$40),0),2)</f>
        <v>0</v>
      </c>
      <c r="BB30" s="246">
        <f>ROUND(IF('Included @ Interval'!BB30="yes",'Hours Per Job'!BB30*'Interval Reimb'!$B$38+'Parts Cost Per Job'!BB30*((1+'Interval Reimb'!$B$39)*'Interval Reimb'!$B$40),0),2)</f>
        <v>0</v>
      </c>
      <c r="BC30" s="246">
        <f>ROUND(IF('Included @ Interval'!BC30="yes",'Hours Per Job'!BC30*'Interval Reimb'!$B$38+'Parts Cost Per Job'!BC30*((1+'Interval Reimb'!$B$39)*'Interval Reimb'!$B$40),0),2)</f>
        <v>0</v>
      </c>
      <c r="BD30" s="246">
        <f>ROUND(IF('Included @ Interval'!BD30="yes",'Hours Per Job'!BD30*'Interval Reimb'!$B$38+'Parts Cost Per Job'!BD30*((1+'Interval Reimb'!$B$39)*'Interval Reimb'!$B$40),0),2)</f>
        <v>0</v>
      </c>
      <c r="BE30" s="246">
        <f>ROUND(IF('Included @ Interval'!BE30="yes",'Hours Per Job'!BE30*'Interval Reimb'!$B$38+'Parts Cost Per Job'!BE30*((1+'Interval Reimb'!$B$39)*'Interval Reimb'!$B$40),0),2)</f>
        <v>0</v>
      </c>
      <c r="BF30" s="246">
        <f>ROUND(IF('Included @ Interval'!BF30="yes",'Hours Per Job'!BF30*'Interval Reimb'!$B$38+'Parts Cost Per Job'!BF30*((1+'Interval Reimb'!$B$39)*'Interval Reimb'!$B$40),0),2)</f>
        <v>0</v>
      </c>
      <c r="BG30" s="246">
        <f>ROUND(IF('Included @ Interval'!BG30="yes",'Hours Per Job'!BG30*'Interval Reimb'!$B$38+'Parts Cost Per Job'!BG30*((1+'Interval Reimb'!$B$39)*'Interval Reimb'!$B$40),0),2)</f>
        <v>0</v>
      </c>
      <c r="BH30" s="246">
        <f>ROUND(IF('Included @ Interval'!BH30="yes",'Hours Per Job'!BH30*'Interval Reimb'!$B$38+'Parts Cost Per Job'!BH30*((1+'Interval Reimb'!$B$39)*'Interval Reimb'!$B$40),0),2)</f>
        <v>0</v>
      </c>
      <c r="BI30" s="246">
        <f>ROUND(IF('Included @ Interval'!BI30="yes",'Hours Per Job'!BI30*'Interval Reimb'!$B$38+'Parts Cost Per Job'!BI30*((1+'Interval Reimb'!$B$39)*'Interval Reimb'!$B$40),0),2)</f>
        <v>0</v>
      </c>
      <c r="BJ30" s="246">
        <f>ROUND(IF('Included @ Interval'!BJ30="yes",'Hours Per Job'!BJ30*'Interval Reimb'!$B$38+'Parts Cost Per Job'!BJ30*((1+'Interval Reimb'!$B$39)*'Interval Reimb'!$B$40),0),2)</f>
        <v>30</v>
      </c>
      <c r="BK30" s="246">
        <f>ROUND(IF('Included @ Interval'!BK30="yes",'Hours Per Job'!BK30*'Interval Reimb'!$B$38+'Parts Cost Per Job'!BK30*((1+'Interval Reimb'!$B$39)*'Interval Reimb'!$B$40),0),2)</f>
        <v>0</v>
      </c>
      <c r="BL30" s="246">
        <f>ROUND(IF('Included @ Interval'!BL30="yes",'Hours Per Job'!BL30*'Interval Reimb'!$B$38+'Parts Cost Per Job'!BL30*((1+'Interval Reimb'!$B$39)*'Interval Reimb'!$B$40),0),2)</f>
        <v>0</v>
      </c>
      <c r="BM30" s="246">
        <f>ROUND(IF('Included @ Interval'!BM30="yes",'Hours Per Job'!BM30*'Interval Reimb'!$B$38+'Parts Cost Per Job'!BM30*((1+'Interval Reimb'!$B$39)*'Interval Reimb'!$B$40),0),2)</f>
        <v>0</v>
      </c>
      <c r="BN30" s="246">
        <f>ROUND(IF('Included @ Interval'!BN30="yes",'Hours Per Job'!BN30*'Interval Reimb'!$B$38+'Parts Cost Per Job'!BN30*((1+'Interval Reimb'!$B$39)*'Interval Reimb'!$B$40),0),2)</f>
        <v>0</v>
      </c>
      <c r="BO30" s="246">
        <f>ROUND(IF('Included @ Interval'!BO30="yes",'Hours Per Job'!BO30*'Interval Reimb'!$B$38+'Parts Cost Per Job'!BO30*((1+'Interval Reimb'!$B$39)*'Interval Reimb'!$B$40),0),2)</f>
        <v>0</v>
      </c>
      <c r="BP30" s="246">
        <f>ROUND(IF('Included @ Interval'!BP30="yes",'Hours Per Job'!BP30*'Interval Reimb'!$B$38+'Parts Cost Per Job'!BP30*((1+'Interval Reimb'!$B$39)*'Interval Reimb'!$B$40),0),2)</f>
        <v>0</v>
      </c>
      <c r="BQ30" s="9">
        <f t="shared" si="0"/>
        <v>704.74</v>
      </c>
      <c r="BR30" s="9">
        <f t="shared" si="1"/>
        <v>2.35</v>
      </c>
    </row>
    <row r="31" spans="1:70" x14ac:dyDescent="0.2">
      <c r="A31" s="18" t="str">
        <f>+'Scheduled Intervals'!A31</f>
        <v>SCL - DIESEL</v>
      </c>
      <c r="B31" s="246">
        <f>ROUND(IF('Included @ Interval'!B31="yes",'Hours Per Job'!B31*'Interval Reimb'!$B$38+'Parts Cost Per Job'!B31*((1+'Interval Reimb'!$B$39)*'Interval Reimb'!$B$40),0),2)</f>
        <v>0</v>
      </c>
      <c r="C31" s="246">
        <f>ROUND(IF('Included @ Interval'!C31="yes",'Hours Per Job'!C31*'Interval Reimb'!$B$38+'Parts Cost Per Job'!C31*((1+'Interval Reimb'!$B$39)*'Interval Reimb'!$B$40),0),2)</f>
        <v>0</v>
      </c>
      <c r="D31" s="246">
        <f>ROUND(IF('Included @ Interval'!D31="yes",'Hours Per Job'!D31*'Interval Reimb'!$B$38+'Parts Cost Per Job'!D31*((1+'Interval Reimb'!$B$39)*'Interval Reimb'!$B$40),0),2)</f>
        <v>0</v>
      </c>
      <c r="E31" s="246">
        <f>ROUND(IF('Included @ Interval'!E31="yes",'Hours Per Job'!E31*'Interval Reimb'!$B$38+'Parts Cost Per Job'!E31*((1+'Interval Reimb'!$B$39)*'Interval Reimb'!$B$40),0),2)</f>
        <v>0</v>
      </c>
      <c r="F31" s="246">
        <f>ROUND(IF('Included @ Interval'!F31="yes",'Hours Per Job'!F31*'Interval Reimb'!$B$38+'Parts Cost Per Job'!F31*((1+'Interval Reimb'!$B$39)*'Interval Reimb'!$B$40),0),2)</f>
        <v>0</v>
      </c>
      <c r="G31" s="246">
        <f>ROUND(IF('Included @ Interval'!G31="yes",'Hours Per Job'!G31*'Interval Reimb'!$B$38+'Parts Cost Per Job'!G31*((1+'Interval Reimb'!$B$39)*'Interval Reimb'!$B$40),0),2)</f>
        <v>0</v>
      </c>
      <c r="H31" s="246">
        <f>ROUND(IF('Included @ Interval'!H31="yes",'Hours Per Job'!H31*'Interval Reimb'!$B$38+'Parts Cost Per Job'!H31*((1+'Interval Reimb'!$B$39)*'Interval Reimb'!$B$40),0),2)</f>
        <v>0</v>
      </c>
      <c r="I31" s="246">
        <f>ROUND(IF('Included @ Interval'!I31="yes",'Hours Per Job'!I31*'Interval Reimb'!$B$38+'Parts Cost Per Job'!I31*((1+'Interval Reimb'!$B$39)*'Interval Reimb'!$B$40),0),2)</f>
        <v>0</v>
      </c>
      <c r="J31" s="246">
        <f>ROUND(IF('Included @ Interval'!J31="yes",'Hours Per Job'!J31*'Interval Reimb'!$B$38+'Parts Cost Per Job'!J31*((1+'Interval Reimb'!$B$39)*'Interval Reimb'!$B$40),0),2)</f>
        <v>0</v>
      </c>
      <c r="K31" s="246">
        <f>ROUND(IF('Included @ Interval'!K31="yes",'Hours Per Job'!K31*'Interval Reimb'!$B$38+'Parts Cost Per Job'!K31*((1+'Interval Reimb'!$B$39)*'Interval Reimb'!$B$40),0),2)</f>
        <v>0</v>
      </c>
      <c r="L31" s="246">
        <f>ROUND(IF('Included @ Interval'!L31="yes",'Hours Per Job'!L31*'Interval Reimb'!$B$38+'Parts Cost Per Job'!L31*((1+'Interval Reimb'!$B$39)*'Interval Reimb'!$B$40),0),2)</f>
        <v>0</v>
      </c>
      <c r="M31" s="246">
        <f>ROUND(IF('Included @ Interval'!M31="yes",'Hours Per Job'!M31*'Interval Reimb'!$B$38+'Parts Cost Per Job'!M31*((1+'Interval Reimb'!$B$39)*'Interval Reimb'!$B$40),0),2)</f>
        <v>0</v>
      </c>
      <c r="N31" s="246">
        <f>ROUND(IF('Included @ Interval'!N31="yes",'Hours Per Job'!N31*'Interval Reimb'!$B$38+'Parts Cost Per Job'!N31*((1+'Interval Reimb'!$B$39)*'Interval Reimb'!$B$40),0),2)</f>
        <v>0</v>
      </c>
      <c r="O31" s="246">
        <f>ROUND(IF('Included @ Interval'!O31="yes",'Hours Per Job'!O31*'Interval Reimb'!$B$38+'Parts Cost Per Job'!O31*((1+'Interval Reimb'!$B$39)*'Interval Reimb'!$B$40),0),2)</f>
        <v>0</v>
      </c>
      <c r="P31" s="246">
        <f>ROUND(IF('Included @ Interval'!P31="yes",'Hours Per Job'!P31*'Interval Reimb'!$B$38+'Parts Cost Per Job'!P31*((1+'Interval Reimb'!$B$39)*'Interval Reimb'!$B$40),0),2)</f>
        <v>0</v>
      </c>
      <c r="Q31" s="246">
        <f>ROUND(IF('Included @ Interval'!Q31="yes",'Hours Per Job'!Q31*'Interval Reimb'!$B$38+'Parts Cost Per Job'!Q31*((1+'Interval Reimb'!$B$39)*'Interval Reimb'!$B$40),0),2)</f>
        <v>0</v>
      </c>
      <c r="R31" s="246">
        <f>ROUND(IF('Included @ Interval'!R31="yes",'Hours Per Job'!R31*'Interval Reimb'!$B$38+'Parts Cost Per Job'!R31*((1+'Interval Reimb'!$B$39)*'Interval Reimb'!$B$40),0),2)</f>
        <v>0</v>
      </c>
      <c r="S31" s="246">
        <f>ROUND(IF('Included @ Interval'!S31="yes",'Hours Per Job'!S31*'Interval Reimb'!$B$38+'Parts Cost Per Job'!S31*((1+'Interval Reimb'!$B$39)*'Interval Reimb'!$B$40),0),2)</f>
        <v>0</v>
      </c>
      <c r="T31" s="246">
        <f>ROUND(IF('Included @ Interval'!T31="yes",'Hours Per Job'!T31*'Interval Reimb'!$B$38+'Parts Cost Per Job'!T31*((1+'Interval Reimb'!$B$39)*'Interval Reimb'!$B$40),0),2)</f>
        <v>0</v>
      </c>
      <c r="U31" s="246">
        <f>ROUND(IF('Included @ Interval'!U31="yes",'Hours Per Job'!U31*'Interval Reimb'!$B$38+'Parts Cost Per Job'!U31*((1+'Interval Reimb'!$B$39)*'Interval Reimb'!$B$40),0),2)</f>
        <v>0</v>
      </c>
      <c r="V31" s="246">
        <f>ROUND(IF('Included @ Interval'!V31="yes",'Hours Per Job'!V31*'Interval Reimb'!$B$38+'Parts Cost Per Job'!V31*((1+'Interval Reimb'!$B$39)*'Interval Reimb'!$B$40),0),2)</f>
        <v>0</v>
      </c>
      <c r="W31" s="246">
        <f>ROUND(IF('Included @ Interval'!W31="yes",'Hours Per Job'!W31*'Interval Reimb'!$B$38+'Parts Cost Per Job'!W31*((1+'Interval Reimb'!$B$39)*'Interval Reimb'!$B$40),0),2)</f>
        <v>0</v>
      </c>
      <c r="X31" s="246">
        <f>ROUND(IF('Included @ Interval'!X31="yes",'Hours Per Job'!X31*'Interval Reimb'!$B$38+'Parts Cost Per Job'!X31*((1+'Interval Reimb'!$B$39)*'Interval Reimb'!$B$40),0),2)</f>
        <v>0</v>
      </c>
      <c r="Y31" s="246">
        <f>ROUND(IF('Included @ Interval'!Y31="yes",'Hours Per Job'!Y31*'Interval Reimb'!$B$38+'Parts Cost Per Job'!Y31*((1+'Interval Reimb'!$B$39)*'Interval Reimb'!$B$40),0),2)</f>
        <v>0</v>
      </c>
      <c r="Z31" s="246">
        <f>ROUND(IF('Included @ Interval'!Z31="yes",'Hours Per Job'!Z31*'Interval Reimb'!$B$38+'Parts Cost Per Job'!Z31*((1+'Interval Reimb'!$B$39)*'Interval Reimb'!$B$40),0),2)</f>
        <v>0</v>
      </c>
      <c r="AA31" s="246">
        <f>ROUND(IF('Included @ Interval'!AA31="yes",'Hours Per Job'!AA31*'Interval Reimb'!$B$38+'Parts Cost Per Job'!AA31*((1+'Interval Reimb'!$B$39)*'Interval Reimb'!$B$40),0),2)</f>
        <v>0</v>
      </c>
      <c r="AB31" s="246">
        <f>ROUND(IF('Included @ Interval'!AB31="yes",'Hours Per Job'!AB31*'Interval Reimb'!$B$38+'Parts Cost Per Job'!AB31*((1+'Interval Reimb'!$B$39)*'Interval Reimb'!$B$40),0),2)</f>
        <v>0</v>
      </c>
      <c r="AC31" s="246">
        <f>ROUND(IF('Included @ Interval'!AC31="yes",'Hours Per Job'!AC31*'Interval Reimb'!$B$38+'Parts Cost Per Job'!AC31*((1+'Interval Reimb'!$B$39)*'Interval Reimb'!$B$40),0),2)</f>
        <v>0</v>
      </c>
      <c r="AD31" s="246">
        <f>ROUND(IF('Included @ Interval'!AD31="yes",'Hours Per Job'!AD31*'Interval Reimb'!$B$38+'Parts Cost Per Job'!AD31*((1+'Interval Reimb'!$B$39)*'Interval Reimb'!$B$40),0),2)</f>
        <v>0</v>
      </c>
      <c r="AE31" s="246">
        <f>ROUND(IF('Included @ Interval'!AE31="yes",'Hours Per Job'!AE31*'Interval Reimb'!$B$38+'Parts Cost Per Job'!AE31*((1+'Interval Reimb'!$B$39)*'Interval Reimb'!$B$40),0),2)</f>
        <v>0</v>
      </c>
      <c r="AF31" s="246">
        <f>ROUND(IF('Included @ Interval'!AF31="yes",'Hours Per Job'!AF31*'Interval Reimb'!$B$38+'Parts Cost Per Job'!AF31*((1+'Interval Reimb'!$B$39)*'Interval Reimb'!$B$40),0),2)</f>
        <v>0</v>
      </c>
      <c r="AG31" s="246">
        <f>ROUND(IF('Included @ Interval'!AG31="yes",'Hours Per Job'!AG31*'Interval Reimb'!$B$38+'Parts Cost Per Job'!AG31*((1+'Interval Reimb'!$B$39)*'Interval Reimb'!$B$40),0),2)</f>
        <v>0</v>
      </c>
      <c r="AH31" s="246">
        <f>ROUND(IF('Included @ Interval'!AH31="yes",'Hours Per Job'!AH31*'Interval Reimb'!$B$38+'Parts Cost Per Job'!AH31*((1+'Interval Reimb'!$B$39)*'Interval Reimb'!$B$40),0),2)</f>
        <v>0</v>
      </c>
      <c r="AI31" s="246">
        <f>ROUND(IF('Included @ Interval'!AI31="yes",'Hours Per Job'!AI31*'Interval Reimb'!$B$38+'Parts Cost Per Job'!AI31*((1+'Interval Reimb'!$B$39)*'Interval Reimb'!$B$40),0),2)</f>
        <v>0</v>
      </c>
      <c r="AJ31" s="246">
        <f>ROUND(IF('Included @ Interval'!AJ31="yes",'Hours Per Job'!AJ31*'Interval Reimb'!$B$38+'Parts Cost Per Job'!AJ31*((1+'Interval Reimb'!$B$39)*'Interval Reimb'!$B$40),0),2)</f>
        <v>0</v>
      </c>
      <c r="AK31" s="246">
        <f>ROUND(IF('Included @ Interval'!AK31="yes",'Hours Per Job'!AK31*'Interval Reimb'!$B$38+'Parts Cost Per Job'!AK31*((1+'Interval Reimb'!$B$39)*'Interval Reimb'!$B$40),0),2)</f>
        <v>0</v>
      </c>
      <c r="AL31" s="246">
        <f>ROUND(IF('Included @ Interval'!AL31="yes",'Hours Per Job'!AL31*'Interval Reimb'!$B$38+'Parts Cost Per Job'!AL31*((1+'Interval Reimb'!$B$39)*'Interval Reimb'!$B$40),0),2)</f>
        <v>0</v>
      </c>
      <c r="AM31" s="246">
        <f>ROUND(IF('Included @ Interval'!AM31="yes",'Hours Per Job'!AM31*'Interval Reimb'!$B$38+'Parts Cost Per Job'!AM31*((1+'Interval Reimb'!$B$39)*'Interval Reimb'!$B$40),0),2)</f>
        <v>0</v>
      </c>
      <c r="AN31" s="246">
        <f>ROUND(IF('Included @ Interval'!AN31="yes",'Hours Per Job'!AN31*'Interval Reimb'!$B$38+'Parts Cost Per Job'!AN31*((1+'Interval Reimb'!$B$39)*'Interval Reimb'!$B$40),0),2)</f>
        <v>0</v>
      </c>
      <c r="AO31" s="246">
        <f>ROUND(IF('Included @ Interval'!AO31="yes",'Hours Per Job'!AO31*'Interval Reimb'!$B$38+'Parts Cost Per Job'!AO31*((1+'Interval Reimb'!$B$39)*'Interval Reimb'!$B$40),0),2)</f>
        <v>0</v>
      </c>
      <c r="AP31" s="246">
        <f>ROUND(IF('Included @ Interval'!AP31="yes",'Hours Per Job'!AP31*'Interval Reimb'!$B$38+'Parts Cost Per Job'!AP31*((1+'Interval Reimb'!$B$39)*'Interval Reimb'!$B$40),0),2)</f>
        <v>0</v>
      </c>
      <c r="AQ31" s="246">
        <f>ROUND(IF('Included @ Interval'!AQ31="yes",'Hours Per Job'!AQ31*'Interval Reimb'!$B$38+'Parts Cost Per Job'!AQ31*((1+'Interval Reimb'!$B$39)*'Interval Reimb'!$B$40),0),2)</f>
        <v>0</v>
      </c>
      <c r="AR31" s="246">
        <f>ROUND(IF('Included @ Interval'!AR31="yes",'Hours Per Job'!AR31*'Interval Reimb'!$B$38+'Parts Cost Per Job'!AR31*((1+'Interval Reimb'!$B$39)*'Interval Reimb'!$B$40),0),2)</f>
        <v>0</v>
      </c>
      <c r="AS31" s="246">
        <f>ROUND(IF('Included @ Interval'!AS31="yes",'Hours Per Job'!AS31*'Interval Reimb'!$B$38+'Parts Cost Per Job'!AS31*((1+'Interval Reimb'!$B$39)*'Interval Reimb'!$B$40),0),2)</f>
        <v>0</v>
      </c>
      <c r="AT31" s="246">
        <f>ROUND(IF('Included @ Interval'!AT31="yes",'Hours Per Job'!AT31*'Interval Reimb'!$B$38+'Parts Cost Per Job'!AT31*((1+'Interval Reimb'!$B$39)*'Interval Reimb'!$B$40),0),2)</f>
        <v>0</v>
      </c>
      <c r="AU31" s="246">
        <f>ROUND(IF('Included @ Interval'!AU31="yes",'Hours Per Job'!AU31*'Interval Reimb'!$B$38+'Parts Cost Per Job'!AU31*((1+'Interval Reimb'!$B$39)*'Interval Reimb'!$B$40),0),2)</f>
        <v>0</v>
      </c>
      <c r="AV31" s="246">
        <f>ROUND(IF('Included @ Interval'!AV31="yes",'Hours Per Job'!AV31*'Interval Reimb'!$B$38+'Parts Cost Per Job'!AV31*((1+'Interval Reimb'!$B$39)*'Interval Reimb'!$B$40),0),2)</f>
        <v>0</v>
      </c>
      <c r="AW31" s="246">
        <f>ROUND(IF('Included @ Interval'!AW31="yes",'Hours Per Job'!AW31*'Interval Reimb'!$B$38+'Parts Cost Per Job'!AW31*((1+'Interval Reimb'!$B$39)*'Interval Reimb'!$B$40),0),2)</f>
        <v>0</v>
      </c>
      <c r="AX31" s="246">
        <f>ROUND(IF('Included @ Interval'!AX31="yes",'Hours Per Job'!AX31*'Interval Reimb'!$B$38+'Parts Cost Per Job'!AX31*((1+'Interval Reimb'!$B$39)*'Interval Reimb'!$B$40),0),2)</f>
        <v>0</v>
      </c>
      <c r="AY31" s="246">
        <f>ROUND(IF('Included @ Interval'!AY31="yes",'Hours Per Job'!AY31*'Interval Reimb'!$B$38+'Parts Cost Per Job'!AY31*((1+'Interval Reimb'!$B$39)*'Interval Reimb'!$B$40),0),2)</f>
        <v>0</v>
      </c>
      <c r="AZ31" s="246">
        <f>ROUND(IF('Included @ Interval'!AZ31="yes",'Hours Per Job'!AZ31*'Interval Reimb'!$B$38+'Parts Cost Per Job'!AZ31*((1+'Interval Reimb'!$B$39)*'Interval Reimb'!$B$40),0),2)</f>
        <v>0</v>
      </c>
      <c r="BA31" s="246">
        <f>ROUND(IF('Included @ Interval'!BA31="yes",'Hours Per Job'!BA31*'Interval Reimb'!$B$38+'Parts Cost Per Job'!BA31*((1+'Interval Reimb'!$B$39)*'Interval Reimb'!$B$40),0),2)</f>
        <v>0</v>
      </c>
      <c r="BB31" s="246">
        <f>ROUND(IF('Included @ Interval'!BB31="yes",'Hours Per Job'!BB31*'Interval Reimb'!$B$38+'Parts Cost Per Job'!BB31*((1+'Interval Reimb'!$B$39)*'Interval Reimb'!$B$40),0),2)</f>
        <v>0</v>
      </c>
      <c r="BC31" s="246">
        <f>ROUND(IF('Included @ Interval'!BC31="yes",'Hours Per Job'!BC31*'Interval Reimb'!$B$38+'Parts Cost Per Job'!BC31*((1+'Interval Reimb'!$B$39)*'Interval Reimb'!$B$40),0),2)</f>
        <v>0</v>
      </c>
      <c r="BD31" s="246">
        <f>ROUND(IF('Included @ Interval'!BD31="yes",'Hours Per Job'!BD31*'Interval Reimb'!$B$38+'Parts Cost Per Job'!BD31*((1+'Interval Reimb'!$B$39)*'Interval Reimb'!$B$40),0),2)</f>
        <v>0</v>
      </c>
      <c r="BE31" s="246">
        <f>ROUND(IF('Included @ Interval'!BE31="yes",'Hours Per Job'!BE31*'Interval Reimb'!$B$38+'Parts Cost Per Job'!BE31*((1+'Interval Reimb'!$B$39)*'Interval Reimb'!$B$40),0),2)</f>
        <v>0</v>
      </c>
      <c r="BF31" s="246">
        <f>ROUND(IF('Included @ Interval'!BF31="yes",'Hours Per Job'!BF31*'Interval Reimb'!$B$38+'Parts Cost Per Job'!BF31*((1+'Interval Reimb'!$B$39)*'Interval Reimb'!$B$40),0),2)</f>
        <v>0</v>
      </c>
      <c r="BG31" s="246">
        <f>ROUND(IF('Included @ Interval'!BG31="yes",'Hours Per Job'!BG31*'Interval Reimb'!$B$38+'Parts Cost Per Job'!BG31*((1+'Interval Reimb'!$B$39)*'Interval Reimb'!$B$40),0),2)</f>
        <v>0</v>
      </c>
      <c r="BH31" s="246">
        <f>ROUND(IF('Included @ Interval'!BH31="yes",'Hours Per Job'!BH31*'Interval Reimb'!$B$38+'Parts Cost Per Job'!BH31*((1+'Interval Reimb'!$B$39)*'Interval Reimb'!$B$40),0),2)</f>
        <v>0</v>
      </c>
      <c r="BI31" s="246">
        <f>ROUND(IF('Included @ Interval'!BI31="yes",'Hours Per Job'!BI31*'Interval Reimb'!$B$38+'Parts Cost Per Job'!BI31*((1+'Interval Reimb'!$B$39)*'Interval Reimb'!$B$40),0),2)</f>
        <v>0</v>
      </c>
      <c r="BJ31" s="246">
        <f>ROUND(IF('Included @ Interval'!BJ31="yes",'Hours Per Job'!BJ31*'Interval Reimb'!$B$38+'Parts Cost Per Job'!BJ31*((1+'Interval Reimb'!$B$39)*'Interval Reimb'!$B$40),0),2)</f>
        <v>0</v>
      </c>
      <c r="BK31" s="246">
        <f>ROUND(IF('Included @ Interval'!BK31="yes",'Hours Per Job'!BK31*'Interval Reimb'!$B$38+'Parts Cost Per Job'!BK31*((1+'Interval Reimb'!$B$39)*'Interval Reimb'!$B$40),0),2)</f>
        <v>0</v>
      </c>
      <c r="BL31" s="246">
        <f>ROUND(IF('Included @ Interval'!BL31="yes",'Hours Per Job'!BL31*'Interval Reimb'!$B$38+'Parts Cost Per Job'!BL31*((1+'Interval Reimb'!$B$39)*'Interval Reimb'!$B$40),0),2)</f>
        <v>0</v>
      </c>
      <c r="BM31" s="246">
        <f>ROUND(IF('Included @ Interval'!BM31="yes",'Hours Per Job'!BM31*'Interval Reimb'!$B$38+'Parts Cost Per Job'!BM31*((1+'Interval Reimb'!$B$39)*'Interval Reimb'!$B$40),0),2)</f>
        <v>0</v>
      </c>
      <c r="BN31" s="246">
        <f>ROUND(IF('Included @ Interval'!BN31="yes",'Hours Per Job'!BN31*'Interval Reimb'!$B$38+'Parts Cost Per Job'!BN31*((1+'Interval Reimb'!$B$39)*'Interval Reimb'!$B$40),0),2)</f>
        <v>0</v>
      </c>
      <c r="BO31" s="246">
        <f>ROUND(IF('Included @ Interval'!BO31="yes",'Hours Per Job'!BO31*'Interval Reimb'!$B$38+'Parts Cost Per Job'!BO31*((1+'Interval Reimb'!$B$39)*'Interval Reimb'!$B$40),0),2)</f>
        <v>0</v>
      </c>
      <c r="BP31" s="246">
        <f>ROUND(IF('Included @ Interval'!BP31="yes",'Hours Per Job'!BP31*'Interval Reimb'!$B$38+'Parts Cost Per Job'!BP31*((1+'Interval Reimb'!$B$39)*'Interval Reimb'!$B$40),0),2)</f>
        <v>0</v>
      </c>
      <c r="BQ31" s="9">
        <f t="shared" si="0"/>
        <v>0</v>
      </c>
      <c r="BR31" s="9">
        <f t="shared" si="1"/>
        <v>0</v>
      </c>
    </row>
    <row r="32" spans="1:70" x14ac:dyDescent="0.2">
      <c r="A32" s="133" t="str">
        <f>+'Scheduled Intervals'!A32</f>
        <v>SCL -  Gas</v>
      </c>
      <c r="B32" s="246">
        <f>ROUND(IF('Included @ Interval'!B32="yes",'Hours Per Job'!B32*'Interval Reimb'!$B$38+'Parts Cost Per Job'!B32*((1+'Interval Reimb'!$B$39)*'Interval Reimb'!$B$40),0),2)</f>
        <v>0</v>
      </c>
      <c r="C32" s="246">
        <f>ROUND(IF('Included @ Interval'!C32="yes",'Hours Per Job'!C32*'Interval Reimb'!$B$38+'Parts Cost Per Job'!C32*((1+'Interval Reimb'!$B$39)*'Interval Reimb'!$B$40),0),2)</f>
        <v>0</v>
      </c>
      <c r="D32" s="246">
        <f>ROUND(IF('Included @ Interval'!D32="yes",'Hours Per Job'!D32*'Interval Reimb'!$B$38+'Parts Cost Per Job'!D32*((1+'Interval Reimb'!$B$39)*'Interval Reimb'!$B$40),0),2)</f>
        <v>0</v>
      </c>
      <c r="E32" s="246">
        <f>ROUND(IF('Included @ Interval'!E32="yes",'Hours Per Job'!E32*'Interval Reimb'!$B$38+'Parts Cost Per Job'!E32*((1+'Interval Reimb'!$B$39)*'Interval Reimb'!$B$40),0),2)</f>
        <v>0</v>
      </c>
      <c r="F32" s="246">
        <f>ROUND(IF('Included @ Interval'!F32="yes",'Hours Per Job'!F32*'Interval Reimb'!$B$38+'Parts Cost Per Job'!F32*((1+'Interval Reimb'!$B$39)*'Interval Reimb'!$B$40),0),2)</f>
        <v>0</v>
      </c>
      <c r="G32" s="246">
        <f>ROUND(IF('Included @ Interval'!G32="yes",'Hours Per Job'!G32*'Interval Reimb'!$B$38+'Parts Cost Per Job'!G32*((1+'Interval Reimb'!$B$39)*'Interval Reimb'!$B$40),0),2)</f>
        <v>0</v>
      </c>
      <c r="H32" s="246">
        <f>ROUND(IF('Included @ Interval'!H32="yes",'Hours Per Job'!H32*'Interval Reimb'!$B$38+'Parts Cost Per Job'!H32*((1+'Interval Reimb'!$B$39)*'Interval Reimb'!$B$40),0),2)</f>
        <v>0</v>
      </c>
      <c r="I32" s="246">
        <f>ROUND(IF('Included @ Interval'!I32="yes",'Hours Per Job'!I32*'Interval Reimb'!$B$38+'Parts Cost Per Job'!I32*((1+'Interval Reimb'!$B$39)*'Interval Reimb'!$B$40),0),2)</f>
        <v>0</v>
      </c>
      <c r="J32" s="246">
        <f>ROUND(IF('Included @ Interval'!J32="yes",'Hours Per Job'!J32*'Interval Reimb'!$B$38+'Parts Cost Per Job'!J32*((1+'Interval Reimb'!$B$39)*'Interval Reimb'!$B$40),0),2)</f>
        <v>0</v>
      </c>
      <c r="K32" s="246">
        <f>ROUND(IF('Included @ Interval'!K32="yes",'Hours Per Job'!K32*'Interval Reimb'!$B$38+'Parts Cost Per Job'!K32*((1+'Interval Reimb'!$B$39)*'Interval Reimb'!$B$40),0),2)</f>
        <v>0</v>
      </c>
      <c r="L32" s="246">
        <f>ROUND(IF('Included @ Interval'!L32="yes",'Hours Per Job'!L32*'Interval Reimb'!$B$38+'Parts Cost Per Job'!L32*((1+'Interval Reimb'!$B$39)*'Interval Reimb'!$B$40),0),2)</f>
        <v>0</v>
      </c>
      <c r="M32" s="246">
        <f>ROUND(IF('Included @ Interval'!M32="yes",'Hours Per Job'!M32*'Interval Reimb'!$B$38+'Parts Cost Per Job'!M32*((1+'Interval Reimb'!$B$39)*'Interval Reimb'!$B$40),0),2)</f>
        <v>0</v>
      </c>
      <c r="N32" s="246">
        <f>ROUND(IF('Included @ Interval'!N32="yes",'Hours Per Job'!N32*'Interval Reimb'!$B$38+'Parts Cost Per Job'!N32*((1+'Interval Reimb'!$B$39)*'Interval Reimb'!$B$40),0),2)</f>
        <v>0</v>
      </c>
      <c r="O32" s="246">
        <f>ROUND(IF('Included @ Interval'!O32="yes",'Hours Per Job'!O32*'Interval Reimb'!$B$38+'Parts Cost Per Job'!O32*((1+'Interval Reimb'!$B$39)*'Interval Reimb'!$B$40),0),2)</f>
        <v>0</v>
      </c>
      <c r="P32" s="246">
        <f>ROUND(IF('Included @ Interval'!P32="yes",'Hours Per Job'!P32*'Interval Reimb'!$B$38+'Parts Cost Per Job'!P32*((1+'Interval Reimb'!$B$39)*'Interval Reimb'!$B$40),0),2)</f>
        <v>0</v>
      </c>
      <c r="Q32" s="246">
        <f>ROUND(IF('Included @ Interval'!Q32="yes",'Hours Per Job'!Q32*'Interval Reimb'!$B$38+'Parts Cost Per Job'!Q32*((1+'Interval Reimb'!$B$39)*'Interval Reimb'!$B$40),0),2)</f>
        <v>0</v>
      </c>
      <c r="R32" s="246">
        <f>ROUND(IF('Included @ Interval'!R32="yes",'Hours Per Job'!R32*'Interval Reimb'!$B$38+'Parts Cost Per Job'!R32*((1+'Interval Reimb'!$B$39)*'Interval Reimb'!$B$40),0),2)</f>
        <v>0</v>
      </c>
      <c r="S32" s="246">
        <f>ROUND(IF('Included @ Interval'!S32="yes",'Hours Per Job'!S32*'Interval Reimb'!$B$38+'Parts Cost Per Job'!S32*((1+'Interval Reimb'!$B$39)*'Interval Reimb'!$B$40),0),2)</f>
        <v>0</v>
      </c>
      <c r="T32" s="246">
        <f>ROUND(IF('Included @ Interval'!T32="yes",'Hours Per Job'!T32*'Interval Reimb'!$B$38+'Parts Cost Per Job'!T32*((1+'Interval Reimb'!$B$39)*'Interval Reimb'!$B$40),0),2)</f>
        <v>0</v>
      </c>
      <c r="U32" s="246">
        <f>ROUND(IF('Included @ Interval'!U32="yes",'Hours Per Job'!U32*'Interval Reimb'!$B$38+'Parts Cost Per Job'!U32*((1+'Interval Reimb'!$B$39)*'Interval Reimb'!$B$40),0),2)</f>
        <v>64.03</v>
      </c>
      <c r="V32" s="246">
        <f>ROUND(IF('Included @ Interval'!V32="yes",'Hours Per Job'!V32*'Interval Reimb'!$B$38+'Parts Cost Per Job'!V32*((1+'Interval Reimb'!$B$39)*'Interval Reimb'!$B$40),0),2)</f>
        <v>0</v>
      </c>
      <c r="W32" s="246">
        <f>ROUND(IF('Included @ Interval'!W32="yes",'Hours Per Job'!W32*'Interval Reimb'!$B$38+'Parts Cost Per Job'!W32*((1+'Interval Reimb'!$B$39)*'Interval Reimb'!$B$40),0),2)</f>
        <v>0</v>
      </c>
      <c r="X32" s="246">
        <f>ROUND(IF('Included @ Interval'!X32="yes",'Hours Per Job'!X32*'Interval Reimb'!$B$38+'Parts Cost Per Job'!X32*((1+'Interval Reimb'!$B$39)*'Interval Reimb'!$B$40),0),2)</f>
        <v>0</v>
      </c>
      <c r="Y32" s="246">
        <f>ROUND(IF('Included @ Interval'!Y32="yes",'Hours Per Job'!Y32*'Interval Reimb'!$B$38+'Parts Cost Per Job'!Y32*((1+'Interval Reimb'!$B$39)*'Interval Reimb'!$B$40),0),2)</f>
        <v>0</v>
      </c>
      <c r="Z32" s="246">
        <f>ROUND(IF('Included @ Interval'!Z32="yes",'Hours Per Job'!Z32*'Interval Reimb'!$B$38+'Parts Cost Per Job'!Z32*((1+'Interval Reimb'!$B$39)*'Interval Reimb'!$B$40),0),2)</f>
        <v>39.14</v>
      </c>
      <c r="AA32" s="246">
        <f>ROUND(IF('Included @ Interval'!AA32="yes",'Hours Per Job'!AA32*'Interval Reimb'!$B$38+'Parts Cost Per Job'!AA32*((1+'Interval Reimb'!$B$39)*'Interval Reimb'!$B$40),0),2)</f>
        <v>0</v>
      </c>
      <c r="AB32" s="246">
        <f>ROUND(IF('Included @ Interval'!AB32="yes",'Hours Per Job'!AB32*'Interval Reimb'!$B$38+'Parts Cost Per Job'!AB32*((1+'Interval Reimb'!$B$39)*'Interval Reimb'!$B$40),0),2)</f>
        <v>0</v>
      </c>
      <c r="AC32" s="246">
        <f>ROUND(IF('Included @ Interval'!AC32="yes",'Hours Per Job'!AC32*'Interval Reimb'!$B$38+'Parts Cost Per Job'!AC32*((1+'Interval Reimb'!$B$39)*'Interval Reimb'!$B$40),0),2)</f>
        <v>0</v>
      </c>
      <c r="AD32" s="246">
        <f>ROUND(IF('Included @ Interval'!AD32="yes",'Hours Per Job'!AD32*'Interval Reimb'!$B$38+'Parts Cost Per Job'!AD32*((1+'Interval Reimb'!$B$39)*'Interval Reimb'!$B$40),0),2)</f>
        <v>0</v>
      </c>
      <c r="AE32" s="246">
        <f>ROUND(IF('Included @ Interval'!AE32="yes",'Hours Per Job'!AE32*'Interval Reimb'!$B$38+'Parts Cost Per Job'!AE32*((1+'Interval Reimb'!$B$39)*'Interval Reimb'!$B$40),0),2)</f>
        <v>0</v>
      </c>
      <c r="AF32" s="246">
        <f>ROUND(IF('Included @ Interval'!AF32="yes",'Hours Per Job'!AF32*'Interval Reimb'!$B$38+'Parts Cost Per Job'!AF32*((1+'Interval Reimb'!$B$39)*'Interval Reimb'!$B$40),0),2)</f>
        <v>0</v>
      </c>
      <c r="AG32" s="246">
        <f>ROUND(IF('Included @ Interval'!AG32="yes",'Hours Per Job'!AG32*'Interval Reimb'!$B$38+'Parts Cost Per Job'!AG32*((1+'Interval Reimb'!$B$39)*'Interval Reimb'!$B$40),0),2)</f>
        <v>0</v>
      </c>
      <c r="AH32" s="246">
        <f>ROUND(IF('Included @ Interval'!AH32="yes",'Hours Per Job'!AH32*'Interval Reimb'!$B$38+'Parts Cost Per Job'!AH32*((1+'Interval Reimb'!$B$39)*'Interval Reimb'!$B$40),0),2)</f>
        <v>0</v>
      </c>
      <c r="AI32" s="246">
        <f>ROUND(IF('Included @ Interval'!AI32="yes",'Hours Per Job'!AI32*'Interval Reimb'!$B$38+'Parts Cost Per Job'!AI32*((1+'Interval Reimb'!$B$39)*'Interval Reimb'!$B$40),0),2)</f>
        <v>0</v>
      </c>
      <c r="AJ32" s="246">
        <f>ROUND(IF('Included @ Interval'!AJ32="yes",'Hours Per Job'!AJ32*'Interval Reimb'!$B$38+'Parts Cost Per Job'!AJ32*((1+'Interval Reimb'!$B$39)*'Interval Reimb'!$B$40),0),2)</f>
        <v>0</v>
      </c>
      <c r="AK32" s="246">
        <f>ROUND(IF('Included @ Interval'!AK32="yes",'Hours Per Job'!AK32*'Interval Reimb'!$B$38+'Parts Cost Per Job'!AK32*((1+'Interval Reimb'!$B$39)*'Interval Reimb'!$B$40),0),2)</f>
        <v>0</v>
      </c>
      <c r="AL32" s="246">
        <f>ROUND(IF('Included @ Interval'!AL32="yes",'Hours Per Job'!AL32*'Interval Reimb'!$B$38+'Parts Cost Per Job'!AL32*((1+'Interval Reimb'!$B$39)*'Interval Reimb'!$B$40),0),2)</f>
        <v>0</v>
      </c>
      <c r="AM32" s="246">
        <f>ROUND(IF('Included @ Interval'!AM32="yes",'Hours Per Job'!AM32*'Interval Reimb'!$B$38+'Parts Cost Per Job'!AM32*((1+'Interval Reimb'!$B$39)*'Interval Reimb'!$B$40),0),2)</f>
        <v>0</v>
      </c>
      <c r="AN32" s="246">
        <f>ROUND(IF('Included @ Interval'!AN32="yes",'Hours Per Job'!AN32*'Interval Reimb'!$B$38+'Parts Cost Per Job'!AN32*((1+'Interval Reimb'!$B$39)*'Interval Reimb'!$B$40),0),2)</f>
        <v>0</v>
      </c>
      <c r="AO32" s="246">
        <f>ROUND(IF('Included @ Interval'!AO32="yes",'Hours Per Job'!AO32*'Interval Reimb'!$B$38+'Parts Cost Per Job'!AO32*((1+'Interval Reimb'!$B$39)*'Interval Reimb'!$B$40),0),2)</f>
        <v>0</v>
      </c>
      <c r="AP32" s="246">
        <f>ROUND(IF('Included @ Interval'!AP32="yes",'Hours Per Job'!AP32*'Interval Reimb'!$B$38+'Parts Cost Per Job'!AP32*((1+'Interval Reimb'!$B$39)*'Interval Reimb'!$B$40),0),2)</f>
        <v>0</v>
      </c>
      <c r="AQ32" s="246">
        <f>ROUND(IF('Included @ Interval'!AQ32="yes",'Hours Per Job'!AQ32*'Interval Reimb'!$B$38+'Parts Cost Per Job'!AQ32*((1+'Interval Reimb'!$B$39)*'Interval Reimb'!$B$40),0),2)</f>
        <v>0</v>
      </c>
      <c r="AR32" s="246">
        <f>ROUND(IF('Included @ Interval'!AR32="yes",'Hours Per Job'!AR32*'Interval Reimb'!$B$38+'Parts Cost Per Job'!AR32*((1+'Interval Reimb'!$B$39)*'Interval Reimb'!$B$40),0),2)</f>
        <v>0</v>
      </c>
      <c r="AS32" s="246">
        <f>ROUND(IF('Included @ Interval'!AS32="yes",'Hours Per Job'!AS32*'Interval Reimb'!$B$38+'Parts Cost Per Job'!AS32*((1+'Interval Reimb'!$B$39)*'Interval Reimb'!$B$40),0),2)</f>
        <v>0</v>
      </c>
      <c r="AT32" s="246">
        <f>ROUND(IF('Included @ Interval'!AT32="yes",'Hours Per Job'!AT32*'Interval Reimb'!$B$38+'Parts Cost Per Job'!AT32*((1+'Interval Reimb'!$B$39)*'Interval Reimb'!$B$40),0),2)</f>
        <v>35.07</v>
      </c>
      <c r="AU32" s="246">
        <f>ROUND(IF('Included @ Interval'!AU32="yes",'Hours Per Job'!AU32*'Interval Reimb'!$B$38+'Parts Cost Per Job'!AU32*((1+'Interval Reimb'!$B$39)*'Interval Reimb'!$B$40),0),2)</f>
        <v>0</v>
      </c>
      <c r="AV32" s="246">
        <f>ROUND(IF('Included @ Interval'!AV32="yes",'Hours Per Job'!AV32*'Interval Reimb'!$B$38+'Parts Cost Per Job'!AV32*((1+'Interval Reimb'!$B$39)*'Interval Reimb'!$B$40),0),2)</f>
        <v>0</v>
      </c>
      <c r="AW32" s="246">
        <f>ROUND(IF('Included @ Interval'!AW32="yes",'Hours Per Job'!AW32*'Interval Reimb'!$B$38+'Parts Cost Per Job'!AW32*((1+'Interval Reimb'!$B$39)*'Interval Reimb'!$B$40),0),2)</f>
        <v>0</v>
      </c>
      <c r="AX32" s="246">
        <f>ROUND(IF('Included @ Interval'!AX32="yes",'Hours Per Job'!AX32*'Interval Reimb'!$B$38+'Parts Cost Per Job'!AX32*((1+'Interval Reimb'!$B$39)*'Interval Reimb'!$B$40),0),2)</f>
        <v>0</v>
      </c>
      <c r="AY32" s="246">
        <f>ROUND(IF('Included @ Interval'!AY32="yes",'Hours Per Job'!AY32*'Interval Reimb'!$B$38+'Parts Cost Per Job'!AY32*((1+'Interval Reimb'!$B$39)*'Interval Reimb'!$B$40),0),2)</f>
        <v>0</v>
      </c>
      <c r="AZ32" s="246">
        <f>ROUND(IF('Included @ Interval'!AZ32="yes",'Hours Per Job'!AZ32*'Interval Reimb'!$B$38+'Parts Cost Per Job'!AZ32*((1+'Interval Reimb'!$B$39)*'Interval Reimb'!$B$40),0),2)</f>
        <v>0</v>
      </c>
      <c r="BA32" s="246">
        <f>ROUND(IF('Included @ Interval'!BA32="yes",'Hours Per Job'!BA32*'Interval Reimb'!$B$38+'Parts Cost Per Job'!BA32*((1+'Interval Reimb'!$B$39)*'Interval Reimb'!$B$40),0),2)</f>
        <v>0</v>
      </c>
      <c r="BB32" s="246">
        <f>ROUND(IF('Included @ Interval'!BB32="yes",'Hours Per Job'!BB32*'Interval Reimb'!$B$38+'Parts Cost Per Job'!BB32*((1+'Interval Reimb'!$B$39)*'Interval Reimb'!$B$40),0),2)</f>
        <v>51.44</v>
      </c>
      <c r="BC32" s="246">
        <f>ROUND(IF('Included @ Interval'!BC32="yes",'Hours Per Job'!BC32*'Interval Reimb'!$B$38+'Parts Cost Per Job'!BC32*((1+'Interval Reimb'!$B$39)*'Interval Reimb'!$B$40),0),2)</f>
        <v>0</v>
      </c>
      <c r="BD32" s="246">
        <f>ROUND(IF('Included @ Interval'!BD32="yes",'Hours Per Job'!BD32*'Interval Reimb'!$B$38+'Parts Cost Per Job'!BD32*((1+'Interval Reimb'!$B$39)*'Interval Reimb'!$B$40),0),2)</f>
        <v>25.7</v>
      </c>
      <c r="BE32" s="246">
        <f>ROUND(IF('Included @ Interval'!BE32="yes",'Hours Per Job'!BE32*'Interval Reimb'!$B$38+'Parts Cost Per Job'!BE32*((1+'Interval Reimb'!$B$39)*'Interval Reimb'!$B$40),0),2)</f>
        <v>0</v>
      </c>
      <c r="BF32" s="246">
        <f>ROUND(IF('Included @ Interval'!BF32="yes",'Hours Per Job'!BF32*'Interval Reimb'!$B$38+'Parts Cost Per Job'!BF32*((1+'Interval Reimb'!$B$39)*'Interval Reimb'!$B$40),0),2)</f>
        <v>0</v>
      </c>
      <c r="BG32" s="246">
        <f>ROUND(IF('Included @ Interval'!BG32="yes",'Hours Per Job'!BG32*'Interval Reimb'!$B$38+'Parts Cost Per Job'!BG32*((1+'Interval Reimb'!$B$39)*'Interval Reimb'!$B$40),0),2)</f>
        <v>0</v>
      </c>
      <c r="BH32" s="246">
        <f>ROUND(IF('Included @ Interval'!BH32="yes",'Hours Per Job'!BH32*'Interval Reimb'!$B$38+'Parts Cost Per Job'!BH32*((1+'Interval Reimb'!$B$39)*'Interval Reimb'!$B$40),0),2)</f>
        <v>67.36</v>
      </c>
      <c r="BI32" s="246">
        <f>ROUND(IF('Included @ Interval'!BI32="yes",'Hours Per Job'!BI32*'Interval Reimb'!$B$38+'Parts Cost Per Job'!BI32*((1+'Interval Reimb'!$B$39)*'Interval Reimb'!$B$40),0),2)</f>
        <v>12</v>
      </c>
      <c r="BJ32" s="246">
        <f>ROUND(IF('Included @ Interval'!BJ32="yes",'Hours Per Job'!BJ32*'Interval Reimb'!$B$38+'Parts Cost Per Job'!BJ32*((1+'Interval Reimb'!$B$39)*'Interval Reimb'!$B$40),0),2)</f>
        <v>30</v>
      </c>
      <c r="BK32" s="246">
        <f>ROUND(IF('Included @ Interval'!BK32="yes",'Hours Per Job'!BK32*'Interval Reimb'!$B$38+'Parts Cost Per Job'!BK32*((1+'Interval Reimb'!$B$39)*'Interval Reimb'!$B$40),0),2)</f>
        <v>0</v>
      </c>
      <c r="BL32" s="246">
        <f>ROUND(IF('Included @ Interval'!BL32="yes",'Hours Per Job'!BL32*'Interval Reimb'!$B$38+'Parts Cost Per Job'!BL32*((1+'Interval Reimb'!$B$39)*'Interval Reimb'!$B$40),0),2)</f>
        <v>0</v>
      </c>
      <c r="BM32" s="246">
        <f>ROUND(IF('Included @ Interval'!BM32="yes",'Hours Per Job'!BM32*'Interval Reimb'!$B$38+'Parts Cost Per Job'!BM32*((1+'Interval Reimb'!$B$39)*'Interval Reimb'!$B$40),0),2)</f>
        <v>0</v>
      </c>
      <c r="BN32" s="246">
        <f>ROUND(IF('Included @ Interval'!BN32="yes",'Hours Per Job'!BN32*'Interval Reimb'!$B$38+'Parts Cost Per Job'!BN32*((1+'Interval Reimb'!$B$39)*'Interval Reimb'!$B$40),0),2)</f>
        <v>0</v>
      </c>
      <c r="BO32" s="246">
        <f>ROUND(IF('Included @ Interval'!BO32="yes",'Hours Per Job'!BO32*'Interval Reimb'!$B$38+'Parts Cost Per Job'!BO32*((1+'Interval Reimb'!$B$39)*'Interval Reimb'!$B$40),0),2)</f>
        <v>0</v>
      </c>
      <c r="BP32" s="246">
        <f>ROUND(IF('Included @ Interval'!BP32="yes",'Hours Per Job'!BP32*'Interval Reimb'!$B$38+'Parts Cost Per Job'!BP32*((1+'Interval Reimb'!$B$39)*'Interval Reimb'!$B$40),0),2)</f>
        <v>0</v>
      </c>
      <c r="BQ32" s="9">
        <f t="shared" ref="BQ32" si="2">SUM(B32:BP32)</f>
        <v>324.74</v>
      </c>
      <c r="BR32" s="9"/>
    </row>
    <row r="33" spans="1:70" x14ac:dyDescent="0.2">
      <c r="A33" s="18" t="str">
        <f>+'Scheduled Intervals'!A33</f>
        <v>Mini Excavator</v>
      </c>
      <c r="B33" s="246">
        <f>ROUND(IF('Included @ Interval'!B33="yes",'Hours Per Job'!B33*'Interval Reimb'!$B$38+'Parts Cost Per Job'!B33*((1+'Interval Reimb'!$B$39)*'Interval Reimb'!$B$40),0),2)</f>
        <v>0</v>
      </c>
      <c r="C33" s="246">
        <f>ROUND(IF('Included @ Interval'!C33="yes",'Hours Per Job'!C33*'Interval Reimb'!$B$38+'Parts Cost Per Job'!C33*((1+'Interval Reimb'!$B$39)*'Interval Reimb'!$B$40),0),2)</f>
        <v>0</v>
      </c>
      <c r="D33" s="246">
        <f>ROUND(IF('Included @ Interval'!D33="yes",'Hours Per Job'!D33*'Interval Reimb'!$B$38+'Parts Cost Per Job'!D33*((1+'Interval Reimb'!$B$39)*'Interval Reimb'!$B$40),0),2)</f>
        <v>0</v>
      </c>
      <c r="E33" s="246">
        <f>ROUND(IF('Included @ Interval'!E33="yes",'Hours Per Job'!E33*'Interval Reimb'!$B$38+'Parts Cost Per Job'!E33*((1+'Interval Reimb'!$B$39)*'Interval Reimb'!$B$40),0),2)</f>
        <v>0</v>
      </c>
      <c r="F33" s="246">
        <f>ROUND(IF('Included @ Interval'!F33="yes",'Hours Per Job'!F33*'Interval Reimb'!$B$38+'Parts Cost Per Job'!F33*((1+'Interval Reimb'!$B$39)*'Interval Reimb'!$B$40),0),2)</f>
        <v>0</v>
      </c>
      <c r="G33" s="246">
        <f>ROUND(IF('Included @ Interval'!G33="yes",'Hours Per Job'!G33*'Interval Reimb'!$B$38+'Parts Cost Per Job'!G33*((1+'Interval Reimb'!$B$39)*'Interval Reimb'!$B$40),0),2)</f>
        <v>0</v>
      </c>
      <c r="H33" s="246">
        <f>ROUND(IF('Included @ Interval'!H33="yes",'Hours Per Job'!H33*'Interval Reimb'!$B$38+'Parts Cost Per Job'!H33*((1+'Interval Reimb'!$B$39)*'Interval Reimb'!$B$40),0),2)</f>
        <v>0</v>
      </c>
      <c r="I33" s="246">
        <f>ROUND(IF('Included @ Interval'!I33="yes",'Hours Per Job'!I33*'Interval Reimb'!$B$38+'Parts Cost Per Job'!I33*((1+'Interval Reimb'!$B$39)*'Interval Reimb'!$B$40),0),2)</f>
        <v>0</v>
      </c>
      <c r="J33" s="246">
        <f>ROUND(IF('Included @ Interval'!J33="yes",'Hours Per Job'!J33*'Interval Reimb'!$B$38+'Parts Cost Per Job'!J33*((1+'Interval Reimb'!$B$39)*'Interval Reimb'!$B$40),0),2)</f>
        <v>0</v>
      </c>
      <c r="K33" s="246">
        <f>ROUND(IF('Included @ Interval'!K33="yes",'Hours Per Job'!K33*'Interval Reimb'!$B$38+'Parts Cost Per Job'!K33*((1+'Interval Reimb'!$B$39)*'Interval Reimb'!$B$40),0),2)</f>
        <v>0</v>
      </c>
      <c r="L33" s="246">
        <f>ROUND(IF('Included @ Interval'!L33="yes",'Hours Per Job'!L33*'Interval Reimb'!$B$38+'Parts Cost Per Job'!L33*((1+'Interval Reimb'!$B$39)*'Interval Reimb'!$B$40),0),2)</f>
        <v>0</v>
      </c>
      <c r="M33" s="246">
        <f>ROUND(IF('Included @ Interval'!M33="yes",'Hours Per Job'!M33*'Interval Reimb'!$B$38+'Parts Cost Per Job'!M33*((1+'Interval Reimb'!$B$39)*'Interval Reimb'!$B$40),0),2)</f>
        <v>0</v>
      </c>
      <c r="N33" s="246">
        <f>ROUND(IF('Included @ Interval'!N33="yes",'Hours Per Job'!N33*'Interval Reimb'!$B$38+'Parts Cost Per Job'!N33*((1+'Interval Reimb'!$B$39)*'Interval Reimb'!$B$40),0),2)</f>
        <v>0</v>
      </c>
      <c r="O33" s="246">
        <f>ROUND(IF('Included @ Interval'!O33="yes",'Hours Per Job'!O33*'Interval Reimb'!$B$38+'Parts Cost Per Job'!O33*((1+'Interval Reimb'!$B$39)*'Interval Reimb'!$B$40),0),2)</f>
        <v>0</v>
      </c>
      <c r="P33" s="246">
        <f>ROUND(IF('Included @ Interval'!P33="yes",'Hours Per Job'!P33*'Interval Reimb'!$B$38+'Parts Cost Per Job'!P33*((1+'Interval Reimb'!$B$39)*'Interval Reimb'!$B$40),0),2)</f>
        <v>0</v>
      </c>
      <c r="Q33" s="246">
        <f>ROUND(IF('Included @ Interval'!Q33="yes",'Hours Per Job'!Q33*'Interval Reimb'!$B$38+'Parts Cost Per Job'!Q33*((1+'Interval Reimb'!$B$39)*'Interval Reimb'!$B$40),0),2)</f>
        <v>0</v>
      </c>
      <c r="R33" s="246">
        <f>ROUND(IF('Included @ Interval'!R33="yes",'Hours Per Job'!R33*'Interval Reimb'!$B$38+'Parts Cost Per Job'!R33*((1+'Interval Reimb'!$B$39)*'Interval Reimb'!$B$40),0),2)</f>
        <v>0</v>
      </c>
      <c r="S33" s="246">
        <f>ROUND(IF('Included @ Interval'!S33="yes",'Hours Per Job'!S33*'Interval Reimb'!$B$38+'Parts Cost Per Job'!S33*((1+'Interval Reimb'!$B$39)*'Interval Reimb'!$B$40),0),2)</f>
        <v>0</v>
      </c>
      <c r="T33" s="246">
        <f>ROUND(IF('Included @ Interval'!T33="yes",'Hours Per Job'!T33*'Interval Reimb'!$B$38+'Parts Cost Per Job'!T33*((1+'Interval Reimb'!$B$39)*'Interval Reimb'!$B$40),0),2)</f>
        <v>0</v>
      </c>
      <c r="U33" s="246">
        <f>ROUND(IF('Included @ Interval'!U33="yes",'Hours Per Job'!U33*'Interval Reimb'!$B$38+'Parts Cost Per Job'!U33*((1+'Interval Reimb'!$B$39)*'Interval Reimb'!$B$40),0),2)</f>
        <v>84.72</v>
      </c>
      <c r="V33" s="246">
        <f>ROUND(IF('Included @ Interval'!V33="yes",'Hours Per Job'!V33*'Interval Reimb'!$B$38+'Parts Cost Per Job'!V33*((1+'Interval Reimb'!$B$39)*'Interval Reimb'!$B$40),0),2)</f>
        <v>0</v>
      </c>
      <c r="W33" s="246">
        <f>ROUND(IF('Included @ Interval'!W33="yes",'Hours Per Job'!W33*'Interval Reimb'!$B$38+'Parts Cost Per Job'!W33*((1+'Interval Reimb'!$B$39)*'Interval Reimb'!$B$40),0),2)</f>
        <v>0</v>
      </c>
      <c r="X33" s="246">
        <f>ROUND(IF('Included @ Interval'!X33="yes",'Hours Per Job'!X33*'Interval Reimb'!$B$38+'Parts Cost Per Job'!X33*((1+'Interval Reimb'!$B$39)*'Interval Reimb'!$B$40),0),2)</f>
        <v>0</v>
      </c>
      <c r="Y33" s="246">
        <f>ROUND(IF('Included @ Interval'!Y33="yes",'Hours Per Job'!Y33*'Interval Reimb'!$B$38+'Parts Cost Per Job'!Y33*((1+'Interval Reimb'!$B$39)*'Interval Reimb'!$B$40),0),2)</f>
        <v>0</v>
      </c>
      <c r="Z33" s="246">
        <f>ROUND(IF('Included @ Interval'!Z33="yes",'Hours Per Job'!Z33*'Interval Reimb'!$B$38+'Parts Cost Per Job'!Z33*((1+'Interval Reimb'!$B$39)*'Interval Reimb'!$B$40),0),2)</f>
        <v>43.98</v>
      </c>
      <c r="AA33" s="246">
        <f>ROUND(IF('Included @ Interval'!AA33="yes",'Hours Per Job'!AA33*'Interval Reimb'!$B$38+'Parts Cost Per Job'!AA33*((1+'Interval Reimb'!$B$39)*'Interval Reimb'!$B$40),0),2)</f>
        <v>0</v>
      </c>
      <c r="AB33" s="246">
        <f>ROUND(IF('Included @ Interval'!AB33="yes",'Hours Per Job'!AB33*'Interval Reimb'!$B$38+'Parts Cost Per Job'!AB33*((1+'Interval Reimb'!$B$39)*'Interval Reimb'!$B$40),0),2)</f>
        <v>0</v>
      </c>
      <c r="AC33" s="246">
        <f>ROUND(IF('Included @ Interval'!AC33="yes",'Hours Per Job'!AC33*'Interval Reimb'!$B$38+'Parts Cost Per Job'!AC33*((1+'Interval Reimb'!$B$39)*'Interval Reimb'!$B$40),0),2)</f>
        <v>0</v>
      </c>
      <c r="AD33" s="246">
        <f>ROUND(IF('Included @ Interval'!AD33="yes",'Hours Per Job'!AD33*'Interval Reimb'!$B$38+'Parts Cost Per Job'!AD33*((1+'Interval Reimb'!$B$39)*'Interval Reimb'!$B$40),0),2)</f>
        <v>0</v>
      </c>
      <c r="AE33" s="246">
        <f>ROUND(IF('Included @ Interval'!AE33="yes",'Hours Per Job'!AE33*'Interval Reimb'!$B$38+'Parts Cost Per Job'!AE33*((1+'Interval Reimb'!$B$39)*'Interval Reimb'!$B$40),0),2)</f>
        <v>0</v>
      </c>
      <c r="AF33" s="246">
        <f>ROUND(IF('Included @ Interval'!AF33="yes",'Hours Per Job'!AF33*'Interval Reimb'!$B$38+'Parts Cost Per Job'!AF33*((1+'Interval Reimb'!$B$39)*'Interval Reimb'!$B$40),0),2)</f>
        <v>0</v>
      </c>
      <c r="AG33" s="246">
        <f>ROUND(IF('Included @ Interval'!AG33="yes",'Hours Per Job'!AG33*'Interval Reimb'!$B$38+'Parts Cost Per Job'!AG33*((1+'Interval Reimb'!$B$39)*'Interval Reimb'!$B$40),0),2)</f>
        <v>134.31</v>
      </c>
      <c r="AH33" s="246">
        <f>ROUND(IF('Included @ Interval'!AH33="yes",'Hours Per Job'!AH33*'Interval Reimb'!$B$38+'Parts Cost Per Job'!AH33*((1+'Interval Reimb'!$B$39)*'Interval Reimb'!$B$40),0),2)</f>
        <v>0</v>
      </c>
      <c r="AI33" s="246">
        <f>ROUND(IF('Included @ Interval'!AI33="yes",'Hours Per Job'!AI33*'Interval Reimb'!$B$38+'Parts Cost Per Job'!AI33*((1+'Interval Reimb'!$B$39)*'Interval Reimb'!$B$40),0),2)</f>
        <v>275.5</v>
      </c>
      <c r="AJ33" s="246">
        <f>ROUND(IF('Included @ Interval'!AJ33="yes",'Hours Per Job'!AJ33*'Interval Reimb'!$B$38+'Parts Cost Per Job'!AJ33*((1+'Interval Reimb'!$B$39)*'Interval Reimb'!$B$40),0),2)</f>
        <v>0</v>
      </c>
      <c r="AK33" s="246">
        <f>ROUND(IF('Included @ Interval'!AK33="yes",'Hours Per Job'!AK33*'Interval Reimb'!$B$38+'Parts Cost Per Job'!AK33*((1+'Interval Reimb'!$B$39)*'Interval Reimb'!$B$40),0),2)</f>
        <v>0</v>
      </c>
      <c r="AL33" s="246">
        <f>ROUND(IF('Included @ Interval'!AL33="yes",'Hours Per Job'!AL33*'Interval Reimb'!$B$38+'Parts Cost Per Job'!AL33*((1+'Interval Reimb'!$B$39)*'Interval Reimb'!$B$40),0),2)</f>
        <v>0</v>
      </c>
      <c r="AM33" s="246">
        <f>ROUND(IF('Included @ Interval'!AM33="yes",'Hours Per Job'!AM33*'Interval Reimb'!$B$38+'Parts Cost Per Job'!AM33*((1+'Interval Reimb'!$B$39)*'Interval Reimb'!$B$40),0),2)</f>
        <v>0</v>
      </c>
      <c r="AN33" s="246">
        <f>ROUND(IF('Included @ Interval'!AN33="yes",'Hours Per Job'!AN33*'Interval Reimb'!$B$38+'Parts Cost Per Job'!AN33*((1+'Interval Reimb'!$B$39)*'Interval Reimb'!$B$40),0),2)</f>
        <v>0</v>
      </c>
      <c r="AO33" s="246">
        <f>ROUND(IF('Included @ Interval'!AO33="yes",'Hours Per Job'!AO33*'Interval Reimb'!$B$38+'Parts Cost Per Job'!AO33*((1+'Interval Reimb'!$B$39)*'Interval Reimb'!$B$40),0),2)</f>
        <v>0</v>
      </c>
      <c r="AP33" s="246">
        <f>ROUND(IF('Included @ Interval'!AP33="yes",'Hours Per Job'!AP33*'Interval Reimb'!$B$38+'Parts Cost Per Job'!AP33*((1+'Interval Reimb'!$B$39)*'Interval Reimb'!$B$40),0),2)</f>
        <v>0</v>
      </c>
      <c r="AQ33" s="246">
        <f>ROUND(IF('Included @ Interval'!AQ33="yes",'Hours Per Job'!AQ33*'Interval Reimb'!$B$38+'Parts Cost Per Job'!AQ33*((1+'Interval Reimb'!$B$39)*'Interval Reimb'!$B$40),0),2)</f>
        <v>0</v>
      </c>
      <c r="AR33" s="246">
        <f>ROUND(IF('Included @ Interval'!AR33="yes",'Hours Per Job'!AR33*'Interval Reimb'!$B$38+'Parts Cost Per Job'!AR33*((1+'Interval Reimb'!$B$39)*'Interval Reimb'!$B$40),0),2)</f>
        <v>0</v>
      </c>
      <c r="AS33" s="246">
        <f>ROUND(IF('Included @ Interval'!AS33="yes",'Hours Per Job'!AS33*'Interval Reimb'!$B$38+'Parts Cost Per Job'!AS33*((1+'Interval Reimb'!$B$39)*'Interval Reimb'!$B$40),0),2)</f>
        <v>0</v>
      </c>
      <c r="AT33" s="246">
        <f>ROUND(IF('Included @ Interval'!AT33="yes",'Hours Per Job'!AT33*'Interval Reimb'!$B$38+'Parts Cost Per Job'!AT33*((1+'Interval Reimb'!$B$39)*'Interval Reimb'!$B$40),0),2)</f>
        <v>35.07</v>
      </c>
      <c r="AU33" s="246">
        <f>ROUND(IF('Included @ Interval'!AU33="yes",'Hours Per Job'!AU33*'Interval Reimb'!$B$38+'Parts Cost Per Job'!AU33*((1+'Interval Reimb'!$B$39)*'Interval Reimb'!$B$40),0),2)</f>
        <v>0</v>
      </c>
      <c r="AV33" s="246">
        <f>ROUND(IF('Included @ Interval'!AV33="yes",'Hours Per Job'!AV33*'Interval Reimb'!$B$38+'Parts Cost Per Job'!AV33*((1+'Interval Reimb'!$B$39)*'Interval Reimb'!$B$40),0),2)</f>
        <v>0</v>
      </c>
      <c r="AW33" s="246">
        <f>ROUND(IF('Included @ Interval'!AW33="yes",'Hours Per Job'!AW33*'Interval Reimb'!$B$38+'Parts Cost Per Job'!AW33*((1+'Interval Reimb'!$B$39)*'Interval Reimb'!$B$40),0),2)</f>
        <v>0</v>
      </c>
      <c r="AX33" s="246">
        <f>ROUND(IF('Included @ Interval'!AX33="yes",'Hours Per Job'!AX33*'Interval Reimb'!$B$38+'Parts Cost Per Job'!AX33*((1+'Interval Reimb'!$B$39)*'Interval Reimb'!$B$40),0),2)</f>
        <v>0</v>
      </c>
      <c r="AY33" s="246">
        <f>ROUND(IF('Included @ Interval'!AY33="yes",'Hours Per Job'!AY33*'Interval Reimb'!$B$38+'Parts Cost Per Job'!AY33*((1+'Interval Reimb'!$B$39)*'Interval Reimb'!$B$40),0),2)</f>
        <v>0</v>
      </c>
      <c r="AZ33" s="246">
        <f>ROUND(IF('Included @ Interval'!AZ33="yes",'Hours Per Job'!AZ33*'Interval Reimb'!$B$38+'Parts Cost Per Job'!AZ33*((1+'Interval Reimb'!$B$39)*'Interval Reimb'!$B$40),0),2)</f>
        <v>0</v>
      </c>
      <c r="BA33" s="246">
        <f>ROUND(IF('Included @ Interval'!BA33="yes",'Hours Per Job'!BA33*'Interval Reimb'!$B$38+'Parts Cost Per Job'!BA33*((1+'Interval Reimb'!$B$39)*'Interval Reimb'!$B$40),0),2)</f>
        <v>0</v>
      </c>
      <c r="BB33" s="246">
        <f>ROUND(IF('Included @ Interval'!BB33="yes",'Hours Per Job'!BB33*'Interval Reimb'!$B$38+'Parts Cost Per Job'!BB33*((1+'Interval Reimb'!$B$39)*'Interval Reimb'!$B$40),0),2)</f>
        <v>45.31</v>
      </c>
      <c r="BC33" s="246">
        <f>ROUND(IF('Included @ Interval'!BC33="yes",'Hours Per Job'!BC33*'Interval Reimb'!$B$38+'Parts Cost Per Job'!BC33*((1+'Interval Reimb'!$B$39)*'Interval Reimb'!$B$40),0),2)</f>
        <v>50.95</v>
      </c>
      <c r="BD33" s="246">
        <f>ROUND(IF('Included @ Interval'!BD33="yes",'Hours Per Job'!BD33*'Interval Reimb'!$B$38+'Parts Cost Per Job'!BD33*((1+'Interval Reimb'!$B$39)*'Interval Reimb'!$B$40),0),2)</f>
        <v>0</v>
      </c>
      <c r="BE33" s="246">
        <f>ROUND(IF('Included @ Interval'!BE33="yes",'Hours Per Job'!BE33*'Interval Reimb'!$B$38+'Parts Cost Per Job'!BE33*((1+'Interval Reimb'!$B$39)*'Interval Reimb'!$B$40),0),2)</f>
        <v>0</v>
      </c>
      <c r="BF33" s="246">
        <f>ROUND(IF('Included @ Interval'!BF33="yes",'Hours Per Job'!BF33*'Interval Reimb'!$B$38+'Parts Cost Per Job'!BF33*((1+'Interval Reimb'!$B$39)*'Interval Reimb'!$B$40),0),2)</f>
        <v>0</v>
      </c>
      <c r="BG33" s="246">
        <f>ROUND(IF('Included @ Interval'!BG33="yes",'Hours Per Job'!BG33*'Interval Reimb'!$B$38+'Parts Cost Per Job'!BG33*((1+'Interval Reimb'!$B$39)*'Interval Reimb'!$B$40),0),2)</f>
        <v>0</v>
      </c>
      <c r="BH33" s="246">
        <f>ROUND(IF('Included @ Interval'!BH33="yes",'Hours Per Job'!BH33*'Interval Reimb'!$B$38+'Parts Cost Per Job'!BH33*((1+'Interval Reimb'!$B$39)*'Interval Reimb'!$B$40),0),2)</f>
        <v>0</v>
      </c>
      <c r="BI33" s="246">
        <f>ROUND(IF('Included @ Interval'!BI33="yes",'Hours Per Job'!BI33*'Interval Reimb'!$B$38+'Parts Cost Per Job'!BI33*((1+'Interval Reimb'!$B$39)*'Interval Reimb'!$B$40),0),2)</f>
        <v>0</v>
      </c>
      <c r="BJ33" s="246">
        <f>ROUND(IF('Included @ Interval'!BJ33="yes",'Hours Per Job'!BJ33*'Interval Reimb'!$B$38+'Parts Cost Per Job'!BJ33*((1+'Interval Reimb'!$B$39)*'Interval Reimb'!$B$40),0),2)</f>
        <v>30</v>
      </c>
      <c r="BK33" s="246">
        <f>ROUND(IF('Included @ Interval'!BK33="yes",'Hours Per Job'!BK33*'Interval Reimb'!$B$38+'Parts Cost Per Job'!BK33*((1+'Interval Reimb'!$B$39)*'Interval Reimb'!$B$40),0),2)</f>
        <v>0</v>
      </c>
      <c r="BL33" s="246">
        <f>ROUND(IF('Included @ Interval'!BL33="yes",'Hours Per Job'!BL33*'Interval Reimb'!$B$38+'Parts Cost Per Job'!BL33*((1+'Interval Reimb'!$B$39)*'Interval Reimb'!$B$40),0),2)</f>
        <v>0</v>
      </c>
      <c r="BM33" s="246">
        <f>ROUND(IF('Included @ Interval'!BM33="yes",'Hours Per Job'!BM33*'Interval Reimb'!$B$38+'Parts Cost Per Job'!BM33*((1+'Interval Reimb'!$B$39)*'Interval Reimb'!$B$40),0),2)</f>
        <v>0</v>
      </c>
      <c r="BN33" s="246">
        <f>ROUND(IF('Included @ Interval'!BN33="yes",'Hours Per Job'!BN33*'Interval Reimb'!$B$38+'Parts Cost Per Job'!BN33*((1+'Interval Reimb'!$B$39)*'Interval Reimb'!$B$40),0),2)</f>
        <v>0</v>
      </c>
      <c r="BO33" s="246">
        <f>ROUND(IF('Included @ Interval'!BO33="yes",'Hours Per Job'!BO33*'Interval Reimb'!$B$38+'Parts Cost Per Job'!BO33*((1+'Interval Reimb'!$B$39)*'Interval Reimb'!$B$40),0),2)</f>
        <v>0</v>
      </c>
      <c r="BP33" s="246">
        <f>ROUND(IF('Included @ Interval'!BP33="yes",'Hours Per Job'!BP33*'Interval Reimb'!$B$38+'Parts Cost Per Job'!BP33*((1+'Interval Reimb'!$B$39)*'Interval Reimb'!$B$40),0),2)</f>
        <v>0</v>
      </c>
      <c r="BQ33" s="9">
        <f t="shared" si="0"/>
        <v>699.84000000000015</v>
      </c>
      <c r="BR33" s="9">
        <f t="shared" ref="BR33:BR34" si="3">BQ70</f>
        <v>2.8500000000000005</v>
      </c>
    </row>
    <row r="34" spans="1:70" x14ac:dyDescent="0.2">
      <c r="A34" s="18" t="str">
        <f>+'Scheduled Intervals'!A34</f>
        <v>Sub Compact BX</v>
      </c>
      <c r="B34" s="246">
        <f>ROUND(IF('Included @ Interval'!B34="yes",'Hours Per Job'!B34*'Interval Reimb'!$B$38+'Parts Cost Per Job'!B34*((1+'Interval Reimb'!$B$39)*'Interval Reimb'!$B$40),0),2)</f>
        <v>0</v>
      </c>
      <c r="C34" s="246">
        <f>ROUND(IF('Included @ Interval'!C34="yes",'Hours Per Job'!C34*'Interval Reimb'!$B$38+'Parts Cost Per Job'!C34*((1+'Interval Reimb'!$B$39)*'Interval Reimb'!$B$40),0),2)</f>
        <v>0</v>
      </c>
      <c r="D34" s="246">
        <f>ROUND(IF('Included @ Interval'!D34="yes",'Hours Per Job'!D34*'Interval Reimb'!$B$38+'Parts Cost Per Job'!D34*((1+'Interval Reimb'!$B$39)*'Interval Reimb'!$B$40),0),2)</f>
        <v>0</v>
      </c>
      <c r="E34" s="246">
        <f>ROUND(IF('Included @ Interval'!E34="yes",'Hours Per Job'!E34*'Interval Reimb'!$B$38+'Parts Cost Per Job'!E34*((1+'Interval Reimb'!$B$39)*'Interval Reimb'!$B$40),0),2)</f>
        <v>0</v>
      </c>
      <c r="F34" s="246">
        <f>ROUND(IF('Included @ Interval'!F34="yes",'Hours Per Job'!F34*'Interval Reimb'!$B$38+'Parts Cost Per Job'!F34*((1+'Interval Reimb'!$B$39)*'Interval Reimb'!$B$40),0),2)</f>
        <v>0</v>
      </c>
      <c r="G34" s="246">
        <f>ROUND(IF('Included @ Interval'!G34="yes",'Hours Per Job'!G34*'Interval Reimb'!$B$38+'Parts Cost Per Job'!G34*((1+'Interval Reimb'!$B$39)*'Interval Reimb'!$B$40),0),2)</f>
        <v>0</v>
      </c>
      <c r="H34" s="246">
        <f>ROUND(IF('Included @ Interval'!H34="yes",'Hours Per Job'!H34*'Interval Reimb'!$B$38+'Parts Cost Per Job'!H34*((1+'Interval Reimb'!$B$39)*'Interval Reimb'!$B$40),0),2)</f>
        <v>0</v>
      </c>
      <c r="I34" s="246">
        <f>ROUND(IF('Included @ Interval'!I34="yes",'Hours Per Job'!I34*'Interval Reimb'!$B$38+'Parts Cost Per Job'!I34*((1+'Interval Reimb'!$B$39)*'Interval Reimb'!$B$40),0),2)</f>
        <v>0</v>
      </c>
      <c r="J34" s="246">
        <f>ROUND(IF('Included @ Interval'!J34="yes",'Hours Per Job'!J34*'Interval Reimb'!$B$38+'Parts Cost Per Job'!J34*((1+'Interval Reimb'!$B$39)*'Interval Reimb'!$B$40),0),2)</f>
        <v>0</v>
      </c>
      <c r="K34" s="246">
        <f>ROUND(IF('Included @ Interval'!K34="yes",'Hours Per Job'!K34*'Interval Reimb'!$B$38+'Parts Cost Per Job'!K34*((1+'Interval Reimb'!$B$39)*'Interval Reimb'!$B$40),0),2)</f>
        <v>0</v>
      </c>
      <c r="L34" s="246">
        <f>ROUND(IF('Included @ Interval'!L34="yes",'Hours Per Job'!L34*'Interval Reimb'!$B$38+'Parts Cost Per Job'!L34*((1+'Interval Reimb'!$B$39)*'Interval Reimb'!$B$40),0),2)</f>
        <v>0</v>
      </c>
      <c r="M34" s="246">
        <f>ROUND(IF('Included @ Interval'!M34="yes",'Hours Per Job'!M34*'Interval Reimb'!$B$38+'Parts Cost Per Job'!M34*((1+'Interval Reimb'!$B$39)*'Interval Reimb'!$B$40),0),2)</f>
        <v>0</v>
      </c>
      <c r="N34" s="246">
        <f>ROUND(IF('Included @ Interval'!N34="yes",'Hours Per Job'!N34*'Interval Reimb'!$B$38+'Parts Cost Per Job'!N34*((1+'Interval Reimb'!$B$39)*'Interval Reimb'!$B$40),0),2)</f>
        <v>0</v>
      </c>
      <c r="O34" s="246">
        <f>ROUND(IF('Included @ Interval'!O34="yes",'Hours Per Job'!O34*'Interval Reimb'!$B$38+'Parts Cost Per Job'!O34*((1+'Interval Reimb'!$B$39)*'Interval Reimb'!$B$40),0),2)</f>
        <v>0</v>
      </c>
      <c r="P34" s="246">
        <f>ROUND(IF('Included @ Interval'!P34="yes",'Hours Per Job'!P34*'Interval Reimb'!$B$38+'Parts Cost Per Job'!P34*((1+'Interval Reimb'!$B$39)*'Interval Reimb'!$B$40),0),2)</f>
        <v>0</v>
      </c>
      <c r="Q34" s="246">
        <f>ROUND(IF('Included @ Interval'!Q34="yes",'Hours Per Job'!Q34*'Interval Reimb'!$B$38+'Parts Cost Per Job'!Q34*((1+'Interval Reimb'!$B$39)*'Interval Reimb'!$B$40),0),2)</f>
        <v>0</v>
      </c>
      <c r="R34" s="246">
        <f>ROUND(IF('Included @ Interval'!R34="yes",'Hours Per Job'!R34*'Interval Reimb'!$B$38+'Parts Cost Per Job'!R34*((1+'Interval Reimb'!$B$39)*'Interval Reimb'!$B$40),0),2)</f>
        <v>0</v>
      </c>
      <c r="S34" s="246">
        <f>ROUND(IF('Included @ Interval'!S34="yes",'Hours Per Job'!S34*'Interval Reimb'!$B$38+'Parts Cost Per Job'!S34*((1+'Interval Reimb'!$B$39)*'Interval Reimb'!$B$40),0),2)</f>
        <v>0</v>
      </c>
      <c r="T34" s="246">
        <f>ROUND(IF('Included @ Interval'!T34="yes",'Hours Per Job'!T34*'Interval Reimb'!$B$38+'Parts Cost Per Job'!T34*((1+'Interval Reimb'!$B$39)*'Interval Reimb'!$B$40),0),2)</f>
        <v>0</v>
      </c>
      <c r="U34" s="246">
        <f>ROUND(IF('Included @ Interval'!U34="yes",'Hours Per Job'!U34*'Interval Reimb'!$B$38+'Parts Cost Per Job'!U34*((1+'Interval Reimb'!$B$39)*'Interval Reimb'!$B$40),0),2)</f>
        <v>0</v>
      </c>
      <c r="V34" s="246">
        <f>ROUND(IF('Included @ Interval'!V34="yes",'Hours Per Job'!V34*'Interval Reimb'!$B$38+'Parts Cost Per Job'!V34*((1+'Interval Reimb'!$B$39)*'Interval Reimb'!$B$40),0),2)</f>
        <v>0</v>
      </c>
      <c r="W34" s="246">
        <f>ROUND(IF('Included @ Interval'!W34="yes",'Hours Per Job'!W34*'Interval Reimb'!$B$38+'Parts Cost Per Job'!W34*((1+'Interval Reimb'!$B$39)*'Interval Reimb'!$B$40),0),2)</f>
        <v>0</v>
      </c>
      <c r="X34" s="246">
        <f>ROUND(IF('Included @ Interval'!X34="yes",'Hours Per Job'!X34*'Interval Reimb'!$B$38+'Parts Cost Per Job'!X34*((1+'Interval Reimb'!$B$39)*'Interval Reimb'!$B$40),0),2)</f>
        <v>0</v>
      </c>
      <c r="Y34" s="246">
        <f>ROUND(IF('Included @ Interval'!Y34="yes",'Hours Per Job'!Y34*'Interval Reimb'!$B$38+'Parts Cost Per Job'!Y34*((1+'Interval Reimb'!$B$39)*'Interval Reimb'!$B$40),0),2)</f>
        <v>0</v>
      </c>
      <c r="Z34" s="246">
        <f>ROUND(IF('Included @ Interval'!Z34="yes",'Hours Per Job'!Z34*'Interval Reimb'!$B$38+'Parts Cost Per Job'!Z34*((1+'Interval Reimb'!$B$39)*'Interval Reimb'!$B$40),0),2)</f>
        <v>0</v>
      </c>
      <c r="AA34" s="246">
        <f>ROUND(IF('Included @ Interval'!AA34="yes",'Hours Per Job'!AA34*'Interval Reimb'!$B$38+'Parts Cost Per Job'!AA34*((1+'Interval Reimb'!$B$39)*'Interval Reimb'!$B$40),0),2)</f>
        <v>0</v>
      </c>
      <c r="AB34" s="246">
        <f>ROUND(IF('Included @ Interval'!AB34="yes",'Hours Per Job'!AB34*'Interval Reimb'!$B$38+'Parts Cost Per Job'!AB34*((1+'Interval Reimb'!$B$39)*'Interval Reimb'!$B$40),0),2)</f>
        <v>0</v>
      </c>
      <c r="AC34" s="246">
        <f>ROUND(IF('Included @ Interval'!AC34="yes",'Hours Per Job'!AC34*'Interval Reimb'!$B$38+'Parts Cost Per Job'!AC34*((1+'Interval Reimb'!$B$39)*'Interval Reimb'!$B$40),0),2)</f>
        <v>0</v>
      </c>
      <c r="AD34" s="246">
        <f>ROUND(IF('Included @ Interval'!AD34="yes",'Hours Per Job'!AD34*'Interval Reimb'!$B$38+'Parts Cost Per Job'!AD34*((1+'Interval Reimb'!$B$39)*'Interval Reimb'!$B$40),0),2)</f>
        <v>0</v>
      </c>
      <c r="AE34" s="246">
        <f>ROUND(IF('Included @ Interval'!AE34="yes",'Hours Per Job'!AE34*'Interval Reimb'!$B$38+'Parts Cost Per Job'!AE34*((1+'Interval Reimb'!$B$39)*'Interval Reimb'!$B$40),0),2)</f>
        <v>0</v>
      </c>
      <c r="AF34" s="246">
        <f>ROUND(IF('Included @ Interval'!AF34="yes",'Hours Per Job'!AF34*'Interval Reimb'!$B$38+'Parts Cost Per Job'!AF34*((1+'Interval Reimb'!$B$39)*'Interval Reimb'!$B$40),0),2)</f>
        <v>0</v>
      </c>
      <c r="AG34" s="246">
        <f>ROUND(IF('Included @ Interval'!AG34="yes",'Hours Per Job'!AG34*'Interval Reimb'!$B$38+'Parts Cost Per Job'!AG34*((1+'Interval Reimb'!$B$39)*'Interval Reimb'!$B$40),0),2)</f>
        <v>0</v>
      </c>
      <c r="AH34" s="246">
        <f>ROUND(IF('Included @ Interval'!AH34="yes",'Hours Per Job'!AH34*'Interval Reimb'!$B$38+'Parts Cost Per Job'!AH34*((1+'Interval Reimb'!$B$39)*'Interval Reimb'!$B$40),0),2)</f>
        <v>0</v>
      </c>
      <c r="AI34" s="246">
        <f>ROUND(IF('Included @ Interval'!AI34="yes",'Hours Per Job'!AI34*'Interval Reimb'!$B$38+'Parts Cost Per Job'!AI34*((1+'Interval Reimb'!$B$39)*'Interval Reimb'!$B$40),0),2)</f>
        <v>0</v>
      </c>
      <c r="AJ34" s="246">
        <f>ROUND(IF('Included @ Interval'!AJ34="yes",'Hours Per Job'!AJ34*'Interval Reimb'!$B$38+'Parts Cost Per Job'!AJ34*((1+'Interval Reimb'!$B$39)*'Interval Reimb'!$B$40),0),2)</f>
        <v>0</v>
      </c>
      <c r="AK34" s="246">
        <f>ROUND(IF('Included @ Interval'!AK34="yes",'Hours Per Job'!AK34*'Interval Reimb'!$B$38+'Parts Cost Per Job'!AK34*((1+'Interval Reimb'!$B$39)*'Interval Reimb'!$B$40),0),2)</f>
        <v>0</v>
      </c>
      <c r="AL34" s="246">
        <f>ROUND(IF('Included @ Interval'!AL34="yes",'Hours Per Job'!AL34*'Interval Reimb'!$B$38+'Parts Cost Per Job'!AL34*((1+'Interval Reimb'!$B$39)*'Interval Reimb'!$B$40),0),2)</f>
        <v>0</v>
      </c>
      <c r="AM34" s="246">
        <f>ROUND(IF('Included @ Interval'!AM34="yes",'Hours Per Job'!AM34*'Interval Reimb'!$B$38+'Parts Cost Per Job'!AM34*((1+'Interval Reimb'!$B$39)*'Interval Reimb'!$B$40),0),2)</f>
        <v>0</v>
      </c>
      <c r="AN34" s="246">
        <f>ROUND(IF('Included @ Interval'!AN34="yes",'Hours Per Job'!AN34*'Interval Reimb'!$B$38+'Parts Cost Per Job'!AN34*((1+'Interval Reimb'!$B$39)*'Interval Reimb'!$B$40),0),2)</f>
        <v>0</v>
      </c>
      <c r="AO34" s="246">
        <f>ROUND(IF('Included @ Interval'!AO34="yes",'Hours Per Job'!AO34*'Interval Reimb'!$B$38+'Parts Cost Per Job'!AO34*((1+'Interval Reimb'!$B$39)*'Interval Reimb'!$B$40),0),2)</f>
        <v>0</v>
      </c>
      <c r="AP34" s="246">
        <f>ROUND(IF('Included @ Interval'!AP34="yes",'Hours Per Job'!AP34*'Interval Reimb'!$B$38+'Parts Cost Per Job'!AP34*((1+'Interval Reimb'!$B$39)*'Interval Reimb'!$B$40),0),2)</f>
        <v>0</v>
      </c>
      <c r="AQ34" s="246">
        <f>ROUND(IF('Included @ Interval'!AQ34="yes",'Hours Per Job'!AQ34*'Interval Reimb'!$B$38+'Parts Cost Per Job'!AQ34*((1+'Interval Reimb'!$B$39)*'Interval Reimb'!$B$40),0),2)</f>
        <v>0</v>
      </c>
      <c r="AR34" s="246">
        <f>ROUND(IF('Included @ Interval'!AR34="yes",'Hours Per Job'!AR34*'Interval Reimb'!$B$38+'Parts Cost Per Job'!AR34*((1+'Interval Reimb'!$B$39)*'Interval Reimb'!$B$40),0),2)</f>
        <v>0</v>
      </c>
      <c r="AS34" s="246">
        <f>ROUND(IF('Included @ Interval'!AS34="yes",'Hours Per Job'!AS34*'Interval Reimb'!$B$38+'Parts Cost Per Job'!AS34*((1+'Interval Reimb'!$B$39)*'Interval Reimb'!$B$40),0),2)</f>
        <v>0</v>
      </c>
      <c r="AT34" s="246">
        <f>ROUND(IF('Included @ Interval'!AT34="yes",'Hours Per Job'!AT34*'Interval Reimb'!$B$38+'Parts Cost Per Job'!AT34*((1+'Interval Reimb'!$B$39)*'Interval Reimb'!$B$40),0),2)</f>
        <v>0</v>
      </c>
      <c r="AU34" s="246">
        <f>ROUND(IF('Included @ Interval'!AU34="yes",'Hours Per Job'!AU34*'Interval Reimb'!$B$38+'Parts Cost Per Job'!AU34*((1+'Interval Reimb'!$B$39)*'Interval Reimb'!$B$40),0),2)</f>
        <v>0</v>
      </c>
      <c r="AV34" s="246">
        <f>ROUND(IF('Included @ Interval'!AV34="yes",'Hours Per Job'!AV34*'Interval Reimb'!$B$38+'Parts Cost Per Job'!AV34*((1+'Interval Reimb'!$B$39)*'Interval Reimb'!$B$40),0),2)</f>
        <v>0</v>
      </c>
      <c r="AW34" s="246">
        <f>ROUND(IF('Included @ Interval'!AW34="yes",'Hours Per Job'!AW34*'Interval Reimb'!$B$38+'Parts Cost Per Job'!AW34*((1+'Interval Reimb'!$B$39)*'Interval Reimb'!$B$40),0),2)</f>
        <v>0</v>
      </c>
      <c r="AX34" s="246">
        <f>ROUND(IF('Included @ Interval'!AX34="yes",'Hours Per Job'!AX34*'Interval Reimb'!$B$38+'Parts Cost Per Job'!AX34*((1+'Interval Reimb'!$B$39)*'Interval Reimb'!$B$40),0),2)</f>
        <v>0</v>
      </c>
      <c r="AY34" s="246">
        <f>ROUND(IF('Included @ Interval'!AY34="yes",'Hours Per Job'!AY34*'Interval Reimb'!$B$38+'Parts Cost Per Job'!AY34*((1+'Interval Reimb'!$B$39)*'Interval Reimb'!$B$40),0),2)</f>
        <v>0</v>
      </c>
      <c r="AZ34" s="246">
        <f>ROUND(IF('Included @ Interval'!AZ34="yes",'Hours Per Job'!AZ34*'Interval Reimb'!$B$38+'Parts Cost Per Job'!AZ34*((1+'Interval Reimb'!$B$39)*'Interval Reimb'!$B$40),0),2)</f>
        <v>0</v>
      </c>
      <c r="BA34" s="246">
        <f>ROUND(IF('Included @ Interval'!BA34="yes",'Hours Per Job'!BA34*'Interval Reimb'!$B$38+'Parts Cost Per Job'!BA34*((1+'Interval Reimb'!$B$39)*'Interval Reimb'!$B$40),0),2)</f>
        <v>0</v>
      </c>
      <c r="BB34" s="246">
        <f>ROUND(IF('Included @ Interval'!BB34="yes",'Hours Per Job'!BB34*'Interval Reimb'!$B$38+'Parts Cost Per Job'!BB34*((1+'Interval Reimb'!$B$39)*'Interval Reimb'!$B$40),0),2)</f>
        <v>0</v>
      </c>
      <c r="BC34" s="246">
        <f>ROUND(IF('Included @ Interval'!BC34="yes",'Hours Per Job'!BC34*'Interval Reimb'!$B$38+'Parts Cost Per Job'!BC34*((1+'Interval Reimb'!$B$39)*'Interval Reimb'!$B$40),0),2)</f>
        <v>0</v>
      </c>
      <c r="BD34" s="246">
        <f>ROUND(IF('Included @ Interval'!BD34="yes",'Hours Per Job'!BD34*'Interval Reimb'!$B$38+'Parts Cost Per Job'!BD34*((1+'Interval Reimb'!$B$39)*'Interval Reimb'!$B$40),0),2)</f>
        <v>0</v>
      </c>
      <c r="BE34" s="246">
        <f>ROUND(IF('Included @ Interval'!BE34="yes",'Hours Per Job'!BE34*'Interval Reimb'!$B$38+'Parts Cost Per Job'!BE34*((1+'Interval Reimb'!$B$39)*'Interval Reimb'!$B$40),0),2)</f>
        <v>0</v>
      </c>
      <c r="BF34" s="246">
        <f>ROUND(IF('Included @ Interval'!BF34="yes",'Hours Per Job'!BF34*'Interval Reimb'!$B$38+'Parts Cost Per Job'!BF34*((1+'Interval Reimb'!$B$39)*'Interval Reimb'!$B$40),0),2)</f>
        <v>0</v>
      </c>
      <c r="BG34" s="246">
        <f>ROUND(IF('Included @ Interval'!BG34="yes",'Hours Per Job'!BG34*'Interval Reimb'!$B$38+'Parts Cost Per Job'!BG34*((1+'Interval Reimb'!$B$39)*'Interval Reimb'!$B$40),0),2)</f>
        <v>0</v>
      </c>
      <c r="BH34" s="246">
        <f>ROUND(IF('Included @ Interval'!BH34="yes",'Hours Per Job'!BH34*'Interval Reimb'!$B$38+'Parts Cost Per Job'!BH34*((1+'Interval Reimb'!$B$39)*'Interval Reimb'!$B$40),0),2)</f>
        <v>0</v>
      </c>
      <c r="BI34" s="246">
        <f>ROUND(IF('Included @ Interval'!BI34="yes",'Hours Per Job'!BI34*'Interval Reimb'!$B$38+'Parts Cost Per Job'!BI34*((1+'Interval Reimb'!$B$39)*'Interval Reimb'!$B$40),0),2)</f>
        <v>0</v>
      </c>
      <c r="BJ34" s="246">
        <f>ROUND(IF('Included @ Interval'!BJ34="yes",'Hours Per Job'!BJ34*'Interval Reimb'!$B$38+'Parts Cost Per Job'!BJ34*((1+'Interval Reimb'!$B$39)*'Interval Reimb'!$B$40),0),2)</f>
        <v>0</v>
      </c>
      <c r="BK34" s="246">
        <f>ROUND(IF('Included @ Interval'!BK34="yes",'Hours Per Job'!BK34*'Interval Reimb'!$B$38+'Parts Cost Per Job'!BK34*((1+'Interval Reimb'!$B$39)*'Interval Reimb'!$B$40),0),2)</f>
        <v>0</v>
      </c>
      <c r="BL34" s="246">
        <f>ROUND(IF('Included @ Interval'!BL34="yes",'Hours Per Job'!BL34*'Interval Reimb'!$B$38+'Parts Cost Per Job'!BL34*((1+'Interval Reimb'!$B$39)*'Interval Reimb'!$B$40),0),2)</f>
        <v>0</v>
      </c>
      <c r="BM34" s="246">
        <f>ROUND(IF('Included @ Interval'!BM34="yes",'Hours Per Job'!BM34*'Interval Reimb'!$B$38+'Parts Cost Per Job'!BM34*((1+'Interval Reimb'!$B$39)*'Interval Reimb'!$B$40),0),2)</f>
        <v>0</v>
      </c>
      <c r="BN34" s="246">
        <f>ROUND(IF('Included @ Interval'!BN34="yes",'Hours Per Job'!BN34*'Interval Reimb'!$B$38+'Parts Cost Per Job'!BN34*((1+'Interval Reimb'!$B$39)*'Interval Reimb'!$B$40),0),2)</f>
        <v>0</v>
      </c>
      <c r="BO34" s="246">
        <f>ROUND(IF('Included @ Interval'!BO34="yes",'Hours Per Job'!BO34*'Interval Reimb'!$B$38+'Parts Cost Per Job'!BO34*((1+'Interval Reimb'!$B$39)*'Interval Reimb'!$B$40),0),2)</f>
        <v>0</v>
      </c>
      <c r="BP34" s="246">
        <f>ROUND(IF('Included @ Interval'!BP34="yes",'Hours Per Job'!BP34*'Interval Reimb'!$B$38+'Parts Cost Per Job'!BP34*((1+'Interval Reimb'!$B$39)*'Interval Reimb'!$B$40),0),2)</f>
        <v>0</v>
      </c>
      <c r="BQ34" s="9">
        <f t="shared" si="0"/>
        <v>0</v>
      </c>
      <c r="BR34" s="9">
        <f t="shared" si="3"/>
        <v>0</v>
      </c>
    </row>
    <row r="35" spans="1:70" x14ac:dyDescent="0.2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</row>
    <row r="36" spans="1:70" x14ac:dyDescent="0.2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</row>
    <row r="37" spans="1:70" x14ac:dyDescent="0.2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</row>
    <row r="38" spans="1:70" x14ac:dyDescent="0.2">
      <c r="A38" s="133" t="s">
        <v>8</v>
      </c>
      <c r="B38" s="9">
        <f>'Interval Summary'!C9</f>
        <v>120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</row>
    <row r="39" spans="1:70" x14ac:dyDescent="0.2">
      <c r="A39" s="133" t="s">
        <v>106</v>
      </c>
      <c r="B39" s="247">
        <f>+'Plan Set Up'!$E$3</f>
        <v>0.4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</row>
    <row r="40" spans="1:70" x14ac:dyDescent="0.2">
      <c r="A40" s="133" t="s">
        <v>107</v>
      </c>
      <c r="B40" s="133">
        <f>+'Plan Set Up'!$E$4</f>
        <v>1.04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</row>
    <row r="41" spans="1:70" x14ac:dyDescent="0.2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</row>
    <row r="42" spans="1:70" x14ac:dyDescent="0.2">
      <c r="A42" s="248" t="str">
        <f t="shared" ref="A42:A69" si="4">A4</f>
        <v>RTV</v>
      </c>
      <c r="B42" s="249">
        <f>IF(B4&gt;0,'Hours Per Job'!B4,0)</f>
        <v>0</v>
      </c>
      <c r="C42" s="249">
        <f>IF(C4&gt;0,'Hours Per Job'!C4,0)</f>
        <v>0</v>
      </c>
      <c r="D42" s="249">
        <f>IF(D4&gt;0,'Hours Per Job'!D4,0)</f>
        <v>0</v>
      </c>
      <c r="E42" s="249">
        <f>IF(E4&gt;0,'Hours Per Job'!E4,0)</f>
        <v>0</v>
      </c>
      <c r="F42" s="249">
        <f>IF(F4&gt;0,'Hours Per Job'!F4,0)</f>
        <v>0</v>
      </c>
      <c r="G42" s="249">
        <f>IF(G4&gt;0,'Hours Per Job'!G4,0)</f>
        <v>0</v>
      </c>
      <c r="H42" s="249">
        <f>IF(H4&gt;0,'Hours Per Job'!H4,0)</f>
        <v>0</v>
      </c>
      <c r="I42" s="249">
        <f>IF(I4&gt;0,'Hours Per Job'!I4,0)</f>
        <v>0</v>
      </c>
      <c r="J42" s="249">
        <f>IF(J4&gt;0,'Hours Per Job'!J4,0)</f>
        <v>0</v>
      </c>
      <c r="K42" s="249">
        <f>IF(K4&gt;0,'Hours Per Job'!K4,0)</f>
        <v>0</v>
      </c>
      <c r="L42" s="249">
        <f>IF(L4&gt;0,'Hours Per Job'!L4,0)</f>
        <v>0</v>
      </c>
      <c r="M42" s="249">
        <f>IF(M4&gt;0,'Hours Per Job'!M4,0)</f>
        <v>0</v>
      </c>
      <c r="N42" s="249">
        <f>IF(N4&gt;0,'Hours Per Job'!N4,0)</f>
        <v>0</v>
      </c>
      <c r="O42" s="249">
        <f>IF(O4&gt;0,'Hours Per Job'!O4,0)</f>
        <v>0</v>
      </c>
      <c r="P42" s="249">
        <f>IF(P4&gt;0,'Hours Per Job'!P4,0)</f>
        <v>0</v>
      </c>
      <c r="Q42" s="249">
        <f>IF(Q4&gt;0,'Hours Per Job'!Q4,0)</f>
        <v>0</v>
      </c>
      <c r="R42" s="249">
        <f>IF(R4&gt;0,'Hours Per Job'!R4,0)</f>
        <v>0</v>
      </c>
      <c r="S42" s="249">
        <f>IF(S4&gt;0,'Hours Per Job'!S4,0)</f>
        <v>0</v>
      </c>
      <c r="T42" s="249">
        <f>IF(T4&gt;0,'Hours Per Job'!T4,0)</f>
        <v>0</v>
      </c>
      <c r="U42" s="249">
        <f>IF(U4&gt;0,'Hours Per Job'!U4,0)</f>
        <v>0</v>
      </c>
      <c r="V42" s="249">
        <f>IF(V4&gt;0,'Hours Per Job'!V4,0)</f>
        <v>0</v>
      </c>
      <c r="W42" s="249">
        <f>IF(W4&gt;0,'Hours Per Job'!W4,0)</f>
        <v>0</v>
      </c>
      <c r="X42" s="249">
        <f>IF(X4&gt;0,'Hours Per Job'!X4,0)</f>
        <v>0</v>
      </c>
      <c r="Y42" s="249">
        <f>IF(Y4&gt;0,'Hours Per Job'!Y4,0)</f>
        <v>0</v>
      </c>
      <c r="Z42" s="249">
        <f>IF(Z4&gt;0,'Hours Per Job'!Z4,0)</f>
        <v>0</v>
      </c>
      <c r="AA42" s="249">
        <f>IF(AA4&gt;0,'Hours Per Job'!AA4,0)</f>
        <v>0</v>
      </c>
      <c r="AB42" s="249">
        <f>IF(AB4&gt;0,'Hours Per Job'!AB4,0)</f>
        <v>0</v>
      </c>
      <c r="AC42" s="249">
        <f>IF(AC4&gt;0,'Hours Per Job'!AC4,0)</f>
        <v>0</v>
      </c>
      <c r="AD42" s="249">
        <f>IF(AD4&gt;0,'Hours Per Job'!AD4,0)</f>
        <v>0</v>
      </c>
      <c r="AE42" s="249">
        <f>IF(AE4&gt;0,'Hours Per Job'!AE4,0)</f>
        <v>0</v>
      </c>
      <c r="AF42" s="249">
        <f>IF(AF4&gt;0,'Hours Per Job'!AF4,0)</f>
        <v>0</v>
      </c>
      <c r="AG42" s="249">
        <f>IF(AG4&gt;0,'Hours Per Job'!AG4,0)</f>
        <v>0</v>
      </c>
      <c r="AH42" s="249">
        <f>IF(AH4&gt;0,'Hours Per Job'!AH4,0)</f>
        <v>0</v>
      </c>
      <c r="AI42" s="249">
        <f>IF(AI4&gt;0,'Hours Per Job'!AI4,0)</f>
        <v>0</v>
      </c>
      <c r="AJ42" s="249">
        <f>IF(AJ4&gt;0,'Hours Per Job'!AJ4,0)</f>
        <v>0</v>
      </c>
      <c r="AK42" s="249">
        <f>IF(AK4&gt;0,'Hours Per Job'!AK4,0)</f>
        <v>0</v>
      </c>
      <c r="AL42" s="249">
        <f>IF(AL4&gt;0,'Hours Per Job'!AL4,0)</f>
        <v>0</v>
      </c>
      <c r="AM42" s="249">
        <f>IF(AM4&gt;0,'Hours Per Job'!AM4,0)</f>
        <v>0</v>
      </c>
      <c r="AN42" s="249">
        <f>IF(AN4&gt;0,'Hours Per Job'!AN4,0)</f>
        <v>0</v>
      </c>
      <c r="AO42" s="249">
        <f>IF(AO4&gt;0,'Hours Per Job'!AO4,0)</f>
        <v>0</v>
      </c>
      <c r="AP42" s="249">
        <f>IF(AP4&gt;0,'Hours Per Job'!AP4,0)</f>
        <v>0</v>
      </c>
      <c r="AQ42" s="249">
        <f>IF(AQ4&gt;0,'Hours Per Job'!AQ4,0)</f>
        <v>0</v>
      </c>
      <c r="AR42" s="249">
        <f>IF(AR4&gt;0,'Hours Per Job'!AR4,0)</f>
        <v>0</v>
      </c>
      <c r="AS42" s="249">
        <f>IF(AS4&gt;0,'Hours Per Job'!AS4,0)</f>
        <v>0</v>
      </c>
      <c r="AT42" s="249">
        <f>IF(AT4&gt;0,'Hours Per Job'!AT4,0)</f>
        <v>0</v>
      </c>
      <c r="AU42" s="249">
        <f>IF(AU4&gt;0,'Hours Per Job'!AU4,0)</f>
        <v>0</v>
      </c>
      <c r="AV42" s="249">
        <f>IF(AV4&gt;0,'Hours Per Job'!AV4,0)</f>
        <v>0</v>
      </c>
      <c r="AW42" s="249">
        <f>IF(AW4&gt;0,'Hours Per Job'!AW4,0)</f>
        <v>0</v>
      </c>
      <c r="AX42" s="249">
        <f>IF(AX4&gt;0,'Hours Per Job'!AX4,0)</f>
        <v>0</v>
      </c>
      <c r="AY42" s="249">
        <f>IF(AY4&gt;0,'Hours Per Job'!AY4,0)</f>
        <v>0</v>
      </c>
      <c r="AZ42" s="249">
        <f>IF(AZ4&gt;0,'Hours Per Job'!AZ4,0)</f>
        <v>0</v>
      </c>
      <c r="BA42" s="249">
        <f>IF(BA4&gt;0,'Hours Per Job'!BA4,0)</f>
        <v>0</v>
      </c>
      <c r="BB42" s="249">
        <f>IF(BB4&gt;0,'Hours Per Job'!BB4,0)</f>
        <v>0</v>
      </c>
      <c r="BC42" s="249">
        <f>IF(BC4&gt;0,'Hours Per Job'!BC4,0)</f>
        <v>0</v>
      </c>
      <c r="BD42" s="249">
        <f>IF(BD4&gt;0,'Hours Per Job'!BD4,0)</f>
        <v>0.4</v>
      </c>
      <c r="BE42" s="249">
        <f>IF(BE4&gt;0,'Hours Per Job'!BE4,0)</f>
        <v>0</v>
      </c>
      <c r="BF42" s="249">
        <f>IF(BF4&gt;0,'Hours Per Job'!BF4,0)</f>
        <v>0</v>
      </c>
      <c r="BG42" s="249">
        <f>IF(BG4&gt;0,'Hours Per Job'!BG4,0)</f>
        <v>0</v>
      </c>
      <c r="BH42" s="249">
        <f>IF(BH4&gt;0,'Hours Per Job'!BH4,0)</f>
        <v>0</v>
      </c>
      <c r="BI42" s="249">
        <f>IF(BI4&gt;0,'Hours Per Job'!BI4,0)</f>
        <v>0</v>
      </c>
      <c r="BJ42" s="249">
        <f>IF(BJ4&gt;0,'Hours Per Job'!BJ4,0)</f>
        <v>0</v>
      </c>
      <c r="BK42" s="249">
        <f>IF(BK4&gt;0,'Hours Per Job'!BK4,0)</f>
        <v>0</v>
      </c>
      <c r="BL42" s="249">
        <f>IF(BL4&gt;0,'Hours Per Job'!BL4,0)</f>
        <v>0</v>
      </c>
      <c r="BM42" s="249">
        <f>IF(BM4&gt;0,'Hours Per Job'!BM4,0)</f>
        <v>0</v>
      </c>
      <c r="BN42" s="249">
        <f>IF(BN4&gt;0,'Hours Per Job'!BN4,0)</f>
        <v>0</v>
      </c>
      <c r="BO42" s="249">
        <f>IF(BO4&gt;0,'Hours Per Job'!BO4,0)</f>
        <v>0</v>
      </c>
      <c r="BP42" s="249">
        <f>IF(BP4&gt;0,'Hours Per Job'!BP4,0)</f>
        <v>0</v>
      </c>
      <c r="BQ42" s="248">
        <f t="shared" ref="BQ42:BQ71" si="5">SUM(B42:BP42)</f>
        <v>0.4</v>
      </c>
      <c r="BR42" s="248"/>
    </row>
    <row r="43" spans="1:70" x14ac:dyDescent="0.2">
      <c r="A43" s="248" t="str">
        <f t="shared" si="4"/>
        <v>Zero Turn Gas</v>
      </c>
      <c r="B43" s="249">
        <f>IF(B5&gt;0,'Hours Per Job'!B5,0)</f>
        <v>0</v>
      </c>
      <c r="C43" s="249">
        <f>IF(C5&gt;0,'Hours Per Job'!C5,0)</f>
        <v>0</v>
      </c>
      <c r="D43" s="249">
        <f>IF(D5&gt;0,'Hours Per Job'!D5,0)</f>
        <v>0</v>
      </c>
      <c r="E43" s="249">
        <f>IF(E5&gt;0,'Hours Per Job'!E5,0)</f>
        <v>0</v>
      </c>
      <c r="F43" s="249">
        <f>IF(F5&gt;0,'Hours Per Job'!F5,0)</f>
        <v>0</v>
      </c>
      <c r="G43" s="249">
        <f>IF(G5&gt;0,'Hours Per Job'!G5,0)</f>
        <v>0</v>
      </c>
      <c r="H43" s="249">
        <f>IF(H5&gt;0,'Hours Per Job'!H5,0)</f>
        <v>0</v>
      </c>
      <c r="I43" s="249">
        <f>IF(I5&gt;0,'Hours Per Job'!I5,0)</f>
        <v>0</v>
      </c>
      <c r="J43" s="249">
        <f>IF(J5&gt;0,'Hours Per Job'!J5,0)</f>
        <v>0</v>
      </c>
      <c r="K43" s="249">
        <f>IF(K5&gt;0,'Hours Per Job'!K5,0)</f>
        <v>0</v>
      </c>
      <c r="L43" s="249">
        <f>IF(L5&gt;0,'Hours Per Job'!L5,0)</f>
        <v>0</v>
      </c>
      <c r="M43" s="249">
        <f>IF(M5&gt;0,'Hours Per Job'!M5,0)</f>
        <v>0</v>
      </c>
      <c r="N43" s="249">
        <f>IF(N5&gt;0,'Hours Per Job'!N5,0)</f>
        <v>0</v>
      </c>
      <c r="O43" s="249">
        <f>IF(O5&gt;0,'Hours Per Job'!O5,0)</f>
        <v>0</v>
      </c>
      <c r="P43" s="249">
        <f>IF(P5&gt;0,'Hours Per Job'!P5,0)</f>
        <v>0</v>
      </c>
      <c r="Q43" s="249">
        <f>IF(Q5&gt;0,'Hours Per Job'!Q5,0)</f>
        <v>0</v>
      </c>
      <c r="R43" s="249">
        <f>IF(R5&gt;0,'Hours Per Job'!R5,0)</f>
        <v>0</v>
      </c>
      <c r="S43" s="249">
        <f>IF(S5&gt;0,'Hours Per Job'!S5,0)</f>
        <v>0</v>
      </c>
      <c r="T43" s="249">
        <f>IF(T5&gt;0,'Hours Per Job'!T5,0)</f>
        <v>0</v>
      </c>
      <c r="U43" s="249">
        <f>IF(U5&gt;0,'Hours Per Job'!U5,0)</f>
        <v>0.3</v>
      </c>
      <c r="V43" s="249">
        <f>IF(V5&gt;0,'Hours Per Job'!V5,0)</f>
        <v>0</v>
      </c>
      <c r="W43" s="249">
        <f>IF(W5&gt;0,'Hours Per Job'!W5,0)</f>
        <v>0</v>
      </c>
      <c r="X43" s="249">
        <f>IF(X5&gt;0,'Hours Per Job'!X5,0)</f>
        <v>0</v>
      </c>
      <c r="Y43" s="249">
        <f>IF(Y5&gt;0,'Hours Per Job'!Y5,0)</f>
        <v>0</v>
      </c>
      <c r="Z43" s="249">
        <f>IF(Z5&gt;0,'Hours Per Job'!Z5,0)</f>
        <v>0.2</v>
      </c>
      <c r="AA43" s="249">
        <f>IF(AA5&gt;0,'Hours Per Job'!AA5,0)</f>
        <v>0</v>
      </c>
      <c r="AB43" s="249">
        <f>IF(AB5&gt;0,'Hours Per Job'!AB5,0)</f>
        <v>0</v>
      </c>
      <c r="AC43" s="249">
        <f>IF(AC5&gt;0,'Hours Per Job'!AC5,0)</f>
        <v>0</v>
      </c>
      <c r="AD43" s="249">
        <f>IF(AD5&gt;0,'Hours Per Job'!AD5,0)</f>
        <v>0</v>
      </c>
      <c r="AE43" s="249">
        <f>IF(AE5&gt;0,'Hours Per Job'!AE5,0)</f>
        <v>0</v>
      </c>
      <c r="AF43" s="249">
        <f>IF(AF5&gt;0,'Hours Per Job'!AF5,0)</f>
        <v>0</v>
      </c>
      <c r="AG43" s="249">
        <f>IF(AG5&gt;0,'Hours Per Job'!AG5,0)</f>
        <v>0</v>
      </c>
      <c r="AH43" s="249">
        <f>IF(AH5&gt;0,'Hours Per Job'!AH5,0)</f>
        <v>0</v>
      </c>
      <c r="AI43" s="249">
        <f>IF(AI5&gt;0,'Hours Per Job'!AI5,0)</f>
        <v>0</v>
      </c>
      <c r="AJ43" s="249">
        <f>IF(AJ5&gt;0,'Hours Per Job'!AJ5,0)</f>
        <v>0</v>
      </c>
      <c r="AK43" s="249">
        <f>IF(AK5&gt;0,'Hours Per Job'!AK5,0)</f>
        <v>0</v>
      </c>
      <c r="AL43" s="249">
        <f>IF(AL5&gt;0,'Hours Per Job'!AL5,0)</f>
        <v>0</v>
      </c>
      <c r="AM43" s="249">
        <f>IF(AM5&gt;0,'Hours Per Job'!AM5,0)</f>
        <v>0</v>
      </c>
      <c r="AN43" s="249">
        <f>IF(AN5&gt;0,'Hours Per Job'!AN5,0)</f>
        <v>0</v>
      </c>
      <c r="AO43" s="249">
        <f>IF(AO5&gt;0,'Hours Per Job'!AO5,0)</f>
        <v>0</v>
      </c>
      <c r="AP43" s="249">
        <f>IF(AP5&gt;0,'Hours Per Job'!AP5,0)</f>
        <v>0</v>
      </c>
      <c r="AQ43" s="249">
        <f>IF(AQ5&gt;0,'Hours Per Job'!AQ5,0)</f>
        <v>0</v>
      </c>
      <c r="AR43" s="249">
        <f>IF(AR5&gt;0,'Hours Per Job'!AR5,0)</f>
        <v>0</v>
      </c>
      <c r="AS43" s="249">
        <f>IF(AS5&gt;0,'Hours Per Job'!AS5,0)</f>
        <v>0</v>
      </c>
      <c r="AT43" s="249">
        <f>IF(AT5&gt;0,'Hours Per Job'!AT5,0)</f>
        <v>0.2</v>
      </c>
      <c r="AU43" s="249">
        <f>IF(AU5&gt;0,'Hours Per Job'!AU5,0)</f>
        <v>0</v>
      </c>
      <c r="AV43" s="249">
        <f>IF(AV5&gt;0,'Hours Per Job'!AV5,0)</f>
        <v>0</v>
      </c>
      <c r="AW43" s="249">
        <f>IF(AW5&gt;0,'Hours Per Job'!AW5,0)</f>
        <v>0</v>
      </c>
      <c r="AX43" s="249">
        <f>IF(AX5&gt;0,'Hours Per Job'!AX5,0)</f>
        <v>0</v>
      </c>
      <c r="AY43" s="249">
        <f>IF(AY5&gt;0,'Hours Per Job'!AY5,0)</f>
        <v>0</v>
      </c>
      <c r="AZ43" s="249">
        <f>IF(AZ5&gt;0,'Hours Per Job'!AZ5,0)</f>
        <v>0</v>
      </c>
      <c r="BA43" s="249">
        <f>IF(BA5&gt;0,'Hours Per Job'!BA5,0)</f>
        <v>0</v>
      </c>
      <c r="BB43" s="249">
        <f>IF(BB5&gt;0,'Hours Per Job'!BB5,0)</f>
        <v>0.1</v>
      </c>
      <c r="BC43" s="249">
        <f>IF(BC5&gt;0,'Hours Per Job'!BC5,0)</f>
        <v>0</v>
      </c>
      <c r="BD43" s="249">
        <f>IF(BD5&gt;0,'Hours Per Job'!BD5,0)</f>
        <v>0.2</v>
      </c>
      <c r="BE43" s="249">
        <f>IF(BE5&gt;0,'Hours Per Job'!BE5,0)</f>
        <v>0</v>
      </c>
      <c r="BF43" s="249">
        <f>IF(BF5&gt;0,'Hours Per Job'!BF5,0)</f>
        <v>0</v>
      </c>
      <c r="BG43" s="249">
        <f>IF(BG5&gt;0,'Hours Per Job'!BG5,0)</f>
        <v>0</v>
      </c>
      <c r="BH43" s="249">
        <f>IF(BH5&gt;0,'Hours Per Job'!BH5,0)</f>
        <v>0.3</v>
      </c>
      <c r="BI43" s="249">
        <f>IF(BI5&gt;0,'Hours Per Job'!BI5,0)</f>
        <v>0.1</v>
      </c>
      <c r="BJ43" s="249">
        <f>IF(BJ5&gt;0,'Hours Per Job'!BJ5,0)</f>
        <v>0.25</v>
      </c>
      <c r="BK43" s="249">
        <f>IF(BK5&gt;0,'Hours Per Job'!BK5,0)</f>
        <v>0</v>
      </c>
      <c r="BL43" s="249">
        <f>IF(BL5&gt;0,'Hours Per Job'!BL5,0)</f>
        <v>0</v>
      </c>
      <c r="BM43" s="249">
        <f>IF(BM5&gt;0,'Hours Per Job'!BM5,0)</f>
        <v>0</v>
      </c>
      <c r="BN43" s="249">
        <f>IF(BN5&gt;0,'Hours Per Job'!BN5,0)</f>
        <v>0</v>
      </c>
      <c r="BO43" s="249">
        <f>IF(BO5&gt;0,'Hours Per Job'!BO5,0)</f>
        <v>0</v>
      </c>
      <c r="BP43" s="249">
        <f>IF(BP5&gt;0,'Hours Per Job'!BP5,0)</f>
        <v>0</v>
      </c>
      <c r="BQ43" s="248">
        <f t="shared" si="5"/>
        <v>1.6500000000000001</v>
      </c>
      <c r="BR43" s="248"/>
    </row>
    <row r="44" spans="1:70" x14ac:dyDescent="0.2">
      <c r="A44" s="248" t="str">
        <f t="shared" si="4"/>
        <v>Zero Turn Diesel</v>
      </c>
      <c r="B44" s="249">
        <f>IF(B6&gt;0,'Hours Per Job'!B6,0)</f>
        <v>0</v>
      </c>
      <c r="C44" s="249">
        <f>IF(C6&gt;0,'Hours Per Job'!C6,0)</f>
        <v>0</v>
      </c>
      <c r="D44" s="249">
        <f>IF(D6&gt;0,'Hours Per Job'!D6,0)</f>
        <v>0</v>
      </c>
      <c r="E44" s="249">
        <f>IF(E6&gt;0,'Hours Per Job'!E6,0)</f>
        <v>0</v>
      </c>
      <c r="F44" s="249">
        <f>IF(F6&gt;0,'Hours Per Job'!F6,0)</f>
        <v>0</v>
      </c>
      <c r="G44" s="249">
        <f>IF(G6&gt;0,'Hours Per Job'!G6,0)</f>
        <v>0</v>
      </c>
      <c r="H44" s="249">
        <f>IF(H6&gt;0,'Hours Per Job'!H6,0)</f>
        <v>0</v>
      </c>
      <c r="I44" s="249">
        <f>IF(I6&gt;0,'Hours Per Job'!I6,0)</f>
        <v>0</v>
      </c>
      <c r="J44" s="249">
        <f>IF(J6&gt;0,'Hours Per Job'!J6,0)</f>
        <v>0</v>
      </c>
      <c r="K44" s="249">
        <f>IF(K6&gt;0,'Hours Per Job'!K6,0)</f>
        <v>0</v>
      </c>
      <c r="L44" s="249">
        <f>IF(L6&gt;0,'Hours Per Job'!L6,0)</f>
        <v>0</v>
      </c>
      <c r="M44" s="249">
        <f>IF(M6&gt;0,'Hours Per Job'!M6,0)</f>
        <v>0</v>
      </c>
      <c r="N44" s="249">
        <f>IF(N6&gt;0,'Hours Per Job'!N6,0)</f>
        <v>0</v>
      </c>
      <c r="O44" s="249">
        <f>IF(O6&gt;0,'Hours Per Job'!O6,0)</f>
        <v>0</v>
      </c>
      <c r="P44" s="249">
        <f>IF(P6&gt;0,'Hours Per Job'!P6,0)</f>
        <v>0</v>
      </c>
      <c r="Q44" s="249">
        <f>IF(Q6&gt;0,'Hours Per Job'!Q6,0)</f>
        <v>0</v>
      </c>
      <c r="R44" s="249">
        <f>IF(R6&gt;0,'Hours Per Job'!R6,0)</f>
        <v>0</v>
      </c>
      <c r="S44" s="249">
        <f>IF(S6&gt;0,'Hours Per Job'!S6,0)</f>
        <v>0</v>
      </c>
      <c r="T44" s="249">
        <f>IF(T6&gt;0,'Hours Per Job'!T6,0)</f>
        <v>0</v>
      </c>
      <c r="U44" s="249">
        <f>IF(U6&gt;0,'Hours Per Job'!U6,0)</f>
        <v>0</v>
      </c>
      <c r="V44" s="249">
        <f>IF(V6&gt;0,'Hours Per Job'!V6,0)</f>
        <v>0</v>
      </c>
      <c r="W44" s="249">
        <f>IF(W6&gt;0,'Hours Per Job'!W6,0)</f>
        <v>0</v>
      </c>
      <c r="X44" s="249">
        <f>IF(X6&gt;0,'Hours Per Job'!X6,0)</f>
        <v>0</v>
      </c>
      <c r="Y44" s="249">
        <f>IF(Y6&gt;0,'Hours Per Job'!Y6,0)</f>
        <v>0</v>
      </c>
      <c r="Z44" s="249">
        <f>IF(Z6&gt;0,'Hours Per Job'!Z6,0)</f>
        <v>0</v>
      </c>
      <c r="AA44" s="249">
        <f>IF(AA6&gt;0,'Hours Per Job'!AA6,0)</f>
        <v>0</v>
      </c>
      <c r="AB44" s="249">
        <f>IF(AB6&gt;0,'Hours Per Job'!AB6,0)</f>
        <v>0</v>
      </c>
      <c r="AC44" s="249">
        <f>IF(AC6&gt;0,'Hours Per Job'!AC6,0)</f>
        <v>0</v>
      </c>
      <c r="AD44" s="249">
        <f>IF(AD6&gt;0,'Hours Per Job'!AD6,0)</f>
        <v>0</v>
      </c>
      <c r="AE44" s="249">
        <f>IF(AE6&gt;0,'Hours Per Job'!AE6,0)</f>
        <v>0</v>
      </c>
      <c r="AF44" s="249">
        <f>IF(AF6&gt;0,'Hours Per Job'!AF6,0)</f>
        <v>0</v>
      </c>
      <c r="AG44" s="249">
        <f>IF(AG6&gt;0,'Hours Per Job'!AG6,0)</f>
        <v>0</v>
      </c>
      <c r="AH44" s="249">
        <f>IF(AH6&gt;0,'Hours Per Job'!AH6,0)</f>
        <v>0</v>
      </c>
      <c r="AI44" s="249">
        <f>IF(AI6&gt;0,'Hours Per Job'!AI6,0)</f>
        <v>0</v>
      </c>
      <c r="AJ44" s="249">
        <f>IF(AJ6&gt;0,'Hours Per Job'!AJ6,0)</f>
        <v>0</v>
      </c>
      <c r="AK44" s="249">
        <f>IF(AK6&gt;0,'Hours Per Job'!AK6,0)</f>
        <v>0</v>
      </c>
      <c r="AL44" s="249">
        <f>IF(AL6&gt;0,'Hours Per Job'!AL6,0)</f>
        <v>0</v>
      </c>
      <c r="AM44" s="249">
        <f>IF(AM6&gt;0,'Hours Per Job'!AM6,0)</f>
        <v>0</v>
      </c>
      <c r="AN44" s="249">
        <f>IF(AN6&gt;0,'Hours Per Job'!AN6,0)</f>
        <v>0</v>
      </c>
      <c r="AO44" s="249">
        <f>IF(AO6&gt;0,'Hours Per Job'!AO6,0)</f>
        <v>0</v>
      </c>
      <c r="AP44" s="249">
        <f>IF(AP6&gt;0,'Hours Per Job'!AP6,0)</f>
        <v>0</v>
      </c>
      <c r="AQ44" s="249">
        <f>IF(AQ6&gt;0,'Hours Per Job'!AQ6,0)</f>
        <v>0</v>
      </c>
      <c r="AR44" s="249">
        <f>IF(AR6&gt;0,'Hours Per Job'!AR6,0)</f>
        <v>0</v>
      </c>
      <c r="AS44" s="249">
        <f>IF(AS6&gt;0,'Hours Per Job'!AS6,0)</f>
        <v>0</v>
      </c>
      <c r="AT44" s="249">
        <f>IF(AT6&gt;0,'Hours Per Job'!AT6,0)</f>
        <v>0</v>
      </c>
      <c r="AU44" s="249">
        <f>IF(AU6&gt;0,'Hours Per Job'!AU6,0)</f>
        <v>0</v>
      </c>
      <c r="AV44" s="249">
        <f>IF(AV6&gt;0,'Hours Per Job'!AV6,0)</f>
        <v>0</v>
      </c>
      <c r="AW44" s="249">
        <f>IF(AW6&gt;0,'Hours Per Job'!AW6,0)</f>
        <v>0</v>
      </c>
      <c r="AX44" s="249">
        <f>IF(AX6&gt;0,'Hours Per Job'!AX6,0)</f>
        <v>0</v>
      </c>
      <c r="AY44" s="249">
        <f>IF(AY6&gt;0,'Hours Per Job'!AY6,0)</f>
        <v>0</v>
      </c>
      <c r="AZ44" s="249">
        <f>IF(AZ6&gt;0,'Hours Per Job'!AZ6,0)</f>
        <v>0</v>
      </c>
      <c r="BA44" s="249">
        <f>IF(BA6&gt;0,'Hours Per Job'!BA6,0)</f>
        <v>0</v>
      </c>
      <c r="BB44" s="249">
        <f>IF(BB6&gt;0,'Hours Per Job'!BB6,0)</f>
        <v>0</v>
      </c>
      <c r="BC44" s="249">
        <f>IF(BC6&gt;0,'Hours Per Job'!BC6,0)</f>
        <v>0</v>
      </c>
      <c r="BD44" s="249">
        <f>IF(BD6&gt;0,'Hours Per Job'!BD6,0)</f>
        <v>0</v>
      </c>
      <c r="BE44" s="249">
        <f>IF(BE6&gt;0,'Hours Per Job'!BE6,0)</f>
        <v>0</v>
      </c>
      <c r="BF44" s="249">
        <f>IF(BF6&gt;0,'Hours Per Job'!BF6,0)</f>
        <v>0</v>
      </c>
      <c r="BG44" s="249">
        <f>IF(BG6&gt;0,'Hours Per Job'!BG6,0)</f>
        <v>0</v>
      </c>
      <c r="BH44" s="249">
        <f>IF(BH6&gt;0,'Hours Per Job'!BH6,0)</f>
        <v>0</v>
      </c>
      <c r="BI44" s="249">
        <f>IF(BI6&gt;0,'Hours Per Job'!BI6,0)</f>
        <v>0</v>
      </c>
      <c r="BJ44" s="249">
        <f>IF(BJ6&gt;0,'Hours Per Job'!BJ6,0)</f>
        <v>0</v>
      </c>
      <c r="BK44" s="249">
        <f>IF(BK6&gt;0,'Hours Per Job'!BK6,0)</f>
        <v>0</v>
      </c>
      <c r="BL44" s="249">
        <f>IF(BL6&gt;0,'Hours Per Job'!BL6,0)</f>
        <v>0</v>
      </c>
      <c r="BM44" s="249">
        <f>IF(BM6&gt;0,'Hours Per Job'!BM6,0)</f>
        <v>0</v>
      </c>
      <c r="BN44" s="249">
        <f>IF(BN6&gt;0,'Hours Per Job'!BN6,0)</f>
        <v>0</v>
      </c>
      <c r="BO44" s="249">
        <f>IF(BO6&gt;0,'Hours Per Job'!BO6,0)</f>
        <v>0</v>
      </c>
      <c r="BP44" s="249">
        <f>IF(BP6&gt;0,'Hours Per Job'!BP6,0)</f>
        <v>0</v>
      </c>
      <c r="BQ44" s="248">
        <f t="shared" si="5"/>
        <v>0</v>
      </c>
      <c r="BR44" s="248"/>
    </row>
    <row r="45" spans="1:70" x14ac:dyDescent="0.2">
      <c r="A45" s="248" t="str">
        <f t="shared" si="4"/>
        <v>Compact L series</v>
      </c>
      <c r="B45" s="249">
        <f>IF(B7&gt;0,'Hours Per Job'!B7,0)</f>
        <v>0</v>
      </c>
      <c r="C45" s="249">
        <f>IF(C7&gt;0,'Hours Per Job'!C7,0)</f>
        <v>0</v>
      </c>
      <c r="D45" s="249">
        <f>IF(D7&gt;0,'Hours Per Job'!D7,0)</f>
        <v>0</v>
      </c>
      <c r="E45" s="249">
        <f>IF(E7&gt;0,'Hours Per Job'!E7,0)</f>
        <v>0</v>
      </c>
      <c r="F45" s="249">
        <f>IF(F7&gt;0,'Hours Per Job'!F7,0)</f>
        <v>0</v>
      </c>
      <c r="G45" s="249">
        <f>IF(G7&gt;0,'Hours Per Job'!G7,0)</f>
        <v>0</v>
      </c>
      <c r="H45" s="249">
        <f>IF(H7&gt;0,'Hours Per Job'!H7,0)</f>
        <v>0</v>
      </c>
      <c r="I45" s="249">
        <f>IF(I7&gt;0,'Hours Per Job'!I7,0)</f>
        <v>0</v>
      </c>
      <c r="J45" s="249">
        <f>IF(J7&gt;0,'Hours Per Job'!J7,0)</f>
        <v>0</v>
      </c>
      <c r="K45" s="249">
        <f>IF(K7&gt;0,'Hours Per Job'!K7,0)</f>
        <v>0</v>
      </c>
      <c r="L45" s="249">
        <f>IF(L7&gt;0,'Hours Per Job'!L7,0)</f>
        <v>0</v>
      </c>
      <c r="M45" s="249">
        <f>IF(M7&gt;0,'Hours Per Job'!M7,0)</f>
        <v>0</v>
      </c>
      <c r="N45" s="249">
        <f>IF(N7&gt;0,'Hours Per Job'!N7,0)</f>
        <v>0</v>
      </c>
      <c r="O45" s="249">
        <f>IF(O7&gt;0,'Hours Per Job'!O7,0)</f>
        <v>0</v>
      </c>
      <c r="P45" s="249">
        <f>IF(P7&gt;0,'Hours Per Job'!P7,0)</f>
        <v>0</v>
      </c>
      <c r="Q45" s="249">
        <f>IF(Q7&gt;0,'Hours Per Job'!Q7,0)</f>
        <v>0</v>
      </c>
      <c r="R45" s="249">
        <f>IF(R7&gt;0,'Hours Per Job'!R7,0)</f>
        <v>0</v>
      </c>
      <c r="S45" s="249">
        <f>IF(S7&gt;0,'Hours Per Job'!S7,0)</f>
        <v>0</v>
      </c>
      <c r="T45" s="249">
        <f>IF(T7&gt;0,'Hours Per Job'!T7,0)</f>
        <v>0</v>
      </c>
      <c r="U45" s="249">
        <f>IF(U7&gt;0,'Hours Per Job'!U7,0)</f>
        <v>0</v>
      </c>
      <c r="V45" s="249">
        <f>IF(V7&gt;0,'Hours Per Job'!V7,0)</f>
        <v>0</v>
      </c>
      <c r="W45" s="249">
        <f>IF(W7&gt;0,'Hours Per Job'!W7,0)</f>
        <v>0</v>
      </c>
      <c r="X45" s="249">
        <f>IF(X7&gt;0,'Hours Per Job'!X7,0)</f>
        <v>0</v>
      </c>
      <c r="Y45" s="249">
        <f>IF(Y7&gt;0,'Hours Per Job'!Y7,0)</f>
        <v>0</v>
      </c>
      <c r="Z45" s="249">
        <f>IF(Z7&gt;0,'Hours Per Job'!Z7,0)</f>
        <v>0</v>
      </c>
      <c r="AA45" s="249">
        <f>IF(AA7&gt;0,'Hours Per Job'!AA7,0)</f>
        <v>0</v>
      </c>
      <c r="AB45" s="249">
        <f>IF(AB7&gt;0,'Hours Per Job'!AB7,0)</f>
        <v>0</v>
      </c>
      <c r="AC45" s="249">
        <f>IF(AC7&gt;0,'Hours Per Job'!AC7,0)</f>
        <v>0</v>
      </c>
      <c r="AD45" s="249">
        <f>IF(AD7&gt;0,'Hours Per Job'!AD7,0)</f>
        <v>0</v>
      </c>
      <c r="AE45" s="249">
        <f>IF(AE7&gt;0,'Hours Per Job'!AE7,0)</f>
        <v>0</v>
      </c>
      <c r="AF45" s="249">
        <f>IF(AF7&gt;0,'Hours Per Job'!AF7,0)</f>
        <v>0</v>
      </c>
      <c r="AG45" s="249">
        <f>IF(AG7&gt;0,'Hours Per Job'!AG7,0)</f>
        <v>0</v>
      </c>
      <c r="AH45" s="249">
        <f>IF(AH7&gt;0,'Hours Per Job'!AH7,0)</f>
        <v>0</v>
      </c>
      <c r="AI45" s="249">
        <f>IF(AI7&gt;0,'Hours Per Job'!AI7,0)</f>
        <v>0</v>
      </c>
      <c r="AJ45" s="249">
        <f>IF(AJ7&gt;0,'Hours Per Job'!AJ7,0)</f>
        <v>0</v>
      </c>
      <c r="AK45" s="249">
        <f>IF(AK7&gt;0,'Hours Per Job'!AK7,0)</f>
        <v>0</v>
      </c>
      <c r="AL45" s="249">
        <f>IF(AL7&gt;0,'Hours Per Job'!AL7,0)</f>
        <v>0</v>
      </c>
      <c r="AM45" s="249">
        <f>IF(AM7&gt;0,'Hours Per Job'!AM7,0)</f>
        <v>0</v>
      </c>
      <c r="AN45" s="249">
        <f>IF(AN7&gt;0,'Hours Per Job'!AN7,0)</f>
        <v>0</v>
      </c>
      <c r="AO45" s="249">
        <f>IF(AO7&gt;0,'Hours Per Job'!AO7,0)</f>
        <v>0</v>
      </c>
      <c r="AP45" s="249">
        <f>IF(AP7&gt;0,'Hours Per Job'!AP7,0)</f>
        <v>0</v>
      </c>
      <c r="AQ45" s="249">
        <f>IF(AQ7&gt;0,'Hours Per Job'!AQ7,0)</f>
        <v>0</v>
      </c>
      <c r="AR45" s="249">
        <f>IF(AR7&gt;0,'Hours Per Job'!AR7,0)</f>
        <v>0</v>
      </c>
      <c r="AS45" s="249">
        <f>IF(AS7&gt;0,'Hours Per Job'!AS7,0)</f>
        <v>0</v>
      </c>
      <c r="AT45" s="249">
        <f>IF(AT7&gt;0,'Hours Per Job'!AT7,0)</f>
        <v>0</v>
      </c>
      <c r="AU45" s="249">
        <f>IF(AU7&gt;0,'Hours Per Job'!AU7,0)</f>
        <v>0</v>
      </c>
      <c r="AV45" s="249">
        <f>IF(AV7&gt;0,'Hours Per Job'!AV7,0)</f>
        <v>0</v>
      </c>
      <c r="AW45" s="249">
        <f>IF(AW7&gt;0,'Hours Per Job'!AW7,0)</f>
        <v>0</v>
      </c>
      <c r="AX45" s="249">
        <f>IF(AX7&gt;0,'Hours Per Job'!AX7,0)</f>
        <v>0</v>
      </c>
      <c r="AY45" s="249">
        <f>IF(AY7&gt;0,'Hours Per Job'!AY7,0)</f>
        <v>0</v>
      </c>
      <c r="AZ45" s="249">
        <f>IF(AZ7&gt;0,'Hours Per Job'!AZ7,0)</f>
        <v>0</v>
      </c>
      <c r="BA45" s="249">
        <f>IF(BA7&gt;0,'Hours Per Job'!BA7,0)</f>
        <v>0</v>
      </c>
      <c r="BB45" s="249">
        <f>IF(BB7&gt;0,'Hours Per Job'!BB7,0)</f>
        <v>0</v>
      </c>
      <c r="BC45" s="249">
        <f>IF(BC7&gt;0,'Hours Per Job'!BC7,0)</f>
        <v>0</v>
      </c>
      <c r="BD45" s="249">
        <f>IF(BD7&gt;0,'Hours Per Job'!BD7,0)</f>
        <v>0</v>
      </c>
      <c r="BE45" s="249">
        <f>IF(BE7&gt;0,'Hours Per Job'!BE7,0)</f>
        <v>0</v>
      </c>
      <c r="BF45" s="249">
        <f>IF(BF7&gt;0,'Hours Per Job'!BF7,0)</f>
        <v>0</v>
      </c>
      <c r="BG45" s="249">
        <f>IF(BG7&gt;0,'Hours Per Job'!BG7,0)</f>
        <v>0</v>
      </c>
      <c r="BH45" s="249">
        <f>IF(BH7&gt;0,'Hours Per Job'!BH7,0)</f>
        <v>0</v>
      </c>
      <c r="BI45" s="249">
        <f>IF(BI7&gt;0,'Hours Per Job'!BI7,0)</f>
        <v>0</v>
      </c>
      <c r="BJ45" s="249">
        <f>IF(BJ7&gt;0,'Hours Per Job'!BJ7,0)</f>
        <v>0</v>
      </c>
      <c r="BK45" s="249">
        <f>IF(BK7&gt;0,'Hours Per Job'!BK7,0)</f>
        <v>0</v>
      </c>
      <c r="BL45" s="249">
        <f>IF(BL7&gt;0,'Hours Per Job'!BL7,0)</f>
        <v>0</v>
      </c>
      <c r="BM45" s="249">
        <f>IF(BM7&gt;0,'Hours Per Job'!BM7,0)</f>
        <v>0</v>
      </c>
      <c r="BN45" s="249">
        <f>IF(BN7&gt;0,'Hours Per Job'!BN7,0)</f>
        <v>0</v>
      </c>
      <c r="BO45" s="249">
        <f>IF(BO7&gt;0,'Hours Per Job'!BO7,0)</f>
        <v>0</v>
      </c>
      <c r="BP45" s="249">
        <f>IF(BP7&gt;0,'Hours Per Job'!BP7,0)</f>
        <v>0</v>
      </c>
      <c r="BQ45" s="248">
        <f t="shared" si="5"/>
        <v>0</v>
      </c>
      <c r="BR45" s="248"/>
    </row>
    <row r="46" spans="1:70" x14ac:dyDescent="0.2">
      <c r="A46" s="248" t="str">
        <f t="shared" si="4"/>
        <v>Utility under 75 MX&amp;M</v>
      </c>
      <c r="B46" s="249">
        <f>IF(B8&gt;0,'Hours Per Job'!B8,0)</f>
        <v>0</v>
      </c>
      <c r="C46" s="249">
        <f>IF(C8&gt;0,'Hours Per Job'!C8,0)</f>
        <v>0</v>
      </c>
      <c r="D46" s="249">
        <f>IF(D8&gt;0,'Hours Per Job'!D8,0)</f>
        <v>0</v>
      </c>
      <c r="E46" s="249">
        <f>IF(E8&gt;0,'Hours Per Job'!E8,0)</f>
        <v>0</v>
      </c>
      <c r="F46" s="249">
        <f>IF(F8&gt;0,'Hours Per Job'!F8,0)</f>
        <v>0</v>
      </c>
      <c r="G46" s="249">
        <f>IF(G8&gt;0,'Hours Per Job'!G8,0)</f>
        <v>0</v>
      </c>
      <c r="H46" s="249">
        <f>IF(H8&gt;0,'Hours Per Job'!H8,0)</f>
        <v>0</v>
      </c>
      <c r="I46" s="249">
        <f>IF(I8&gt;0,'Hours Per Job'!I8,0)</f>
        <v>0</v>
      </c>
      <c r="J46" s="249">
        <f>IF(J8&gt;0,'Hours Per Job'!J8,0)</f>
        <v>0</v>
      </c>
      <c r="K46" s="249">
        <f>IF(K8&gt;0,'Hours Per Job'!K8,0)</f>
        <v>0</v>
      </c>
      <c r="L46" s="249">
        <f>IF(L8&gt;0,'Hours Per Job'!L8,0)</f>
        <v>0</v>
      </c>
      <c r="M46" s="249">
        <f>IF(M8&gt;0,'Hours Per Job'!M8,0)</f>
        <v>0</v>
      </c>
      <c r="N46" s="249">
        <f>IF(N8&gt;0,'Hours Per Job'!N8,0)</f>
        <v>0</v>
      </c>
      <c r="O46" s="249">
        <f>IF(O8&gt;0,'Hours Per Job'!O8,0)</f>
        <v>0</v>
      </c>
      <c r="P46" s="249">
        <f>IF(P8&gt;0,'Hours Per Job'!P8,0)</f>
        <v>0</v>
      </c>
      <c r="Q46" s="249">
        <f>IF(Q8&gt;0,'Hours Per Job'!Q8,0)</f>
        <v>0</v>
      </c>
      <c r="R46" s="249">
        <f>IF(R8&gt;0,'Hours Per Job'!R8,0)</f>
        <v>0</v>
      </c>
      <c r="S46" s="249">
        <f>IF(S8&gt;0,'Hours Per Job'!S8,0)</f>
        <v>0</v>
      </c>
      <c r="T46" s="249">
        <f>IF(T8&gt;0,'Hours Per Job'!T8,0)</f>
        <v>0</v>
      </c>
      <c r="U46" s="249">
        <f>IF(U8&gt;0,'Hours Per Job'!U8,0)</f>
        <v>0</v>
      </c>
      <c r="V46" s="249">
        <f>IF(V8&gt;0,'Hours Per Job'!V8,0)</f>
        <v>0</v>
      </c>
      <c r="W46" s="249">
        <f>IF(W8&gt;0,'Hours Per Job'!W8,0)</f>
        <v>0</v>
      </c>
      <c r="X46" s="249">
        <f>IF(X8&gt;0,'Hours Per Job'!X8,0)</f>
        <v>0</v>
      </c>
      <c r="Y46" s="249">
        <f>IF(Y8&gt;0,'Hours Per Job'!Y8,0)</f>
        <v>0</v>
      </c>
      <c r="Z46" s="249">
        <f>IF(Z8&gt;0,'Hours Per Job'!Z8,0)</f>
        <v>0</v>
      </c>
      <c r="AA46" s="249">
        <f>IF(AA8&gt;0,'Hours Per Job'!AA8,0)</f>
        <v>0</v>
      </c>
      <c r="AB46" s="249">
        <f>IF(AB8&gt;0,'Hours Per Job'!AB8,0)</f>
        <v>0</v>
      </c>
      <c r="AC46" s="249">
        <f>IF(AC8&gt;0,'Hours Per Job'!AC8,0)</f>
        <v>0</v>
      </c>
      <c r="AD46" s="249">
        <f>IF(AD8&gt;0,'Hours Per Job'!AD8,0)</f>
        <v>0</v>
      </c>
      <c r="AE46" s="249">
        <f>IF(AE8&gt;0,'Hours Per Job'!AE8,0)</f>
        <v>0</v>
      </c>
      <c r="AF46" s="249">
        <f>IF(AF8&gt;0,'Hours Per Job'!AF8,0)</f>
        <v>0</v>
      </c>
      <c r="AG46" s="249">
        <f>IF(AG8&gt;0,'Hours Per Job'!AG8,0)</f>
        <v>0</v>
      </c>
      <c r="AH46" s="249">
        <f>IF(AH8&gt;0,'Hours Per Job'!AH8,0)</f>
        <v>0</v>
      </c>
      <c r="AI46" s="249">
        <f>IF(AI8&gt;0,'Hours Per Job'!AI8,0)</f>
        <v>0</v>
      </c>
      <c r="AJ46" s="249">
        <f>IF(AJ8&gt;0,'Hours Per Job'!AJ8,0)</f>
        <v>0</v>
      </c>
      <c r="AK46" s="249">
        <f>IF(AK8&gt;0,'Hours Per Job'!AK8,0)</f>
        <v>0</v>
      </c>
      <c r="AL46" s="249">
        <f>IF(AL8&gt;0,'Hours Per Job'!AL8,0)</f>
        <v>0</v>
      </c>
      <c r="AM46" s="249">
        <f>IF(AM8&gt;0,'Hours Per Job'!AM8,0)</f>
        <v>0</v>
      </c>
      <c r="AN46" s="249">
        <f>IF(AN8&gt;0,'Hours Per Job'!AN8,0)</f>
        <v>0</v>
      </c>
      <c r="AO46" s="249">
        <f>IF(AO8&gt;0,'Hours Per Job'!AO8,0)</f>
        <v>0</v>
      </c>
      <c r="AP46" s="249">
        <f>IF(AP8&gt;0,'Hours Per Job'!AP8,0)</f>
        <v>0</v>
      </c>
      <c r="AQ46" s="249">
        <f>IF(AQ8&gt;0,'Hours Per Job'!AQ8,0)</f>
        <v>0</v>
      </c>
      <c r="AR46" s="249">
        <f>IF(AR8&gt;0,'Hours Per Job'!AR8,0)</f>
        <v>0</v>
      </c>
      <c r="AS46" s="249">
        <f>IF(AS8&gt;0,'Hours Per Job'!AS8,0)</f>
        <v>0</v>
      </c>
      <c r="AT46" s="249">
        <f>IF(AT8&gt;0,'Hours Per Job'!AT8,0)</f>
        <v>0</v>
      </c>
      <c r="AU46" s="249">
        <f>IF(AU8&gt;0,'Hours Per Job'!AU8,0)</f>
        <v>0</v>
      </c>
      <c r="AV46" s="249">
        <f>IF(AV8&gt;0,'Hours Per Job'!AV8,0)</f>
        <v>0</v>
      </c>
      <c r="AW46" s="249">
        <f>IF(AW8&gt;0,'Hours Per Job'!AW8,0)</f>
        <v>0</v>
      </c>
      <c r="AX46" s="249">
        <f>IF(AX8&gt;0,'Hours Per Job'!AX8,0)</f>
        <v>0</v>
      </c>
      <c r="AY46" s="249">
        <f>IF(AY8&gt;0,'Hours Per Job'!AY8,0)</f>
        <v>0</v>
      </c>
      <c r="AZ46" s="249">
        <f>IF(AZ8&gt;0,'Hours Per Job'!AZ8,0)</f>
        <v>0</v>
      </c>
      <c r="BA46" s="249">
        <f>IF(BA8&gt;0,'Hours Per Job'!BA8,0)</f>
        <v>0</v>
      </c>
      <c r="BB46" s="249">
        <f>IF(BB8&gt;0,'Hours Per Job'!BB8,0)</f>
        <v>0</v>
      </c>
      <c r="BC46" s="249">
        <f>IF(BC8&gt;0,'Hours Per Job'!BC8,0)</f>
        <v>0</v>
      </c>
      <c r="BD46" s="249">
        <f>IF(BD8&gt;0,'Hours Per Job'!BD8,0)</f>
        <v>0</v>
      </c>
      <c r="BE46" s="249">
        <f>IF(BE8&gt;0,'Hours Per Job'!BE8,0)</f>
        <v>0</v>
      </c>
      <c r="BF46" s="249">
        <f>IF(BF8&gt;0,'Hours Per Job'!BF8,0)</f>
        <v>0</v>
      </c>
      <c r="BG46" s="249">
        <f>IF(BG8&gt;0,'Hours Per Job'!BG8,0)</f>
        <v>0</v>
      </c>
      <c r="BH46" s="249">
        <f>IF(BH8&gt;0,'Hours Per Job'!BH8,0)</f>
        <v>0</v>
      </c>
      <c r="BI46" s="249">
        <f>IF(BI8&gt;0,'Hours Per Job'!BI8,0)</f>
        <v>0</v>
      </c>
      <c r="BJ46" s="249">
        <f>IF(BJ8&gt;0,'Hours Per Job'!BJ8,0)</f>
        <v>0</v>
      </c>
      <c r="BK46" s="249">
        <f>IF(BK8&gt;0,'Hours Per Job'!BK8,0)</f>
        <v>0</v>
      </c>
      <c r="BL46" s="249">
        <f>IF(BL8&gt;0,'Hours Per Job'!BL8,0)</f>
        <v>0</v>
      </c>
      <c r="BM46" s="249">
        <f>IF(BM8&gt;0,'Hours Per Job'!BM8,0)</f>
        <v>0</v>
      </c>
      <c r="BN46" s="249">
        <f>IF(BN8&gt;0,'Hours Per Job'!BN8,0)</f>
        <v>0</v>
      </c>
      <c r="BO46" s="249">
        <f>IF(BO8&gt;0,'Hours Per Job'!BO8,0)</f>
        <v>0</v>
      </c>
      <c r="BP46" s="249">
        <f>IF(BP8&gt;0,'Hours Per Job'!BP8,0)</f>
        <v>0</v>
      </c>
      <c r="BQ46" s="248">
        <f t="shared" si="5"/>
        <v>0</v>
      </c>
      <c r="BR46" s="248"/>
    </row>
    <row r="47" spans="1:70" x14ac:dyDescent="0.2">
      <c r="A47" s="248" t="str">
        <f t="shared" si="4"/>
        <v>Utility over 75 M4 class</v>
      </c>
      <c r="B47" s="249">
        <f>IF(B9&gt;0,'Hours Per Job'!B9,0)</f>
        <v>0</v>
      </c>
      <c r="C47" s="249">
        <f>IF(C9&gt;0,'Hours Per Job'!C9,0)</f>
        <v>0</v>
      </c>
      <c r="D47" s="249">
        <f>IF(D9&gt;0,'Hours Per Job'!D9,0)</f>
        <v>0</v>
      </c>
      <c r="E47" s="249">
        <f>IF(E9&gt;0,'Hours Per Job'!E9,0)</f>
        <v>0</v>
      </c>
      <c r="F47" s="249">
        <f>IF(F9&gt;0,'Hours Per Job'!F9,0)</f>
        <v>0</v>
      </c>
      <c r="G47" s="249">
        <f>IF(G9&gt;0,'Hours Per Job'!G9,0)</f>
        <v>0</v>
      </c>
      <c r="H47" s="249">
        <f>IF(H9&gt;0,'Hours Per Job'!H9,0)</f>
        <v>0</v>
      </c>
      <c r="I47" s="249">
        <f>IF(I9&gt;0,'Hours Per Job'!I9,0)</f>
        <v>0</v>
      </c>
      <c r="J47" s="249">
        <f>IF(J9&gt;0,'Hours Per Job'!J9,0)</f>
        <v>0</v>
      </c>
      <c r="K47" s="249">
        <f>IF(K9&gt;0,'Hours Per Job'!K9,0)</f>
        <v>0</v>
      </c>
      <c r="L47" s="249">
        <f>IF(L9&gt;0,'Hours Per Job'!L9,0)</f>
        <v>0</v>
      </c>
      <c r="M47" s="249">
        <f>IF(M9&gt;0,'Hours Per Job'!M9,0)</f>
        <v>0</v>
      </c>
      <c r="N47" s="249">
        <f>IF(N9&gt;0,'Hours Per Job'!N9,0)</f>
        <v>0</v>
      </c>
      <c r="O47" s="249">
        <f>IF(O9&gt;0,'Hours Per Job'!O9,0)</f>
        <v>0</v>
      </c>
      <c r="P47" s="249">
        <f>IF(P9&gt;0,'Hours Per Job'!P9,0)</f>
        <v>0</v>
      </c>
      <c r="Q47" s="249">
        <f>IF(Q9&gt;0,'Hours Per Job'!Q9,0)</f>
        <v>0</v>
      </c>
      <c r="R47" s="249">
        <f>IF(R9&gt;0,'Hours Per Job'!R9,0)</f>
        <v>0</v>
      </c>
      <c r="S47" s="249">
        <f>IF(S9&gt;0,'Hours Per Job'!S9,0)</f>
        <v>0</v>
      </c>
      <c r="T47" s="249">
        <f>IF(T9&gt;0,'Hours Per Job'!T9,0)</f>
        <v>0</v>
      </c>
      <c r="U47" s="249">
        <f>IF(U9&gt;0,'Hours Per Job'!U9,0)</f>
        <v>0.4</v>
      </c>
      <c r="V47" s="249">
        <f>IF(V9&gt;0,'Hours Per Job'!V9,0)</f>
        <v>0</v>
      </c>
      <c r="W47" s="249">
        <f>IF(W9&gt;0,'Hours Per Job'!W9,0)</f>
        <v>0.4</v>
      </c>
      <c r="X47" s="249">
        <f>IF(X9&gt;0,'Hours Per Job'!X9,0)</f>
        <v>0</v>
      </c>
      <c r="Y47" s="249">
        <f>IF(Y9&gt;0,'Hours Per Job'!Y9,0)</f>
        <v>0.2</v>
      </c>
      <c r="Z47" s="249">
        <f>IF(Z9&gt;0,'Hours Per Job'!Z9,0)</f>
        <v>0.2</v>
      </c>
      <c r="AA47" s="249">
        <f>IF(AA9&gt;0,'Hours Per Job'!AA9,0)</f>
        <v>0</v>
      </c>
      <c r="AB47" s="249">
        <f>IF(AB9&gt;0,'Hours Per Job'!AB9,0)</f>
        <v>0</v>
      </c>
      <c r="AC47" s="249">
        <f>IF(AC9&gt;0,'Hours Per Job'!AC9,0)</f>
        <v>0</v>
      </c>
      <c r="AD47" s="249">
        <f>IF(AD9&gt;0,'Hours Per Job'!AD9,0)</f>
        <v>0</v>
      </c>
      <c r="AE47" s="249">
        <f>IF(AE9&gt;0,'Hours Per Job'!AE9,0)</f>
        <v>1</v>
      </c>
      <c r="AF47" s="249">
        <f>IF(AF9&gt;0,'Hours Per Job'!AF9,0)</f>
        <v>0</v>
      </c>
      <c r="AG47" s="249">
        <f>IF(AG9&gt;0,'Hours Per Job'!AG9,0)</f>
        <v>0</v>
      </c>
      <c r="AH47" s="249">
        <f>IF(AH9&gt;0,'Hours Per Job'!AH9,0)</f>
        <v>0</v>
      </c>
      <c r="AI47" s="249">
        <f>IF(AI9&gt;0,'Hours Per Job'!AI9,0)</f>
        <v>0</v>
      </c>
      <c r="AJ47" s="249">
        <f>IF(AJ9&gt;0,'Hours Per Job'!AJ9,0)</f>
        <v>0</v>
      </c>
      <c r="AK47" s="249">
        <f>IF(AK9&gt;0,'Hours Per Job'!AK9,0)</f>
        <v>0</v>
      </c>
      <c r="AL47" s="249">
        <f>IF(AL9&gt;0,'Hours Per Job'!AL9,0)</f>
        <v>0</v>
      </c>
      <c r="AM47" s="249">
        <f>IF(AM9&gt;0,'Hours Per Job'!AM9,0)</f>
        <v>0</v>
      </c>
      <c r="AN47" s="249">
        <f>IF(AN9&gt;0,'Hours Per Job'!AN9,0)</f>
        <v>0</v>
      </c>
      <c r="AO47" s="249">
        <f>IF(AO9&gt;0,'Hours Per Job'!AO9,0)</f>
        <v>0</v>
      </c>
      <c r="AP47" s="249">
        <f>IF(AP9&gt;0,'Hours Per Job'!AP9,0)</f>
        <v>0</v>
      </c>
      <c r="AQ47" s="249">
        <f>IF(AQ9&gt;0,'Hours Per Job'!AQ9,0)</f>
        <v>0</v>
      </c>
      <c r="AR47" s="249">
        <f>IF(AR9&gt;0,'Hours Per Job'!AR9,0)</f>
        <v>0</v>
      </c>
      <c r="AS47" s="249">
        <f>IF(AS9&gt;0,'Hours Per Job'!AS9,0)</f>
        <v>0</v>
      </c>
      <c r="AT47" s="249">
        <f>IF(AT9&gt;0,'Hours Per Job'!AT9,0)</f>
        <v>0.2</v>
      </c>
      <c r="AU47" s="249">
        <f>IF(AU9&gt;0,'Hours Per Job'!AU9,0)</f>
        <v>0</v>
      </c>
      <c r="AV47" s="249">
        <f>IF(AV9&gt;0,'Hours Per Job'!AV9,0)</f>
        <v>0</v>
      </c>
      <c r="AW47" s="249">
        <f>IF(AW9&gt;0,'Hours Per Job'!AW9,0)</f>
        <v>0</v>
      </c>
      <c r="AX47" s="249">
        <f>IF(AX9&gt;0,'Hours Per Job'!AX9,0)</f>
        <v>0</v>
      </c>
      <c r="AY47" s="249">
        <f>IF(AY9&gt;0,'Hours Per Job'!AY9,0)</f>
        <v>0</v>
      </c>
      <c r="AZ47" s="249">
        <f>IF(AZ9&gt;0,'Hours Per Job'!AZ9,0)</f>
        <v>0</v>
      </c>
      <c r="BA47" s="249">
        <f>IF(BA9&gt;0,'Hours Per Job'!BA9,0)</f>
        <v>0</v>
      </c>
      <c r="BB47" s="249">
        <f>IF(BB9&gt;0,'Hours Per Job'!BB9,0)</f>
        <v>0</v>
      </c>
      <c r="BC47" s="249">
        <f>IF(BC9&gt;0,'Hours Per Job'!BC9,0)</f>
        <v>0</v>
      </c>
      <c r="BD47" s="249">
        <f>IF(BD9&gt;0,'Hours Per Job'!BD9,0)</f>
        <v>0</v>
      </c>
      <c r="BE47" s="249">
        <f>IF(BE9&gt;0,'Hours Per Job'!BE9,0)</f>
        <v>0</v>
      </c>
      <c r="BF47" s="249">
        <f>IF(BF9&gt;0,'Hours Per Job'!BF9,0)</f>
        <v>0</v>
      </c>
      <c r="BG47" s="249">
        <f>IF(BG9&gt;0,'Hours Per Job'!BG9,0)</f>
        <v>0</v>
      </c>
      <c r="BH47" s="249">
        <f>IF(BH9&gt;0,'Hours Per Job'!BH9,0)</f>
        <v>0</v>
      </c>
      <c r="BI47" s="249">
        <f>IF(BI9&gt;0,'Hours Per Job'!BI9,0)</f>
        <v>0</v>
      </c>
      <c r="BJ47" s="249">
        <f>IF(BJ9&gt;0,'Hours Per Job'!BJ9,0)</f>
        <v>0.25</v>
      </c>
      <c r="BK47" s="249">
        <f>IF(BK9&gt;0,'Hours Per Job'!BK9,0)</f>
        <v>0</v>
      </c>
      <c r="BL47" s="249">
        <f>IF(BL9&gt;0,'Hours Per Job'!BL9,0)</f>
        <v>0</v>
      </c>
      <c r="BM47" s="249">
        <f>IF(BM9&gt;0,'Hours Per Job'!BM9,0)</f>
        <v>0</v>
      </c>
      <c r="BN47" s="249">
        <f>IF(BN9&gt;0,'Hours Per Job'!BN9,0)</f>
        <v>0</v>
      </c>
      <c r="BO47" s="249">
        <f>IF(BO9&gt;0,'Hours Per Job'!BO9,0)</f>
        <v>0</v>
      </c>
      <c r="BP47" s="249">
        <f>IF(BP9&gt;0,'Hours Per Job'!BP9,0)</f>
        <v>0</v>
      </c>
      <c r="BQ47" s="248">
        <f t="shared" si="5"/>
        <v>2.6500000000000004</v>
      </c>
      <c r="BR47" s="248"/>
    </row>
    <row r="48" spans="1:70" x14ac:dyDescent="0.2">
      <c r="A48" s="248" t="str">
        <f t="shared" si="4"/>
        <v>Large Ag M6</v>
      </c>
      <c r="B48" s="249">
        <f>IF(B10&gt;0,'Hours Per Job'!B10,0)</f>
        <v>0</v>
      </c>
      <c r="C48" s="249">
        <f>IF(C10&gt;0,'Hours Per Job'!C10,0)</f>
        <v>0</v>
      </c>
      <c r="D48" s="249">
        <f>IF(D10&gt;0,'Hours Per Job'!D10,0)</f>
        <v>0</v>
      </c>
      <c r="E48" s="249">
        <f>IF(E10&gt;0,'Hours Per Job'!E10,0)</f>
        <v>0</v>
      </c>
      <c r="F48" s="249">
        <f>IF(F10&gt;0,'Hours Per Job'!F10,0)</f>
        <v>0</v>
      </c>
      <c r="G48" s="249">
        <f>IF(G10&gt;0,'Hours Per Job'!G10,0)</f>
        <v>0</v>
      </c>
      <c r="H48" s="249">
        <f>IF(H10&gt;0,'Hours Per Job'!H10,0)</f>
        <v>0</v>
      </c>
      <c r="I48" s="249">
        <f>IF(I10&gt;0,'Hours Per Job'!I10,0)</f>
        <v>0</v>
      </c>
      <c r="J48" s="249">
        <f>IF(J10&gt;0,'Hours Per Job'!J10,0)</f>
        <v>0</v>
      </c>
      <c r="K48" s="249">
        <f>IF(K10&gt;0,'Hours Per Job'!K10,0)</f>
        <v>0</v>
      </c>
      <c r="L48" s="249">
        <f>IF(L10&gt;0,'Hours Per Job'!L10,0)</f>
        <v>0</v>
      </c>
      <c r="M48" s="249">
        <f>IF(M10&gt;0,'Hours Per Job'!M10,0)</f>
        <v>0</v>
      </c>
      <c r="N48" s="249">
        <f>IF(N10&gt;0,'Hours Per Job'!N10,0)</f>
        <v>0</v>
      </c>
      <c r="O48" s="249">
        <f>IF(O10&gt;0,'Hours Per Job'!O10,0)</f>
        <v>0</v>
      </c>
      <c r="P48" s="249">
        <f>IF(P10&gt;0,'Hours Per Job'!P10,0)</f>
        <v>0</v>
      </c>
      <c r="Q48" s="249">
        <f>IF(Q10&gt;0,'Hours Per Job'!Q10,0)</f>
        <v>0</v>
      </c>
      <c r="R48" s="249">
        <f>IF(R10&gt;0,'Hours Per Job'!R10,0)</f>
        <v>0</v>
      </c>
      <c r="S48" s="249">
        <f>IF(S10&gt;0,'Hours Per Job'!S10,0)</f>
        <v>0</v>
      </c>
      <c r="T48" s="249">
        <f>IF(T10&gt;0,'Hours Per Job'!T10,0)</f>
        <v>0</v>
      </c>
      <c r="U48" s="249">
        <f>IF(U10&gt;0,'Hours Per Job'!U10,0)</f>
        <v>0.6</v>
      </c>
      <c r="V48" s="249">
        <f>IF(V10&gt;0,'Hours Per Job'!V10,0)</f>
        <v>0</v>
      </c>
      <c r="W48" s="249">
        <f>IF(W10&gt;0,'Hours Per Job'!W10,0)</f>
        <v>0</v>
      </c>
      <c r="X48" s="249">
        <f>IF(X10&gt;0,'Hours Per Job'!X10,0)</f>
        <v>0.4</v>
      </c>
      <c r="Y48" s="249">
        <f>IF(Y10&gt;0,'Hours Per Job'!Y10,0)</f>
        <v>0.3</v>
      </c>
      <c r="Z48" s="249">
        <f>IF(Z10&gt;0,'Hours Per Job'!Z10,0)</f>
        <v>0.3</v>
      </c>
      <c r="AA48" s="249">
        <f>IF(AA10&gt;0,'Hours Per Job'!AA10,0)</f>
        <v>0</v>
      </c>
      <c r="AB48" s="249">
        <f>IF(AB10&gt;0,'Hours Per Job'!AB10,0)</f>
        <v>4</v>
      </c>
      <c r="AC48" s="249">
        <f>IF(AC10&gt;0,'Hours Per Job'!AC10,0)</f>
        <v>2.1</v>
      </c>
      <c r="AD48" s="249">
        <f>IF(AD10&gt;0,'Hours Per Job'!AD10,0)</f>
        <v>0</v>
      </c>
      <c r="AE48" s="249">
        <f>IF(AE10&gt;0,'Hours Per Job'!AE10,0)</f>
        <v>0</v>
      </c>
      <c r="AF48" s="249">
        <f>IF(AF10&gt;0,'Hours Per Job'!AF10,0)</f>
        <v>0</v>
      </c>
      <c r="AG48" s="249">
        <f>IF(AG10&gt;0,'Hours Per Job'!AG10,0)</f>
        <v>0.5</v>
      </c>
      <c r="AH48" s="249">
        <f>IF(AH10&gt;0,'Hours Per Job'!AH10,0)</f>
        <v>0</v>
      </c>
      <c r="AI48" s="249">
        <f>IF(AI10&gt;0,'Hours Per Job'!AI10,0)</f>
        <v>2.1</v>
      </c>
      <c r="AJ48" s="249">
        <f>IF(AJ10&gt;0,'Hours Per Job'!AJ10,0)</f>
        <v>0</v>
      </c>
      <c r="AK48" s="249">
        <f>IF(AK10&gt;0,'Hours Per Job'!AK10,0)</f>
        <v>2.5</v>
      </c>
      <c r="AL48" s="249">
        <f>IF(AL10&gt;0,'Hours Per Job'!AL10,0)</f>
        <v>0</v>
      </c>
      <c r="AM48" s="249">
        <f>IF(AM10&gt;0,'Hours Per Job'!AM10,0)</f>
        <v>0</v>
      </c>
      <c r="AN48" s="249">
        <f>IF(AN10&gt;0,'Hours Per Job'!AN10,0)</f>
        <v>0</v>
      </c>
      <c r="AO48" s="249">
        <f>IF(AO10&gt;0,'Hours Per Job'!AO10,0)</f>
        <v>0</v>
      </c>
      <c r="AP48" s="249">
        <f>IF(AP10&gt;0,'Hours Per Job'!AP10,0)</f>
        <v>0</v>
      </c>
      <c r="AQ48" s="249">
        <f>IF(AQ10&gt;0,'Hours Per Job'!AQ10,0)</f>
        <v>0</v>
      </c>
      <c r="AR48" s="249">
        <f>IF(AR10&gt;0,'Hours Per Job'!AR10,0)</f>
        <v>0</v>
      </c>
      <c r="AS48" s="249">
        <f>IF(AS10&gt;0,'Hours Per Job'!AS10,0)</f>
        <v>0</v>
      </c>
      <c r="AT48" s="249">
        <f>IF(AT10&gt;0,'Hours Per Job'!AT10,0)</f>
        <v>0.5</v>
      </c>
      <c r="AU48" s="249">
        <f>IF(AU10&gt;0,'Hours Per Job'!AU10,0)</f>
        <v>0</v>
      </c>
      <c r="AV48" s="249">
        <f>IF(AV10&gt;0,'Hours Per Job'!AV10,0)</f>
        <v>0</v>
      </c>
      <c r="AW48" s="249">
        <f>IF(AW10&gt;0,'Hours Per Job'!AW10,0)</f>
        <v>0</v>
      </c>
      <c r="AX48" s="249">
        <f>IF(AX10&gt;0,'Hours Per Job'!AX10,0)</f>
        <v>0</v>
      </c>
      <c r="AY48" s="249">
        <f>IF(AY10&gt;0,'Hours Per Job'!AY10,0)</f>
        <v>0</v>
      </c>
      <c r="AZ48" s="249">
        <f>IF(AZ10&gt;0,'Hours Per Job'!AZ10,0)</f>
        <v>0</v>
      </c>
      <c r="BA48" s="249">
        <f>IF(BA10&gt;0,'Hours Per Job'!BA10,0)</f>
        <v>0.1</v>
      </c>
      <c r="BB48" s="249">
        <f>IF(BB10&gt;0,'Hours Per Job'!BB10,0)</f>
        <v>0</v>
      </c>
      <c r="BC48" s="249">
        <f>IF(BC10&gt;0,'Hours Per Job'!BC10,0)</f>
        <v>0</v>
      </c>
      <c r="BD48" s="249">
        <f>IF(BD10&gt;0,'Hours Per Job'!BD10,0)</f>
        <v>0</v>
      </c>
      <c r="BE48" s="249">
        <f>IF(BE10&gt;0,'Hours Per Job'!BE10,0)</f>
        <v>0</v>
      </c>
      <c r="BF48" s="249">
        <f>IF(BF10&gt;0,'Hours Per Job'!BF10,0)</f>
        <v>0</v>
      </c>
      <c r="BG48" s="249">
        <f>IF(BG10&gt;0,'Hours Per Job'!BG10,0)</f>
        <v>0</v>
      </c>
      <c r="BH48" s="249">
        <f>IF(BH10&gt;0,'Hours Per Job'!BH10,0)</f>
        <v>0</v>
      </c>
      <c r="BI48" s="249">
        <f>IF(BI10&gt;0,'Hours Per Job'!BI10,0)</f>
        <v>0</v>
      </c>
      <c r="BJ48" s="249">
        <f>IF(BJ10&gt;0,'Hours Per Job'!BJ10,0)</f>
        <v>0.25</v>
      </c>
      <c r="BK48" s="249">
        <f>IF(BK10&gt;0,'Hours Per Job'!BK10,0)</f>
        <v>0</v>
      </c>
      <c r="BL48" s="249">
        <f>IF(BL10&gt;0,'Hours Per Job'!BL10,0)</f>
        <v>0</v>
      </c>
      <c r="BM48" s="249">
        <f>IF(BM10&gt;0,'Hours Per Job'!BM10,0)</f>
        <v>0</v>
      </c>
      <c r="BN48" s="249">
        <f>IF(BN10&gt;0,'Hours Per Job'!BN10,0)</f>
        <v>0</v>
      </c>
      <c r="BO48" s="249">
        <f>IF(BO10&gt;0,'Hours Per Job'!BO10,0)</f>
        <v>0</v>
      </c>
      <c r="BP48" s="249">
        <f>IF(BP10&gt;0,'Hours Per Job'!BP10,0)</f>
        <v>0</v>
      </c>
      <c r="BQ48" s="248">
        <f t="shared" si="5"/>
        <v>13.649999999999999</v>
      </c>
      <c r="BR48" s="248"/>
    </row>
    <row r="49" spans="1:70" x14ac:dyDescent="0.2">
      <c r="A49" s="248" t="str">
        <f t="shared" si="4"/>
        <v>Skid Steer</v>
      </c>
      <c r="B49" s="249">
        <f>IF(B11&gt;0,'Hours Per Job'!B11,0)</f>
        <v>0</v>
      </c>
      <c r="C49" s="249">
        <f>IF(C11&gt;0,'Hours Per Job'!C11,0)</f>
        <v>0</v>
      </c>
      <c r="D49" s="249">
        <f>IF(D11&gt;0,'Hours Per Job'!D11,0)</f>
        <v>0</v>
      </c>
      <c r="E49" s="249">
        <f>IF(E11&gt;0,'Hours Per Job'!E11,0)</f>
        <v>0</v>
      </c>
      <c r="F49" s="249">
        <f>IF(F11&gt;0,'Hours Per Job'!F11,0)</f>
        <v>0</v>
      </c>
      <c r="G49" s="249">
        <f>IF(G11&gt;0,'Hours Per Job'!G11,0)</f>
        <v>0</v>
      </c>
      <c r="H49" s="249">
        <f>IF(H11&gt;0,'Hours Per Job'!H11,0)</f>
        <v>0</v>
      </c>
      <c r="I49" s="249">
        <f>IF(I11&gt;0,'Hours Per Job'!I11,0)</f>
        <v>0</v>
      </c>
      <c r="J49" s="249">
        <f>IF(J11&gt;0,'Hours Per Job'!J11,0)</f>
        <v>0</v>
      </c>
      <c r="K49" s="249">
        <f>IF(K11&gt;0,'Hours Per Job'!K11,0)</f>
        <v>0</v>
      </c>
      <c r="L49" s="249">
        <f>IF(L11&gt;0,'Hours Per Job'!L11,0)</f>
        <v>0</v>
      </c>
      <c r="M49" s="249">
        <f>IF(M11&gt;0,'Hours Per Job'!M11,0)</f>
        <v>0</v>
      </c>
      <c r="N49" s="249">
        <f>IF(N11&gt;0,'Hours Per Job'!N11,0)</f>
        <v>0</v>
      </c>
      <c r="O49" s="249">
        <f>IF(O11&gt;0,'Hours Per Job'!O11,0)</f>
        <v>0</v>
      </c>
      <c r="P49" s="249">
        <f>IF(P11&gt;0,'Hours Per Job'!P11,0)</f>
        <v>0</v>
      </c>
      <c r="Q49" s="249">
        <f>IF(Q11&gt;0,'Hours Per Job'!Q11,0)</f>
        <v>0</v>
      </c>
      <c r="R49" s="249">
        <f>IF(R11&gt;0,'Hours Per Job'!R11,0)</f>
        <v>0</v>
      </c>
      <c r="S49" s="249">
        <f>IF(S11&gt;0,'Hours Per Job'!S11,0)</f>
        <v>0</v>
      </c>
      <c r="T49" s="249">
        <f>IF(T11&gt;0,'Hours Per Job'!T11,0)</f>
        <v>0</v>
      </c>
      <c r="U49" s="249">
        <f>IF(U11&gt;0,'Hours Per Job'!U11,0)</f>
        <v>0.8</v>
      </c>
      <c r="V49" s="249">
        <f>IF(V11&gt;0,'Hours Per Job'!V11,0)</f>
        <v>0</v>
      </c>
      <c r="W49" s="249">
        <f>IF(W11&gt;0,'Hours Per Job'!W11,0)</f>
        <v>0</v>
      </c>
      <c r="X49" s="249">
        <f>IF(X11&gt;0,'Hours Per Job'!X11,0)</f>
        <v>0</v>
      </c>
      <c r="Y49" s="249">
        <f>IF(Y11&gt;0,'Hours Per Job'!Y11,0)</f>
        <v>0.3</v>
      </c>
      <c r="Z49" s="249">
        <f>IF(Z11&gt;0,'Hours Per Job'!Z11,0)</f>
        <v>0.4</v>
      </c>
      <c r="AA49" s="249">
        <f>IF(AA11&gt;0,'Hours Per Job'!AA11,0)</f>
        <v>0</v>
      </c>
      <c r="AB49" s="249">
        <f>IF(AB11&gt;0,'Hours Per Job'!AB11,0)</f>
        <v>0</v>
      </c>
      <c r="AC49" s="249">
        <f>IF(AC11&gt;0,'Hours Per Job'!AC11,0)</f>
        <v>0</v>
      </c>
      <c r="AD49" s="249">
        <f>IF(AD11&gt;0,'Hours Per Job'!AD11,0)</f>
        <v>0</v>
      </c>
      <c r="AE49" s="249">
        <f>IF(AE11&gt;0,'Hours Per Job'!AE11,0)</f>
        <v>0.5</v>
      </c>
      <c r="AF49" s="249">
        <f>IF(AF11&gt;0,'Hours Per Job'!AF11,0)</f>
        <v>0.1</v>
      </c>
      <c r="AG49" s="249">
        <f>IF(AG11&gt;0,'Hours Per Job'!AG11,0)</f>
        <v>0.5</v>
      </c>
      <c r="AH49" s="249">
        <f>IF(AH11&gt;0,'Hours Per Job'!AH11,0)</f>
        <v>0</v>
      </c>
      <c r="AI49" s="249">
        <f>IF(AI11&gt;0,'Hours Per Job'!AI11,0)</f>
        <v>0</v>
      </c>
      <c r="AJ49" s="249">
        <f>IF(AJ11&gt;0,'Hours Per Job'!AJ11,0)</f>
        <v>0</v>
      </c>
      <c r="AK49" s="249">
        <f>IF(AK11&gt;0,'Hours Per Job'!AK11,0)</f>
        <v>0</v>
      </c>
      <c r="AL49" s="249">
        <f>IF(AL11&gt;0,'Hours Per Job'!AL11,0)</f>
        <v>0</v>
      </c>
      <c r="AM49" s="249">
        <f>IF(AM11&gt;0,'Hours Per Job'!AM11,0)</f>
        <v>0</v>
      </c>
      <c r="AN49" s="249">
        <f>IF(AN11&gt;0,'Hours Per Job'!AN11,0)</f>
        <v>0</v>
      </c>
      <c r="AO49" s="249">
        <f>IF(AO11&gt;0,'Hours Per Job'!AO11,0)</f>
        <v>0</v>
      </c>
      <c r="AP49" s="249">
        <f>IF(AP11&gt;0,'Hours Per Job'!AP11,0)</f>
        <v>0</v>
      </c>
      <c r="AQ49" s="249">
        <f>IF(AQ11&gt;0,'Hours Per Job'!AQ11,0)</f>
        <v>0</v>
      </c>
      <c r="AR49" s="249">
        <f>IF(AR11&gt;0,'Hours Per Job'!AR11,0)</f>
        <v>0</v>
      </c>
      <c r="AS49" s="249">
        <f>IF(AS11&gt;0,'Hours Per Job'!AS11,0)</f>
        <v>0.2</v>
      </c>
      <c r="AT49" s="249">
        <f>IF(AT11&gt;0,'Hours Per Job'!AT11,0)</f>
        <v>0.5</v>
      </c>
      <c r="AU49" s="249">
        <f>IF(AU11&gt;0,'Hours Per Job'!AU11,0)</f>
        <v>0</v>
      </c>
      <c r="AV49" s="249">
        <f>IF(AV11&gt;0,'Hours Per Job'!AV11,0)</f>
        <v>0</v>
      </c>
      <c r="AW49" s="249">
        <f>IF(AW11&gt;0,'Hours Per Job'!AW11,0)</f>
        <v>0</v>
      </c>
      <c r="AX49" s="249">
        <f>IF(AX11&gt;0,'Hours Per Job'!AX11,0)</f>
        <v>0</v>
      </c>
      <c r="AY49" s="249">
        <f>IF(AY11&gt;0,'Hours Per Job'!AY11,0)</f>
        <v>0</v>
      </c>
      <c r="AZ49" s="249">
        <f>IF(AZ11&gt;0,'Hours Per Job'!AZ11,0)</f>
        <v>0</v>
      </c>
      <c r="BA49" s="249">
        <f>IF(BA11&gt;0,'Hours Per Job'!BA11,0)</f>
        <v>0</v>
      </c>
      <c r="BB49" s="249">
        <f>IF(BB11&gt;0,'Hours Per Job'!BB11,0)</f>
        <v>0.2</v>
      </c>
      <c r="BC49" s="249">
        <f>IF(BC11&gt;0,'Hours Per Job'!BC11,0)</f>
        <v>0</v>
      </c>
      <c r="BD49" s="249">
        <f>IF(BD11&gt;0,'Hours Per Job'!BD11,0)</f>
        <v>0</v>
      </c>
      <c r="BE49" s="249">
        <f>IF(BE11&gt;0,'Hours Per Job'!BE11,0)</f>
        <v>0</v>
      </c>
      <c r="BF49" s="249">
        <f>IF(BF11&gt;0,'Hours Per Job'!BF11,0)</f>
        <v>0</v>
      </c>
      <c r="BG49" s="249">
        <f>IF(BG11&gt;0,'Hours Per Job'!BG11,0)</f>
        <v>0</v>
      </c>
      <c r="BH49" s="249">
        <f>IF(BH11&gt;0,'Hours Per Job'!BH11,0)</f>
        <v>0</v>
      </c>
      <c r="BI49" s="249">
        <f>IF(BI11&gt;0,'Hours Per Job'!BI11,0)</f>
        <v>0</v>
      </c>
      <c r="BJ49" s="249">
        <f>IF(BJ11&gt;0,'Hours Per Job'!BJ11,0)</f>
        <v>0.25</v>
      </c>
      <c r="BK49" s="249">
        <f>IF(BK11&gt;0,'Hours Per Job'!BK11,0)</f>
        <v>0</v>
      </c>
      <c r="BL49" s="249">
        <f>IF(BL11&gt;0,'Hours Per Job'!BL11,0)</f>
        <v>0</v>
      </c>
      <c r="BM49" s="249">
        <f>IF(BM11&gt;0,'Hours Per Job'!BM11,0)</f>
        <v>0</v>
      </c>
      <c r="BN49" s="249">
        <f>IF(BN11&gt;0,'Hours Per Job'!BN11,0)</f>
        <v>0</v>
      </c>
      <c r="BO49" s="249">
        <f>IF(BO11&gt;0,'Hours Per Job'!BO11,0)</f>
        <v>0</v>
      </c>
      <c r="BP49" s="249">
        <f>IF(BP11&gt;0,'Hours Per Job'!BP11,0)</f>
        <v>0</v>
      </c>
      <c r="BQ49" s="248">
        <f t="shared" si="5"/>
        <v>3.7500000000000004</v>
      </c>
      <c r="BR49" s="248"/>
    </row>
    <row r="50" spans="1:70" x14ac:dyDescent="0.2">
      <c r="A50" s="248" t="str">
        <f t="shared" si="4"/>
        <v>Excavator - under 3.5 ton</v>
      </c>
      <c r="B50" s="249">
        <f>IF(B12&gt;0,'Hours Per Job'!B12,0)</f>
        <v>0</v>
      </c>
      <c r="C50" s="249">
        <f>IF(C12&gt;0,'Hours Per Job'!C12,0)</f>
        <v>0</v>
      </c>
      <c r="D50" s="249">
        <f>IF(D12&gt;0,'Hours Per Job'!D12,0)</f>
        <v>0</v>
      </c>
      <c r="E50" s="249">
        <f>IF(E12&gt;0,'Hours Per Job'!E12,0)</f>
        <v>0</v>
      </c>
      <c r="F50" s="249">
        <f>IF(F12&gt;0,'Hours Per Job'!F12,0)</f>
        <v>0</v>
      </c>
      <c r="G50" s="249">
        <f>IF(G12&gt;0,'Hours Per Job'!G12,0)</f>
        <v>0</v>
      </c>
      <c r="H50" s="249">
        <f>IF(H12&gt;0,'Hours Per Job'!H12,0)</f>
        <v>0</v>
      </c>
      <c r="I50" s="249">
        <f>IF(I12&gt;0,'Hours Per Job'!I12,0)</f>
        <v>0</v>
      </c>
      <c r="J50" s="249">
        <f>IF(J12&gt;0,'Hours Per Job'!J12,0)</f>
        <v>0</v>
      </c>
      <c r="K50" s="249">
        <f>IF(K12&gt;0,'Hours Per Job'!K12,0)</f>
        <v>0</v>
      </c>
      <c r="L50" s="249">
        <f>IF(L12&gt;0,'Hours Per Job'!L12,0)</f>
        <v>0</v>
      </c>
      <c r="M50" s="249">
        <f>IF(M12&gt;0,'Hours Per Job'!M12,0)</f>
        <v>0</v>
      </c>
      <c r="N50" s="249">
        <f>IF(N12&gt;0,'Hours Per Job'!N12,0)</f>
        <v>0</v>
      </c>
      <c r="O50" s="249">
        <f>IF(O12&gt;0,'Hours Per Job'!O12,0)</f>
        <v>0</v>
      </c>
      <c r="P50" s="249">
        <f>IF(P12&gt;0,'Hours Per Job'!P12,0)</f>
        <v>0</v>
      </c>
      <c r="Q50" s="249">
        <f>IF(Q12&gt;0,'Hours Per Job'!Q12,0)</f>
        <v>0</v>
      </c>
      <c r="R50" s="249">
        <f>IF(R12&gt;0,'Hours Per Job'!R12,0)</f>
        <v>0</v>
      </c>
      <c r="S50" s="249">
        <f>IF(S12&gt;0,'Hours Per Job'!S12,0)</f>
        <v>0</v>
      </c>
      <c r="T50" s="249">
        <f>IF(T12&gt;0,'Hours Per Job'!T12,0)</f>
        <v>0</v>
      </c>
      <c r="U50" s="249">
        <f>IF(U12&gt;0,'Hours Per Job'!U12,0)</f>
        <v>0.7</v>
      </c>
      <c r="V50" s="249">
        <f>IF(V12&gt;0,'Hours Per Job'!V12,0)</f>
        <v>0</v>
      </c>
      <c r="W50" s="249">
        <f>IF(W12&gt;0,'Hours Per Job'!W12,0)</f>
        <v>0</v>
      </c>
      <c r="X50" s="249">
        <f>IF(X12&gt;0,'Hours Per Job'!X12,0)</f>
        <v>0.2</v>
      </c>
      <c r="Y50" s="249">
        <f>IF(Y12&gt;0,'Hours Per Job'!Y12,0)</f>
        <v>0</v>
      </c>
      <c r="Z50" s="249">
        <f>IF(Z12&gt;0,'Hours Per Job'!Z12,0)</f>
        <v>0.2</v>
      </c>
      <c r="AA50" s="249">
        <f>IF(AA12&gt;0,'Hours Per Job'!AA12,0)</f>
        <v>0</v>
      </c>
      <c r="AB50" s="249">
        <f>IF(AB12&gt;0,'Hours Per Job'!AB12,0)</f>
        <v>0</v>
      </c>
      <c r="AC50" s="249">
        <f>IF(AC12&gt;0,'Hours Per Job'!AC12,0)</f>
        <v>0</v>
      </c>
      <c r="AD50" s="249">
        <f>IF(AD12&gt;0,'Hours Per Job'!AD12,0)</f>
        <v>0</v>
      </c>
      <c r="AE50" s="249">
        <f>IF(AE12&gt;0,'Hours Per Job'!AE12,0)</f>
        <v>0</v>
      </c>
      <c r="AF50" s="249">
        <f>IF(AF12&gt;0,'Hours Per Job'!AF12,0)</f>
        <v>0</v>
      </c>
      <c r="AG50" s="249">
        <f>IF(AG12&gt;0,'Hours Per Job'!AG12,0)</f>
        <v>0</v>
      </c>
      <c r="AH50" s="249">
        <f>IF(AH12&gt;0,'Hours Per Job'!AH12,0)</f>
        <v>0</v>
      </c>
      <c r="AI50" s="249">
        <f>IF(AI12&gt;0,'Hours Per Job'!AI12,0)</f>
        <v>0</v>
      </c>
      <c r="AJ50" s="249">
        <f>IF(AJ12&gt;0,'Hours Per Job'!AJ12,0)</f>
        <v>0</v>
      </c>
      <c r="AK50" s="249">
        <f>IF(AK12&gt;0,'Hours Per Job'!AK12,0)</f>
        <v>0</v>
      </c>
      <c r="AL50" s="249">
        <f>IF(AL12&gt;0,'Hours Per Job'!AL12,0)</f>
        <v>0</v>
      </c>
      <c r="AM50" s="249">
        <f>IF(AM12&gt;0,'Hours Per Job'!AM12,0)</f>
        <v>0</v>
      </c>
      <c r="AN50" s="249">
        <f>IF(AN12&gt;0,'Hours Per Job'!AN12,0)</f>
        <v>0</v>
      </c>
      <c r="AO50" s="249">
        <f>IF(AO12&gt;0,'Hours Per Job'!AO12,0)</f>
        <v>0</v>
      </c>
      <c r="AP50" s="249">
        <f>IF(AP12&gt;0,'Hours Per Job'!AP12,0)</f>
        <v>0.25</v>
      </c>
      <c r="AQ50" s="249">
        <f>IF(AQ12&gt;0,'Hours Per Job'!AQ12,0)</f>
        <v>0.2</v>
      </c>
      <c r="AR50" s="249">
        <f>IF(AR12&gt;0,'Hours Per Job'!AR12,0)</f>
        <v>0</v>
      </c>
      <c r="AS50" s="249">
        <f>IF(AS12&gt;0,'Hours Per Job'!AS12,0)</f>
        <v>0</v>
      </c>
      <c r="AT50" s="249">
        <f>IF(AT12&gt;0,'Hours Per Job'!AT12,0)</f>
        <v>0.5</v>
      </c>
      <c r="AU50" s="249">
        <f>IF(AU12&gt;0,'Hours Per Job'!AU12,0)</f>
        <v>0</v>
      </c>
      <c r="AV50" s="249">
        <f>IF(AV12&gt;0,'Hours Per Job'!AV12,0)</f>
        <v>0</v>
      </c>
      <c r="AW50" s="249">
        <f>IF(AW12&gt;0,'Hours Per Job'!AW12,0)</f>
        <v>0</v>
      </c>
      <c r="AX50" s="249">
        <f>IF(AX12&gt;0,'Hours Per Job'!AX12,0)</f>
        <v>0</v>
      </c>
      <c r="AY50" s="249">
        <f>IF(AY12&gt;0,'Hours Per Job'!AY12,0)</f>
        <v>0</v>
      </c>
      <c r="AZ50" s="249">
        <f>IF(AZ12&gt;0,'Hours Per Job'!AZ12,0)</f>
        <v>1</v>
      </c>
      <c r="BA50" s="249">
        <f>IF(BA12&gt;0,'Hours Per Job'!BA12,0)</f>
        <v>0</v>
      </c>
      <c r="BB50" s="249">
        <f>IF(BB12&gt;0,'Hours Per Job'!BB12,0)</f>
        <v>0</v>
      </c>
      <c r="BC50" s="249">
        <f>IF(BC12&gt;0,'Hours Per Job'!BC12,0)</f>
        <v>0</v>
      </c>
      <c r="BD50" s="249">
        <f>IF(BD12&gt;0,'Hours Per Job'!BD12,0)</f>
        <v>0</v>
      </c>
      <c r="BE50" s="249">
        <f>IF(BE12&gt;0,'Hours Per Job'!BE12,0)</f>
        <v>0</v>
      </c>
      <c r="BF50" s="249">
        <f>IF(BF12&gt;0,'Hours Per Job'!BF12,0)</f>
        <v>0</v>
      </c>
      <c r="BG50" s="249">
        <f>IF(BG12&gt;0,'Hours Per Job'!BG12,0)</f>
        <v>0</v>
      </c>
      <c r="BH50" s="249">
        <f>IF(BH12&gt;0,'Hours Per Job'!BH12,0)</f>
        <v>0</v>
      </c>
      <c r="BI50" s="249">
        <f>IF(BI12&gt;0,'Hours Per Job'!BI12,0)</f>
        <v>0</v>
      </c>
      <c r="BJ50" s="249">
        <f>IF(BJ12&gt;0,'Hours Per Job'!BJ12,0)</f>
        <v>0.25</v>
      </c>
      <c r="BK50" s="249">
        <f>IF(BK12&gt;0,'Hours Per Job'!BK12,0)</f>
        <v>0</v>
      </c>
      <c r="BL50" s="249">
        <f>IF(BL12&gt;0,'Hours Per Job'!BL12,0)</f>
        <v>0</v>
      </c>
      <c r="BM50" s="249">
        <f>IF(BM12&gt;0,'Hours Per Job'!BM12,0)</f>
        <v>0</v>
      </c>
      <c r="BN50" s="249">
        <f>IF(BN12&gt;0,'Hours Per Job'!BN12,0)</f>
        <v>0</v>
      </c>
      <c r="BO50" s="249">
        <f>IF(BO12&gt;0,'Hours Per Job'!BO12,0)</f>
        <v>0</v>
      </c>
      <c r="BP50" s="249">
        <f>IF(BP12&gt;0,'Hours Per Job'!BP12,0)</f>
        <v>0</v>
      </c>
      <c r="BQ50" s="248">
        <f t="shared" si="5"/>
        <v>3.3</v>
      </c>
      <c r="BR50" s="248"/>
    </row>
    <row r="51" spans="1:70" x14ac:dyDescent="0.2">
      <c r="A51" s="248" t="str">
        <f t="shared" si="4"/>
        <v>Excavator - over 3.5 ton</v>
      </c>
      <c r="B51" s="249">
        <f>IF(B13&gt;0,'Hours Per Job'!B13,0)</f>
        <v>0</v>
      </c>
      <c r="C51" s="249">
        <f>IF(C13&gt;0,'Hours Per Job'!C13,0)</f>
        <v>0</v>
      </c>
      <c r="D51" s="249">
        <f>IF(D13&gt;0,'Hours Per Job'!D13,0)</f>
        <v>0</v>
      </c>
      <c r="E51" s="249">
        <f>IF(E13&gt;0,'Hours Per Job'!E13,0)</f>
        <v>0</v>
      </c>
      <c r="F51" s="249">
        <f>IF(F13&gt;0,'Hours Per Job'!F13,0)</f>
        <v>0</v>
      </c>
      <c r="G51" s="249">
        <f>IF(G13&gt;0,'Hours Per Job'!G13,0)</f>
        <v>0</v>
      </c>
      <c r="H51" s="249">
        <f>IF(H13&gt;0,'Hours Per Job'!H13,0)</f>
        <v>0</v>
      </c>
      <c r="I51" s="249">
        <f>IF(I13&gt;0,'Hours Per Job'!I13,0)</f>
        <v>0</v>
      </c>
      <c r="J51" s="249">
        <f>IF(J13&gt;0,'Hours Per Job'!J13,0)</f>
        <v>0</v>
      </c>
      <c r="K51" s="249">
        <f>IF(K13&gt;0,'Hours Per Job'!K13,0)</f>
        <v>0</v>
      </c>
      <c r="L51" s="249">
        <f>IF(L13&gt;0,'Hours Per Job'!L13,0)</f>
        <v>0</v>
      </c>
      <c r="M51" s="249">
        <f>IF(M13&gt;0,'Hours Per Job'!M13,0)</f>
        <v>0</v>
      </c>
      <c r="N51" s="249">
        <f>IF(N13&gt;0,'Hours Per Job'!N13,0)</f>
        <v>0</v>
      </c>
      <c r="O51" s="249">
        <f>IF(O13&gt;0,'Hours Per Job'!O13,0)</f>
        <v>0</v>
      </c>
      <c r="P51" s="249">
        <f>IF(P13&gt;0,'Hours Per Job'!P13,0)</f>
        <v>0</v>
      </c>
      <c r="Q51" s="249">
        <f>IF(Q13&gt;0,'Hours Per Job'!Q13,0)</f>
        <v>0</v>
      </c>
      <c r="R51" s="249">
        <f>IF(R13&gt;0,'Hours Per Job'!R13,0)</f>
        <v>0</v>
      </c>
      <c r="S51" s="249">
        <f>IF(S13&gt;0,'Hours Per Job'!S13,0)</f>
        <v>0</v>
      </c>
      <c r="T51" s="249">
        <f>IF(T13&gt;0,'Hours Per Job'!T13,0)</f>
        <v>0</v>
      </c>
      <c r="U51" s="249">
        <f>IF(U13&gt;0,'Hours Per Job'!U13,0)</f>
        <v>1</v>
      </c>
      <c r="V51" s="249">
        <f>IF(V13&gt;0,'Hours Per Job'!V13,0)</f>
        <v>0</v>
      </c>
      <c r="W51" s="249">
        <f>IF(W13&gt;0,'Hours Per Job'!W13,0)</f>
        <v>0</v>
      </c>
      <c r="X51" s="249">
        <f>IF(X13&gt;0,'Hours Per Job'!X13,0)</f>
        <v>0.2</v>
      </c>
      <c r="Y51" s="249">
        <f>IF(Y13&gt;0,'Hours Per Job'!Y13,0)</f>
        <v>0</v>
      </c>
      <c r="Z51" s="249">
        <f>IF(Z13&gt;0,'Hours Per Job'!Z13,0)</f>
        <v>0.3</v>
      </c>
      <c r="AA51" s="249">
        <f>IF(AA13&gt;0,'Hours Per Job'!AA13,0)</f>
        <v>0</v>
      </c>
      <c r="AB51" s="249">
        <f>IF(AB13&gt;0,'Hours Per Job'!AB13,0)</f>
        <v>0</v>
      </c>
      <c r="AC51" s="249">
        <f>IF(AC13&gt;0,'Hours Per Job'!AC13,0)</f>
        <v>0</v>
      </c>
      <c r="AD51" s="249">
        <f>IF(AD13&gt;0,'Hours Per Job'!AD13,0)</f>
        <v>0</v>
      </c>
      <c r="AE51" s="249">
        <f>IF(AE13&gt;0,'Hours Per Job'!AE13,0)</f>
        <v>0</v>
      </c>
      <c r="AF51" s="249">
        <f>IF(AF13&gt;0,'Hours Per Job'!AF13,0)</f>
        <v>0</v>
      </c>
      <c r="AG51" s="249">
        <f>IF(AG13&gt;0,'Hours Per Job'!AG13,0)</f>
        <v>0</v>
      </c>
      <c r="AH51" s="249">
        <f>IF(AH13&gt;0,'Hours Per Job'!AH13,0)</f>
        <v>0</v>
      </c>
      <c r="AI51" s="249">
        <f>IF(AI13&gt;0,'Hours Per Job'!AI13,0)</f>
        <v>0</v>
      </c>
      <c r="AJ51" s="249">
        <f>IF(AJ13&gt;0,'Hours Per Job'!AJ13,0)</f>
        <v>0</v>
      </c>
      <c r="AK51" s="249">
        <f>IF(AK13&gt;0,'Hours Per Job'!AK13,0)</f>
        <v>0</v>
      </c>
      <c r="AL51" s="249">
        <f>IF(AL13&gt;0,'Hours Per Job'!AL13,0)</f>
        <v>0</v>
      </c>
      <c r="AM51" s="249">
        <f>IF(AM13&gt;0,'Hours Per Job'!AM13,0)</f>
        <v>0</v>
      </c>
      <c r="AN51" s="249">
        <f>IF(AN13&gt;0,'Hours Per Job'!AN13,0)</f>
        <v>0</v>
      </c>
      <c r="AO51" s="249">
        <f>IF(AO13&gt;0,'Hours Per Job'!AO13,0)</f>
        <v>0</v>
      </c>
      <c r="AP51" s="249">
        <f>IF(AP13&gt;0,'Hours Per Job'!AP13,0)</f>
        <v>0.7</v>
      </c>
      <c r="AQ51" s="249">
        <f>IF(AQ13&gt;0,'Hours Per Job'!AQ13,0)</f>
        <v>0.2</v>
      </c>
      <c r="AR51" s="249">
        <f>IF(AR13&gt;0,'Hours Per Job'!AR13,0)</f>
        <v>0</v>
      </c>
      <c r="AS51" s="249">
        <f>IF(AS13&gt;0,'Hours Per Job'!AS13,0)</f>
        <v>0</v>
      </c>
      <c r="AT51" s="249">
        <f>IF(AT13&gt;0,'Hours Per Job'!AT13,0)</f>
        <v>0.5</v>
      </c>
      <c r="AU51" s="249">
        <f>IF(AU13&gt;0,'Hours Per Job'!AU13,0)</f>
        <v>0</v>
      </c>
      <c r="AV51" s="249">
        <f>IF(AV13&gt;0,'Hours Per Job'!AV13,0)</f>
        <v>0</v>
      </c>
      <c r="AW51" s="249">
        <f>IF(AW13&gt;0,'Hours Per Job'!AW13,0)</f>
        <v>0</v>
      </c>
      <c r="AX51" s="249">
        <f>IF(AX13&gt;0,'Hours Per Job'!AX13,0)</f>
        <v>0</v>
      </c>
      <c r="AY51" s="249">
        <f>IF(AY13&gt;0,'Hours Per Job'!AY13,0)</f>
        <v>0</v>
      </c>
      <c r="AZ51" s="249">
        <f>IF(AZ13&gt;0,'Hours Per Job'!AZ13,0)</f>
        <v>1</v>
      </c>
      <c r="BA51" s="249">
        <f>IF(BA13&gt;0,'Hours Per Job'!BA13,0)</f>
        <v>0</v>
      </c>
      <c r="BB51" s="249">
        <f>IF(BB13&gt;0,'Hours Per Job'!BB13,0)</f>
        <v>0.1</v>
      </c>
      <c r="BC51" s="249">
        <f>IF(BC13&gt;0,'Hours Per Job'!BC13,0)</f>
        <v>0</v>
      </c>
      <c r="BD51" s="249">
        <f>IF(BD13&gt;0,'Hours Per Job'!BD13,0)</f>
        <v>0</v>
      </c>
      <c r="BE51" s="249">
        <f>IF(BE13&gt;0,'Hours Per Job'!BE13,0)</f>
        <v>0</v>
      </c>
      <c r="BF51" s="249">
        <f>IF(BF13&gt;0,'Hours Per Job'!BF13,0)</f>
        <v>0</v>
      </c>
      <c r="BG51" s="249">
        <f>IF(BG13&gt;0,'Hours Per Job'!BG13,0)</f>
        <v>0</v>
      </c>
      <c r="BH51" s="249">
        <f>IF(BH13&gt;0,'Hours Per Job'!BH13,0)</f>
        <v>0</v>
      </c>
      <c r="BI51" s="249">
        <f>IF(BI13&gt;0,'Hours Per Job'!BI13,0)</f>
        <v>0</v>
      </c>
      <c r="BJ51" s="249">
        <f>IF(BJ13&gt;0,'Hours Per Job'!BJ13,0)</f>
        <v>0.25</v>
      </c>
      <c r="BK51" s="249">
        <f>IF(BK13&gt;0,'Hours Per Job'!BK13,0)</f>
        <v>0</v>
      </c>
      <c r="BL51" s="249">
        <f>IF(BL13&gt;0,'Hours Per Job'!BL13,0)</f>
        <v>0</v>
      </c>
      <c r="BM51" s="249">
        <f>IF(BM13&gt;0,'Hours Per Job'!BM13,0)</f>
        <v>0</v>
      </c>
      <c r="BN51" s="249">
        <f>IF(BN13&gt;0,'Hours Per Job'!BN13,0)</f>
        <v>0</v>
      </c>
      <c r="BO51" s="249">
        <f>IF(BO13&gt;0,'Hours Per Job'!BO13,0)</f>
        <v>0</v>
      </c>
      <c r="BP51" s="249">
        <f>IF(BP13&gt;0,'Hours Per Job'!BP13,0)</f>
        <v>0</v>
      </c>
      <c r="BQ51" s="248">
        <f t="shared" si="5"/>
        <v>4.25</v>
      </c>
      <c r="BR51" s="248"/>
    </row>
    <row r="52" spans="1:70" x14ac:dyDescent="0.2">
      <c r="A52" s="248" t="str">
        <f t="shared" si="4"/>
        <v>Wheel Loader</v>
      </c>
      <c r="B52" s="249">
        <f>IF(B14&gt;0,'Hours Per Job'!B14,0)</f>
        <v>0</v>
      </c>
      <c r="C52" s="249">
        <f>IF(C14&gt;0,'Hours Per Job'!C14,0)</f>
        <v>0</v>
      </c>
      <c r="D52" s="249">
        <f>IF(D14&gt;0,'Hours Per Job'!D14,0)</f>
        <v>0</v>
      </c>
      <c r="E52" s="249">
        <f>IF(E14&gt;0,'Hours Per Job'!E14,0)</f>
        <v>0</v>
      </c>
      <c r="F52" s="249">
        <f>IF(F14&gt;0,'Hours Per Job'!F14,0)</f>
        <v>0</v>
      </c>
      <c r="G52" s="249">
        <f>IF(G14&gt;0,'Hours Per Job'!G14,0)</f>
        <v>0</v>
      </c>
      <c r="H52" s="249">
        <f>IF(H14&gt;0,'Hours Per Job'!H14,0)</f>
        <v>0</v>
      </c>
      <c r="I52" s="249">
        <f>IF(I14&gt;0,'Hours Per Job'!I14,0)</f>
        <v>0</v>
      </c>
      <c r="J52" s="249">
        <f>IF(J14&gt;0,'Hours Per Job'!J14,0)</f>
        <v>0</v>
      </c>
      <c r="K52" s="249">
        <f>IF(K14&gt;0,'Hours Per Job'!K14,0)</f>
        <v>0</v>
      </c>
      <c r="L52" s="249">
        <f>IF(L14&gt;0,'Hours Per Job'!L14,0)</f>
        <v>0</v>
      </c>
      <c r="M52" s="249">
        <f>IF(M14&gt;0,'Hours Per Job'!M14,0)</f>
        <v>0</v>
      </c>
      <c r="N52" s="249">
        <f>IF(N14&gt;0,'Hours Per Job'!N14,0)</f>
        <v>0</v>
      </c>
      <c r="O52" s="249">
        <f>IF(O14&gt;0,'Hours Per Job'!O14,0)</f>
        <v>0</v>
      </c>
      <c r="P52" s="249">
        <f>IF(P14&gt;0,'Hours Per Job'!P14,0)</f>
        <v>0</v>
      </c>
      <c r="Q52" s="249">
        <f>IF(Q14&gt;0,'Hours Per Job'!Q14,0)</f>
        <v>0</v>
      </c>
      <c r="R52" s="249">
        <f>IF(R14&gt;0,'Hours Per Job'!R14,0)</f>
        <v>0</v>
      </c>
      <c r="S52" s="249">
        <f>IF(S14&gt;0,'Hours Per Job'!S14,0)</f>
        <v>0</v>
      </c>
      <c r="T52" s="249">
        <f>IF(T14&gt;0,'Hours Per Job'!T14,0)</f>
        <v>0</v>
      </c>
      <c r="U52" s="249">
        <f>IF(U14&gt;0,'Hours Per Job'!U14,0)</f>
        <v>1</v>
      </c>
      <c r="V52" s="249">
        <f>IF(V14&gt;0,'Hours Per Job'!V14,0)</f>
        <v>0</v>
      </c>
      <c r="W52" s="249">
        <f>IF(W14&gt;0,'Hours Per Job'!W14,0)</f>
        <v>0</v>
      </c>
      <c r="X52" s="249">
        <f>IF(X14&gt;0,'Hours Per Job'!X14,0)</f>
        <v>0.3</v>
      </c>
      <c r="Y52" s="249">
        <f>IF(Y14&gt;0,'Hours Per Job'!Y14,0)</f>
        <v>0</v>
      </c>
      <c r="Z52" s="249">
        <f>IF(Z14&gt;0,'Hours Per Job'!Z14,0)</f>
        <v>0.1</v>
      </c>
      <c r="AA52" s="249">
        <f>IF(AA14&gt;0,'Hours Per Job'!AA14,0)</f>
        <v>0</v>
      </c>
      <c r="AB52" s="249">
        <f>IF(AB14&gt;0,'Hours Per Job'!AB14,0)</f>
        <v>0</v>
      </c>
      <c r="AC52" s="249">
        <f>IF(AC14&gt;0,'Hours Per Job'!AC14,0)</f>
        <v>0</v>
      </c>
      <c r="AD52" s="249">
        <f>IF(AD14&gt;0,'Hours Per Job'!AD14,0)</f>
        <v>0</v>
      </c>
      <c r="AE52" s="249">
        <f>IF(AE14&gt;0,'Hours Per Job'!AE14,0)</f>
        <v>0</v>
      </c>
      <c r="AF52" s="249">
        <f>IF(AF14&gt;0,'Hours Per Job'!AF14,0)</f>
        <v>0</v>
      </c>
      <c r="AG52" s="249">
        <f>IF(AG14&gt;0,'Hours Per Job'!AG14,0)</f>
        <v>0.5</v>
      </c>
      <c r="AH52" s="249">
        <f>IF(AH14&gt;0,'Hours Per Job'!AH14,0)</f>
        <v>0</v>
      </c>
      <c r="AI52" s="249">
        <f>IF(AI14&gt;0,'Hours Per Job'!AI14,0)</f>
        <v>0</v>
      </c>
      <c r="AJ52" s="249">
        <f>IF(AJ14&gt;0,'Hours Per Job'!AJ14,0)</f>
        <v>0</v>
      </c>
      <c r="AK52" s="249">
        <f>IF(AK14&gt;0,'Hours Per Job'!AK14,0)</f>
        <v>0</v>
      </c>
      <c r="AL52" s="249">
        <f>IF(AL14&gt;0,'Hours Per Job'!AL14,0)</f>
        <v>0</v>
      </c>
      <c r="AM52" s="249">
        <f>IF(AM14&gt;0,'Hours Per Job'!AM14,0)</f>
        <v>0</v>
      </c>
      <c r="AN52" s="249">
        <f>IF(AN14&gt;0,'Hours Per Job'!AN14,0)</f>
        <v>0</v>
      </c>
      <c r="AO52" s="249">
        <f>IF(AO14&gt;0,'Hours Per Job'!AO14,0)</f>
        <v>0</v>
      </c>
      <c r="AP52" s="249">
        <f>IF(AP14&gt;0,'Hours Per Job'!AP14,0)</f>
        <v>0.3</v>
      </c>
      <c r="AQ52" s="249">
        <f>IF(AQ14&gt;0,'Hours Per Job'!AQ14,0)</f>
        <v>0</v>
      </c>
      <c r="AR52" s="249">
        <f>IF(AR14&gt;0,'Hours Per Job'!AR14,0)</f>
        <v>0</v>
      </c>
      <c r="AS52" s="249">
        <f>IF(AS14&gt;0,'Hours Per Job'!AS14,0)</f>
        <v>0</v>
      </c>
      <c r="AT52" s="249">
        <f>IF(AT14&gt;0,'Hours Per Job'!AT14,0)</f>
        <v>0.4</v>
      </c>
      <c r="AU52" s="249">
        <f>IF(AU14&gt;0,'Hours Per Job'!AU14,0)</f>
        <v>0</v>
      </c>
      <c r="AV52" s="249">
        <f>IF(AV14&gt;0,'Hours Per Job'!AV14,0)</f>
        <v>0</v>
      </c>
      <c r="AW52" s="249">
        <f>IF(AW14&gt;0,'Hours Per Job'!AW14,0)</f>
        <v>0</v>
      </c>
      <c r="AX52" s="249">
        <f>IF(AX14&gt;0,'Hours Per Job'!AX14,0)</f>
        <v>0</v>
      </c>
      <c r="AY52" s="249">
        <f>IF(AY14&gt;0,'Hours Per Job'!AY14,0)</f>
        <v>0</v>
      </c>
      <c r="AZ52" s="249">
        <f>IF(AZ14&gt;0,'Hours Per Job'!AZ14,0)</f>
        <v>0</v>
      </c>
      <c r="BA52" s="249">
        <f>IF(BA14&gt;0,'Hours Per Job'!BA14,0)</f>
        <v>0</v>
      </c>
      <c r="BB52" s="249">
        <f>IF(BB14&gt;0,'Hours Per Job'!BB14,0)</f>
        <v>0</v>
      </c>
      <c r="BC52" s="249">
        <f>IF(BC14&gt;0,'Hours Per Job'!BC14,0)</f>
        <v>0</v>
      </c>
      <c r="BD52" s="249">
        <f>IF(BD14&gt;0,'Hours Per Job'!BD14,0)</f>
        <v>0</v>
      </c>
      <c r="BE52" s="249">
        <f>IF(BE14&gt;0,'Hours Per Job'!BE14,0)</f>
        <v>0.2</v>
      </c>
      <c r="BF52" s="249">
        <f>IF(BF14&gt;0,'Hours Per Job'!BF14,0)</f>
        <v>0</v>
      </c>
      <c r="BG52" s="249">
        <f>IF(BG14&gt;0,'Hours Per Job'!BG14,0)</f>
        <v>0</v>
      </c>
      <c r="BH52" s="249">
        <f>IF(BH14&gt;0,'Hours Per Job'!BH14,0)</f>
        <v>0</v>
      </c>
      <c r="BI52" s="249">
        <f>IF(BI14&gt;0,'Hours Per Job'!BI14,0)</f>
        <v>0</v>
      </c>
      <c r="BJ52" s="249">
        <f>IF(BJ14&gt;0,'Hours Per Job'!BJ14,0)</f>
        <v>0.25</v>
      </c>
      <c r="BK52" s="249">
        <f>IF(BK14&gt;0,'Hours Per Job'!BK14,0)</f>
        <v>0</v>
      </c>
      <c r="BL52" s="249">
        <f>IF(BL14&gt;0,'Hours Per Job'!BL14,0)</f>
        <v>0</v>
      </c>
      <c r="BM52" s="249">
        <f>IF(BM14&gt;0,'Hours Per Job'!BM14,0)</f>
        <v>0</v>
      </c>
      <c r="BN52" s="249">
        <f>IF(BN14&gt;0,'Hours Per Job'!BN14,0)</f>
        <v>0</v>
      </c>
      <c r="BO52" s="249">
        <f>IF(BO14&gt;0,'Hours Per Job'!BO14,0)</f>
        <v>0</v>
      </c>
      <c r="BP52" s="249">
        <f>IF(BP14&gt;0,'Hours Per Job'!BP14,0)</f>
        <v>0</v>
      </c>
      <c r="BQ52" s="248">
        <f t="shared" si="5"/>
        <v>3.0500000000000003</v>
      </c>
      <c r="BR52" s="248"/>
    </row>
    <row r="53" spans="1:70" x14ac:dyDescent="0.2">
      <c r="A53" s="248" t="str">
        <f t="shared" si="4"/>
        <v>Telehandler</v>
      </c>
      <c r="B53" s="249">
        <f>IF(B15&gt;0,'Hours Per Job'!B15,0)</f>
        <v>0</v>
      </c>
      <c r="C53" s="249">
        <f>IF(C15&gt;0,'Hours Per Job'!C15,0)</f>
        <v>0</v>
      </c>
      <c r="D53" s="249">
        <f>IF(D15&gt;0,'Hours Per Job'!D15,0)</f>
        <v>0</v>
      </c>
      <c r="E53" s="249">
        <f>IF(E15&gt;0,'Hours Per Job'!E15,0)</f>
        <v>0</v>
      </c>
      <c r="F53" s="249">
        <f>IF(F15&gt;0,'Hours Per Job'!F15,0)</f>
        <v>0</v>
      </c>
      <c r="G53" s="249">
        <f>IF(G15&gt;0,'Hours Per Job'!G15,0)</f>
        <v>0</v>
      </c>
      <c r="H53" s="249">
        <f>IF(H15&gt;0,'Hours Per Job'!H15,0)</f>
        <v>0</v>
      </c>
      <c r="I53" s="249">
        <f>IF(I15&gt;0,'Hours Per Job'!I15,0)</f>
        <v>0</v>
      </c>
      <c r="J53" s="249">
        <f>IF(J15&gt;0,'Hours Per Job'!J15,0)</f>
        <v>0</v>
      </c>
      <c r="K53" s="249">
        <f>IF(K15&gt;0,'Hours Per Job'!K15,0)</f>
        <v>0</v>
      </c>
      <c r="L53" s="249">
        <f>IF(L15&gt;0,'Hours Per Job'!L15,0)</f>
        <v>0</v>
      </c>
      <c r="M53" s="249">
        <f>IF(M15&gt;0,'Hours Per Job'!M15,0)</f>
        <v>0</v>
      </c>
      <c r="N53" s="249">
        <f>IF(N15&gt;0,'Hours Per Job'!N15,0)</f>
        <v>0</v>
      </c>
      <c r="O53" s="249">
        <f>IF(O15&gt;0,'Hours Per Job'!O15,0)</f>
        <v>0</v>
      </c>
      <c r="P53" s="249">
        <f>IF(P15&gt;0,'Hours Per Job'!P15,0)</f>
        <v>0</v>
      </c>
      <c r="Q53" s="249">
        <f>IF(Q15&gt;0,'Hours Per Job'!Q15,0)</f>
        <v>0</v>
      </c>
      <c r="R53" s="249">
        <f>IF(R15&gt;0,'Hours Per Job'!R15,0)</f>
        <v>0</v>
      </c>
      <c r="S53" s="249">
        <f>IF(S15&gt;0,'Hours Per Job'!S15,0)</f>
        <v>0</v>
      </c>
      <c r="T53" s="249">
        <f>IF(T15&gt;0,'Hours Per Job'!T15,0)</f>
        <v>0</v>
      </c>
      <c r="U53" s="249">
        <f>IF(U15&gt;0,'Hours Per Job'!U15,0)</f>
        <v>1</v>
      </c>
      <c r="V53" s="249">
        <f>IF(V15&gt;0,'Hours Per Job'!V15,0)</f>
        <v>0</v>
      </c>
      <c r="W53" s="249">
        <f>IF(W15&gt;0,'Hours Per Job'!W15,0)</f>
        <v>0.3</v>
      </c>
      <c r="X53" s="249">
        <f>IF(X15&gt;0,'Hours Per Job'!X15,0)</f>
        <v>0.3</v>
      </c>
      <c r="Y53" s="249">
        <f>IF(Y15&gt;0,'Hours Per Job'!Y15,0)</f>
        <v>0.1</v>
      </c>
      <c r="Z53" s="249">
        <f>IF(Z15&gt;0,'Hours Per Job'!Z15,0)</f>
        <v>0.1</v>
      </c>
      <c r="AA53" s="249">
        <f>IF(AA15&gt;0,'Hours Per Job'!AA15,0)</f>
        <v>0</v>
      </c>
      <c r="AB53" s="249">
        <f>IF(AB15&gt;0,'Hours Per Job'!AB15,0)</f>
        <v>0</v>
      </c>
      <c r="AC53" s="249">
        <f>IF(AC15&gt;0,'Hours Per Job'!AC15,0)</f>
        <v>0</v>
      </c>
      <c r="AD53" s="249">
        <f>IF(AD15&gt;0,'Hours Per Job'!AD15,0)</f>
        <v>0</v>
      </c>
      <c r="AE53" s="249">
        <f>IF(AE15&gt;0,'Hours Per Job'!AE15,0)</f>
        <v>0</v>
      </c>
      <c r="AF53" s="249">
        <f>IF(AF15&gt;0,'Hours Per Job'!AF15,0)</f>
        <v>0</v>
      </c>
      <c r="AG53" s="249">
        <f>IF(AG15&gt;0,'Hours Per Job'!AG15,0)</f>
        <v>0.5</v>
      </c>
      <c r="AH53" s="249">
        <f>IF(AH15&gt;0,'Hours Per Job'!AH15,0)</f>
        <v>0</v>
      </c>
      <c r="AI53" s="249">
        <f>IF(AI15&gt;0,'Hours Per Job'!AI15,0)</f>
        <v>0</v>
      </c>
      <c r="AJ53" s="249">
        <f>IF(AJ15&gt;0,'Hours Per Job'!AJ15,0)</f>
        <v>0</v>
      </c>
      <c r="AK53" s="249">
        <f>IF(AK15&gt;0,'Hours Per Job'!AK15,0)</f>
        <v>0</v>
      </c>
      <c r="AL53" s="249">
        <f>IF(AL15&gt;0,'Hours Per Job'!AL15,0)</f>
        <v>0</v>
      </c>
      <c r="AM53" s="249">
        <f>IF(AM15&gt;0,'Hours Per Job'!AM15,0)</f>
        <v>0</v>
      </c>
      <c r="AN53" s="249">
        <f>IF(AN15&gt;0,'Hours Per Job'!AN15,0)</f>
        <v>0</v>
      </c>
      <c r="AO53" s="249">
        <f>IF(AO15&gt;0,'Hours Per Job'!AO15,0)</f>
        <v>0</v>
      </c>
      <c r="AP53" s="249">
        <f>IF(AP15&gt;0,'Hours Per Job'!AP15,0)</f>
        <v>0.3</v>
      </c>
      <c r="AQ53" s="249">
        <f>IF(AQ15&gt;0,'Hours Per Job'!AQ15,0)</f>
        <v>0</v>
      </c>
      <c r="AR53" s="249">
        <f>IF(AR15&gt;0,'Hours Per Job'!AR15,0)</f>
        <v>0</v>
      </c>
      <c r="AS53" s="249">
        <f>IF(AS15&gt;0,'Hours Per Job'!AS15,0)</f>
        <v>0</v>
      </c>
      <c r="AT53" s="249">
        <f>IF(AT15&gt;0,'Hours Per Job'!AT15,0)</f>
        <v>0.4</v>
      </c>
      <c r="AU53" s="249">
        <f>IF(AU15&gt;0,'Hours Per Job'!AU15,0)</f>
        <v>0</v>
      </c>
      <c r="AV53" s="249">
        <f>IF(AV15&gt;0,'Hours Per Job'!AV15,0)</f>
        <v>0</v>
      </c>
      <c r="AW53" s="249">
        <f>IF(AW15&gt;0,'Hours Per Job'!AW15,0)</f>
        <v>0</v>
      </c>
      <c r="AX53" s="249">
        <f>IF(AX15&gt;0,'Hours Per Job'!AX15,0)</f>
        <v>0</v>
      </c>
      <c r="AY53" s="249">
        <f>IF(AY15&gt;0,'Hours Per Job'!AY15,0)</f>
        <v>0</v>
      </c>
      <c r="AZ53" s="249">
        <f>IF(AZ15&gt;0,'Hours Per Job'!AZ15,0)</f>
        <v>0</v>
      </c>
      <c r="BA53" s="249">
        <f>IF(BA15&gt;0,'Hours Per Job'!BA15,0)</f>
        <v>0</v>
      </c>
      <c r="BB53" s="249">
        <f>IF(BB15&gt;0,'Hours Per Job'!BB15,0)</f>
        <v>0</v>
      </c>
      <c r="BC53" s="249">
        <f>IF(BC15&gt;0,'Hours Per Job'!BC15,0)</f>
        <v>0</v>
      </c>
      <c r="BD53" s="249">
        <f>IF(BD15&gt;0,'Hours Per Job'!BD15,0)</f>
        <v>0</v>
      </c>
      <c r="BE53" s="249">
        <f>IF(BE15&gt;0,'Hours Per Job'!BE15,0)</f>
        <v>0.2</v>
      </c>
      <c r="BF53" s="249">
        <f>IF(BF15&gt;0,'Hours Per Job'!BF15,0)</f>
        <v>0</v>
      </c>
      <c r="BG53" s="249">
        <f>IF(BG15&gt;0,'Hours Per Job'!BG15,0)</f>
        <v>0</v>
      </c>
      <c r="BH53" s="249">
        <f>IF(BH15&gt;0,'Hours Per Job'!BH15,0)</f>
        <v>0</v>
      </c>
      <c r="BI53" s="249">
        <f>IF(BI15&gt;0,'Hours Per Job'!BI15,0)</f>
        <v>0</v>
      </c>
      <c r="BJ53" s="249">
        <f>IF(BJ15&gt;0,'Hours Per Job'!BJ15,0)</f>
        <v>0.25</v>
      </c>
      <c r="BK53" s="249">
        <f>IF(BK15&gt;0,'Hours Per Job'!BK15,0)</f>
        <v>0</v>
      </c>
      <c r="BL53" s="249">
        <f>IF(BL15&gt;0,'Hours Per Job'!BL15,0)</f>
        <v>0</v>
      </c>
      <c r="BM53" s="249">
        <f>IF(BM15&gt;0,'Hours Per Job'!BM15,0)</f>
        <v>0</v>
      </c>
      <c r="BN53" s="249">
        <f>IF(BN15&gt;0,'Hours Per Job'!BN15,0)</f>
        <v>0</v>
      </c>
      <c r="BO53" s="249">
        <f>IF(BO15&gt;0,'Hours Per Job'!BO15,0)</f>
        <v>0</v>
      </c>
      <c r="BP53" s="249">
        <f>IF(BP15&gt;0,'Hours Per Job'!BP15,0)</f>
        <v>0</v>
      </c>
      <c r="BQ53" s="248">
        <f t="shared" si="5"/>
        <v>3.45</v>
      </c>
      <c r="BR53" s="248"/>
    </row>
    <row r="54" spans="1:70" x14ac:dyDescent="0.2">
      <c r="A54" s="248" t="str">
        <f t="shared" si="4"/>
        <v>Mahindra Emax</v>
      </c>
      <c r="B54" s="249">
        <f>IF(B16&gt;0,'Hours Per Job'!B16,0)</f>
        <v>0</v>
      </c>
      <c r="C54" s="249">
        <f>IF(C16&gt;0,'Hours Per Job'!C16,0)</f>
        <v>0</v>
      </c>
      <c r="D54" s="249">
        <f>IF(D16&gt;0,'Hours Per Job'!D16,0)</f>
        <v>0</v>
      </c>
      <c r="E54" s="249">
        <f>IF(E16&gt;0,'Hours Per Job'!E16,0)</f>
        <v>0</v>
      </c>
      <c r="F54" s="249">
        <f>IF(F16&gt;0,'Hours Per Job'!F16,0)</f>
        <v>0</v>
      </c>
      <c r="G54" s="249">
        <f>IF(G16&gt;0,'Hours Per Job'!G16,0)</f>
        <v>0</v>
      </c>
      <c r="H54" s="249">
        <f>IF(H16&gt;0,'Hours Per Job'!H16,0)</f>
        <v>0</v>
      </c>
      <c r="I54" s="249">
        <f>IF(I16&gt;0,'Hours Per Job'!I16,0)</f>
        <v>0</v>
      </c>
      <c r="J54" s="249">
        <f>IF(J16&gt;0,'Hours Per Job'!J16,0)</f>
        <v>0</v>
      </c>
      <c r="K54" s="249">
        <f>IF(K16&gt;0,'Hours Per Job'!K16,0)</f>
        <v>0</v>
      </c>
      <c r="L54" s="249">
        <f>IF(L16&gt;0,'Hours Per Job'!L16,0)</f>
        <v>0</v>
      </c>
      <c r="M54" s="249">
        <f>IF(M16&gt;0,'Hours Per Job'!M16,0)</f>
        <v>0</v>
      </c>
      <c r="N54" s="249">
        <f>IF(N16&gt;0,'Hours Per Job'!N16,0)</f>
        <v>0</v>
      </c>
      <c r="O54" s="249">
        <f>IF(O16&gt;0,'Hours Per Job'!O16,0)</f>
        <v>0</v>
      </c>
      <c r="P54" s="249">
        <f>IF(P16&gt;0,'Hours Per Job'!P16,0)</f>
        <v>0</v>
      </c>
      <c r="Q54" s="249">
        <f>IF(Q16&gt;0,'Hours Per Job'!Q16,0)</f>
        <v>0</v>
      </c>
      <c r="R54" s="249">
        <f>IF(R16&gt;0,'Hours Per Job'!R16,0)</f>
        <v>0</v>
      </c>
      <c r="S54" s="249">
        <f>IF(S16&gt;0,'Hours Per Job'!S16,0)</f>
        <v>0</v>
      </c>
      <c r="T54" s="249">
        <f>IF(T16&gt;0,'Hours Per Job'!T16,0)</f>
        <v>0</v>
      </c>
      <c r="U54" s="249">
        <f>IF(U16&gt;0,'Hours Per Job'!U16,0)</f>
        <v>0.3</v>
      </c>
      <c r="V54" s="249">
        <f>IF(V16&gt;0,'Hours Per Job'!V16,0)</f>
        <v>0</v>
      </c>
      <c r="W54" s="249">
        <f>IF(W16&gt;0,'Hours Per Job'!W16,0)</f>
        <v>0</v>
      </c>
      <c r="X54" s="249">
        <f>IF(X16&gt;0,'Hours Per Job'!X16,0)</f>
        <v>0</v>
      </c>
      <c r="Y54" s="249">
        <f>IF(Y16&gt;0,'Hours Per Job'!Y16,0)</f>
        <v>0</v>
      </c>
      <c r="Z54" s="249">
        <f>IF(Z16&gt;0,'Hours Per Job'!Z16,0)</f>
        <v>0.1</v>
      </c>
      <c r="AA54" s="249">
        <f>IF(AA16&gt;0,'Hours Per Job'!AA16,0)</f>
        <v>0</v>
      </c>
      <c r="AB54" s="249">
        <f>IF(AB16&gt;0,'Hours Per Job'!AB16,0)</f>
        <v>1</v>
      </c>
      <c r="AC54" s="249">
        <f>IF(AC16&gt;0,'Hours Per Job'!AC16,0)</f>
        <v>0</v>
      </c>
      <c r="AD54" s="249">
        <f>IF(AD16&gt;0,'Hours Per Job'!AD16,0)</f>
        <v>0</v>
      </c>
      <c r="AE54" s="249">
        <f>IF(AE16&gt;0,'Hours Per Job'!AE16,0)</f>
        <v>0.5</v>
      </c>
      <c r="AF54" s="249">
        <f>IF(AF16&gt;0,'Hours Per Job'!AF16,0)</f>
        <v>0</v>
      </c>
      <c r="AG54" s="249">
        <f>IF(AG16&gt;0,'Hours Per Job'!AG16,0)</f>
        <v>0</v>
      </c>
      <c r="AH54" s="249">
        <f>IF(AH16&gt;0,'Hours Per Job'!AH16,0)</f>
        <v>0</v>
      </c>
      <c r="AI54" s="249">
        <f>IF(AI16&gt;0,'Hours Per Job'!AI16,0)</f>
        <v>0</v>
      </c>
      <c r="AJ54" s="249">
        <f>IF(AJ16&gt;0,'Hours Per Job'!AJ16,0)</f>
        <v>0</v>
      </c>
      <c r="AK54" s="249">
        <f>IF(AK16&gt;0,'Hours Per Job'!AK16,0)</f>
        <v>0</v>
      </c>
      <c r="AL54" s="249">
        <f>IF(AL16&gt;0,'Hours Per Job'!AL16,0)</f>
        <v>1</v>
      </c>
      <c r="AM54" s="249">
        <f>IF(AM16&gt;0,'Hours Per Job'!AM16,0)</f>
        <v>0</v>
      </c>
      <c r="AN54" s="249">
        <f>IF(AN16&gt;0,'Hours Per Job'!AN16,0)</f>
        <v>0</v>
      </c>
      <c r="AO54" s="249">
        <f>IF(AO16&gt;0,'Hours Per Job'!AO16,0)</f>
        <v>0</v>
      </c>
      <c r="AP54" s="249">
        <f>IF(AP16&gt;0,'Hours Per Job'!AP16,0)</f>
        <v>0</v>
      </c>
      <c r="AQ54" s="249">
        <f>IF(AQ16&gt;0,'Hours Per Job'!AQ16,0)</f>
        <v>0</v>
      </c>
      <c r="AR54" s="249">
        <f>IF(AR16&gt;0,'Hours Per Job'!AR16,0)</f>
        <v>0</v>
      </c>
      <c r="AS54" s="249">
        <f>IF(AS16&gt;0,'Hours Per Job'!AS16,0)</f>
        <v>0</v>
      </c>
      <c r="AT54" s="249">
        <f>IF(AT16&gt;0,'Hours Per Job'!AT16,0)</f>
        <v>0.2</v>
      </c>
      <c r="AU54" s="249">
        <f>IF(AU16&gt;0,'Hours Per Job'!AU16,0)</f>
        <v>0</v>
      </c>
      <c r="AV54" s="249">
        <f>IF(AV16&gt;0,'Hours Per Job'!AV16,0)</f>
        <v>0</v>
      </c>
      <c r="AW54" s="249">
        <f>IF(AW16&gt;0,'Hours Per Job'!AW16,0)</f>
        <v>0</v>
      </c>
      <c r="AX54" s="249">
        <f>IF(AX16&gt;0,'Hours Per Job'!AX16,0)</f>
        <v>0</v>
      </c>
      <c r="AY54" s="249">
        <f>IF(AY16&gt;0,'Hours Per Job'!AY16,0)</f>
        <v>0</v>
      </c>
      <c r="AZ54" s="249">
        <f>IF(AZ16&gt;0,'Hours Per Job'!AZ16,0)</f>
        <v>0</v>
      </c>
      <c r="BA54" s="249">
        <f>IF(BA16&gt;0,'Hours Per Job'!BA16,0)</f>
        <v>0</v>
      </c>
      <c r="BB54" s="249">
        <f>IF(BB16&gt;0,'Hours Per Job'!BB16,0)</f>
        <v>0.1</v>
      </c>
      <c r="BC54" s="249">
        <f>IF(BC16&gt;0,'Hours Per Job'!BC16,0)</f>
        <v>0</v>
      </c>
      <c r="BD54" s="249">
        <f>IF(BD16&gt;0,'Hours Per Job'!BD16,0)</f>
        <v>0</v>
      </c>
      <c r="BE54" s="249">
        <f>IF(BE16&gt;0,'Hours Per Job'!BE16,0)</f>
        <v>0</v>
      </c>
      <c r="BF54" s="249">
        <f>IF(BF16&gt;0,'Hours Per Job'!BF16,0)</f>
        <v>0</v>
      </c>
      <c r="BG54" s="249">
        <f>IF(BG16&gt;0,'Hours Per Job'!BG16,0)</f>
        <v>0</v>
      </c>
      <c r="BH54" s="249">
        <f>IF(BH16&gt;0,'Hours Per Job'!BH16,0)</f>
        <v>0</v>
      </c>
      <c r="BI54" s="249">
        <f>IF(BI16&gt;0,'Hours Per Job'!BI16,0)</f>
        <v>0</v>
      </c>
      <c r="BJ54" s="249">
        <f>IF(BJ16&gt;0,'Hours Per Job'!BJ16,0)</f>
        <v>0.25</v>
      </c>
      <c r="BK54" s="249">
        <f>IF(BK16&gt;0,'Hours Per Job'!BK16,0)</f>
        <v>0</v>
      </c>
      <c r="BL54" s="249">
        <f>IF(BL16&gt;0,'Hours Per Job'!BL16,0)</f>
        <v>0</v>
      </c>
      <c r="BM54" s="249">
        <f>IF(BM16&gt;0,'Hours Per Job'!BM16,0)</f>
        <v>0</v>
      </c>
      <c r="BN54" s="249">
        <f>IF(BN16&gt;0,'Hours Per Job'!BN16,0)</f>
        <v>0</v>
      </c>
      <c r="BO54" s="249">
        <f>IF(BO16&gt;0,'Hours Per Job'!BO16,0)</f>
        <v>0</v>
      </c>
      <c r="BP54" s="249">
        <f>IF(BP16&gt;0,'Hours Per Job'!BP16,0)</f>
        <v>0</v>
      </c>
      <c r="BQ54" s="248">
        <f t="shared" si="5"/>
        <v>3.45</v>
      </c>
      <c r="BR54" s="248"/>
    </row>
    <row r="55" spans="1:70" x14ac:dyDescent="0.2">
      <c r="A55" s="248" t="str">
        <f t="shared" si="4"/>
        <v>Mahindra 1600 Series</v>
      </c>
      <c r="B55" s="249">
        <f>IF(B17&gt;0,'Hours Per Job'!B17,0)</f>
        <v>0</v>
      </c>
      <c r="C55" s="249">
        <f>IF(C17&gt;0,'Hours Per Job'!C17,0)</f>
        <v>0</v>
      </c>
      <c r="D55" s="249">
        <f>IF(D17&gt;0,'Hours Per Job'!D17,0)</f>
        <v>0</v>
      </c>
      <c r="E55" s="249">
        <f>IF(E17&gt;0,'Hours Per Job'!E17,0)</f>
        <v>0</v>
      </c>
      <c r="F55" s="249">
        <f>IF(F17&gt;0,'Hours Per Job'!F17,0)</f>
        <v>0</v>
      </c>
      <c r="G55" s="249">
        <f>IF(G17&gt;0,'Hours Per Job'!G17,0)</f>
        <v>0</v>
      </c>
      <c r="H55" s="249">
        <f>IF(H17&gt;0,'Hours Per Job'!H17,0)</f>
        <v>0</v>
      </c>
      <c r="I55" s="249">
        <f>IF(I17&gt;0,'Hours Per Job'!I17,0)</f>
        <v>0</v>
      </c>
      <c r="J55" s="249">
        <f>IF(J17&gt;0,'Hours Per Job'!J17,0)</f>
        <v>0</v>
      </c>
      <c r="K55" s="249">
        <f>IF(K17&gt;0,'Hours Per Job'!K17,0)</f>
        <v>0</v>
      </c>
      <c r="L55" s="249">
        <f>IF(L17&gt;0,'Hours Per Job'!L17,0)</f>
        <v>0</v>
      </c>
      <c r="M55" s="249">
        <f>IF(M17&gt;0,'Hours Per Job'!M17,0)</f>
        <v>0</v>
      </c>
      <c r="N55" s="249">
        <f>IF(N17&gt;0,'Hours Per Job'!N17,0)</f>
        <v>0</v>
      </c>
      <c r="O55" s="249">
        <f>IF(O17&gt;0,'Hours Per Job'!O17,0)</f>
        <v>0</v>
      </c>
      <c r="P55" s="249">
        <f>IF(P17&gt;0,'Hours Per Job'!P17,0)</f>
        <v>0</v>
      </c>
      <c r="Q55" s="249">
        <f>IF(Q17&gt;0,'Hours Per Job'!Q17,0)</f>
        <v>0</v>
      </c>
      <c r="R55" s="249">
        <f>IF(R17&gt;0,'Hours Per Job'!R17,0)</f>
        <v>0</v>
      </c>
      <c r="S55" s="249">
        <f>IF(S17&gt;0,'Hours Per Job'!S17,0)</f>
        <v>0</v>
      </c>
      <c r="T55" s="249">
        <f>IF(T17&gt;0,'Hours Per Job'!T17,0)</f>
        <v>0</v>
      </c>
      <c r="U55" s="249">
        <f>IF(U17&gt;0,'Hours Per Job'!U17,0)</f>
        <v>0.4</v>
      </c>
      <c r="V55" s="249">
        <f>IF(V17&gt;0,'Hours Per Job'!V17,0)</f>
        <v>0</v>
      </c>
      <c r="W55" s="249">
        <f>IF(W17&gt;0,'Hours Per Job'!W17,0)</f>
        <v>0.1</v>
      </c>
      <c r="X55" s="249">
        <f>IF(X17&gt;0,'Hours Per Job'!X17,0)</f>
        <v>0</v>
      </c>
      <c r="Y55" s="249">
        <f>IF(Y17&gt;0,'Hours Per Job'!Y17,0)</f>
        <v>0</v>
      </c>
      <c r="Z55" s="249">
        <f>IF(Z17&gt;0,'Hours Per Job'!Z17,0)</f>
        <v>0.2</v>
      </c>
      <c r="AA55" s="249">
        <f>IF(AA17&gt;0,'Hours Per Job'!AA17,0)</f>
        <v>0</v>
      </c>
      <c r="AB55" s="249">
        <f>IF(AB17&gt;0,'Hours Per Job'!AB17,0)</f>
        <v>0</v>
      </c>
      <c r="AC55" s="249">
        <f>IF(AC17&gt;0,'Hours Per Job'!AC17,0)</f>
        <v>0</v>
      </c>
      <c r="AD55" s="249">
        <f>IF(AD17&gt;0,'Hours Per Job'!AD17,0)</f>
        <v>0</v>
      </c>
      <c r="AE55" s="249">
        <f>IF(AE17&gt;0,'Hours Per Job'!AE17,0)</f>
        <v>0</v>
      </c>
      <c r="AF55" s="249">
        <f>IF(AF17&gt;0,'Hours Per Job'!AF17,0)</f>
        <v>0</v>
      </c>
      <c r="AG55" s="249">
        <f>IF(AG17&gt;0,'Hours Per Job'!AG17,0)</f>
        <v>0</v>
      </c>
      <c r="AH55" s="249">
        <f>IF(AH17&gt;0,'Hours Per Job'!AH17,0)</f>
        <v>0</v>
      </c>
      <c r="AI55" s="249">
        <f>IF(AI17&gt;0,'Hours Per Job'!AI17,0)</f>
        <v>0</v>
      </c>
      <c r="AJ55" s="249">
        <f>IF(AJ17&gt;0,'Hours Per Job'!AJ17,0)</f>
        <v>0</v>
      </c>
      <c r="AK55" s="249">
        <f>IF(AK17&gt;0,'Hours Per Job'!AK17,0)</f>
        <v>0</v>
      </c>
      <c r="AL55" s="249">
        <f>IF(AL17&gt;0,'Hours Per Job'!AL17,0)</f>
        <v>0</v>
      </c>
      <c r="AM55" s="249">
        <f>IF(AM17&gt;0,'Hours Per Job'!AM17,0)</f>
        <v>0</v>
      </c>
      <c r="AN55" s="249">
        <f>IF(AN17&gt;0,'Hours Per Job'!AN17,0)</f>
        <v>0</v>
      </c>
      <c r="AO55" s="249">
        <f>IF(AO17&gt;0,'Hours Per Job'!AO17,0)</f>
        <v>0</v>
      </c>
      <c r="AP55" s="249">
        <f>IF(AP17&gt;0,'Hours Per Job'!AP17,0)</f>
        <v>0</v>
      </c>
      <c r="AQ55" s="249">
        <f>IF(AQ17&gt;0,'Hours Per Job'!AQ17,0)</f>
        <v>0</v>
      </c>
      <c r="AR55" s="249">
        <f>IF(AR17&gt;0,'Hours Per Job'!AR17,0)</f>
        <v>0</v>
      </c>
      <c r="AS55" s="249">
        <f>IF(AS17&gt;0,'Hours Per Job'!AS17,0)</f>
        <v>0</v>
      </c>
      <c r="AT55" s="249">
        <f>IF(AT17&gt;0,'Hours Per Job'!AT17,0)</f>
        <v>0.2</v>
      </c>
      <c r="AU55" s="249">
        <f>IF(AU17&gt;0,'Hours Per Job'!AU17,0)</f>
        <v>0</v>
      </c>
      <c r="AV55" s="249">
        <f>IF(AV17&gt;0,'Hours Per Job'!AV17,0)</f>
        <v>0</v>
      </c>
      <c r="AW55" s="249">
        <f>IF(AW17&gt;0,'Hours Per Job'!AW17,0)</f>
        <v>0</v>
      </c>
      <c r="AX55" s="249">
        <f>IF(AX17&gt;0,'Hours Per Job'!AX17,0)</f>
        <v>0</v>
      </c>
      <c r="AY55" s="249">
        <f>IF(AY17&gt;0,'Hours Per Job'!AY17,0)</f>
        <v>0</v>
      </c>
      <c r="AZ55" s="249">
        <f>IF(AZ17&gt;0,'Hours Per Job'!AZ17,0)</f>
        <v>0</v>
      </c>
      <c r="BA55" s="249">
        <f>IF(BA17&gt;0,'Hours Per Job'!BA17,0)</f>
        <v>0</v>
      </c>
      <c r="BB55" s="249">
        <f>IF(BB17&gt;0,'Hours Per Job'!BB17,0)</f>
        <v>0</v>
      </c>
      <c r="BC55" s="249">
        <f>IF(BC17&gt;0,'Hours Per Job'!BC17,0)</f>
        <v>0</v>
      </c>
      <c r="BD55" s="249">
        <f>IF(BD17&gt;0,'Hours Per Job'!BD17,0)</f>
        <v>0</v>
      </c>
      <c r="BE55" s="249">
        <f>IF(BE17&gt;0,'Hours Per Job'!BE17,0)</f>
        <v>0</v>
      </c>
      <c r="BF55" s="249">
        <f>IF(BF17&gt;0,'Hours Per Job'!BF17,0)</f>
        <v>0</v>
      </c>
      <c r="BG55" s="249">
        <f>IF(BG17&gt;0,'Hours Per Job'!BG17,0)</f>
        <v>0</v>
      </c>
      <c r="BH55" s="249">
        <f>IF(BH17&gt;0,'Hours Per Job'!BH17,0)</f>
        <v>0</v>
      </c>
      <c r="BI55" s="249">
        <f>IF(BI17&gt;0,'Hours Per Job'!BI17,0)</f>
        <v>0</v>
      </c>
      <c r="BJ55" s="249">
        <f>IF(BJ17&gt;0,'Hours Per Job'!BJ17,0)</f>
        <v>0.25</v>
      </c>
      <c r="BK55" s="249">
        <f>IF(BK17&gt;0,'Hours Per Job'!BK17,0)</f>
        <v>0</v>
      </c>
      <c r="BL55" s="249">
        <f>IF(BL17&gt;0,'Hours Per Job'!BL17,0)</f>
        <v>0</v>
      </c>
      <c r="BM55" s="249">
        <f>IF(BM17&gt;0,'Hours Per Job'!BM17,0)</f>
        <v>0</v>
      </c>
      <c r="BN55" s="249">
        <f>IF(BN17&gt;0,'Hours Per Job'!BN17,0)</f>
        <v>0</v>
      </c>
      <c r="BO55" s="249">
        <f>IF(BO17&gt;0,'Hours Per Job'!BO17,0)</f>
        <v>0</v>
      </c>
      <c r="BP55" s="249">
        <f>IF(BP17&gt;0,'Hours Per Job'!BP17,0)</f>
        <v>0</v>
      </c>
      <c r="BQ55" s="248">
        <f t="shared" si="5"/>
        <v>1.1499999999999999</v>
      </c>
      <c r="BR55" s="248"/>
    </row>
    <row r="56" spans="1:70" x14ac:dyDescent="0.2">
      <c r="A56" s="248" t="str">
        <f t="shared" si="4"/>
        <v>Mahindra 4500</v>
      </c>
      <c r="B56" s="249">
        <f>IF(B18&gt;0,'Hours Per Job'!B18,0)</f>
        <v>0</v>
      </c>
      <c r="C56" s="249">
        <f>IF(C18&gt;0,'Hours Per Job'!C18,0)</f>
        <v>0</v>
      </c>
      <c r="D56" s="249">
        <f>IF(D18&gt;0,'Hours Per Job'!D18,0)</f>
        <v>0</v>
      </c>
      <c r="E56" s="249">
        <f>IF(E18&gt;0,'Hours Per Job'!E18,0)</f>
        <v>0</v>
      </c>
      <c r="F56" s="249">
        <f>IF(F18&gt;0,'Hours Per Job'!F18,0)</f>
        <v>0</v>
      </c>
      <c r="G56" s="249">
        <f>IF(G18&gt;0,'Hours Per Job'!G18,0)</f>
        <v>0</v>
      </c>
      <c r="H56" s="249">
        <f>IF(H18&gt;0,'Hours Per Job'!H18,0)</f>
        <v>0</v>
      </c>
      <c r="I56" s="249">
        <f>IF(I18&gt;0,'Hours Per Job'!I18,0)</f>
        <v>0</v>
      </c>
      <c r="J56" s="249">
        <f>IF(J18&gt;0,'Hours Per Job'!J18,0)</f>
        <v>0</v>
      </c>
      <c r="K56" s="249">
        <f>IF(K18&gt;0,'Hours Per Job'!K18,0)</f>
        <v>0</v>
      </c>
      <c r="L56" s="249">
        <f>IF(L18&gt;0,'Hours Per Job'!L18,0)</f>
        <v>0</v>
      </c>
      <c r="M56" s="249">
        <f>IF(M18&gt;0,'Hours Per Job'!M18,0)</f>
        <v>0</v>
      </c>
      <c r="N56" s="249">
        <f>IF(N18&gt;0,'Hours Per Job'!N18,0)</f>
        <v>0</v>
      </c>
      <c r="O56" s="249">
        <f>IF(O18&gt;0,'Hours Per Job'!O18,0)</f>
        <v>0</v>
      </c>
      <c r="P56" s="249">
        <f>IF(P18&gt;0,'Hours Per Job'!P18,0)</f>
        <v>0</v>
      </c>
      <c r="Q56" s="249">
        <f>IF(Q18&gt;0,'Hours Per Job'!Q18,0)</f>
        <v>0</v>
      </c>
      <c r="R56" s="249">
        <f>IF(R18&gt;0,'Hours Per Job'!R18,0)</f>
        <v>0</v>
      </c>
      <c r="S56" s="249">
        <f>IF(S18&gt;0,'Hours Per Job'!S18,0)</f>
        <v>0</v>
      </c>
      <c r="T56" s="249">
        <f>IF(T18&gt;0,'Hours Per Job'!T18,0)</f>
        <v>0</v>
      </c>
      <c r="U56" s="249">
        <f>IF(U18&gt;0,'Hours Per Job'!U18,0)</f>
        <v>0</v>
      </c>
      <c r="V56" s="249">
        <f>IF(V18&gt;0,'Hours Per Job'!V18,0)</f>
        <v>0</v>
      </c>
      <c r="W56" s="249">
        <f>IF(W18&gt;0,'Hours Per Job'!W18,0)</f>
        <v>0</v>
      </c>
      <c r="X56" s="249">
        <f>IF(X18&gt;0,'Hours Per Job'!X18,0)</f>
        <v>0</v>
      </c>
      <c r="Y56" s="249">
        <f>IF(Y18&gt;0,'Hours Per Job'!Y18,0)</f>
        <v>0</v>
      </c>
      <c r="Z56" s="249">
        <f>IF(Z18&gt;0,'Hours Per Job'!Z18,0)</f>
        <v>0</v>
      </c>
      <c r="AA56" s="249">
        <f>IF(AA18&gt;0,'Hours Per Job'!AA18,0)</f>
        <v>0</v>
      </c>
      <c r="AB56" s="249">
        <f>IF(AB18&gt;0,'Hours Per Job'!AB18,0)</f>
        <v>0</v>
      </c>
      <c r="AC56" s="249">
        <f>IF(AC18&gt;0,'Hours Per Job'!AC18,0)</f>
        <v>0</v>
      </c>
      <c r="AD56" s="249">
        <f>IF(AD18&gt;0,'Hours Per Job'!AD18,0)</f>
        <v>0</v>
      </c>
      <c r="AE56" s="249">
        <f>IF(AE18&gt;0,'Hours Per Job'!AE18,0)</f>
        <v>0</v>
      </c>
      <c r="AF56" s="249">
        <f>IF(AF18&gt;0,'Hours Per Job'!AF18,0)</f>
        <v>0</v>
      </c>
      <c r="AG56" s="249">
        <f>IF(AG18&gt;0,'Hours Per Job'!AG18,0)</f>
        <v>0</v>
      </c>
      <c r="AH56" s="249">
        <f>IF(AH18&gt;0,'Hours Per Job'!AH18,0)</f>
        <v>0</v>
      </c>
      <c r="AI56" s="249">
        <f>IF(AI18&gt;0,'Hours Per Job'!AI18,0)</f>
        <v>0</v>
      </c>
      <c r="AJ56" s="249">
        <f>IF(AJ18&gt;0,'Hours Per Job'!AJ18,0)</f>
        <v>0</v>
      </c>
      <c r="AK56" s="249">
        <f>IF(AK18&gt;0,'Hours Per Job'!AK18,0)</f>
        <v>0</v>
      </c>
      <c r="AL56" s="249">
        <f>IF(AL18&gt;0,'Hours Per Job'!AL18,0)</f>
        <v>0</v>
      </c>
      <c r="AM56" s="249">
        <f>IF(AM18&gt;0,'Hours Per Job'!AM18,0)</f>
        <v>0</v>
      </c>
      <c r="AN56" s="249">
        <f>IF(AN18&gt;0,'Hours Per Job'!AN18,0)</f>
        <v>0</v>
      </c>
      <c r="AO56" s="249">
        <f>IF(AO18&gt;0,'Hours Per Job'!AO18,0)</f>
        <v>0</v>
      </c>
      <c r="AP56" s="249">
        <f>IF(AP18&gt;0,'Hours Per Job'!AP18,0)</f>
        <v>0</v>
      </c>
      <c r="AQ56" s="249">
        <f>IF(AQ18&gt;0,'Hours Per Job'!AQ18,0)</f>
        <v>0</v>
      </c>
      <c r="AR56" s="249">
        <f>IF(AR18&gt;0,'Hours Per Job'!AR18,0)</f>
        <v>0</v>
      </c>
      <c r="AS56" s="249">
        <f>IF(AS18&gt;0,'Hours Per Job'!AS18,0)</f>
        <v>0</v>
      </c>
      <c r="AT56" s="249">
        <f>IF(AT18&gt;0,'Hours Per Job'!AT18,0)</f>
        <v>0</v>
      </c>
      <c r="AU56" s="249">
        <f>IF(AU18&gt;0,'Hours Per Job'!AU18,0)</f>
        <v>0</v>
      </c>
      <c r="AV56" s="249">
        <f>IF(AV18&gt;0,'Hours Per Job'!AV18,0)</f>
        <v>0</v>
      </c>
      <c r="AW56" s="249">
        <f>IF(AW18&gt;0,'Hours Per Job'!AW18,0)</f>
        <v>0</v>
      </c>
      <c r="AX56" s="249">
        <f>IF(AX18&gt;0,'Hours Per Job'!AX18,0)</f>
        <v>0</v>
      </c>
      <c r="AY56" s="249">
        <f>IF(AY18&gt;0,'Hours Per Job'!AY18,0)</f>
        <v>0</v>
      </c>
      <c r="AZ56" s="249">
        <f>IF(AZ18&gt;0,'Hours Per Job'!AZ18,0)</f>
        <v>0</v>
      </c>
      <c r="BA56" s="249">
        <f>IF(BA18&gt;0,'Hours Per Job'!BA18,0)</f>
        <v>0</v>
      </c>
      <c r="BB56" s="249">
        <f>IF(BB18&gt;0,'Hours Per Job'!BB18,0)</f>
        <v>0</v>
      </c>
      <c r="BC56" s="249">
        <f>IF(BC18&gt;0,'Hours Per Job'!BC18,0)</f>
        <v>0</v>
      </c>
      <c r="BD56" s="249">
        <f>IF(BD18&gt;0,'Hours Per Job'!BD18,0)</f>
        <v>0</v>
      </c>
      <c r="BE56" s="249">
        <f>IF(BE18&gt;0,'Hours Per Job'!BE18,0)</f>
        <v>0</v>
      </c>
      <c r="BF56" s="249">
        <f>IF(BF18&gt;0,'Hours Per Job'!BF18,0)</f>
        <v>0</v>
      </c>
      <c r="BG56" s="249">
        <f>IF(BG18&gt;0,'Hours Per Job'!BG18,0)</f>
        <v>0</v>
      </c>
      <c r="BH56" s="249">
        <f>IF(BH18&gt;0,'Hours Per Job'!BH18,0)</f>
        <v>0</v>
      </c>
      <c r="BI56" s="249">
        <f>IF(BI18&gt;0,'Hours Per Job'!BI18,0)</f>
        <v>0</v>
      </c>
      <c r="BJ56" s="249">
        <f>IF(BJ18&gt;0,'Hours Per Job'!BJ18,0)</f>
        <v>0</v>
      </c>
      <c r="BK56" s="249">
        <f>IF(BK18&gt;0,'Hours Per Job'!BK18,0)</f>
        <v>0</v>
      </c>
      <c r="BL56" s="249">
        <f>IF(BL18&gt;0,'Hours Per Job'!BL18,0)</f>
        <v>0</v>
      </c>
      <c r="BM56" s="249">
        <f>IF(BM18&gt;0,'Hours Per Job'!BM18,0)</f>
        <v>0</v>
      </c>
      <c r="BN56" s="249">
        <f>IF(BN18&gt;0,'Hours Per Job'!BN18,0)</f>
        <v>0</v>
      </c>
      <c r="BO56" s="249">
        <f>IF(BO18&gt;0,'Hours Per Job'!BO18,0)</f>
        <v>0</v>
      </c>
      <c r="BP56" s="249">
        <f>IF(BP18&gt;0,'Hours Per Job'!BP18,0)</f>
        <v>0</v>
      </c>
      <c r="BQ56" s="248">
        <f t="shared" si="5"/>
        <v>0</v>
      </c>
      <c r="BR56" s="248"/>
    </row>
    <row r="57" spans="1:70" x14ac:dyDescent="0.2">
      <c r="A57" s="248" t="str">
        <f t="shared" si="4"/>
        <v>Mahindra 5500</v>
      </c>
      <c r="B57" s="249">
        <f>IF(B19&gt;0,'Hours Per Job'!B19,0)</f>
        <v>0</v>
      </c>
      <c r="C57" s="249">
        <f>IF(C19&gt;0,'Hours Per Job'!C19,0)</f>
        <v>0</v>
      </c>
      <c r="D57" s="249">
        <f>IF(D19&gt;0,'Hours Per Job'!D19,0)</f>
        <v>0</v>
      </c>
      <c r="E57" s="249">
        <f>IF(E19&gt;0,'Hours Per Job'!E19,0)</f>
        <v>0</v>
      </c>
      <c r="F57" s="249">
        <f>IF(F19&gt;0,'Hours Per Job'!F19,0)</f>
        <v>0</v>
      </c>
      <c r="G57" s="249">
        <f>IF(G19&gt;0,'Hours Per Job'!G19,0)</f>
        <v>0</v>
      </c>
      <c r="H57" s="249">
        <f>IF(H19&gt;0,'Hours Per Job'!H19,0)</f>
        <v>0</v>
      </c>
      <c r="I57" s="249">
        <f>IF(I19&gt;0,'Hours Per Job'!I19,0)</f>
        <v>0</v>
      </c>
      <c r="J57" s="249">
        <f>IF(J19&gt;0,'Hours Per Job'!J19,0)</f>
        <v>0</v>
      </c>
      <c r="K57" s="249">
        <f>IF(K19&gt;0,'Hours Per Job'!K19,0)</f>
        <v>0</v>
      </c>
      <c r="L57" s="249">
        <f>IF(L19&gt;0,'Hours Per Job'!L19,0)</f>
        <v>0</v>
      </c>
      <c r="M57" s="249">
        <f>IF(M19&gt;0,'Hours Per Job'!M19,0)</f>
        <v>0</v>
      </c>
      <c r="N57" s="249">
        <f>IF(N19&gt;0,'Hours Per Job'!N19,0)</f>
        <v>0</v>
      </c>
      <c r="O57" s="249">
        <f>IF(O19&gt;0,'Hours Per Job'!O19,0)</f>
        <v>0</v>
      </c>
      <c r="P57" s="249">
        <f>IF(P19&gt;0,'Hours Per Job'!P19,0)</f>
        <v>0</v>
      </c>
      <c r="Q57" s="249">
        <f>IF(Q19&gt;0,'Hours Per Job'!Q19,0)</f>
        <v>0</v>
      </c>
      <c r="R57" s="249">
        <f>IF(R19&gt;0,'Hours Per Job'!R19,0)</f>
        <v>0</v>
      </c>
      <c r="S57" s="249">
        <f>IF(S19&gt;0,'Hours Per Job'!S19,0)</f>
        <v>0</v>
      </c>
      <c r="T57" s="249">
        <f>IF(T19&gt;0,'Hours Per Job'!T19,0)</f>
        <v>0</v>
      </c>
      <c r="U57" s="249">
        <f>IF(U19&gt;0,'Hours Per Job'!U19,0)</f>
        <v>0.4</v>
      </c>
      <c r="V57" s="249">
        <f>IF(V19&gt;0,'Hours Per Job'!V19,0)</f>
        <v>0</v>
      </c>
      <c r="W57" s="249">
        <f>IF(W19&gt;0,'Hours Per Job'!W19,0)</f>
        <v>0</v>
      </c>
      <c r="X57" s="249">
        <f>IF(X19&gt;0,'Hours Per Job'!X19,0)</f>
        <v>0</v>
      </c>
      <c r="Y57" s="249">
        <f>IF(Y19&gt;0,'Hours Per Job'!Y19,0)</f>
        <v>0</v>
      </c>
      <c r="Z57" s="249">
        <f>IF(Z19&gt;0,'Hours Per Job'!Z19,0)</f>
        <v>0.3</v>
      </c>
      <c r="AA57" s="249">
        <f>IF(AA19&gt;0,'Hours Per Job'!AA19,0)</f>
        <v>0</v>
      </c>
      <c r="AB57" s="249">
        <f>IF(AB19&gt;0,'Hours Per Job'!AB19,0)</f>
        <v>0</v>
      </c>
      <c r="AC57" s="249">
        <f>IF(AC19&gt;0,'Hours Per Job'!AC19,0)</f>
        <v>0</v>
      </c>
      <c r="AD57" s="249">
        <f>IF(AD19&gt;0,'Hours Per Job'!AD19,0)</f>
        <v>0</v>
      </c>
      <c r="AE57" s="249">
        <f>IF(AE19&gt;0,'Hours Per Job'!AE19,0)</f>
        <v>0</v>
      </c>
      <c r="AF57" s="249">
        <f>IF(AF19&gt;0,'Hours Per Job'!AF19,0)</f>
        <v>0</v>
      </c>
      <c r="AG57" s="249">
        <f>IF(AG19&gt;0,'Hours Per Job'!AG19,0)</f>
        <v>0</v>
      </c>
      <c r="AH57" s="249">
        <f>IF(AH19&gt;0,'Hours Per Job'!AH19,0)</f>
        <v>0</v>
      </c>
      <c r="AI57" s="249">
        <f>IF(AI19&gt;0,'Hours Per Job'!AI19,0)</f>
        <v>0</v>
      </c>
      <c r="AJ57" s="249">
        <f>IF(AJ19&gt;0,'Hours Per Job'!AJ19,0)</f>
        <v>0</v>
      </c>
      <c r="AK57" s="249">
        <f>IF(AK19&gt;0,'Hours Per Job'!AK19,0)</f>
        <v>0</v>
      </c>
      <c r="AL57" s="249">
        <f>IF(AL19&gt;0,'Hours Per Job'!AL19,0)</f>
        <v>0</v>
      </c>
      <c r="AM57" s="249">
        <f>IF(AM19&gt;0,'Hours Per Job'!AM19,0)</f>
        <v>0</v>
      </c>
      <c r="AN57" s="249">
        <f>IF(AN19&gt;0,'Hours Per Job'!AN19,0)</f>
        <v>0</v>
      </c>
      <c r="AO57" s="249">
        <f>IF(AO19&gt;0,'Hours Per Job'!AO19,0)</f>
        <v>0</v>
      </c>
      <c r="AP57" s="249">
        <f>IF(AP19&gt;0,'Hours Per Job'!AP19,0)</f>
        <v>0</v>
      </c>
      <c r="AQ57" s="249">
        <f>IF(AQ19&gt;0,'Hours Per Job'!AQ19,0)</f>
        <v>0</v>
      </c>
      <c r="AR57" s="249">
        <f>IF(AR19&gt;0,'Hours Per Job'!AR19,0)</f>
        <v>0</v>
      </c>
      <c r="AS57" s="249">
        <f>IF(AS19&gt;0,'Hours Per Job'!AS19,0)</f>
        <v>0</v>
      </c>
      <c r="AT57" s="249">
        <f>IF(AT19&gt;0,'Hours Per Job'!AT19,0)</f>
        <v>0.2</v>
      </c>
      <c r="AU57" s="249">
        <f>IF(AU19&gt;0,'Hours Per Job'!AU19,0)</f>
        <v>0</v>
      </c>
      <c r="AV57" s="249">
        <f>IF(AV19&gt;0,'Hours Per Job'!AV19,0)</f>
        <v>0</v>
      </c>
      <c r="AW57" s="249">
        <f>IF(AW19&gt;0,'Hours Per Job'!AW19,0)</f>
        <v>0</v>
      </c>
      <c r="AX57" s="249">
        <f>IF(AX19&gt;0,'Hours Per Job'!AX19,0)</f>
        <v>0</v>
      </c>
      <c r="AY57" s="249">
        <f>IF(AY19&gt;0,'Hours Per Job'!AY19,0)</f>
        <v>0</v>
      </c>
      <c r="AZ57" s="249">
        <f>IF(AZ19&gt;0,'Hours Per Job'!AZ19,0)</f>
        <v>0</v>
      </c>
      <c r="BA57" s="249">
        <f>IF(BA19&gt;0,'Hours Per Job'!BA19,0)</f>
        <v>0</v>
      </c>
      <c r="BB57" s="249">
        <f>IF(BB19&gt;0,'Hours Per Job'!BB19,0)</f>
        <v>0</v>
      </c>
      <c r="BC57" s="249">
        <f>IF(BC19&gt;0,'Hours Per Job'!BC19,0)</f>
        <v>0</v>
      </c>
      <c r="BD57" s="249">
        <f>IF(BD19&gt;0,'Hours Per Job'!BD19,0)</f>
        <v>0</v>
      </c>
      <c r="BE57" s="249">
        <f>IF(BE19&gt;0,'Hours Per Job'!BE19,0)</f>
        <v>0</v>
      </c>
      <c r="BF57" s="249">
        <f>IF(BF19&gt;0,'Hours Per Job'!BF19,0)</f>
        <v>0</v>
      </c>
      <c r="BG57" s="249">
        <f>IF(BG19&gt;0,'Hours Per Job'!BG19,0)</f>
        <v>0</v>
      </c>
      <c r="BH57" s="249">
        <f>IF(BH19&gt;0,'Hours Per Job'!BH19,0)</f>
        <v>0</v>
      </c>
      <c r="BI57" s="249">
        <f>IF(BI19&gt;0,'Hours Per Job'!BI19,0)</f>
        <v>0</v>
      </c>
      <c r="BJ57" s="249">
        <f>IF(BJ19&gt;0,'Hours Per Job'!BJ19,0)</f>
        <v>0.25</v>
      </c>
      <c r="BK57" s="249">
        <f>IF(BK19&gt;0,'Hours Per Job'!BK19,0)</f>
        <v>0</v>
      </c>
      <c r="BL57" s="249">
        <f>IF(BL19&gt;0,'Hours Per Job'!BL19,0)</f>
        <v>0</v>
      </c>
      <c r="BM57" s="249">
        <f>IF(BM19&gt;0,'Hours Per Job'!BM19,0)</f>
        <v>0</v>
      </c>
      <c r="BN57" s="249">
        <f>IF(BN19&gt;0,'Hours Per Job'!BN19,0)</f>
        <v>0</v>
      </c>
      <c r="BO57" s="249">
        <f>IF(BO19&gt;0,'Hours Per Job'!BO19,0)</f>
        <v>0</v>
      </c>
      <c r="BP57" s="249">
        <f>IF(BP19&gt;0,'Hours Per Job'!BP19,0)</f>
        <v>0</v>
      </c>
      <c r="BQ57" s="248">
        <f t="shared" si="5"/>
        <v>1.1499999999999999</v>
      </c>
      <c r="BR57" s="248"/>
    </row>
    <row r="58" spans="1:70" x14ac:dyDescent="0.2">
      <c r="A58" s="248" t="str">
        <f t="shared" si="4"/>
        <v>Mahindra 6000</v>
      </c>
      <c r="B58" s="249">
        <f>IF(B20&gt;0,'Hours Per Job'!B20,0)</f>
        <v>0</v>
      </c>
      <c r="C58" s="249">
        <f>IF(C20&gt;0,'Hours Per Job'!C20,0)</f>
        <v>0</v>
      </c>
      <c r="D58" s="249">
        <f>IF(D20&gt;0,'Hours Per Job'!D20,0)</f>
        <v>0</v>
      </c>
      <c r="E58" s="249">
        <f>IF(E20&gt;0,'Hours Per Job'!E20,0)</f>
        <v>0</v>
      </c>
      <c r="F58" s="249">
        <f>IF(F20&gt;0,'Hours Per Job'!F20,0)</f>
        <v>0</v>
      </c>
      <c r="G58" s="249">
        <f>IF(G20&gt;0,'Hours Per Job'!G20,0)</f>
        <v>0</v>
      </c>
      <c r="H58" s="249">
        <f>IF(H20&gt;0,'Hours Per Job'!H20,0)</f>
        <v>0</v>
      </c>
      <c r="I58" s="249">
        <f>IF(I20&gt;0,'Hours Per Job'!I20,0)</f>
        <v>0</v>
      </c>
      <c r="J58" s="249">
        <f>IF(J20&gt;0,'Hours Per Job'!J20,0)</f>
        <v>0</v>
      </c>
      <c r="K58" s="249">
        <f>IF(K20&gt;0,'Hours Per Job'!K20,0)</f>
        <v>0</v>
      </c>
      <c r="L58" s="249">
        <f>IF(L20&gt;0,'Hours Per Job'!L20,0)</f>
        <v>0</v>
      </c>
      <c r="M58" s="249">
        <f>IF(M20&gt;0,'Hours Per Job'!M20,0)</f>
        <v>0</v>
      </c>
      <c r="N58" s="249">
        <f>IF(N20&gt;0,'Hours Per Job'!N20,0)</f>
        <v>0</v>
      </c>
      <c r="O58" s="249">
        <f>IF(O20&gt;0,'Hours Per Job'!O20,0)</f>
        <v>0</v>
      </c>
      <c r="P58" s="249">
        <f>IF(P20&gt;0,'Hours Per Job'!P20,0)</f>
        <v>0</v>
      </c>
      <c r="Q58" s="249">
        <f>IF(Q20&gt;0,'Hours Per Job'!Q20,0)</f>
        <v>0</v>
      </c>
      <c r="R58" s="249">
        <f>IF(R20&gt;0,'Hours Per Job'!R20,0)</f>
        <v>0</v>
      </c>
      <c r="S58" s="249">
        <f>IF(S20&gt;0,'Hours Per Job'!S20,0)</f>
        <v>0</v>
      </c>
      <c r="T58" s="249">
        <f>IF(T20&gt;0,'Hours Per Job'!T20,0)</f>
        <v>0</v>
      </c>
      <c r="U58" s="249">
        <f>IF(U20&gt;0,'Hours Per Job'!U20,0)</f>
        <v>0.4</v>
      </c>
      <c r="V58" s="249">
        <f>IF(V20&gt;0,'Hours Per Job'!V20,0)</f>
        <v>0</v>
      </c>
      <c r="W58" s="249">
        <f>IF(W20&gt;0,'Hours Per Job'!W20,0)</f>
        <v>0</v>
      </c>
      <c r="X58" s="249">
        <f>IF(X20&gt;0,'Hours Per Job'!X20,0)</f>
        <v>0</v>
      </c>
      <c r="Y58" s="249">
        <f>IF(Y20&gt;0,'Hours Per Job'!Y20,0)</f>
        <v>0</v>
      </c>
      <c r="Z58" s="249">
        <f>IF(Z20&gt;0,'Hours Per Job'!Z20,0)</f>
        <v>0.3</v>
      </c>
      <c r="AA58" s="249">
        <f>IF(AA20&gt;0,'Hours Per Job'!AA20,0)</f>
        <v>0</v>
      </c>
      <c r="AB58" s="249">
        <f>IF(AB20&gt;0,'Hours Per Job'!AB20,0)</f>
        <v>0</v>
      </c>
      <c r="AC58" s="249">
        <f>IF(AC20&gt;0,'Hours Per Job'!AC20,0)</f>
        <v>0.3</v>
      </c>
      <c r="AD58" s="249">
        <f>IF(AD20&gt;0,'Hours Per Job'!AD20,0)</f>
        <v>0</v>
      </c>
      <c r="AE58" s="249">
        <f>IF(AE20&gt;0,'Hours Per Job'!AE20,0)</f>
        <v>0</v>
      </c>
      <c r="AF58" s="249">
        <f>IF(AF20&gt;0,'Hours Per Job'!AF20,0)</f>
        <v>0</v>
      </c>
      <c r="AG58" s="249">
        <f>IF(AG20&gt;0,'Hours Per Job'!AG20,0)</f>
        <v>0</v>
      </c>
      <c r="AH58" s="249">
        <f>IF(AH20&gt;0,'Hours Per Job'!AH20,0)</f>
        <v>0</v>
      </c>
      <c r="AI58" s="249">
        <f>IF(AI20&gt;0,'Hours Per Job'!AI20,0)</f>
        <v>1</v>
      </c>
      <c r="AJ58" s="249">
        <f>IF(AJ20&gt;0,'Hours Per Job'!AJ20,0)</f>
        <v>0</v>
      </c>
      <c r="AK58" s="249">
        <f>IF(AK20&gt;0,'Hours Per Job'!AK20,0)</f>
        <v>0</v>
      </c>
      <c r="AL58" s="249">
        <f>IF(AL20&gt;0,'Hours Per Job'!AL20,0)</f>
        <v>1</v>
      </c>
      <c r="AM58" s="249">
        <f>IF(AM20&gt;0,'Hours Per Job'!AM20,0)</f>
        <v>0</v>
      </c>
      <c r="AN58" s="249">
        <f>IF(AN20&gt;0,'Hours Per Job'!AN20,0)</f>
        <v>0</v>
      </c>
      <c r="AO58" s="249">
        <f>IF(AO20&gt;0,'Hours Per Job'!AO20,0)</f>
        <v>0</v>
      </c>
      <c r="AP58" s="249">
        <f>IF(AP20&gt;0,'Hours Per Job'!AP20,0)</f>
        <v>0</v>
      </c>
      <c r="AQ58" s="249">
        <f>IF(AQ20&gt;0,'Hours Per Job'!AQ20,0)</f>
        <v>0</v>
      </c>
      <c r="AR58" s="249">
        <f>IF(AR20&gt;0,'Hours Per Job'!AR20,0)</f>
        <v>0</v>
      </c>
      <c r="AS58" s="249">
        <f>IF(AS20&gt;0,'Hours Per Job'!AS20,0)</f>
        <v>0</v>
      </c>
      <c r="AT58" s="249">
        <f>IF(AT20&gt;0,'Hours Per Job'!AT20,0)</f>
        <v>0.2</v>
      </c>
      <c r="AU58" s="249">
        <f>IF(AU20&gt;0,'Hours Per Job'!AU20,0)</f>
        <v>0</v>
      </c>
      <c r="AV58" s="249">
        <f>IF(AV20&gt;0,'Hours Per Job'!AV20,0)</f>
        <v>0</v>
      </c>
      <c r="AW58" s="249">
        <f>IF(AW20&gt;0,'Hours Per Job'!AW20,0)</f>
        <v>0</v>
      </c>
      <c r="AX58" s="249">
        <f>IF(AX20&gt;0,'Hours Per Job'!AX20,0)</f>
        <v>0</v>
      </c>
      <c r="AY58" s="249">
        <f>IF(AY20&gt;0,'Hours Per Job'!AY20,0)</f>
        <v>0</v>
      </c>
      <c r="AZ58" s="249">
        <f>IF(AZ20&gt;0,'Hours Per Job'!AZ20,0)</f>
        <v>0</v>
      </c>
      <c r="BA58" s="249">
        <f>IF(BA20&gt;0,'Hours Per Job'!BA20,0)</f>
        <v>0</v>
      </c>
      <c r="BB58" s="249">
        <f>IF(BB20&gt;0,'Hours Per Job'!BB20,0)</f>
        <v>0</v>
      </c>
      <c r="BC58" s="249">
        <f>IF(BC20&gt;0,'Hours Per Job'!BC20,0)</f>
        <v>0</v>
      </c>
      <c r="BD58" s="249">
        <f>IF(BD20&gt;0,'Hours Per Job'!BD20,0)</f>
        <v>0</v>
      </c>
      <c r="BE58" s="249">
        <f>IF(BE20&gt;0,'Hours Per Job'!BE20,0)</f>
        <v>0</v>
      </c>
      <c r="BF58" s="249">
        <f>IF(BF20&gt;0,'Hours Per Job'!BF20,0)</f>
        <v>0</v>
      </c>
      <c r="BG58" s="249">
        <f>IF(BG20&gt;0,'Hours Per Job'!BG20,0)</f>
        <v>0</v>
      </c>
      <c r="BH58" s="249">
        <f>IF(BH20&gt;0,'Hours Per Job'!BH20,0)</f>
        <v>0</v>
      </c>
      <c r="BI58" s="249">
        <f>IF(BI20&gt;0,'Hours Per Job'!BI20,0)</f>
        <v>0</v>
      </c>
      <c r="BJ58" s="249">
        <f>IF(BJ20&gt;0,'Hours Per Job'!BJ20,0)</f>
        <v>0.25</v>
      </c>
      <c r="BK58" s="249">
        <f>IF(BK20&gt;0,'Hours Per Job'!BK20,0)</f>
        <v>0</v>
      </c>
      <c r="BL58" s="249">
        <f>IF(BL20&gt;0,'Hours Per Job'!BL20,0)</f>
        <v>0</v>
      </c>
      <c r="BM58" s="249">
        <f>IF(BM20&gt;0,'Hours Per Job'!BM20,0)</f>
        <v>0</v>
      </c>
      <c r="BN58" s="249">
        <f>IF(BN20&gt;0,'Hours Per Job'!BN20,0)</f>
        <v>0</v>
      </c>
      <c r="BO58" s="249">
        <f>IF(BO20&gt;0,'Hours Per Job'!BO20,0)</f>
        <v>0</v>
      </c>
      <c r="BP58" s="249">
        <f>IF(BP20&gt;0,'Hours Per Job'!BP20,0)</f>
        <v>0</v>
      </c>
      <c r="BQ58" s="248">
        <f t="shared" si="5"/>
        <v>3.45</v>
      </c>
      <c r="BR58" s="248"/>
    </row>
    <row r="59" spans="1:70" x14ac:dyDescent="0.2">
      <c r="A59" s="248" t="str">
        <f t="shared" si="4"/>
        <v>Takeuchi TL 8/10/12</v>
      </c>
      <c r="B59" s="249">
        <f>IF(B21&gt;0,'Hours Per Job'!B21,0)</f>
        <v>0</v>
      </c>
      <c r="C59" s="249">
        <f>IF(C21&gt;0,'Hours Per Job'!C21,0)</f>
        <v>0</v>
      </c>
      <c r="D59" s="249">
        <f>IF(D21&gt;0,'Hours Per Job'!D21,0)</f>
        <v>0</v>
      </c>
      <c r="E59" s="249">
        <f>IF(E21&gt;0,'Hours Per Job'!E21,0)</f>
        <v>0</v>
      </c>
      <c r="F59" s="249">
        <f>IF(F21&gt;0,'Hours Per Job'!F21,0)</f>
        <v>0</v>
      </c>
      <c r="G59" s="249">
        <f>IF(G21&gt;0,'Hours Per Job'!G21,0)</f>
        <v>0</v>
      </c>
      <c r="H59" s="249">
        <f>IF(H21&gt;0,'Hours Per Job'!H21,0)</f>
        <v>0</v>
      </c>
      <c r="I59" s="249">
        <f>IF(I21&gt;0,'Hours Per Job'!I21,0)</f>
        <v>0</v>
      </c>
      <c r="J59" s="249">
        <f>IF(J21&gt;0,'Hours Per Job'!J21,0)</f>
        <v>0</v>
      </c>
      <c r="K59" s="249">
        <f>IF(K21&gt;0,'Hours Per Job'!K21,0)</f>
        <v>0</v>
      </c>
      <c r="L59" s="249">
        <f>IF(L21&gt;0,'Hours Per Job'!L21,0)</f>
        <v>0</v>
      </c>
      <c r="M59" s="249">
        <f>IF(M21&gt;0,'Hours Per Job'!M21,0)</f>
        <v>0</v>
      </c>
      <c r="N59" s="249">
        <f>IF(N21&gt;0,'Hours Per Job'!N21,0)</f>
        <v>0</v>
      </c>
      <c r="O59" s="249">
        <f>IF(O21&gt;0,'Hours Per Job'!O21,0)</f>
        <v>0</v>
      </c>
      <c r="P59" s="249">
        <f>IF(P21&gt;0,'Hours Per Job'!P21,0)</f>
        <v>0</v>
      </c>
      <c r="Q59" s="249">
        <f>IF(Q21&gt;0,'Hours Per Job'!Q21,0)</f>
        <v>0</v>
      </c>
      <c r="R59" s="249">
        <f>IF(R21&gt;0,'Hours Per Job'!R21,0)</f>
        <v>0</v>
      </c>
      <c r="S59" s="249">
        <f>IF(S21&gt;0,'Hours Per Job'!S21,0)</f>
        <v>0</v>
      </c>
      <c r="T59" s="249">
        <f>IF(T21&gt;0,'Hours Per Job'!T21,0)</f>
        <v>0</v>
      </c>
      <c r="U59" s="249">
        <f>IF(U21&gt;0,'Hours Per Job'!U21,0)</f>
        <v>0.7</v>
      </c>
      <c r="V59" s="249">
        <f>IF(V21&gt;0,'Hours Per Job'!V21,0)</f>
        <v>0</v>
      </c>
      <c r="W59" s="249">
        <f>IF(W21&gt;0,'Hours Per Job'!W21,0)</f>
        <v>0.1</v>
      </c>
      <c r="X59" s="249">
        <f>IF(X21&gt;0,'Hours Per Job'!X21,0)</f>
        <v>0</v>
      </c>
      <c r="Y59" s="249">
        <f>IF(Y21&gt;0,'Hours Per Job'!Y21,0)</f>
        <v>0</v>
      </c>
      <c r="Z59" s="249">
        <f>IF(Z21&gt;0,'Hours Per Job'!Z21,0)</f>
        <v>0.3</v>
      </c>
      <c r="AA59" s="249">
        <f>IF(AA21&gt;0,'Hours Per Job'!AA21,0)</f>
        <v>0</v>
      </c>
      <c r="AB59" s="249">
        <f>IF(AB21&gt;0,'Hours Per Job'!AB21,0)</f>
        <v>0</v>
      </c>
      <c r="AC59" s="249">
        <f>IF(AC21&gt;0,'Hours Per Job'!AC21,0)</f>
        <v>0</v>
      </c>
      <c r="AD59" s="249">
        <f>IF(AD21&gt;0,'Hours Per Job'!AD21,0)</f>
        <v>0</v>
      </c>
      <c r="AE59" s="249">
        <f>IF(AE21&gt;0,'Hours Per Job'!AE21,0)</f>
        <v>0</v>
      </c>
      <c r="AF59" s="249">
        <f>IF(AF21&gt;0,'Hours Per Job'!AF21,0)</f>
        <v>0</v>
      </c>
      <c r="AG59" s="249">
        <f>IF(AG21&gt;0,'Hours Per Job'!AG21,0)</f>
        <v>0.5</v>
      </c>
      <c r="AH59" s="249">
        <f>IF(AH21&gt;0,'Hours Per Job'!AH21,0)</f>
        <v>0.5</v>
      </c>
      <c r="AI59" s="249">
        <f>IF(AI21&gt;0,'Hours Per Job'!AI21,0)</f>
        <v>0</v>
      </c>
      <c r="AJ59" s="249">
        <f>IF(AJ21&gt;0,'Hours Per Job'!AJ21,0)</f>
        <v>0</v>
      </c>
      <c r="AK59" s="249">
        <f>IF(AK21&gt;0,'Hours Per Job'!AK21,0)</f>
        <v>0</v>
      </c>
      <c r="AL59" s="249">
        <f>IF(AL21&gt;0,'Hours Per Job'!AL21,0)</f>
        <v>1</v>
      </c>
      <c r="AM59" s="249">
        <f>IF(AM21&gt;0,'Hours Per Job'!AM21,0)</f>
        <v>0</v>
      </c>
      <c r="AN59" s="249">
        <f>IF(AN21&gt;0,'Hours Per Job'!AN21,0)</f>
        <v>0</v>
      </c>
      <c r="AO59" s="249">
        <f>IF(AO21&gt;0,'Hours Per Job'!AO21,0)</f>
        <v>0</v>
      </c>
      <c r="AP59" s="249">
        <f>IF(AP21&gt;0,'Hours Per Job'!AP21,0)</f>
        <v>0.7</v>
      </c>
      <c r="AQ59" s="249">
        <f>IF(AQ21&gt;0,'Hours Per Job'!AQ21,0)</f>
        <v>0.2</v>
      </c>
      <c r="AR59" s="249">
        <f>IF(AR21&gt;0,'Hours Per Job'!AR21,0)</f>
        <v>0</v>
      </c>
      <c r="AS59" s="249">
        <f>IF(AS21&gt;0,'Hours Per Job'!AS21,0)</f>
        <v>0</v>
      </c>
      <c r="AT59" s="249">
        <f>IF(AT21&gt;0,'Hours Per Job'!AT21,0)</f>
        <v>0.5</v>
      </c>
      <c r="AU59" s="249">
        <f>IF(AU21&gt;0,'Hours Per Job'!AU21,0)</f>
        <v>0</v>
      </c>
      <c r="AV59" s="249">
        <f>IF(AV21&gt;0,'Hours Per Job'!AV21,0)</f>
        <v>0</v>
      </c>
      <c r="AW59" s="249">
        <f>IF(AW21&gt;0,'Hours Per Job'!AW21,0)</f>
        <v>0</v>
      </c>
      <c r="AX59" s="249">
        <f>IF(AX21&gt;0,'Hours Per Job'!AX21,0)</f>
        <v>0</v>
      </c>
      <c r="AY59" s="249">
        <f>IF(AY21&gt;0,'Hours Per Job'!AY21,0)</f>
        <v>0</v>
      </c>
      <c r="AZ59" s="249">
        <f>IF(AZ21&gt;0,'Hours Per Job'!AZ21,0)</f>
        <v>0</v>
      </c>
      <c r="BA59" s="249">
        <f>IF(BA21&gt;0,'Hours Per Job'!BA21,0)</f>
        <v>0</v>
      </c>
      <c r="BB59" s="249">
        <f>IF(BB21&gt;0,'Hours Per Job'!BB21,0)</f>
        <v>0.1</v>
      </c>
      <c r="BC59" s="249">
        <f>IF(BC21&gt;0,'Hours Per Job'!BC21,0)</f>
        <v>0</v>
      </c>
      <c r="BD59" s="249">
        <f>IF(BD21&gt;0,'Hours Per Job'!BD21,0)</f>
        <v>0</v>
      </c>
      <c r="BE59" s="249">
        <f>IF(BE21&gt;0,'Hours Per Job'!BE21,0)</f>
        <v>0</v>
      </c>
      <c r="BF59" s="249">
        <f>IF(BF21&gt;0,'Hours Per Job'!BF21,0)</f>
        <v>0</v>
      </c>
      <c r="BG59" s="249">
        <f>IF(BG21&gt;0,'Hours Per Job'!BG21,0)</f>
        <v>0</v>
      </c>
      <c r="BH59" s="249">
        <f>IF(BH21&gt;0,'Hours Per Job'!BH21,0)</f>
        <v>0</v>
      </c>
      <c r="BI59" s="249">
        <f>IF(BI21&gt;0,'Hours Per Job'!BI21,0)</f>
        <v>0</v>
      </c>
      <c r="BJ59" s="249">
        <f>IF(BJ21&gt;0,'Hours Per Job'!BJ21,0)</f>
        <v>0.25</v>
      </c>
      <c r="BK59" s="249">
        <f>IF(BK21&gt;0,'Hours Per Job'!BK21,0)</f>
        <v>0</v>
      </c>
      <c r="BL59" s="249">
        <f>IF(BL21&gt;0,'Hours Per Job'!BL21,0)</f>
        <v>0</v>
      </c>
      <c r="BM59" s="249">
        <f>IF(BM21&gt;0,'Hours Per Job'!BM21,0)</f>
        <v>0</v>
      </c>
      <c r="BN59" s="249">
        <f>IF(BN21&gt;0,'Hours Per Job'!BN21,0)</f>
        <v>0</v>
      </c>
      <c r="BO59" s="249">
        <f>IF(BO21&gt;0,'Hours Per Job'!BO21,0)</f>
        <v>0</v>
      </c>
      <c r="BP59" s="249">
        <f>IF(BP21&gt;0,'Hours Per Job'!BP21,0)</f>
        <v>0</v>
      </c>
      <c r="BQ59" s="248">
        <f t="shared" si="5"/>
        <v>4.8499999999999996</v>
      </c>
      <c r="BR59" s="248"/>
    </row>
    <row r="60" spans="1:70" x14ac:dyDescent="0.2">
      <c r="A60" s="248" t="str">
        <f t="shared" si="4"/>
        <v>Takeuchi 228-235-250</v>
      </c>
      <c r="B60" s="249">
        <f>IF(B22&gt;0,'Hours Per Job'!B22,0)</f>
        <v>0</v>
      </c>
      <c r="C60" s="249">
        <f>IF(C22&gt;0,'Hours Per Job'!C22,0)</f>
        <v>0</v>
      </c>
      <c r="D60" s="249">
        <f>IF(D22&gt;0,'Hours Per Job'!D22,0)</f>
        <v>0</v>
      </c>
      <c r="E60" s="249">
        <f>IF(E22&gt;0,'Hours Per Job'!E22,0)</f>
        <v>0</v>
      </c>
      <c r="F60" s="249">
        <f>IF(F22&gt;0,'Hours Per Job'!F22,0)</f>
        <v>0</v>
      </c>
      <c r="G60" s="249">
        <f>IF(G22&gt;0,'Hours Per Job'!G22,0)</f>
        <v>0</v>
      </c>
      <c r="H60" s="249">
        <f>IF(H22&gt;0,'Hours Per Job'!H22,0)</f>
        <v>0</v>
      </c>
      <c r="I60" s="249">
        <f>IF(I22&gt;0,'Hours Per Job'!I22,0)</f>
        <v>0</v>
      </c>
      <c r="J60" s="249">
        <f>IF(J22&gt;0,'Hours Per Job'!J22,0)</f>
        <v>0</v>
      </c>
      <c r="K60" s="249">
        <f>IF(K22&gt;0,'Hours Per Job'!K22,0)</f>
        <v>0</v>
      </c>
      <c r="L60" s="249">
        <f>IF(L22&gt;0,'Hours Per Job'!L22,0)</f>
        <v>0</v>
      </c>
      <c r="M60" s="249">
        <f>IF(M22&gt;0,'Hours Per Job'!M22,0)</f>
        <v>0</v>
      </c>
      <c r="N60" s="249">
        <f>IF(N22&gt;0,'Hours Per Job'!N22,0)</f>
        <v>0</v>
      </c>
      <c r="O60" s="249">
        <f>IF(O22&gt;0,'Hours Per Job'!O22,0)</f>
        <v>0</v>
      </c>
      <c r="P60" s="249">
        <f>IF(P22&gt;0,'Hours Per Job'!P22,0)</f>
        <v>0</v>
      </c>
      <c r="Q60" s="249">
        <f>IF(Q22&gt;0,'Hours Per Job'!Q22,0)</f>
        <v>0</v>
      </c>
      <c r="R60" s="249">
        <f>IF(R22&gt;0,'Hours Per Job'!R22,0)</f>
        <v>0</v>
      </c>
      <c r="S60" s="249">
        <f>IF(S22&gt;0,'Hours Per Job'!S22,0)</f>
        <v>0</v>
      </c>
      <c r="T60" s="249">
        <f>IF(T22&gt;0,'Hours Per Job'!T22,0)</f>
        <v>0</v>
      </c>
      <c r="U60" s="249">
        <f>IF(U22&gt;0,'Hours Per Job'!U22,0)</f>
        <v>0.7</v>
      </c>
      <c r="V60" s="249">
        <f>IF(V22&gt;0,'Hours Per Job'!V22,0)</f>
        <v>0</v>
      </c>
      <c r="W60" s="249">
        <f>IF(W22&gt;0,'Hours Per Job'!W22,0)</f>
        <v>0</v>
      </c>
      <c r="X60" s="249">
        <f>IF(X22&gt;0,'Hours Per Job'!X22,0)</f>
        <v>0.2</v>
      </c>
      <c r="Y60" s="249">
        <f>IF(Y22&gt;0,'Hours Per Job'!Y22,0)</f>
        <v>0</v>
      </c>
      <c r="Z60" s="249">
        <f>IF(Z22&gt;0,'Hours Per Job'!Z22,0)</f>
        <v>0.3</v>
      </c>
      <c r="AA60" s="249">
        <f>IF(AA22&gt;0,'Hours Per Job'!AA22,0)</f>
        <v>0</v>
      </c>
      <c r="AB60" s="249">
        <f>IF(AB22&gt;0,'Hours Per Job'!AB22,0)</f>
        <v>0</v>
      </c>
      <c r="AC60" s="249">
        <f>IF(AC22&gt;0,'Hours Per Job'!AC22,0)</f>
        <v>0</v>
      </c>
      <c r="AD60" s="249">
        <f>IF(AD22&gt;0,'Hours Per Job'!AD22,0)</f>
        <v>0</v>
      </c>
      <c r="AE60" s="249">
        <f>IF(AE22&gt;0,'Hours Per Job'!AE22,0)</f>
        <v>0</v>
      </c>
      <c r="AF60" s="249">
        <f>IF(AF22&gt;0,'Hours Per Job'!AF22,0)</f>
        <v>0</v>
      </c>
      <c r="AG60" s="249">
        <f>IF(AG22&gt;0,'Hours Per Job'!AG22,0)</f>
        <v>0</v>
      </c>
      <c r="AH60" s="249">
        <f>IF(AH22&gt;0,'Hours Per Job'!AH22,0)</f>
        <v>0</v>
      </c>
      <c r="AI60" s="249">
        <f>IF(AI22&gt;0,'Hours Per Job'!AI22,0)</f>
        <v>0</v>
      </c>
      <c r="AJ60" s="249">
        <f>IF(AJ22&gt;0,'Hours Per Job'!AJ22,0)</f>
        <v>0</v>
      </c>
      <c r="AK60" s="249">
        <f>IF(AK22&gt;0,'Hours Per Job'!AK22,0)</f>
        <v>0</v>
      </c>
      <c r="AL60" s="249">
        <f>IF(AL22&gt;0,'Hours Per Job'!AL22,0)</f>
        <v>0</v>
      </c>
      <c r="AM60" s="249">
        <f>IF(AM22&gt;0,'Hours Per Job'!AM22,0)</f>
        <v>0</v>
      </c>
      <c r="AN60" s="249">
        <f>IF(AN22&gt;0,'Hours Per Job'!AN22,0)</f>
        <v>0</v>
      </c>
      <c r="AO60" s="249">
        <f>IF(AO22&gt;0,'Hours Per Job'!AO22,0)</f>
        <v>0</v>
      </c>
      <c r="AP60" s="249">
        <f>IF(AP22&gt;0,'Hours Per Job'!AP22,0)</f>
        <v>0.7</v>
      </c>
      <c r="AQ60" s="249">
        <f>IF(AQ22&gt;0,'Hours Per Job'!AQ22,0)</f>
        <v>0</v>
      </c>
      <c r="AR60" s="249">
        <f>IF(AR22&gt;0,'Hours Per Job'!AR22,0)</f>
        <v>0</v>
      </c>
      <c r="AS60" s="249">
        <f>IF(AS22&gt;0,'Hours Per Job'!AS22,0)</f>
        <v>0</v>
      </c>
      <c r="AT60" s="249">
        <f>IF(AT22&gt;0,'Hours Per Job'!AT22,0)</f>
        <v>0.5</v>
      </c>
      <c r="AU60" s="249">
        <f>IF(AU22&gt;0,'Hours Per Job'!AU22,0)</f>
        <v>0</v>
      </c>
      <c r="AV60" s="249">
        <f>IF(AV22&gt;0,'Hours Per Job'!AV22,0)</f>
        <v>0</v>
      </c>
      <c r="AW60" s="249">
        <f>IF(AW22&gt;0,'Hours Per Job'!AW22,0)</f>
        <v>0</v>
      </c>
      <c r="AX60" s="249">
        <f>IF(AX22&gt;0,'Hours Per Job'!AX22,0)</f>
        <v>0</v>
      </c>
      <c r="AY60" s="249">
        <f>IF(AY22&gt;0,'Hours Per Job'!AY22,0)</f>
        <v>0</v>
      </c>
      <c r="AZ60" s="249">
        <f>IF(AZ22&gt;0,'Hours Per Job'!AZ22,0)</f>
        <v>0</v>
      </c>
      <c r="BA60" s="249">
        <f>IF(BA22&gt;0,'Hours Per Job'!BA22,0)</f>
        <v>0</v>
      </c>
      <c r="BB60" s="249">
        <f>IF(BB22&gt;0,'Hours Per Job'!BB22,0)</f>
        <v>0</v>
      </c>
      <c r="BC60" s="249">
        <f>IF(BC22&gt;0,'Hours Per Job'!BC22,0)</f>
        <v>0</v>
      </c>
      <c r="BD60" s="249">
        <f>IF(BD22&gt;0,'Hours Per Job'!BD22,0)</f>
        <v>0</v>
      </c>
      <c r="BE60" s="249">
        <f>IF(BE22&gt;0,'Hours Per Job'!BE22,0)</f>
        <v>0</v>
      </c>
      <c r="BF60" s="249">
        <f>IF(BF22&gt;0,'Hours Per Job'!BF22,0)</f>
        <v>0</v>
      </c>
      <c r="BG60" s="249">
        <f>IF(BG22&gt;0,'Hours Per Job'!BG22,0)</f>
        <v>0</v>
      </c>
      <c r="BH60" s="249">
        <f>IF(BH22&gt;0,'Hours Per Job'!BH22,0)</f>
        <v>0</v>
      </c>
      <c r="BI60" s="249">
        <f>IF(BI22&gt;0,'Hours Per Job'!BI22,0)</f>
        <v>0</v>
      </c>
      <c r="BJ60" s="249">
        <f>IF(BJ22&gt;0,'Hours Per Job'!BJ22,0)</f>
        <v>0.25</v>
      </c>
      <c r="BK60" s="249">
        <f>IF(BK22&gt;0,'Hours Per Job'!BK22,0)</f>
        <v>0</v>
      </c>
      <c r="BL60" s="249">
        <f>IF(BL22&gt;0,'Hours Per Job'!BL22,0)</f>
        <v>0</v>
      </c>
      <c r="BM60" s="249">
        <f>IF(BM22&gt;0,'Hours Per Job'!BM22,0)</f>
        <v>0</v>
      </c>
      <c r="BN60" s="249">
        <f>IF(BN22&gt;0,'Hours Per Job'!BN22,0)</f>
        <v>0</v>
      </c>
      <c r="BO60" s="249">
        <f>IF(BO22&gt;0,'Hours Per Job'!BO22,0)</f>
        <v>0</v>
      </c>
      <c r="BP60" s="249">
        <f>IF(BP22&gt;0,'Hours Per Job'!BP22,0)</f>
        <v>0</v>
      </c>
      <c r="BQ60" s="248">
        <f t="shared" si="5"/>
        <v>2.65</v>
      </c>
      <c r="BR60" s="248"/>
    </row>
    <row r="61" spans="1:70" x14ac:dyDescent="0.2">
      <c r="A61" s="248" t="str">
        <f t="shared" si="4"/>
        <v>Takeuchi 260</v>
      </c>
      <c r="B61" s="249">
        <f>IF(B23&gt;0,'Hours Per Job'!B23,0)</f>
        <v>0</v>
      </c>
      <c r="C61" s="249">
        <f>IF(C23&gt;0,'Hours Per Job'!C23,0)</f>
        <v>0</v>
      </c>
      <c r="D61" s="249">
        <f>IF(D23&gt;0,'Hours Per Job'!D23,0)</f>
        <v>0</v>
      </c>
      <c r="E61" s="249">
        <f>IF(E23&gt;0,'Hours Per Job'!E23,0)</f>
        <v>0</v>
      </c>
      <c r="F61" s="249">
        <f>IF(F23&gt;0,'Hours Per Job'!F23,0)</f>
        <v>0</v>
      </c>
      <c r="G61" s="249">
        <f>IF(G23&gt;0,'Hours Per Job'!G23,0)</f>
        <v>0</v>
      </c>
      <c r="H61" s="249">
        <f>IF(H23&gt;0,'Hours Per Job'!H23,0)</f>
        <v>0</v>
      </c>
      <c r="I61" s="249">
        <f>IF(I23&gt;0,'Hours Per Job'!I23,0)</f>
        <v>0</v>
      </c>
      <c r="J61" s="249">
        <f>IF(J23&gt;0,'Hours Per Job'!J23,0)</f>
        <v>0</v>
      </c>
      <c r="K61" s="249">
        <f>IF(K23&gt;0,'Hours Per Job'!K23,0)</f>
        <v>0</v>
      </c>
      <c r="L61" s="249">
        <f>IF(L23&gt;0,'Hours Per Job'!L23,0)</f>
        <v>0</v>
      </c>
      <c r="M61" s="249">
        <f>IF(M23&gt;0,'Hours Per Job'!M23,0)</f>
        <v>0</v>
      </c>
      <c r="N61" s="249">
        <f>IF(N23&gt;0,'Hours Per Job'!N23,0)</f>
        <v>0</v>
      </c>
      <c r="O61" s="249">
        <f>IF(O23&gt;0,'Hours Per Job'!O23,0)</f>
        <v>0</v>
      </c>
      <c r="P61" s="249">
        <f>IF(P23&gt;0,'Hours Per Job'!P23,0)</f>
        <v>0</v>
      </c>
      <c r="Q61" s="249">
        <f>IF(Q23&gt;0,'Hours Per Job'!Q23,0)</f>
        <v>0</v>
      </c>
      <c r="R61" s="249">
        <f>IF(R23&gt;0,'Hours Per Job'!R23,0)</f>
        <v>0</v>
      </c>
      <c r="S61" s="249">
        <f>IF(S23&gt;0,'Hours Per Job'!S23,0)</f>
        <v>0</v>
      </c>
      <c r="T61" s="249">
        <f>IF(T23&gt;0,'Hours Per Job'!T23,0)</f>
        <v>0</v>
      </c>
      <c r="U61" s="249">
        <f>IF(U23&gt;0,'Hours Per Job'!U23,0)</f>
        <v>0.7</v>
      </c>
      <c r="V61" s="249">
        <f>IF(V23&gt;0,'Hours Per Job'!V23,0)</f>
        <v>0</v>
      </c>
      <c r="W61" s="249">
        <f>IF(W23&gt;0,'Hours Per Job'!W23,0)</f>
        <v>0</v>
      </c>
      <c r="X61" s="249">
        <f>IF(X23&gt;0,'Hours Per Job'!X23,0)</f>
        <v>0.2</v>
      </c>
      <c r="Y61" s="249">
        <f>IF(Y23&gt;0,'Hours Per Job'!Y23,0)</f>
        <v>0</v>
      </c>
      <c r="Z61" s="249">
        <f>IF(Z23&gt;0,'Hours Per Job'!Z23,0)</f>
        <v>0.3</v>
      </c>
      <c r="AA61" s="249">
        <f>IF(AA23&gt;0,'Hours Per Job'!AA23,0)</f>
        <v>0</v>
      </c>
      <c r="AB61" s="249">
        <f>IF(AB23&gt;0,'Hours Per Job'!AB23,0)</f>
        <v>0</v>
      </c>
      <c r="AC61" s="249">
        <f>IF(AC23&gt;0,'Hours Per Job'!AC23,0)</f>
        <v>0</v>
      </c>
      <c r="AD61" s="249">
        <f>IF(AD23&gt;0,'Hours Per Job'!AD23,0)</f>
        <v>0</v>
      </c>
      <c r="AE61" s="249">
        <f>IF(AE23&gt;0,'Hours Per Job'!AE23,0)</f>
        <v>0</v>
      </c>
      <c r="AF61" s="249">
        <f>IF(AF23&gt;0,'Hours Per Job'!AF23,0)</f>
        <v>0</v>
      </c>
      <c r="AG61" s="249">
        <f>IF(AG23&gt;0,'Hours Per Job'!AG23,0)</f>
        <v>0</v>
      </c>
      <c r="AH61" s="249">
        <f>IF(AH23&gt;0,'Hours Per Job'!AH23,0)</f>
        <v>0</v>
      </c>
      <c r="AI61" s="249">
        <f>IF(AI23&gt;0,'Hours Per Job'!AI23,0)</f>
        <v>0</v>
      </c>
      <c r="AJ61" s="249">
        <f>IF(AJ23&gt;0,'Hours Per Job'!AJ23,0)</f>
        <v>0</v>
      </c>
      <c r="AK61" s="249">
        <f>IF(AK23&gt;0,'Hours Per Job'!AK23,0)</f>
        <v>0</v>
      </c>
      <c r="AL61" s="249">
        <f>IF(AL23&gt;0,'Hours Per Job'!AL23,0)</f>
        <v>0</v>
      </c>
      <c r="AM61" s="249">
        <f>IF(AM23&gt;0,'Hours Per Job'!AM23,0)</f>
        <v>0</v>
      </c>
      <c r="AN61" s="249">
        <f>IF(AN23&gt;0,'Hours Per Job'!AN23,0)</f>
        <v>0</v>
      </c>
      <c r="AO61" s="249">
        <f>IF(AO23&gt;0,'Hours Per Job'!AO23,0)</f>
        <v>0</v>
      </c>
      <c r="AP61" s="249">
        <f>IF(AP23&gt;0,'Hours Per Job'!AP23,0)</f>
        <v>0.7</v>
      </c>
      <c r="AQ61" s="249">
        <f>IF(AQ23&gt;0,'Hours Per Job'!AQ23,0)</f>
        <v>0</v>
      </c>
      <c r="AR61" s="249">
        <f>IF(AR23&gt;0,'Hours Per Job'!AR23,0)</f>
        <v>0</v>
      </c>
      <c r="AS61" s="249">
        <f>IF(AS23&gt;0,'Hours Per Job'!AS23,0)</f>
        <v>0</v>
      </c>
      <c r="AT61" s="249">
        <f>IF(AT23&gt;0,'Hours Per Job'!AT23,0)</f>
        <v>0.5</v>
      </c>
      <c r="AU61" s="249">
        <f>IF(AU23&gt;0,'Hours Per Job'!AU23,0)</f>
        <v>0</v>
      </c>
      <c r="AV61" s="249">
        <f>IF(AV23&gt;0,'Hours Per Job'!AV23,0)</f>
        <v>0</v>
      </c>
      <c r="AW61" s="249">
        <f>IF(AW23&gt;0,'Hours Per Job'!AW23,0)</f>
        <v>0</v>
      </c>
      <c r="AX61" s="249">
        <f>IF(AX23&gt;0,'Hours Per Job'!AX23,0)</f>
        <v>0</v>
      </c>
      <c r="AY61" s="249">
        <f>IF(AY23&gt;0,'Hours Per Job'!AY23,0)</f>
        <v>0</v>
      </c>
      <c r="AZ61" s="249">
        <f>IF(AZ23&gt;0,'Hours Per Job'!AZ23,0)</f>
        <v>0</v>
      </c>
      <c r="BA61" s="249">
        <f>IF(BA23&gt;0,'Hours Per Job'!BA23,0)</f>
        <v>0</v>
      </c>
      <c r="BB61" s="249">
        <f>IF(BB23&gt;0,'Hours Per Job'!BB23,0)</f>
        <v>0</v>
      </c>
      <c r="BC61" s="249">
        <f>IF(BC23&gt;0,'Hours Per Job'!BC23,0)</f>
        <v>0</v>
      </c>
      <c r="BD61" s="249">
        <f>IF(BD23&gt;0,'Hours Per Job'!BD23,0)</f>
        <v>0</v>
      </c>
      <c r="BE61" s="249">
        <f>IF(BE23&gt;0,'Hours Per Job'!BE23,0)</f>
        <v>0</v>
      </c>
      <c r="BF61" s="249">
        <f>IF(BF23&gt;0,'Hours Per Job'!BF23,0)</f>
        <v>0</v>
      </c>
      <c r="BG61" s="249">
        <f>IF(BG23&gt;0,'Hours Per Job'!BG23,0)</f>
        <v>0</v>
      </c>
      <c r="BH61" s="249">
        <f>IF(BH23&gt;0,'Hours Per Job'!BH23,0)</f>
        <v>0</v>
      </c>
      <c r="BI61" s="249">
        <f>IF(BI23&gt;0,'Hours Per Job'!BI23,0)</f>
        <v>0</v>
      </c>
      <c r="BJ61" s="249">
        <f>IF(BJ23&gt;0,'Hours Per Job'!BJ23,0)</f>
        <v>0.25</v>
      </c>
      <c r="BK61" s="249">
        <f>IF(BK23&gt;0,'Hours Per Job'!BK23,0)</f>
        <v>0</v>
      </c>
      <c r="BL61" s="249">
        <f>IF(BL23&gt;0,'Hours Per Job'!BL23,0)</f>
        <v>0</v>
      </c>
      <c r="BM61" s="249">
        <f>IF(BM23&gt;0,'Hours Per Job'!BM23,0)</f>
        <v>0</v>
      </c>
      <c r="BN61" s="249">
        <f>IF(BN23&gt;0,'Hours Per Job'!BN23,0)</f>
        <v>0</v>
      </c>
      <c r="BO61" s="249">
        <f>IF(BO23&gt;0,'Hours Per Job'!BO23,0)</f>
        <v>0</v>
      </c>
      <c r="BP61" s="249">
        <f>IF(BP23&gt;0,'Hours Per Job'!BP23,0)</f>
        <v>0</v>
      </c>
      <c r="BQ61" s="248">
        <f t="shared" si="5"/>
        <v>2.65</v>
      </c>
      <c r="BR61" s="248"/>
    </row>
    <row r="62" spans="1:70" x14ac:dyDescent="0.2">
      <c r="A62" s="248" t="str">
        <f t="shared" si="4"/>
        <v>Takeuchi 335</v>
      </c>
      <c r="B62" s="249">
        <f>IF(B24&gt;0,'Hours Per Job'!B24,0)</f>
        <v>0</v>
      </c>
      <c r="C62" s="249">
        <f>IF(C24&gt;0,'Hours Per Job'!C24,0)</f>
        <v>0</v>
      </c>
      <c r="D62" s="249">
        <f>IF(D24&gt;0,'Hours Per Job'!D24,0)</f>
        <v>0</v>
      </c>
      <c r="E62" s="249">
        <f>IF(E24&gt;0,'Hours Per Job'!E24,0)</f>
        <v>0</v>
      </c>
      <c r="F62" s="249">
        <f>IF(F24&gt;0,'Hours Per Job'!F24,0)</f>
        <v>0</v>
      </c>
      <c r="G62" s="249">
        <f>IF(G24&gt;0,'Hours Per Job'!G24,0)</f>
        <v>0</v>
      </c>
      <c r="H62" s="249">
        <f>IF(H24&gt;0,'Hours Per Job'!H24,0)</f>
        <v>0</v>
      </c>
      <c r="I62" s="249">
        <f>IF(I24&gt;0,'Hours Per Job'!I24,0)</f>
        <v>0</v>
      </c>
      <c r="J62" s="249">
        <f>IF(J24&gt;0,'Hours Per Job'!J24,0)</f>
        <v>0</v>
      </c>
      <c r="K62" s="249">
        <f>IF(K24&gt;0,'Hours Per Job'!K24,0)</f>
        <v>0</v>
      </c>
      <c r="L62" s="249">
        <f>IF(L24&gt;0,'Hours Per Job'!L24,0)</f>
        <v>0</v>
      </c>
      <c r="M62" s="249">
        <f>IF(M24&gt;0,'Hours Per Job'!M24,0)</f>
        <v>0</v>
      </c>
      <c r="N62" s="249">
        <f>IF(N24&gt;0,'Hours Per Job'!N24,0)</f>
        <v>0</v>
      </c>
      <c r="O62" s="249">
        <f>IF(O24&gt;0,'Hours Per Job'!O24,0)</f>
        <v>0</v>
      </c>
      <c r="P62" s="249">
        <f>IF(P24&gt;0,'Hours Per Job'!P24,0)</f>
        <v>0</v>
      </c>
      <c r="Q62" s="249">
        <f>IF(Q24&gt;0,'Hours Per Job'!Q24,0)</f>
        <v>0</v>
      </c>
      <c r="R62" s="249">
        <f>IF(R24&gt;0,'Hours Per Job'!R24,0)</f>
        <v>0</v>
      </c>
      <c r="S62" s="249">
        <f>IF(S24&gt;0,'Hours Per Job'!S24,0)</f>
        <v>0</v>
      </c>
      <c r="T62" s="249">
        <f>IF(T24&gt;0,'Hours Per Job'!T24,0)</f>
        <v>0</v>
      </c>
      <c r="U62" s="249">
        <f>IF(U24&gt;0,'Hours Per Job'!U24,0)</f>
        <v>0.7</v>
      </c>
      <c r="V62" s="249">
        <f>IF(V24&gt;0,'Hours Per Job'!V24,0)</f>
        <v>0</v>
      </c>
      <c r="W62" s="249">
        <f>IF(W24&gt;0,'Hours Per Job'!W24,0)</f>
        <v>0</v>
      </c>
      <c r="X62" s="249">
        <f>IF(X24&gt;0,'Hours Per Job'!X24,0)</f>
        <v>0.2</v>
      </c>
      <c r="Y62" s="249">
        <f>IF(Y24&gt;0,'Hours Per Job'!Y24,0)</f>
        <v>0</v>
      </c>
      <c r="Z62" s="249">
        <f>IF(Z24&gt;0,'Hours Per Job'!Z24,0)</f>
        <v>0.3</v>
      </c>
      <c r="AA62" s="249">
        <f>IF(AA24&gt;0,'Hours Per Job'!AA24,0)</f>
        <v>0</v>
      </c>
      <c r="AB62" s="249">
        <f>IF(AB24&gt;0,'Hours Per Job'!AB24,0)</f>
        <v>0</v>
      </c>
      <c r="AC62" s="249">
        <f>IF(AC24&gt;0,'Hours Per Job'!AC24,0)</f>
        <v>0</v>
      </c>
      <c r="AD62" s="249">
        <f>IF(AD24&gt;0,'Hours Per Job'!AD24,0)</f>
        <v>0</v>
      </c>
      <c r="AE62" s="249">
        <f>IF(AE24&gt;0,'Hours Per Job'!AE24,0)</f>
        <v>0</v>
      </c>
      <c r="AF62" s="249">
        <f>IF(AF24&gt;0,'Hours Per Job'!AF24,0)</f>
        <v>0</v>
      </c>
      <c r="AG62" s="249">
        <f>IF(AG24&gt;0,'Hours Per Job'!AG24,0)</f>
        <v>0</v>
      </c>
      <c r="AH62" s="249">
        <f>IF(AH24&gt;0,'Hours Per Job'!AH24,0)</f>
        <v>0</v>
      </c>
      <c r="AI62" s="249">
        <f>IF(AI24&gt;0,'Hours Per Job'!AI24,0)</f>
        <v>0</v>
      </c>
      <c r="AJ62" s="249">
        <f>IF(AJ24&gt;0,'Hours Per Job'!AJ24,0)</f>
        <v>0</v>
      </c>
      <c r="AK62" s="249">
        <f>IF(AK24&gt;0,'Hours Per Job'!AK24,0)</f>
        <v>0</v>
      </c>
      <c r="AL62" s="249">
        <f>IF(AL24&gt;0,'Hours Per Job'!AL24,0)</f>
        <v>0</v>
      </c>
      <c r="AM62" s="249">
        <f>IF(AM24&gt;0,'Hours Per Job'!AM24,0)</f>
        <v>0</v>
      </c>
      <c r="AN62" s="249">
        <f>IF(AN24&gt;0,'Hours Per Job'!AN24,0)</f>
        <v>0</v>
      </c>
      <c r="AO62" s="249">
        <f>IF(AO24&gt;0,'Hours Per Job'!AO24,0)</f>
        <v>0</v>
      </c>
      <c r="AP62" s="249">
        <f>IF(AP24&gt;0,'Hours Per Job'!AP24,0)</f>
        <v>0.7</v>
      </c>
      <c r="AQ62" s="249">
        <f>IF(AQ24&gt;0,'Hours Per Job'!AQ24,0)</f>
        <v>0</v>
      </c>
      <c r="AR62" s="249">
        <f>IF(AR24&gt;0,'Hours Per Job'!AR24,0)</f>
        <v>0</v>
      </c>
      <c r="AS62" s="249">
        <f>IF(AS24&gt;0,'Hours Per Job'!AS24,0)</f>
        <v>0</v>
      </c>
      <c r="AT62" s="249">
        <f>IF(AT24&gt;0,'Hours Per Job'!AT24,0)</f>
        <v>0.5</v>
      </c>
      <c r="AU62" s="249">
        <f>IF(AU24&gt;0,'Hours Per Job'!AU24,0)</f>
        <v>0</v>
      </c>
      <c r="AV62" s="249">
        <f>IF(AV24&gt;0,'Hours Per Job'!AV24,0)</f>
        <v>0</v>
      </c>
      <c r="AW62" s="249">
        <f>IF(AW24&gt;0,'Hours Per Job'!AW24,0)</f>
        <v>0</v>
      </c>
      <c r="AX62" s="249">
        <f>IF(AX24&gt;0,'Hours Per Job'!AX24,0)</f>
        <v>0</v>
      </c>
      <c r="AY62" s="249">
        <f>IF(AY24&gt;0,'Hours Per Job'!AY24,0)</f>
        <v>0</v>
      </c>
      <c r="AZ62" s="249">
        <f>IF(AZ24&gt;0,'Hours Per Job'!AZ24,0)</f>
        <v>1</v>
      </c>
      <c r="BA62" s="249">
        <f>IF(BA24&gt;0,'Hours Per Job'!BA24,0)</f>
        <v>0</v>
      </c>
      <c r="BB62" s="249">
        <f>IF(BB24&gt;0,'Hours Per Job'!BB24,0)</f>
        <v>0.1</v>
      </c>
      <c r="BC62" s="249">
        <f>IF(BC24&gt;0,'Hours Per Job'!BC24,0)</f>
        <v>0</v>
      </c>
      <c r="BD62" s="249">
        <f>IF(BD24&gt;0,'Hours Per Job'!BD24,0)</f>
        <v>0</v>
      </c>
      <c r="BE62" s="249">
        <f>IF(BE24&gt;0,'Hours Per Job'!BE24,0)</f>
        <v>0</v>
      </c>
      <c r="BF62" s="249">
        <f>IF(BF24&gt;0,'Hours Per Job'!BF24,0)</f>
        <v>0</v>
      </c>
      <c r="BG62" s="249">
        <f>IF(BG24&gt;0,'Hours Per Job'!BG24,0)</f>
        <v>0</v>
      </c>
      <c r="BH62" s="249">
        <f>IF(BH24&gt;0,'Hours Per Job'!BH24,0)</f>
        <v>0</v>
      </c>
      <c r="BI62" s="249">
        <f>IF(BI24&gt;0,'Hours Per Job'!BI24,0)</f>
        <v>0</v>
      </c>
      <c r="BJ62" s="249">
        <f>IF(BJ24&gt;0,'Hours Per Job'!BJ24,0)</f>
        <v>0.25</v>
      </c>
      <c r="BK62" s="249">
        <f>IF(BK24&gt;0,'Hours Per Job'!BK24,0)</f>
        <v>0</v>
      </c>
      <c r="BL62" s="249">
        <f>IF(BL24&gt;0,'Hours Per Job'!BL24,0)</f>
        <v>0</v>
      </c>
      <c r="BM62" s="249">
        <f>IF(BM24&gt;0,'Hours Per Job'!BM24,0)</f>
        <v>0</v>
      </c>
      <c r="BN62" s="249">
        <f>IF(BN24&gt;0,'Hours Per Job'!BN24,0)</f>
        <v>0</v>
      </c>
      <c r="BO62" s="249">
        <f>IF(BO24&gt;0,'Hours Per Job'!BO24,0)</f>
        <v>0</v>
      </c>
      <c r="BP62" s="249">
        <f>IF(BP24&gt;0,'Hours Per Job'!BP24,0)</f>
        <v>0</v>
      </c>
      <c r="BQ62" s="248">
        <f t="shared" si="5"/>
        <v>3.75</v>
      </c>
      <c r="BR62" s="248"/>
    </row>
    <row r="63" spans="1:70" x14ac:dyDescent="0.2">
      <c r="A63" s="248" t="str">
        <f t="shared" si="4"/>
        <v>Sany SY up to 35</v>
      </c>
      <c r="B63" s="249">
        <f>IF(B25&gt;0,'Hours Per Job'!B25,0)</f>
        <v>0</v>
      </c>
      <c r="C63" s="249">
        <f>IF(C25&gt;0,'Hours Per Job'!C25,0)</f>
        <v>0</v>
      </c>
      <c r="D63" s="249">
        <f>IF(D25&gt;0,'Hours Per Job'!D25,0)</f>
        <v>0</v>
      </c>
      <c r="E63" s="249">
        <f>IF(E25&gt;0,'Hours Per Job'!E25,0)</f>
        <v>0</v>
      </c>
      <c r="F63" s="249">
        <f>IF(F25&gt;0,'Hours Per Job'!F25,0)</f>
        <v>0</v>
      </c>
      <c r="G63" s="249">
        <f>IF(G25&gt;0,'Hours Per Job'!G25,0)</f>
        <v>0</v>
      </c>
      <c r="H63" s="249">
        <f>IF(H25&gt;0,'Hours Per Job'!H25,0)</f>
        <v>0</v>
      </c>
      <c r="I63" s="249">
        <f>IF(I25&gt;0,'Hours Per Job'!I25,0)</f>
        <v>0</v>
      </c>
      <c r="J63" s="249">
        <f>IF(J25&gt;0,'Hours Per Job'!J25,0)</f>
        <v>0</v>
      </c>
      <c r="K63" s="249">
        <f>IF(K25&gt;0,'Hours Per Job'!K25,0)</f>
        <v>0</v>
      </c>
      <c r="L63" s="249">
        <f>IF(L25&gt;0,'Hours Per Job'!L25,0)</f>
        <v>0</v>
      </c>
      <c r="M63" s="249">
        <f>IF(M25&gt;0,'Hours Per Job'!M25,0)</f>
        <v>0</v>
      </c>
      <c r="N63" s="249">
        <f>IF(N25&gt;0,'Hours Per Job'!N25,0)</f>
        <v>0</v>
      </c>
      <c r="O63" s="249">
        <f>IF(O25&gt;0,'Hours Per Job'!O25,0)</f>
        <v>0</v>
      </c>
      <c r="P63" s="249">
        <f>IF(P25&gt;0,'Hours Per Job'!P25,0)</f>
        <v>0</v>
      </c>
      <c r="Q63" s="249">
        <f>IF(Q25&gt;0,'Hours Per Job'!Q25,0)</f>
        <v>0</v>
      </c>
      <c r="R63" s="249">
        <f>IF(R25&gt;0,'Hours Per Job'!R25,0)</f>
        <v>0</v>
      </c>
      <c r="S63" s="249">
        <f>IF(S25&gt;0,'Hours Per Job'!S25,0)</f>
        <v>0</v>
      </c>
      <c r="T63" s="249">
        <f>IF(T25&gt;0,'Hours Per Job'!T25,0)</f>
        <v>0</v>
      </c>
      <c r="U63" s="249">
        <f>IF(U25&gt;0,'Hours Per Job'!U25,0)</f>
        <v>0.7</v>
      </c>
      <c r="V63" s="249">
        <f>IF(V25&gt;0,'Hours Per Job'!V25,0)</f>
        <v>0</v>
      </c>
      <c r="W63" s="249">
        <f>IF(W25&gt;0,'Hours Per Job'!W25,0)</f>
        <v>0</v>
      </c>
      <c r="X63" s="249">
        <f>IF(X25&gt;0,'Hours Per Job'!X25,0)</f>
        <v>0.2</v>
      </c>
      <c r="Y63" s="249">
        <f>IF(Y25&gt;0,'Hours Per Job'!Y25,0)</f>
        <v>0</v>
      </c>
      <c r="Z63" s="249">
        <f>IF(Z25&gt;0,'Hours Per Job'!Z25,0)</f>
        <v>0.3</v>
      </c>
      <c r="AA63" s="249">
        <f>IF(AA25&gt;0,'Hours Per Job'!AA25,0)</f>
        <v>0</v>
      </c>
      <c r="AB63" s="249">
        <f>IF(AB25&gt;0,'Hours Per Job'!AB25,0)</f>
        <v>0</v>
      </c>
      <c r="AC63" s="249">
        <f>IF(AC25&gt;0,'Hours Per Job'!AC25,0)</f>
        <v>0</v>
      </c>
      <c r="AD63" s="249">
        <f>IF(AD25&gt;0,'Hours Per Job'!AD25,0)</f>
        <v>0</v>
      </c>
      <c r="AE63" s="249">
        <f>IF(AE25&gt;0,'Hours Per Job'!AE25,0)</f>
        <v>0</v>
      </c>
      <c r="AF63" s="249">
        <f>IF(AF25&gt;0,'Hours Per Job'!AF25,0)</f>
        <v>0</v>
      </c>
      <c r="AG63" s="249">
        <f>IF(AG25&gt;0,'Hours Per Job'!AG25,0)</f>
        <v>0</v>
      </c>
      <c r="AH63" s="249">
        <f>IF(AH25&gt;0,'Hours Per Job'!AH25,0)</f>
        <v>0</v>
      </c>
      <c r="AI63" s="249">
        <f>IF(AI25&gt;0,'Hours Per Job'!AI25,0)</f>
        <v>0</v>
      </c>
      <c r="AJ63" s="249">
        <f>IF(AJ25&gt;0,'Hours Per Job'!AJ25,0)</f>
        <v>0</v>
      </c>
      <c r="AK63" s="249">
        <f>IF(AK25&gt;0,'Hours Per Job'!AK25,0)</f>
        <v>1</v>
      </c>
      <c r="AL63" s="249">
        <f>IF(AL25&gt;0,'Hours Per Job'!AL25,0)</f>
        <v>0</v>
      </c>
      <c r="AM63" s="249">
        <f>IF(AM25&gt;0,'Hours Per Job'!AM25,0)</f>
        <v>0</v>
      </c>
      <c r="AN63" s="249">
        <f>IF(AN25&gt;0,'Hours Per Job'!AN25,0)</f>
        <v>0</v>
      </c>
      <c r="AO63" s="249">
        <f>IF(AO25&gt;0,'Hours Per Job'!AO25,0)</f>
        <v>0</v>
      </c>
      <c r="AP63" s="249">
        <f>IF(AP25&gt;0,'Hours Per Job'!AP25,0)</f>
        <v>0</v>
      </c>
      <c r="AQ63" s="249">
        <f>IF(AQ25&gt;0,'Hours Per Job'!AQ25,0)</f>
        <v>0</v>
      </c>
      <c r="AR63" s="249">
        <f>IF(AR25&gt;0,'Hours Per Job'!AR25,0)</f>
        <v>0</v>
      </c>
      <c r="AS63" s="249">
        <f>IF(AS25&gt;0,'Hours Per Job'!AS25,0)</f>
        <v>0</v>
      </c>
      <c r="AT63" s="249">
        <f>IF(AT25&gt;0,'Hours Per Job'!AT25,0)</f>
        <v>0.5</v>
      </c>
      <c r="AU63" s="249">
        <f>IF(AU25&gt;0,'Hours Per Job'!AU25,0)</f>
        <v>0</v>
      </c>
      <c r="AV63" s="249">
        <f>IF(AV25&gt;0,'Hours Per Job'!AV25,0)</f>
        <v>0</v>
      </c>
      <c r="AW63" s="249">
        <f>IF(AW25&gt;0,'Hours Per Job'!AW25,0)</f>
        <v>0</v>
      </c>
      <c r="AX63" s="249">
        <f>IF(AX25&gt;0,'Hours Per Job'!AX25,0)</f>
        <v>0</v>
      </c>
      <c r="AY63" s="249">
        <f>IF(AY25&gt;0,'Hours Per Job'!AY25,0)</f>
        <v>0</v>
      </c>
      <c r="AZ63" s="249">
        <f>IF(AZ25&gt;0,'Hours Per Job'!AZ25,0)</f>
        <v>0</v>
      </c>
      <c r="BA63" s="249">
        <f>IF(BA25&gt;0,'Hours Per Job'!BA25,0)</f>
        <v>0</v>
      </c>
      <c r="BB63" s="249">
        <f>IF(BB25&gt;0,'Hours Per Job'!BB25,0)</f>
        <v>0.1</v>
      </c>
      <c r="BC63" s="249">
        <f>IF(BC25&gt;0,'Hours Per Job'!BC25,0)</f>
        <v>0</v>
      </c>
      <c r="BD63" s="249">
        <f>IF(BD25&gt;0,'Hours Per Job'!BD25,0)</f>
        <v>0</v>
      </c>
      <c r="BE63" s="249">
        <f>IF(BE25&gt;0,'Hours Per Job'!BE25,0)</f>
        <v>0</v>
      </c>
      <c r="BF63" s="249">
        <f>IF(BF25&gt;0,'Hours Per Job'!BF25,0)</f>
        <v>0</v>
      </c>
      <c r="BG63" s="249">
        <f>IF(BG25&gt;0,'Hours Per Job'!BG25,0)</f>
        <v>0</v>
      </c>
      <c r="BH63" s="249">
        <f>IF(BH25&gt;0,'Hours Per Job'!BH25,0)</f>
        <v>0</v>
      </c>
      <c r="BI63" s="249">
        <f>IF(BI25&gt;0,'Hours Per Job'!BI25,0)</f>
        <v>0</v>
      </c>
      <c r="BJ63" s="249">
        <f>IF(BJ25&gt;0,'Hours Per Job'!BJ25,0)</f>
        <v>0.25</v>
      </c>
      <c r="BK63" s="249">
        <f>IF(BK25&gt;0,'Hours Per Job'!BK25,0)</f>
        <v>0</v>
      </c>
      <c r="BL63" s="249">
        <f>IF(BL25&gt;0,'Hours Per Job'!BL25,0)</f>
        <v>0</v>
      </c>
      <c r="BM63" s="249">
        <f>IF(BM25&gt;0,'Hours Per Job'!BM25,0)</f>
        <v>0</v>
      </c>
      <c r="BN63" s="249">
        <f>IF(BN25&gt;0,'Hours Per Job'!BN25,0)</f>
        <v>0</v>
      </c>
      <c r="BO63" s="249">
        <f>IF(BO25&gt;0,'Hours Per Job'!BO25,0)</f>
        <v>0</v>
      </c>
      <c r="BP63" s="249">
        <f>IF(BP25&gt;0,'Hours Per Job'!BP25,0)</f>
        <v>0</v>
      </c>
      <c r="BQ63" s="248">
        <f t="shared" si="5"/>
        <v>3.0500000000000003</v>
      </c>
      <c r="BR63" s="248"/>
    </row>
    <row r="64" spans="1:70" x14ac:dyDescent="0.2">
      <c r="A64" s="248" t="str">
        <f t="shared" si="4"/>
        <v>Sany SY up to 60</v>
      </c>
      <c r="B64" s="249">
        <f>IF(B26&gt;0,'Hours Per Job'!B26,0)</f>
        <v>0</v>
      </c>
      <c r="C64" s="249">
        <f>IF(C26&gt;0,'Hours Per Job'!C26,0)</f>
        <v>0</v>
      </c>
      <c r="D64" s="249">
        <f>IF(D26&gt;0,'Hours Per Job'!D26,0)</f>
        <v>0</v>
      </c>
      <c r="E64" s="249">
        <f>IF(E26&gt;0,'Hours Per Job'!E26,0)</f>
        <v>0</v>
      </c>
      <c r="F64" s="249">
        <f>IF(F26&gt;0,'Hours Per Job'!F26,0)</f>
        <v>0</v>
      </c>
      <c r="G64" s="249">
        <f>IF(G26&gt;0,'Hours Per Job'!G26,0)</f>
        <v>0</v>
      </c>
      <c r="H64" s="249">
        <f>IF(H26&gt;0,'Hours Per Job'!H26,0)</f>
        <v>0</v>
      </c>
      <c r="I64" s="249">
        <f>IF(I26&gt;0,'Hours Per Job'!I26,0)</f>
        <v>0</v>
      </c>
      <c r="J64" s="249">
        <f>IF(J26&gt;0,'Hours Per Job'!J26,0)</f>
        <v>0</v>
      </c>
      <c r="K64" s="249">
        <f>IF(K26&gt;0,'Hours Per Job'!K26,0)</f>
        <v>0</v>
      </c>
      <c r="L64" s="249">
        <f>IF(L26&gt;0,'Hours Per Job'!L26,0)</f>
        <v>0</v>
      </c>
      <c r="M64" s="249">
        <f>IF(M26&gt;0,'Hours Per Job'!M26,0)</f>
        <v>0</v>
      </c>
      <c r="N64" s="249">
        <f>IF(N26&gt;0,'Hours Per Job'!N26,0)</f>
        <v>0</v>
      </c>
      <c r="O64" s="249">
        <f>IF(O26&gt;0,'Hours Per Job'!O26,0)</f>
        <v>0</v>
      </c>
      <c r="P64" s="249">
        <f>IF(P26&gt;0,'Hours Per Job'!P26,0)</f>
        <v>0</v>
      </c>
      <c r="Q64" s="249">
        <f>IF(Q26&gt;0,'Hours Per Job'!Q26,0)</f>
        <v>0</v>
      </c>
      <c r="R64" s="249">
        <f>IF(R26&gt;0,'Hours Per Job'!R26,0)</f>
        <v>0</v>
      </c>
      <c r="S64" s="249">
        <f>IF(S26&gt;0,'Hours Per Job'!S26,0)</f>
        <v>0</v>
      </c>
      <c r="T64" s="249">
        <f>IF(T26&gt;0,'Hours Per Job'!T26,0)</f>
        <v>0</v>
      </c>
      <c r="U64" s="249">
        <f>IF(U26&gt;0,'Hours Per Job'!U26,0)</f>
        <v>0.7</v>
      </c>
      <c r="V64" s="249">
        <f>IF(V26&gt;0,'Hours Per Job'!V26,0)</f>
        <v>0</v>
      </c>
      <c r="W64" s="249">
        <f>IF(W26&gt;0,'Hours Per Job'!W26,0)</f>
        <v>0</v>
      </c>
      <c r="X64" s="249">
        <f>IF(X26&gt;0,'Hours Per Job'!X26,0)</f>
        <v>0.2</v>
      </c>
      <c r="Y64" s="249">
        <f>IF(Y26&gt;0,'Hours Per Job'!Y26,0)</f>
        <v>0</v>
      </c>
      <c r="Z64" s="249">
        <f>IF(Z26&gt;0,'Hours Per Job'!Z26,0)</f>
        <v>0.3</v>
      </c>
      <c r="AA64" s="249">
        <f>IF(AA26&gt;0,'Hours Per Job'!AA26,0)</f>
        <v>0</v>
      </c>
      <c r="AB64" s="249">
        <f>IF(AB26&gt;0,'Hours Per Job'!AB26,0)</f>
        <v>0</v>
      </c>
      <c r="AC64" s="249">
        <f>IF(AC26&gt;0,'Hours Per Job'!AC26,0)</f>
        <v>0</v>
      </c>
      <c r="AD64" s="249">
        <f>IF(AD26&gt;0,'Hours Per Job'!AD26,0)</f>
        <v>0</v>
      </c>
      <c r="AE64" s="249">
        <f>IF(AE26&gt;0,'Hours Per Job'!AE26,0)</f>
        <v>0</v>
      </c>
      <c r="AF64" s="249">
        <f>IF(AF26&gt;0,'Hours Per Job'!AF26,0)</f>
        <v>0</v>
      </c>
      <c r="AG64" s="249">
        <f>IF(AG26&gt;0,'Hours Per Job'!AG26,0)</f>
        <v>0</v>
      </c>
      <c r="AH64" s="249">
        <f>IF(AH26&gt;0,'Hours Per Job'!AH26,0)</f>
        <v>0</v>
      </c>
      <c r="AI64" s="249">
        <f>IF(AI26&gt;0,'Hours Per Job'!AI26,0)</f>
        <v>0</v>
      </c>
      <c r="AJ64" s="249">
        <f>IF(AJ26&gt;0,'Hours Per Job'!AJ26,0)</f>
        <v>0</v>
      </c>
      <c r="AK64" s="249">
        <f>IF(AK26&gt;0,'Hours Per Job'!AK26,0)</f>
        <v>1</v>
      </c>
      <c r="AL64" s="249">
        <f>IF(AL26&gt;0,'Hours Per Job'!AL26,0)</f>
        <v>0</v>
      </c>
      <c r="AM64" s="249">
        <f>IF(AM26&gt;0,'Hours Per Job'!AM26,0)</f>
        <v>0</v>
      </c>
      <c r="AN64" s="249">
        <f>IF(AN26&gt;0,'Hours Per Job'!AN26,0)</f>
        <v>0</v>
      </c>
      <c r="AO64" s="249">
        <f>IF(AO26&gt;0,'Hours Per Job'!AO26,0)</f>
        <v>0</v>
      </c>
      <c r="AP64" s="249">
        <f>IF(AP26&gt;0,'Hours Per Job'!AP26,0)</f>
        <v>0</v>
      </c>
      <c r="AQ64" s="249">
        <f>IF(AQ26&gt;0,'Hours Per Job'!AQ26,0)</f>
        <v>0</v>
      </c>
      <c r="AR64" s="249">
        <f>IF(AR26&gt;0,'Hours Per Job'!AR26,0)</f>
        <v>0</v>
      </c>
      <c r="AS64" s="249">
        <f>IF(AS26&gt;0,'Hours Per Job'!AS26,0)</f>
        <v>0</v>
      </c>
      <c r="AT64" s="249">
        <f>IF(AT26&gt;0,'Hours Per Job'!AT26,0)</f>
        <v>0.5</v>
      </c>
      <c r="AU64" s="249">
        <f>IF(AU26&gt;0,'Hours Per Job'!AU26,0)</f>
        <v>0</v>
      </c>
      <c r="AV64" s="249">
        <f>IF(AV26&gt;0,'Hours Per Job'!AV26,0)</f>
        <v>0</v>
      </c>
      <c r="AW64" s="249">
        <f>IF(AW26&gt;0,'Hours Per Job'!AW26,0)</f>
        <v>0</v>
      </c>
      <c r="AX64" s="249">
        <f>IF(AX26&gt;0,'Hours Per Job'!AX26,0)</f>
        <v>0</v>
      </c>
      <c r="AY64" s="249">
        <f>IF(AY26&gt;0,'Hours Per Job'!AY26,0)</f>
        <v>0</v>
      </c>
      <c r="AZ64" s="249">
        <f>IF(AZ26&gt;0,'Hours Per Job'!AZ26,0)</f>
        <v>0</v>
      </c>
      <c r="BA64" s="249">
        <f>IF(BA26&gt;0,'Hours Per Job'!BA26,0)</f>
        <v>0</v>
      </c>
      <c r="BB64" s="249">
        <f>IF(BB26&gt;0,'Hours Per Job'!BB26,0)</f>
        <v>0.1</v>
      </c>
      <c r="BC64" s="249">
        <f>IF(BC26&gt;0,'Hours Per Job'!BC26,0)</f>
        <v>0</v>
      </c>
      <c r="BD64" s="249">
        <f>IF(BD26&gt;0,'Hours Per Job'!BD26,0)</f>
        <v>0</v>
      </c>
      <c r="BE64" s="249">
        <f>IF(BE26&gt;0,'Hours Per Job'!BE26,0)</f>
        <v>0</v>
      </c>
      <c r="BF64" s="249">
        <f>IF(BF26&gt;0,'Hours Per Job'!BF26,0)</f>
        <v>0</v>
      </c>
      <c r="BG64" s="249">
        <f>IF(BG26&gt;0,'Hours Per Job'!BG26,0)</f>
        <v>0</v>
      </c>
      <c r="BH64" s="249">
        <f>IF(BH26&gt;0,'Hours Per Job'!BH26,0)</f>
        <v>0</v>
      </c>
      <c r="BI64" s="249">
        <f>IF(BI26&gt;0,'Hours Per Job'!BI26,0)</f>
        <v>0</v>
      </c>
      <c r="BJ64" s="249">
        <f>IF(BJ26&gt;0,'Hours Per Job'!BJ26,0)</f>
        <v>0.25</v>
      </c>
      <c r="BK64" s="249">
        <f>IF(BK26&gt;0,'Hours Per Job'!BK26,0)</f>
        <v>0</v>
      </c>
      <c r="BL64" s="249">
        <f>IF(BL26&gt;0,'Hours Per Job'!BL26,0)</f>
        <v>0</v>
      </c>
      <c r="BM64" s="249">
        <f>IF(BM26&gt;0,'Hours Per Job'!BM26,0)</f>
        <v>0</v>
      </c>
      <c r="BN64" s="249">
        <f>IF(BN26&gt;0,'Hours Per Job'!BN26,0)</f>
        <v>0</v>
      </c>
      <c r="BO64" s="249">
        <f>IF(BO26&gt;0,'Hours Per Job'!BO26,0)</f>
        <v>0</v>
      </c>
      <c r="BP64" s="249">
        <f>IF(BP26&gt;0,'Hours Per Job'!BP26,0)</f>
        <v>0</v>
      </c>
      <c r="BQ64" s="248">
        <f t="shared" si="5"/>
        <v>3.0500000000000003</v>
      </c>
      <c r="BR64" s="248"/>
    </row>
    <row r="65" spans="1:70" x14ac:dyDescent="0.2">
      <c r="A65" s="248" t="str">
        <f t="shared" si="4"/>
        <v>Sany SY up to 155</v>
      </c>
      <c r="B65" s="249">
        <f>IF(B27&gt;0,'Hours Per Job'!B27,0)</f>
        <v>0</v>
      </c>
      <c r="C65" s="249">
        <f>IF(C27&gt;0,'Hours Per Job'!C27,0)</f>
        <v>0</v>
      </c>
      <c r="D65" s="249">
        <f>IF(D27&gt;0,'Hours Per Job'!D27,0)</f>
        <v>0</v>
      </c>
      <c r="E65" s="249">
        <f>IF(E27&gt;0,'Hours Per Job'!E27,0)</f>
        <v>0</v>
      </c>
      <c r="F65" s="249">
        <f>IF(F27&gt;0,'Hours Per Job'!F27,0)</f>
        <v>0</v>
      </c>
      <c r="G65" s="249">
        <f>IF(G27&gt;0,'Hours Per Job'!G27,0)</f>
        <v>0</v>
      </c>
      <c r="H65" s="249">
        <f>IF(H27&gt;0,'Hours Per Job'!H27,0)</f>
        <v>0</v>
      </c>
      <c r="I65" s="249">
        <f>IF(I27&gt;0,'Hours Per Job'!I27,0)</f>
        <v>0</v>
      </c>
      <c r="J65" s="249">
        <f>IF(J27&gt;0,'Hours Per Job'!J27,0)</f>
        <v>0</v>
      </c>
      <c r="K65" s="249">
        <f>IF(K27&gt;0,'Hours Per Job'!K27,0)</f>
        <v>0</v>
      </c>
      <c r="L65" s="249">
        <f>IF(L27&gt;0,'Hours Per Job'!L27,0)</f>
        <v>0</v>
      </c>
      <c r="M65" s="249">
        <f>IF(M27&gt;0,'Hours Per Job'!M27,0)</f>
        <v>0</v>
      </c>
      <c r="N65" s="249">
        <f>IF(N27&gt;0,'Hours Per Job'!N27,0)</f>
        <v>0</v>
      </c>
      <c r="O65" s="249">
        <f>IF(O27&gt;0,'Hours Per Job'!O27,0)</f>
        <v>0</v>
      </c>
      <c r="P65" s="249">
        <f>IF(P27&gt;0,'Hours Per Job'!P27,0)</f>
        <v>0</v>
      </c>
      <c r="Q65" s="249">
        <f>IF(Q27&gt;0,'Hours Per Job'!Q27,0)</f>
        <v>0</v>
      </c>
      <c r="R65" s="249">
        <f>IF(R27&gt;0,'Hours Per Job'!R27,0)</f>
        <v>0</v>
      </c>
      <c r="S65" s="249">
        <f>IF(S27&gt;0,'Hours Per Job'!S27,0)</f>
        <v>0</v>
      </c>
      <c r="T65" s="249">
        <f>IF(T27&gt;0,'Hours Per Job'!T27,0)</f>
        <v>0</v>
      </c>
      <c r="U65" s="249">
        <f>IF(U27&gt;0,'Hours Per Job'!U27,0)</f>
        <v>0.7</v>
      </c>
      <c r="V65" s="249">
        <f>IF(V27&gt;0,'Hours Per Job'!V27,0)</f>
        <v>0</v>
      </c>
      <c r="W65" s="249">
        <f>IF(W27&gt;0,'Hours Per Job'!W27,0)</f>
        <v>0</v>
      </c>
      <c r="X65" s="249">
        <f>IF(X27&gt;0,'Hours Per Job'!X27,0)</f>
        <v>0</v>
      </c>
      <c r="Y65" s="249">
        <f>IF(Y27&gt;0,'Hours Per Job'!Y27,0)</f>
        <v>0</v>
      </c>
      <c r="Z65" s="249">
        <f>IF(Z27&gt;0,'Hours Per Job'!Z27,0)</f>
        <v>0.3</v>
      </c>
      <c r="AA65" s="249">
        <f>IF(AA27&gt;0,'Hours Per Job'!AA27,0)</f>
        <v>0</v>
      </c>
      <c r="AB65" s="249">
        <f>IF(AB27&gt;0,'Hours Per Job'!AB27,0)</f>
        <v>0</v>
      </c>
      <c r="AC65" s="249">
        <f>IF(AC27&gt;0,'Hours Per Job'!AC27,0)</f>
        <v>0</v>
      </c>
      <c r="AD65" s="249">
        <f>IF(AD27&gt;0,'Hours Per Job'!AD27,0)</f>
        <v>0</v>
      </c>
      <c r="AE65" s="249">
        <f>IF(AE27&gt;0,'Hours Per Job'!AE27,0)</f>
        <v>0</v>
      </c>
      <c r="AF65" s="249">
        <f>IF(AF27&gt;0,'Hours Per Job'!AF27,0)</f>
        <v>0.1</v>
      </c>
      <c r="AG65" s="249">
        <f>IF(AG27&gt;0,'Hours Per Job'!AG27,0)</f>
        <v>0</v>
      </c>
      <c r="AH65" s="249">
        <f>IF(AH27&gt;0,'Hours Per Job'!AH27,0)</f>
        <v>0</v>
      </c>
      <c r="AI65" s="249">
        <f>IF(AI27&gt;0,'Hours Per Job'!AI27,0)</f>
        <v>0</v>
      </c>
      <c r="AJ65" s="249">
        <f>IF(AJ27&gt;0,'Hours Per Job'!AJ27,0)</f>
        <v>0</v>
      </c>
      <c r="AK65" s="249">
        <f>IF(AK27&gt;0,'Hours Per Job'!AK27,0)</f>
        <v>0</v>
      </c>
      <c r="AL65" s="249">
        <f>IF(AL27&gt;0,'Hours Per Job'!AL27,0)</f>
        <v>0</v>
      </c>
      <c r="AM65" s="249">
        <f>IF(AM27&gt;0,'Hours Per Job'!AM27,0)</f>
        <v>0</v>
      </c>
      <c r="AN65" s="249">
        <f>IF(AN27&gt;0,'Hours Per Job'!AN27,0)</f>
        <v>0</v>
      </c>
      <c r="AO65" s="249">
        <f>IF(AO27&gt;0,'Hours Per Job'!AO27,0)</f>
        <v>0</v>
      </c>
      <c r="AP65" s="249">
        <f>IF(AP27&gt;0,'Hours Per Job'!AP27,0)</f>
        <v>0</v>
      </c>
      <c r="AQ65" s="249">
        <f>IF(AQ27&gt;0,'Hours Per Job'!AQ27,0)</f>
        <v>0</v>
      </c>
      <c r="AR65" s="249">
        <f>IF(AR27&gt;0,'Hours Per Job'!AR27,0)</f>
        <v>0</v>
      </c>
      <c r="AS65" s="249">
        <f>IF(AS27&gt;0,'Hours Per Job'!AS27,0)</f>
        <v>0</v>
      </c>
      <c r="AT65" s="249">
        <f>IF(AT27&gt;0,'Hours Per Job'!AT27,0)</f>
        <v>0.5</v>
      </c>
      <c r="AU65" s="249">
        <f>IF(AU27&gt;0,'Hours Per Job'!AU27,0)</f>
        <v>0</v>
      </c>
      <c r="AV65" s="249">
        <f>IF(AV27&gt;0,'Hours Per Job'!AV27,0)</f>
        <v>0</v>
      </c>
      <c r="AW65" s="249">
        <f>IF(AW27&gt;0,'Hours Per Job'!AW27,0)</f>
        <v>0</v>
      </c>
      <c r="AX65" s="249">
        <f>IF(AX27&gt;0,'Hours Per Job'!AX27,0)</f>
        <v>0</v>
      </c>
      <c r="AY65" s="249">
        <f>IF(AY27&gt;0,'Hours Per Job'!AY27,0)</f>
        <v>0</v>
      </c>
      <c r="AZ65" s="249">
        <f>IF(AZ27&gt;0,'Hours Per Job'!AZ27,0)</f>
        <v>0</v>
      </c>
      <c r="BA65" s="249">
        <f>IF(BA27&gt;0,'Hours Per Job'!BA27,0)</f>
        <v>0</v>
      </c>
      <c r="BB65" s="249">
        <f>IF(BB27&gt;0,'Hours Per Job'!BB27,0)</f>
        <v>0.1</v>
      </c>
      <c r="BC65" s="249">
        <f>IF(BC27&gt;0,'Hours Per Job'!BC27,0)</f>
        <v>0</v>
      </c>
      <c r="BD65" s="249">
        <f>IF(BD27&gt;0,'Hours Per Job'!BD27,0)</f>
        <v>0</v>
      </c>
      <c r="BE65" s="249">
        <f>IF(BE27&gt;0,'Hours Per Job'!BE27,0)</f>
        <v>0</v>
      </c>
      <c r="BF65" s="249">
        <f>IF(BF27&gt;0,'Hours Per Job'!BF27,0)</f>
        <v>0</v>
      </c>
      <c r="BG65" s="249">
        <f>IF(BG27&gt;0,'Hours Per Job'!BG27,0)</f>
        <v>0</v>
      </c>
      <c r="BH65" s="249">
        <f>IF(BH27&gt;0,'Hours Per Job'!BH27,0)</f>
        <v>0</v>
      </c>
      <c r="BI65" s="249">
        <f>IF(BI27&gt;0,'Hours Per Job'!BI27,0)</f>
        <v>0</v>
      </c>
      <c r="BJ65" s="249">
        <f>IF(BJ27&gt;0,'Hours Per Job'!BJ27,0)</f>
        <v>0.25</v>
      </c>
      <c r="BK65" s="249">
        <f>IF(BK27&gt;0,'Hours Per Job'!BK27,0)</f>
        <v>0</v>
      </c>
      <c r="BL65" s="249">
        <f>IF(BL27&gt;0,'Hours Per Job'!BL27,0)</f>
        <v>0</v>
      </c>
      <c r="BM65" s="249">
        <f>IF(BM27&gt;0,'Hours Per Job'!BM27,0)</f>
        <v>0</v>
      </c>
      <c r="BN65" s="249">
        <f>IF(BN27&gt;0,'Hours Per Job'!BN27,0)</f>
        <v>0</v>
      </c>
      <c r="BO65" s="249">
        <f>IF(BO27&gt;0,'Hours Per Job'!BO27,0)</f>
        <v>0</v>
      </c>
      <c r="BP65" s="249">
        <f>IF(BP27&gt;0,'Hours Per Job'!BP27,0)</f>
        <v>0</v>
      </c>
      <c r="BQ65" s="248">
        <f t="shared" si="5"/>
        <v>1.9500000000000002</v>
      </c>
      <c r="BR65" s="248"/>
    </row>
    <row r="66" spans="1:70" x14ac:dyDescent="0.2">
      <c r="A66" s="248" t="str">
        <f t="shared" si="4"/>
        <v>Sany SY up to 215</v>
      </c>
      <c r="B66" s="249">
        <f>IF(B28&gt;0,'Hours Per Job'!B28,0)</f>
        <v>0</v>
      </c>
      <c r="C66" s="249">
        <f>IF(C28&gt;0,'Hours Per Job'!C28,0)</f>
        <v>0</v>
      </c>
      <c r="D66" s="249">
        <f>IF(D28&gt;0,'Hours Per Job'!D28,0)</f>
        <v>0</v>
      </c>
      <c r="E66" s="249">
        <f>IF(E28&gt;0,'Hours Per Job'!E28,0)</f>
        <v>0</v>
      </c>
      <c r="F66" s="249">
        <f>IF(F28&gt;0,'Hours Per Job'!F28,0)</f>
        <v>0</v>
      </c>
      <c r="G66" s="249">
        <f>IF(G28&gt;0,'Hours Per Job'!G28,0)</f>
        <v>0</v>
      </c>
      <c r="H66" s="249">
        <f>IF(H28&gt;0,'Hours Per Job'!H28,0)</f>
        <v>0</v>
      </c>
      <c r="I66" s="249">
        <f>IF(I28&gt;0,'Hours Per Job'!I28,0)</f>
        <v>0</v>
      </c>
      <c r="J66" s="249">
        <f>IF(J28&gt;0,'Hours Per Job'!J28,0)</f>
        <v>0</v>
      </c>
      <c r="K66" s="249">
        <f>IF(K28&gt;0,'Hours Per Job'!K28,0)</f>
        <v>0</v>
      </c>
      <c r="L66" s="249">
        <f>IF(L28&gt;0,'Hours Per Job'!L28,0)</f>
        <v>0</v>
      </c>
      <c r="M66" s="249">
        <f>IF(M28&gt;0,'Hours Per Job'!M28,0)</f>
        <v>0</v>
      </c>
      <c r="N66" s="249">
        <f>IF(N28&gt;0,'Hours Per Job'!N28,0)</f>
        <v>0</v>
      </c>
      <c r="O66" s="249">
        <f>IF(O28&gt;0,'Hours Per Job'!O28,0)</f>
        <v>0</v>
      </c>
      <c r="P66" s="249">
        <f>IF(P28&gt;0,'Hours Per Job'!P28,0)</f>
        <v>0</v>
      </c>
      <c r="Q66" s="249">
        <f>IF(Q28&gt;0,'Hours Per Job'!Q28,0)</f>
        <v>0</v>
      </c>
      <c r="R66" s="249">
        <f>IF(R28&gt;0,'Hours Per Job'!R28,0)</f>
        <v>0</v>
      </c>
      <c r="S66" s="249">
        <f>IF(S28&gt;0,'Hours Per Job'!S28,0)</f>
        <v>0</v>
      </c>
      <c r="T66" s="249">
        <f>IF(T28&gt;0,'Hours Per Job'!T28,0)</f>
        <v>0</v>
      </c>
      <c r="U66" s="249">
        <f>IF(U28&gt;0,'Hours Per Job'!U28,0)</f>
        <v>0.7</v>
      </c>
      <c r="V66" s="249">
        <f>IF(V28&gt;0,'Hours Per Job'!V28,0)</f>
        <v>0</v>
      </c>
      <c r="W66" s="249">
        <f>IF(W28&gt;0,'Hours Per Job'!W28,0)</f>
        <v>0</v>
      </c>
      <c r="X66" s="249">
        <f>IF(X28&gt;0,'Hours Per Job'!X28,0)</f>
        <v>0</v>
      </c>
      <c r="Y66" s="249">
        <f>IF(Y28&gt;0,'Hours Per Job'!Y28,0)</f>
        <v>0</v>
      </c>
      <c r="Z66" s="249">
        <f>IF(Z28&gt;0,'Hours Per Job'!Z28,0)</f>
        <v>0.3</v>
      </c>
      <c r="AA66" s="249">
        <f>IF(AA28&gt;0,'Hours Per Job'!AA28,0)</f>
        <v>0</v>
      </c>
      <c r="AB66" s="249">
        <f>IF(AB28&gt;0,'Hours Per Job'!AB28,0)</f>
        <v>0</v>
      </c>
      <c r="AC66" s="249">
        <f>IF(AC28&gt;0,'Hours Per Job'!AC28,0)</f>
        <v>0</v>
      </c>
      <c r="AD66" s="249">
        <f>IF(AD28&gt;0,'Hours Per Job'!AD28,0)</f>
        <v>0</v>
      </c>
      <c r="AE66" s="249">
        <f>IF(AE28&gt;0,'Hours Per Job'!AE28,0)</f>
        <v>0</v>
      </c>
      <c r="AF66" s="249">
        <f>IF(AF28&gt;0,'Hours Per Job'!AF28,0)</f>
        <v>0.1</v>
      </c>
      <c r="AG66" s="249">
        <f>IF(AG28&gt;0,'Hours Per Job'!AG28,0)</f>
        <v>0</v>
      </c>
      <c r="AH66" s="249">
        <f>IF(AH28&gt;0,'Hours Per Job'!AH28,0)</f>
        <v>0.5</v>
      </c>
      <c r="AI66" s="249">
        <f>IF(AI28&gt;0,'Hours Per Job'!AI28,0)</f>
        <v>0</v>
      </c>
      <c r="AJ66" s="249">
        <f>IF(AJ28&gt;0,'Hours Per Job'!AJ28,0)</f>
        <v>1</v>
      </c>
      <c r="AK66" s="249">
        <f>IF(AK28&gt;0,'Hours Per Job'!AK28,0)</f>
        <v>0</v>
      </c>
      <c r="AL66" s="249">
        <f>IF(AL28&gt;0,'Hours Per Job'!AL28,0)</f>
        <v>0</v>
      </c>
      <c r="AM66" s="249">
        <f>IF(AM28&gt;0,'Hours Per Job'!AM28,0)</f>
        <v>0</v>
      </c>
      <c r="AN66" s="249">
        <f>IF(AN28&gt;0,'Hours Per Job'!AN28,0)</f>
        <v>0</v>
      </c>
      <c r="AO66" s="249">
        <f>IF(AO28&gt;0,'Hours Per Job'!AO28,0)</f>
        <v>0</v>
      </c>
      <c r="AP66" s="249">
        <f>IF(AP28&gt;0,'Hours Per Job'!AP28,0)</f>
        <v>0</v>
      </c>
      <c r="AQ66" s="249">
        <f>IF(AQ28&gt;0,'Hours Per Job'!AQ28,0)</f>
        <v>0</v>
      </c>
      <c r="AR66" s="249">
        <f>IF(AR28&gt;0,'Hours Per Job'!AR28,0)</f>
        <v>0</v>
      </c>
      <c r="AS66" s="249">
        <f>IF(AS28&gt;0,'Hours Per Job'!AS28,0)</f>
        <v>0</v>
      </c>
      <c r="AT66" s="249">
        <f>IF(AT28&gt;0,'Hours Per Job'!AT28,0)</f>
        <v>0.7</v>
      </c>
      <c r="AU66" s="249">
        <f>IF(AU28&gt;0,'Hours Per Job'!AU28,0)</f>
        <v>0</v>
      </c>
      <c r="AV66" s="249">
        <f>IF(AV28&gt;0,'Hours Per Job'!AV28,0)</f>
        <v>0</v>
      </c>
      <c r="AW66" s="249">
        <f>IF(AW28&gt;0,'Hours Per Job'!AW28,0)</f>
        <v>0</v>
      </c>
      <c r="AX66" s="249">
        <f>IF(AX28&gt;0,'Hours Per Job'!AX28,0)</f>
        <v>0</v>
      </c>
      <c r="AY66" s="249">
        <f>IF(AY28&gt;0,'Hours Per Job'!AY28,0)</f>
        <v>0</v>
      </c>
      <c r="AZ66" s="249">
        <f>IF(AZ28&gt;0,'Hours Per Job'!AZ28,0)</f>
        <v>0</v>
      </c>
      <c r="BA66" s="249">
        <f>IF(BA28&gt;0,'Hours Per Job'!BA28,0)</f>
        <v>0</v>
      </c>
      <c r="BB66" s="249">
        <f>IF(BB28&gt;0,'Hours Per Job'!BB28,0)</f>
        <v>0.1</v>
      </c>
      <c r="BC66" s="249">
        <f>IF(BC28&gt;0,'Hours Per Job'!BC28,0)</f>
        <v>0</v>
      </c>
      <c r="BD66" s="249">
        <f>IF(BD28&gt;0,'Hours Per Job'!BD28,0)</f>
        <v>0</v>
      </c>
      <c r="BE66" s="249">
        <f>IF(BE28&gt;0,'Hours Per Job'!BE28,0)</f>
        <v>0</v>
      </c>
      <c r="BF66" s="249">
        <f>IF(BF28&gt;0,'Hours Per Job'!BF28,0)</f>
        <v>0</v>
      </c>
      <c r="BG66" s="249">
        <f>IF(BG28&gt;0,'Hours Per Job'!BG28,0)</f>
        <v>0</v>
      </c>
      <c r="BH66" s="249">
        <f>IF(BH28&gt;0,'Hours Per Job'!BH28,0)</f>
        <v>0</v>
      </c>
      <c r="BI66" s="249">
        <f>IF(BI28&gt;0,'Hours Per Job'!BI28,0)</f>
        <v>0</v>
      </c>
      <c r="BJ66" s="249">
        <f>IF(BJ28&gt;0,'Hours Per Job'!BJ28,0)</f>
        <v>0.25</v>
      </c>
      <c r="BK66" s="249">
        <f>IF(BK28&gt;0,'Hours Per Job'!BK28,0)</f>
        <v>0</v>
      </c>
      <c r="BL66" s="249">
        <f>IF(BL28&gt;0,'Hours Per Job'!BL28,0)</f>
        <v>0</v>
      </c>
      <c r="BM66" s="249">
        <f>IF(BM28&gt;0,'Hours Per Job'!BM28,0)</f>
        <v>0</v>
      </c>
      <c r="BN66" s="249">
        <f>IF(BN28&gt;0,'Hours Per Job'!BN28,0)</f>
        <v>0</v>
      </c>
      <c r="BO66" s="249">
        <f>IF(BO28&gt;0,'Hours Per Job'!BO28,0)</f>
        <v>0</v>
      </c>
      <c r="BP66" s="249">
        <f>IF(BP28&gt;0,'Hours Per Job'!BP28,0)</f>
        <v>0</v>
      </c>
      <c r="BQ66" s="248">
        <f t="shared" si="5"/>
        <v>3.65</v>
      </c>
      <c r="BR66" s="248"/>
    </row>
    <row r="67" spans="1:70" x14ac:dyDescent="0.2">
      <c r="A67" s="248" t="str">
        <f t="shared" si="4"/>
        <v>Sany SY up to 500</v>
      </c>
      <c r="B67" s="249">
        <f>IF(B29&gt;0,'Hours Per Job'!B29,0)</f>
        <v>0</v>
      </c>
      <c r="C67" s="249">
        <f>IF(C29&gt;0,'Hours Per Job'!C29,0)</f>
        <v>0</v>
      </c>
      <c r="D67" s="249">
        <f>IF(D29&gt;0,'Hours Per Job'!D29,0)</f>
        <v>0</v>
      </c>
      <c r="E67" s="249">
        <f>IF(E29&gt;0,'Hours Per Job'!E29,0)</f>
        <v>0</v>
      </c>
      <c r="F67" s="249">
        <f>IF(F29&gt;0,'Hours Per Job'!F29,0)</f>
        <v>0</v>
      </c>
      <c r="G67" s="249">
        <f>IF(G29&gt;0,'Hours Per Job'!G29,0)</f>
        <v>0</v>
      </c>
      <c r="H67" s="249">
        <f>IF(H29&gt;0,'Hours Per Job'!H29,0)</f>
        <v>0</v>
      </c>
      <c r="I67" s="249">
        <f>IF(I29&gt;0,'Hours Per Job'!I29,0)</f>
        <v>0</v>
      </c>
      <c r="J67" s="249">
        <f>IF(J29&gt;0,'Hours Per Job'!J29,0)</f>
        <v>0</v>
      </c>
      <c r="K67" s="249">
        <f>IF(K29&gt;0,'Hours Per Job'!K29,0)</f>
        <v>0</v>
      </c>
      <c r="L67" s="249">
        <f>IF(L29&gt;0,'Hours Per Job'!L29,0)</f>
        <v>0</v>
      </c>
      <c r="M67" s="249">
        <f>IF(M29&gt;0,'Hours Per Job'!M29,0)</f>
        <v>0</v>
      </c>
      <c r="N67" s="249">
        <f>IF(N29&gt;0,'Hours Per Job'!N29,0)</f>
        <v>0</v>
      </c>
      <c r="O67" s="249">
        <f>IF(O29&gt;0,'Hours Per Job'!O29,0)</f>
        <v>0</v>
      </c>
      <c r="P67" s="249">
        <f>IF(P29&gt;0,'Hours Per Job'!P29,0)</f>
        <v>0</v>
      </c>
      <c r="Q67" s="249">
        <f>IF(Q29&gt;0,'Hours Per Job'!Q29,0)</f>
        <v>0</v>
      </c>
      <c r="R67" s="249">
        <f>IF(R29&gt;0,'Hours Per Job'!R29,0)</f>
        <v>0</v>
      </c>
      <c r="S67" s="249">
        <f>IF(S29&gt;0,'Hours Per Job'!S29,0)</f>
        <v>0</v>
      </c>
      <c r="T67" s="249">
        <f>IF(T29&gt;0,'Hours Per Job'!T29,0)</f>
        <v>0</v>
      </c>
      <c r="U67" s="249">
        <f>IF(U29&gt;0,'Hours Per Job'!U29,0)</f>
        <v>1</v>
      </c>
      <c r="V67" s="249">
        <f>IF(V29&gt;0,'Hours Per Job'!V29,0)</f>
        <v>0</v>
      </c>
      <c r="W67" s="249">
        <f>IF(W29&gt;0,'Hours Per Job'!W29,0)</f>
        <v>0</v>
      </c>
      <c r="X67" s="249">
        <f>IF(X29&gt;0,'Hours Per Job'!X29,0)</f>
        <v>0</v>
      </c>
      <c r="Y67" s="249">
        <f>IF(Y29&gt;0,'Hours Per Job'!Y29,0)</f>
        <v>0</v>
      </c>
      <c r="Z67" s="249">
        <f>IF(Z29&gt;0,'Hours Per Job'!Z29,0)</f>
        <v>0.3</v>
      </c>
      <c r="AA67" s="249">
        <f>IF(AA29&gt;0,'Hours Per Job'!AA29,0)</f>
        <v>0</v>
      </c>
      <c r="AB67" s="249">
        <f>IF(AB29&gt;0,'Hours Per Job'!AB29,0)</f>
        <v>0</v>
      </c>
      <c r="AC67" s="249">
        <f>IF(AC29&gt;0,'Hours Per Job'!AC29,0)</f>
        <v>0</v>
      </c>
      <c r="AD67" s="249">
        <f>IF(AD29&gt;0,'Hours Per Job'!AD29,0)</f>
        <v>0</v>
      </c>
      <c r="AE67" s="249">
        <f>IF(AE29&gt;0,'Hours Per Job'!AE29,0)</f>
        <v>0</v>
      </c>
      <c r="AF67" s="249">
        <f>IF(AF29&gt;0,'Hours Per Job'!AF29,0)</f>
        <v>0</v>
      </c>
      <c r="AG67" s="249">
        <f>IF(AG29&gt;0,'Hours Per Job'!AG29,0)</f>
        <v>0</v>
      </c>
      <c r="AH67" s="249">
        <f>IF(AH29&gt;0,'Hours Per Job'!AH29,0)</f>
        <v>0</v>
      </c>
      <c r="AI67" s="249">
        <f>IF(AI29&gt;0,'Hours Per Job'!AI29,0)</f>
        <v>0</v>
      </c>
      <c r="AJ67" s="249">
        <f>IF(AJ29&gt;0,'Hours Per Job'!AJ29,0)</f>
        <v>0</v>
      </c>
      <c r="AK67" s="249">
        <f>IF(AK29&gt;0,'Hours Per Job'!AK29,0)</f>
        <v>0</v>
      </c>
      <c r="AL67" s="249">
        <f>IF(AL29&gt;0,'Hours Per Job'!AL29,0)</f>
        <v>0</v>
      </c>
      <c r="AM67" s="249">
        <f>IF(AM29&gt;0,'Hours Per Job'!AM29,0)</f>
        <v>0</v>
      </c>
      <c r="AN67" s="249">
        <f>IF(AN29&gt;0,'Hours Per Job'!AN29,0)</f>
        <v>0</v>
      </c>
      <c r="AO67" s="249">
        <f>IF(AO29&gt;0,'Hours Per Job'!AO29,0)</f>
        <v>0</v>
      </c>
      <c r="AP67" s="249">
        <f>IF(AP29&gt;0,'Hours Per Job'!AP29,0)</f>
        <v>0</v>
      </c>
      <c r="AQ67" s="249">
        <f>IF(AQ29&gt;0,'Hours Per Job'!AQ29,0)</f>
        <v>0</v>
      </c>
      <c r="AR67" s="249">
        <f>IF(AR29&gt;0,'Hours Per Job'!AR29,0)</f>
        <v>0</v>
      </c>
      <c r="AS67" s="249">
        <f>IF(AS29&gt;0,'Hours Per Job'!AS29,0)</f>
        <v>0</v>
      </c>
      <c r="AT67" s="249">
        <f>IF(AT29&gt;0,'Hours Per Job'!AT29,0)</f>
        <v>0.7</v>
      </c>
      <c r="AU67" s="249">
        <f>IF(AU29&gt;0,'Hours Per Job'!AU29,0)</f>
        <v>0</v>
      </c>
      <c r="AV67" s="249">
        <f>IF(AV29&gt;0,'Hours Per Job'!AV29,0)</f>
        <v>0</v>
      </c>
      <c r="AW67" s="249">
        <f>IF(AW29&gt;0,'Hours Per Job'!AW29,0)</f>
        <v>0</v>
      </c>
      <c r="AX67" s="249">
        <f>IF(AX29&gt;0,'Hours Per Job'!AX29,0)</f>
        <v>0</v>
      </c>
      <c r="AY67" s="249">
        <f>IF(AY29&gt;0,'Hours Per Job'!AY29,0)</f>
        <v>0</v>
      </c>
      <c r="AZ67" s="249">
        <f>IF(AZ29&gt;0,'Hours Per Job'!AZ29,0)</f>
        <v>0</v>
      </c>
      <c r="BA67" s="249">
        <f>IF(BA29&gt;0,'Hours Per Job'!BA29,0)</f>
        <v>0</v>
      </c>
      <c r="BB67" s="249">
        <f>IF(BB29&gt;0,'Hours Per Job'!BB29,0)</f>
        <v>0.1</v>
      </c>
      <c r="BC67" s="249">
        <f>IF(BC29&gt;0,'Hours Per Job'!BC29,0)</f>
        <v>0.2</v>
      </c>
      <c r="BD67" s="249">
        <f>IF(BD29&gt;0,'Hours Per Job'!BD29,0)</f>
        <v>0</v>
      </c>
      <c r="BE67" s="249">
        <f>IF(BE29&gt;0,'Hours Per Job'!BE29,0)</f>
        <v>0</v>
      </c>
      <c r="BF67" s="249">
        <f>IF(BF29&gt;0,'Hours Per Job'!BF29,0)</f>
        <v>0</v>
      </c>
      <c r="BG67" s="249">
        <f>IF(BG29&gt;0,'Hours Per Job'!BG29,0)</f>
        <v>0</v>
      </c>
      <c r="BH67" s="249">
        <f>IF(BH29&gt;0,'Hours Per Job'!BH29,0)</f>
        <v>0</v>
      </c>
      <c r="BI67" s="249">
        <f>IF(BI29&gt;0,'Hours Per Job'!BI29,0)</f>
        <v>0</v>
      </c>
      <c r="BJ67" s="249">
        <f>IF(BJ29&gt;0,'Hours Per Job'!BJ29,0)</f>
        <v>0.25</v>
      </c>
      <c r="BK67" s="249">
        <f>IF(BK29&gt;0,'Hours Per Job'!BK29,0)</f>
        <v>0</v>
      </c>
      <c r="BL67" s="249">
        <f>IF(BL29&gt;0,'Hours Per Job'!BL29,0)</f>
        <v>0</v>
      </c>
      <c r="BM67" s="249">
        <f>IF(BM29&gt;0,'Hours Per Job'!BM29,0)</f>
        <v>1</v>
      </c>
      <c r="BN67" s="249">
        <f>IF(BN29&gt;0,'Hours Per Job'!BN29,0)</f>
        <v>0</v>
      </c>
      <c r="BO67" s="249">
        <f>IF(BO29&gt;0,'Hours Per Job'!BO29,0)</f>
        <v>0</v>
      </c>
      <c r="BP67" s="249">
        <f>IF(BP29&gt;0,'Hours Per Job'!BP29,0)</f>
        <v>0</v>
      </c>
      <c r="BQ67" s="248">
        <f t="shared" si="5"/>
        <v>3.5500000000000003</v>
      </c>
      <c r="BR67" s="248"/>
    </row>
    <row r="68" spans="1:70" x14ac:dyDescent="0.2">
      <c r="A68" s="248" t="str">
        <f t="shared" si="4"/>
        <v>Sany SW up to 305</v>
      </c>
      <c r="B68" s="249">
        <f>IF(B30&gt;0,'Hours Per Job'!B30,0)</f>
        <v>0</v>
      </c>
      <c r="C68" s="249">
        <f>IF(C30&gt;0,'Hours Per Job'!C30,0)</f>
        <v>0</v>
      </c>
      <c r="D68" s="249">
        <f>IF(D30&gt;0,'Hours Per Job'!D30,0)</f>
        <v>0</v>
      </c>
      <c r="E68" s="249">
        <f>IF(E30&gt;0,'Hours Per Job'!E30,0)</f>
        <v>0</v>
      </c>
      <c r="F68" s="249">
        <f>IF(F30&gt;0,'Hours Per Job'!F30,0)</f>
        <v>0</v>
      </c>
      <c r="G68" s="249">
        <f>IF(G30&gt;0,'Hours Per Job'!G30,0)</f>
        <v>0</v>
      </c>
      <c r="H68" s="249">
        <f>IF(H30&gt;0,'Hours Per Job'!H30,0)</f>
        <v>0</v>
      </c>
      <c r="I68" s="249">
        <f>IF(I30&gt;0,'Hours Per Job'!I30,0)</f>
        <v>0</v>
      </c>
      <c r="J68" s="249">
        <f>IF(J30&gt;0,'Hours Per Job'!J30,0)</f>
        <v>0</v>
      </c>
      <c r="K68" s="249">
        <f>IF(K30&gt;0,'Hours Per Job'!K30,0)</f>
        <v>0</v>
      </c>
      <c r="L68" s="249">
        <f>IF(L30&gt;0,'Hours Per Job'!L30,0)</f>
        <v>0</v>
      </c>
      <c r="M68" s="249">
        <f>IF(M30&gt;0,'Hours Per Job'!M30,0)</f>
        <v>0</v>
      </c>
      <c r="N68" s="249">
        <f>IF(N30&gt;0,'Hours Per Job'!N30,0)</f>
        <v>0</v>
      </c>
      <c r="O68" s="249">
        <f>IF(O30&gt;0,'Hours Per Job'!O30,0)</f>
        <v>0</v>
      </c>
      <c r="P68" s="249">
        <f>IF(P30&gt;0,'Hours Per Job'!P30,0)</f>
        <v>0</v>
      </c>
      <c r="Q68" s="249">
        <f>IF(Q30&gt;0,'Hours Per Job'!Q30,0)</f>
        <v>0</v>
      </c>
      <c r="R68" s="249">
        <f>IF(R30&gt;0,'Hours Per Job'!R30,0)</f>
        <v>0</v>
      </c>
      <c r="S68" s="249">
        <f>IF(S30&gt;0,'Hours Per Job'!S30,0)</f>
        <v>0</v>
      </c>
      <c r="T68" s="249">
        <f>IF(T30&gt;0,'Hours Per Job'!T30,0)</f>
        <v>0</v>
      </c>
      <c r="U68" s="249">
        <f>IF(U30&gt;0,'Hours Per Job'!U30,0)</f>
        <v>1</v>
      </c>
      <c r="V68" s="249">
        <f>IF(V30&gt;0,'Hours Per Job'!V30,0)</f>
        <v>0</v>
      </c>
      <c r="W68" s="249">
        <f>IF(W30&gt;0,'Hours Per Job'!W30,0)</f>
        <v>0</v>
      </c>
      <c r="X68" s="249">
        <f>IF(X30&gt;0,'Hours Per Job'!X30,0)</f>
        <v>0</v>
      </c>
      <c r="Y68" s="249">
        <f>IF(Y30&gt;0,'Hours Per Job'!Y30,0)</f>
        <v>0</v>
      </c>
      <c r="Z68" s="249">
        <f>IF(Z30&gt;0,'Hours Per Job'!Z30,0)</f>
        <v>0.3</v>
      </c>
      <c r="AA68" s="249">
        <f>IF(AA30&gt;0,'Hours Per Job'!AA30,0)</f>
        <v>0</v>
      </c>
      <c r="AB68" s="249">
        <f>IF(AB30&gt;0,'Hours Per Job'!AB30,0)</f>
        <v>0</v>
      </c>
      <c r="AC68" s="249">
        <f>IF(AC30&gt;0,'Hours Per Job'!AC30,0)</f>
        <v>0</v>
      </c>
      <c r="AD68" s="249">
        <f>IF(AD30&gt;0,'Hours Per Job'!AD30,0)</f>
        <v>0</v>
      </c>
      <c r="AE68" s="249">
        <f>IF(AE30&gt;0,'Hours Per Job'!AE30,0)</f>
        <v>0</v>
      </c>
      <c r="AF68" s="249">
        <f>IF(AF30&gt;0,'Hours Per Job'!AF30,0)</f>
        <v>0.1</v>
      </c>
      <c r="AG68" s="249">
        <f>IF(AG30&gt;0,'Hours Per Job'!AG30,0)</f>
        <v>0</v>
      </c>
      <c r="AH68" s="249">
        <f>IF(AH30&gt;0,'Hours Per Job'!AH30,0)</f>
        <v>0</v>
      </c>
      <c r="AI68" s="249">
        <f>IF(AI30&gt;0,'Hours Per Job'!AI30,0)</f>
        <v>0</v>
      </c>
      <c r="AJ68" s="249">
        <f>IF(AJ30&gt;0,'Hours Per Job'!AJ30,0)</f>
        <v>0</v>
      </c>
      <c r="AK68" s="249">
        <f>IF(AK30&gt;0,'Hours Per Job'!AK30,0)</f>
        <v>0</v>
      </c>
      <c r="AL68" s="249">
        <f>IF(AL30&gt;0,'Hours Per Job'!AL30,0)</f>
        <v>0</v>
      </c>
      <c r="AM68" s="249">
        <f>IF(AM30&gt;0,'Hours Per Job'!AM30,0)</f>
        <v>0</v>
      </c>
      <c r="AN68" s="249">
        <f>IF(AN30&gt;0,'Hours Per Job'!AN30,0)</f>
        <v>0</v>
      </c>
      <c r="AO68" s="249">
        <f>IF(AO30&gt;0,'Hours Per Job'!AO30,0)</f>
        <v>0</v>
      </c>
      <c r="AP68" s="249">
        <f>IF(AP30&gt;0,'Hours Per Job'!AP30,0)</f>
        <v>0</v>
      </c>
      <c r="AQ68" s="249">
        <f>IF(AQ30&gt;0,'Hours Per Job'!AQ30,0)</f>
        <v>0</v>
      </c>
      <c r="AR68" s="249">
        <f>IF(AR30&gt;0,'Hours Per Job'!AR30,0)</f>
        <v>0</v>
      </c>
      <c r="AS68" s="249">
        <f>IF(AS30&gt;0,'Hours Per Job'!AS30,0)</f>
        <v>0</v>
      </c>
      <c r="AT68" s="249">
        <f>IF(AT30&gt;0,'Hours Per Job'!AT30,0)</f>
        <v>0.7</v>
      </c>
      <c r="AU68" s="249">
        <f>IF(AU30&gt;0,'Hours Per Job'!AU30,0)</f>
        <v>0</v>
      </c>
      <c r="AV68" s="249">
        <f>IF(AV30&gt;0,'Hours Per Job'!AV30,0)</f>
        <v>0</v>
      </c>
      <c r="AW68" s="249">
        <f>IF(AW30&gt;0,'Hours Per Job'!AW30,0)</f>
        <v>0</v>
      </c>
      <c r="AX68" s="249">
        <f>IF(AX30&gt;0,'Hours Per Job'!AX30,0)</f>
        <v>0</v>
      </c>
      <c r="AY68" s="249">
        <f>IF(AY30&gt;0,'Hours Per Job'!AY30,0)</f>
        <v>0</v>
      </c>
      <c r="AZ68" s="249">
        <f>IF(AZ30&gt;0,'Hours Per Job'!AZ30,0)</f>
        <v>0</v>
      </c>
      <c r="BA68" s="249">
        <f>IF(BA30&gt;0,'Hours Per Job'!BA30,0)</f>
        <v>0</v>
      </c>
      <c r="BB68" s="249">
        <f>IF(BB30&gt;0,'Hours Per Job'!BB30,0)</f>
        <v>0</v>
      </c>
      <c r="BC68" s="249">
        <f>IF(BC30&gt;0,'Hours Per Job'!BC30,0)</f>
        <v>0</v>
      </c>
      <c r="BD68" s="249">
        <f>IF(BD30&gt;0,'Hours Per Job'!BD30,0)</f>
        <v>0</v>
      </c>
      <c r="BE68" s="249">
        <f>IF(BE30&gt;0,'Hours Per Job'!BE30,0)</f>
        <v>0</v>
      </c>
      <c r="BF68" s="249">
        <f>IF(BF30&gt;0,'Hours Per Job'!BF30,0)</f>
        <v>0</v>
      </c>
      <c r="BG68" s="249">
        <f>IF(BG30&gt;0,'Hours Per Job'!BG30,0)</f>
        <v>0</v>
      </c>
      <c r="BH68" s="249">
        <f>IF(BH30&gt;0,'Hours Per Job'!BH30,0)</f>
        <v>0</v>
      </c>
      <c r="BI68" s="249">
        <f>IF(BI30&gt;0,'Hours Per Job'!BI30,0)</f>
        <v>0</v>
      </c>
      <c r="BJ68" s="249">
        <f>IF(BJ30&gt;0,'Hours Per Job'!BJ30,0)</f>
        <v>0.25</v>
      </c>
      <c r="BK68" s="249">
        <f>IF(BK30&gt;0,'Hours Per Job'!BK30,0)</f>
        <v>0</v>
      </c>
      <c r="BL68" s="249">
        <f>IF(BL30&gt;0,'Hours Per Job'!BL30,0)</f>
        <v>0</v>
      </c>
      <c r="BM68" s="249">
        <f>IF(BM30&gt;0,'Hours Per Job'!BM30,0)</f>
        <v>0</v>
      </c>
      <c r="BN68" s="249">
        <f>IF(BN30&gt;0,'Hours Per Job'!BN30,0)</f>
        <v>0</v>
      </c>
      <c r="BO68" s="249">
        <f>IF(BO30&gt;0,'Hours Per Job'!BO30,0)</f>
        <v>0</v>
      </c>
      <c r="BP68" s="249">
        <f>IF(BP30&gt;0,'Hours Per Job'!BP30,0)</f>
        <v>0</v>
      </c>
      <c r="BQ68" s="248">
        <f t="shared" si="5"/>
        <v>2.35</v>
      </c>
      <c r="BR68" s="248"/>
    </row>
    <row r="69" spans="1:70" x14ac:dyDescent="0.2">
      <c r="A69" s="248" t="str">
        <f t="shared" si="4"/>
        <v>SCL - DIESEL</v>
      </c>
      <c r="B69" s="249">
        <f>IF(B31&gt;0,'Hours Per Job'!B31,0)</f>
        <v>0</v>
      </c>
      <c r="C69" s="249">
        <f>IF(C31&gt;0,'Hours Per Job'!C31,0)</f>
        <v>0</v>
      </c>
      <c r="D69" s="249">
        <f>IF(D31&gt;0,'Hours Per Job'!D31,0)</f>
        <v>0</v>
      </c>
      <c r="E69" s="249">
        <f>IF(E31&gt;0,'Hours Per Job'!E31,0)</f>
        <v>0</v>
      </c>
      <c r="F69" s="249">
        <f>IF(F31&gt;0,'Hours Per Job'!F31,0)</f>
        <v>0</v>
      </c>
      <c r="G69" s="249">
        <f>IF(G31&gt;0,'Hours Per Job'!G31,0)</f>
        <v>0</v>
      </c>
      <c r="H69" s="249">
        <f>IF(H31&gt;0,'Hours Per Job'!H31,0)</f>
        <v>0</v>
      </c>
      <c r="I69" s="249">
        <f>IF(I31&gt;0,'Hours Per Job'!I31,0)</f>
        <v>0</v>
      </c>
      <c r="J69" s="249">
        <f>IF(J31&gt;0,'Hours Per Job'!J31,0)</f>
        <v>0</v>
      </c>
      <c r="K69" s="249">
        <f>IF(K31&gt;0,'Hours Per Job'!K31,0)</f>
        <v>0</v>
      </c>
      <c r="L69" s="249">
        <f>IF(L31&gt;0,'Hours Per Job'!L31,0)</f>
        <v>0</v>
      </c>
      <c r="M69" s="249">
        <f>IF(M31&gt;0,'Hours Per Job'!M31,0)</f>
        <v>0</v>
      </c>
      <c r="N69" s="249">
        <f>IF(N31&gt;0,'Hours Per Job'!N31,0)</f>
        <v>0</v>
      </c>
      <c r="O69" s="249">
        <f>IF(O31&gt;0,'Hours Per Job'!O31,0)</f>
        <v>0</v>
      </c>
      <c r="P69" s="249">
        <f>IF(P31&gt;0,'Hours Per Job'!P31,0)</f>
        <v>0</v>
      </c>
      <c r="Q69" s="249">
        <f>IF(Q31&gt;0,'Hours Per Job'!Q31,0)</f>
        <v>0</v>
      </c>
      <c r="R69" s="249">
        <f>IF(R31&gt;0,'Hours Per Job'!R31,0)</f>
        <v>0</v>
      </c>
      <c r="S69" s="249">
        <f>IF(S31&gt;0,'Hours Per Job'!S31,0)</f>
        <v>0</v>
      </c>
      <c r="T69" s="249">
        <f>IF(T31&gt;0,'Hours Per Job'!T31,0)</f>
        <v>0</v>
      </c>
      <c r="U69" s="249">
        <f>IF(U31&gt;0,'Hours Per Job'!U31,0)</f>
        <v>0</v>
      </c>
      <c r="V69" s="249">
        <f>IF(V31&gt;0,'Hours Per Job'!V31,0)</f>
        <v>0</v>
      </c>
      <c r="W69" s="249">
        <f>IF(W31&gt;0,'Hours Per Job'!W31,0)</f>
        <v>0</v>
      </c>
      <c r="X69" s="249">
        <f>IF(X31&gt;0,'Hours Per Job'!X31,0)</f>
        <v>0</v>
      </c>
      <c r="Y69" s="249">
        <f>IF(Y31&gt;0,'Hours Per Job'!Y31,0)</f>
        <v>0</v>
      </c>
      <c r="Z69" s="249">
        <f>IF(Z31&gt;0,'Hours Per Job'!Z31,0)</f>
        <v>0</v>
      </c>
      <c r="AA69" s="249">
        <f>IF(AA31&gt;0,'Hours Per Job'!AA31,0)</f>
        <v>0</v>
      </c>
      <c r="AB69" s="249">
        <f>IF(AB31&gt;0,'Hours Per Job'!AB31,0)</f>
        <v>0</v>
      </c>
      <c r="AC69" s="249">
        <f>IF(AC31&gt;0,'Hours Per Job'!AC31,0)</f>
        <v>0</v>
      </c>
      <c r="AD69" s="249">
        <f>IF(AD31&gt;0,'Hours Per Job'!AD31,0)</f>
        <v>0</v>
      </c>
      <c r="AE69" s="249">
        <f>IF(AE31&gt;0,'Hours Per Job'!AE31,0)</f>
        <v>0</v>
      </c>
      <c r="AF69" s="249">
        <f>IF(AF31&gt;0,'Hours Per Job'!AF31,0)</f>
        <v>0</v>
      </c>
      <c r="AG69" s="249">
        <f>IF(AG31&gt;0,'Hours Per Job'!AG31,0)</f>
        <v>0</v>
      </c>
      <c r="AH69" s="249">
        <f>IF(AH31&gt;0,'Hours Per Job'!AH31,0)</f>
        <v>0</v>
      </c>
      <c r="AI69" s="249">
        <f>IF(AI31&gt;0,'Hours Per Job'!AI31,0)</f>
        <v>0</v>
      </c>
      <c r="AJ69" s="249">
        <f>IF(AJ31&gt;0,'Hours Per Job'!AJ31,0)</f>
        <v>0</v>
      </c>
      <c r="AK69" s="249">
        <f>IF(AK31&gt;0,'Hours Per Job'!AK31,0)</f>
        <v>0</v>
      </c>
      <c r="AL69" s="249">
        <f>IF(AL31&gt;0,'Hours Per Job'!AL31,0)</f>
        <v>0</v>
      </c>
      <c r="AM69" s="249">
        <f>IF(AM31&gt;0,'Hours Per Job'!AM31,0)</f>
        <v>0</v>
      </c>
      <c r="AN69" s="249">
        <f>IF(AN31&gt;0,'Hours Per Job'!AN31,0)</f>
        <v>0</v>
      </c>
      <c r="AO69" s="249">
        <f>IF(AO31&gt;0,'Hours Per Job'!AO31,0)</f>
        <v>0</v>
      </c>
      <c r="AP69" s="249">
        <f>IF(AP31&gt;0,'Hours Per Job'!AP31,0)</f>
        <v>0</v>
      </c>
      <c r="AQ69" s="249">
        <f>IF(AQ31&gt;0,'Hours Per Job'!AQ31,0)</f>
        <v>0</v>
      </c>
      <c r="AR69" s="249">
        <f>IF(AR31&gt;0,'Hours Per Job'!AR31,0)</f>
        <v>0</v>
      </c>
      <c r="AS69" s="249">
        <f>IF(AS31&gt;0,'Hours Per Job'!AS31,0)</f>
        <v>0</v>
      </c>
      <c r="AT69" s="249">
        <f>IF(AT31&gt;0,'Hours Per Job'!AT31,0)</f>
        <v>0</v>
      </c>
      <c r="AU69" s="249">
        <f>IF(AU31&gt;0,'Hours Per Job'!AU31,0)</f>
        <v>0</v>
      </c>
      <c r="AV69" s="249">
        <f>IF(AV31&gt;0,'Hours Per Job'!AV31,0)</f>
        <v>0</v>
      </c>
      <c r="AW69" s="249">
        <f>IF(AW31&gt;0,'Hours Per Job'!AW31,0)</f>
        <v>0</v>
      </c>
      <c r="AX69" s="249">
        <f>IF(AX31&gt;0,'Hours Per Job'!AX31,0)</f>
        <v>0</v>
      </c>
      <c r="AY69" s="249">
        <f>IF(AY31&gt;0,'Hours Per Job'!AY31,0)</f>
        <v>0</v>
      </c>
      <c r="AZ69" s="249">
        <f>IF(AZ31&gt;0,'Hours Per Job'!AZ31,0)</f>
        <v>0</v>
      </c>
      <c r="BA69" s="249">
        <f>IF(BA31&gt;0,'Hours Per Job'!BA31,0)</f>
        <v>0</v>
      </c>
      <c r="BB69" s="249">
        <f>IF(BB31&gt;0,'Hours Per Job'!BB31,0)</f>
        <v>0</v>
      </c>
      <c r="BC69" s="249">
        <f>IF(BC31&gt;0,'Hours Per Job'!BC31,0)</f>
        <v>0</v>
      </c>
      <c r="BD69" s="249">
        <f>IF(BD31&gt;0,'Hours Per Job'!BD31,0)</f>
        <v>0</v>
      </c>
      <c r="BE69" s="249">
        <f>IF(BE31&gt;0,'Hours Per Job'!BE31,0)</f>
        <v>0</v>
      </c>
      <c r="BF69" s="249">
        <f>IF(BF31&gt;0,'Hours Per Job'!BF31,0)</f>
        <v>0</v>
      </c>
      <c r="BG69" s="249">
        <f>IF(BG31&gt;0,'Hours Per Job'!BG31,0)</f>
        <v>0</v>
      </c>
      <c r="BH69" s="249">
        <f>IF(BH31&gt;0,'Hours Per Job'!BH31,0)</f>
        <v>0</v>
      </c>
      <c r="BI69" s="249">
        <f>IF(BI31&gt;0,'Hours Per Job'!BI31,0)</f>
        <v>0</v>
      </c>
      <c r="BJ69" s="249">
        <f>IF(BJ31&gt;0,'Hours Per Job'!BJ31,0)</f>
        <v>0</v>
      </c>
      <c r="BK69" s="249">
        <f>IF(BK31&gt;0,'Hours Per Job'!BK31,0)</f>
        <v>0</v>
      </c>
      <c r="BL69" s="249">
        <f>IF(BL31&gt;0,'Hours Per Job'!BL31,0)</f>
        <v>0</v>
      </c>
      <c r="BM69" s="249">
        <f>IF(BM31&gt;0,'Hours Per Job'!BM31,0)</f>
        <v>0</v>
      </c>
      <c r="BN69" s="249">
        <f>IF(BN31&gt;0,'Hours Per Job'!BN31,0)</f>
        <v>0</v>
      </c>
      <c r="BO69" s="249">
        <f>IF(BO31&gt;0,'Hours Per Job'!BO31,0)</f>
        <v>0</v>
      </c>
      <c r="BP69" s="249">
        <f>IF(BP31&gt;0,'Hours Per Job'!BP31,0)</f>
        <v>0</v>
      </c>
      <c r="BQ69" s="248">
        <f t="shared" si="5"/>
        <v>0</v>
      </c>
      <c r="BR69" s="248"/>
    </row>
    <row r="70" spans="1:70" x14ac:dyDescent="0.2">
      <c r="A70" s="248" t="str">
        <f t="shared" ref="A70:A71" si="6">A33</f>
        <v>Mini Excavator</v>
      </c>
      <c r="B70" s="249">
        <f>IF(B33&gt;0,'Hours Per Job'!B33,0)</f>
        <v>0</v>
      </c>
      <c r="C70" s="249">
        <f>IF(C33&gt;0,'Hours Per Job'!C33,0)</f>
        <v>0</v>
      </c>
      <c r="D70" s="249">
        <f>IF(D33&gt;0,'Hours Per Job'!D33,0)</f>
        <v>0</v>
      </c>
      <c r="E70" s="249">
        <f>IF(E33&gt;0,'Hours Per Job'!E33,0)</f>
        <v>0</v>
      </c>
      <c r="F70" s="249">
        <f>IF(F33&gt;0,'Hours Per Job'!F33,0)</f>
        <v>0</v>
      </c>
      <c r="G70" s="249">
        <f>IF(G33&gt;0,'Hours Per Job'!G33,0)</f>
        <v>0</v>
      </c>
      <c r="H70" s="249">
        <f>IF(H33&gt;0,'Hours Per Job'!H33,0)</f>
        <v>0</v>
      </c>
      <c r="I70" s="249">
        <f>IF(I33&gt;0,'Hours Per Job'!I33,0)</f>
        <v>0</v>
      </c>
      <c r="J70" s="249">
        <f>IF(J33&gt;0,'Hours Per Job'!J33,0)</f>
        <v>0</v>
      </c>
      <c r="K70" s="249">
        <f>IF(K33&gt;0,'Hours Per Job'!K33,0)</f>
        <v>0</v>
      </c>
      <c r="L70" s="249">
        <f>IF(L33&gt;0,'Hours Per Job'!L33,0)</f>
        <v>0</v>
      </c>
      <c r="M70" s="249">
        <f>IF(M33&gt;0,'Hours Per Job'!M33,0)</f>
        <v>0</v>
      </c>
      <c r="N70" s="249">
        <f>IF(N33&gt;0,'Hours Per Job'!N33,0)</f>
        <v>0</v>
      </c>
      <c r="O70" s="249">
        <f>IF(O33&gt;0,'Hours Per Job'!O33,0)</f>
        <v>0</v>
      </c>
      <c r="P70" s="249">
        <f>IF(P33&gt;0,'Hours Per Job'!P33,0)</f>
        <v>0</v>
      </c>
      <c r="Q70" s="249">
        <f>IF(Q33&gt;0,'Hours Per Job'!Q33,0)</f>
        <v>0</v>
      </c>
      <c r="R70" s="249">
        <f>IF(R33&gt;0,'Hours Per Job'!R33,0)</f>
        <v>0</v>
      </c>
      <c r="S70" s="249">
        <f>IF(S33&gt;0,'Hours Per Job'!S33,0)</f>
        <v>0</v>
      </c>
      <c r="T70" s="249">
        <f>IF(T33&gt;0,'Hours Per Job'!T33,0)</f>
        <v>0</v>
      </c>
      <c r="U70" s="249">
        <f>IF(U33&gt;0,'Hours Per Job'!U33,0)</f>
        <v>0.4</v>
      </c>
      <c r="V70" s="249">
        <f>IF(V33&gt;0,'Hours Per Job'!V33,0)</f>
        <v>0</v>
      </c>
      <c r="W70" s="249">
        <f>IF(W33&gt;0,'Hours Per Job'!W33,0)</f>
        <v>0</v>
      </c>
      <c r="X70" s="249">
        <f>IF(X33&gt;0,'Hours Per Job'!X33,0)</f>
        <v>0</v>
      </c>
      <c r="Y70" s="249">
        <f>IF(Y33&gt;0,'Hours Per Job'!Y33,0)</f>
        <v>0</v>
      </c>
      <c r="Z70" s="249">
        <f>IF(Z33&gt;0,'Hours Per Job'!Z33,0)</f>
        <v>0.2</v>
      </c>
      <c r="AA70" s="249">
        <f>IF(AA33&gt;0,'Hours Per Job'!AA33,0)</f>
        <v>0</v>
      </c>
      <c r="AB70" s="249">
        <f>IF(AB33&gt;0,'Hours Per Job'!AB33,0)</f>
        <v>0</v>
      </c>
      <c r="AC70" s="249">
        <f>IF(AC33&gt;0,'Hours Per Job'!AC33,0)</f>
        <v>0</v>
      </c>
      <c r="AD70" s="249">
        <f>IF(AD33&gt;0,'Hours Per Job'!AD33,0)</f>
        <v>0</v>
      </c>
      <c r="AE70" s="249">
        <f>IF(AE33&gt;0,'Hours Per Job'!AE33,0)</f>
        <v>0</v>
      </c>
      <c r="AF70" s="249">
        <f>IF(AF33&gt;0,'Hours Per Job'!AF33,0)</f>
        <v>0</v>
      </c>
      <c r="AG70" s="249">
        <f>IF(AG33&gt;0,'Hours Per Job'!AG33,0)</f>
        <v>0.5</v>
      </c>
      <c r="AH70" s="249">
        <f>IF(AH33&gt;0,'Hours Per Job'!AH33,0)</f>
        <v>0</v>
      </c>
      <c r="AI70" s="249">
        <f>IF(AI33&gt;0,'Hours Per Job'!AI33,0)</f>
        <v>1</v>
      </c>
      <c r="AJ70" s="249">
        <f>IF(AJ33&gt;0,'Hours Per Job'!AJ33,0)</f>
        <v>0</v>
      </c>
      <c r="AK70" s="249">
        <f>IF(AK33&gt;0,'Hours Per Job'!AK33,0)</f>
        <v>0</v>
      </c>
      <c r="AL70" s="249">
        <f>IF(AL33&gt;0,'Hours Per Job'!AL33,0)</f>
        <v>0</v>
      </c>
      <c r="AM70" s="249">
        <f>IF(AM33&gt;0,'Hours Per Job'!AM33,0)</f>
        <v>0</v>
      </c>
      <c r="AN70" s="249">
        <f>IF(AN33&gt;0,'Hours Per Job'!AN33,0)</f>
        <v>0</v>
      </c>
      <c r="AO70" s="249">
        <f>IF(AO33&gt;0,'Hours Per Job'!AO33,0)</f>
        <v>0</v>
      </c>
      <c r="AP70" s="249">
        <f>IF(AP33&gt;0,'Hours Per Job'!AP33,0)</f>
        <v>0</v>
      </c>
      <c r="AQ70" s="249">
        <f>IF(AQ33&gt;0,'Hours Per Job'!AQ33,0)</f>
        <v>0</v>
      </c>
      <c r="AR70" s="249">
        <f>IF(AR33&gt;0,'Hours Per Job'!AR33,0)</f>
        <v>0</v>
      </c>
      <c r="AS70" s="249">
        <f>IF(AS33&gt;0,'Hours Per Job'!AS33,0)</f>
        <v>0</v>
      </c>
      <c r="AT70" s="249">
        <f>IF(AT33&gt;0,'Hours Per Job'!AT33,0)</f>
        <v>0.2</v>
      </c>
      <c r="AU70" s="249">
        <f>IF(AU33&gt;0,'Hours Per Job'!AU33,0)</f>
        <v>0</v>
      </c>
      <c r="AV70" s="249">
        <f>IF(AV33&gt;0,'Hours Per Job'!AV33,0)</f>
        <v>0</v>
      </c>
      <c r="AW70" s="249">
        <f>IF(AW33&gt;0,'Hours Per Job'!AW33,0)</f>
        <v>0</v>
      </c>
      <c r="AX70" s="249">
        <f>IF(AX33&gt;0,'Hours Per Job'!AX33,0)</f>
        <v>0</v>
      </c>
      <c r="AY70" s="249">
        <f>IF(AY33&gt;0,'Hours Per Job'!AY33,0)</f>
        <v>0</v>
      </c>
      <c r="AZ70" s="249">
        <f>IF(AZ33&gt;0,'Hours Per Job'!AZ33,0)</f>
        <v>0</v>
      </c>
      <c r="BA70" s="249">
        <f>IF(BA33&gt;0,'Hours Per Job'!BA33,0)</f>
        <v>0</v>
      </c>
      <c r="BB70" s="249">
        <f>IF(BB33&gt;0,'Hours Per Job'!BB33,0)</f>
        <v>0.1</v>
      </c>
      <c r="BC70" s="249">
        <f>IF(BC33&gt;0,'Hours Per Job'!BC33,0)</f>
        <v>0.2</v>
      </c>
      <c r="BD70" s="249">
        <f>IF(BD33&gt;0,'Hours Per Job'!BD33,0)</f>
        <v>0</v>
      </c>
      <c r="BE70" s="249">
        <f>IF(BE33&gt;0,'Hours Per Job'!BE33,0)</f>
        <v>0</v>
      </c>
      <c r="BF70" s="249">
        <f>IF(BF33&gt;0,'Hours Per Job'!BF33,0)</f>
        <v>0</v>
      </c>
      <c r="BG70" s="249">
        <f>IF(BG33&gt;0,'Hours Per Job'!BG33,0)</f>
        <v>0</v>
      </c>
      <c r="BH70" s="249">
        <f>IF(BH33&gt;0,'Hours Per Job'!BH33,0)</f>
        <v>0</v>
      </c>
      <c r="BI70" s="249">
        <f>IF(BI33&gt;0,'Hours Per Job'!BI33,0)</f>
        <v>0</v>
      </c>
      <c r="BJ70" s="249">
        <f>IF(BJ33&gt;0,'Hours Per Job'!BJ33,0)</f>
        <v>0.25</v>
      </c>
      <c r="BK70" s="249">
        <f>IF(BK33&gt;0,'Hours Per Job'!BK33,0)</f>
        <v>0</v>
      </c>
      <c r="BL70" s="249">
        <f>IF(BL33&gt;0,'Hours Per Job'!BL33,0)</f>
        <v>0</v>
      </c>
      <c r="BM70" s="249">
        <f>IF(BM33&gt;0,'Hours Per Job'!BM33,0)</f>
        <v>0</v>
      </c>
      <c r="BN70" s="249">
        <f>IF(BN33&gt;0,'Hours Per Job'!BN33,0)</f>
        <v>0</v>
      </c>
      <c r="BO70" s="249">
        <f>IF(BO33&gt;0,'Hours Per Job'!BO33,0)</f>
        <v>0</v>
      </c>
      <c r="BP70" s="249">
        <f>IF(BP33&gt;0,'Hours Per Job'!BP33,0)</f>
        <v>0</v>
      </c>
      <c r="BQ70" s="248">
        <f t="shared" si="5"/>
        <v>2.8500000000000005</v>
      </c>
      <c r="BR70" s="248"/>
    </row>
    <row r="71" spans="1:70" x14ac:dyDescent="0.2">
      <c r="A71" s="248" t="str">
        <f t="shared" si="6"/>
        <v>Sub Compact BX</v>
      </c>
      <c r="B71" s="249">
        <f>IF(B34&gt;0,'Hours Per Job'!B34,0)</f>
        <v>0</v>
      </c>
      <c r="C71" s="249">
        <f>IF(C34&gt;0,'Hours Per Job'!C34,0)</f>
        <v>0</v>
      </c>
      <c r="D71" s="249">
        <f>IF(D34&gt;0,'Hours Per Job'!D34,0)</f>
        <v>0</v>
      </c>
      <c r="E71" s="249">
        <f>IF(E34&gt;0,'Hours Per Job'!E34,0)</f>
        <v>0</v>
      </c>
      <c r="F71" s="249">
        <f>IF(F34&gt;0,'Hours Per Job'!F34,0)</f>
        <v>0</v>
      </c>
      <c r="G71" s="249">
        <f>IF(G34&gt;0,'Hours Per Job'!G34,0)</f>
        <v>0</v>
      </c>
      <c r="H71" s="249">
        <f>IF(H34&gt;0,'Hours Per Job'!H34,0)</f>
        <v>0</v>
      </c>
      <c r="I71" s="249">
        <f>IF(I34&gt;0,'Hours Per Job'!I34,0)</f>
        <v>0</v>
      </c>
      <c r="J71" s="249">
        <f>IF(J34&gt;0,'Hours Per Job'!J34,0)</f>
        <v>0</v>
      </c>
      <c r="K71" s="249">
        <f>IF(K34&gt;0,'Hours Per Job'!K34,0)</f>
        <v>0</v>
      </c>
      <c r="L71" s="249">
        <f>IF(L34&gt;0,'Hours Per Job'!L34,0)</f>
        <v>0</v>
      </c>
      <c r="M71" s="249">
        <f>IF(M34&gt;0,'Hours Per Job'!M34,0)</f>
        <v>0</v>
      </c>
      <c r="N71" s="249">
        <f>IF(N34&gt;0,'Hours Per Job'!N34,0)</f>
        <v>0</v>
      </c>
      <c r="O71" s="249">
        <f>IF(O34&gt;0,'Hours Per Job'!O34,0)</f>
        <v>0</v>
      </c>
      <c r="P71" s="249">
        <f>IF(P34&gt;0,'Hours Per Job'!P34,0)</f>
        <v>0</v>
      </c>
      <c r="Q71" s="249">
        <f>IF(Q34&gt;0,'Hours Per Job'!Q34,0)</f>
        <v>0</v>
      </c>
      <c r="R71" s="249">
        <f>IF(R34&gt;0,'Hours Per Job'!R34,0)</f>
        <v>0</v>
      </c>
      <c r="S71" s="249">
        <f>IF(S34&gt;0,'Hours Per Job'!S34,0)</f>
        <v>0</v>
      </c>
      <c r="T71" s="249">
        <f>IF(T34&gt;0,'Hours Per Job'!T34,0)</f>
        <v>0</v>
      </c>
      <c r="U71" s="249">
        <f>IF(U34&gt;0,'Hours Per Job'!U34,0)</f>
        <v>0</v>
      </c>
      <c r="V71" s="249">
        <f>IF(V34&gt;0,'Hours Per Job'!V34,0)</f>
        <v>0</v>
      </c>
      <c r="W71" s="249">
        <f>IF(W34&gt;0,'Hours Per Job'!W34,0)</f>
        <v>0</v>
      </c>
      <c r="X71" s="249">
        <f>IF(X34&gt;0,'Hours Per Job'!X34,0)</f>
        <v>0</v>
      </c>
      <c r="Y71" s="249">
        <f>IF(Y34&gt;0,'Hours Per Job'!Y34,0)</f>
        <v>0</v>
      </c>
      <c r="Z71" s="249">
        <f>IF(Z34&gt;0,'Hours Per Job'!Z34,0)</f>
        <v>0</v>
      </c>
      <c r="AA71" s="249">
        <f>IF(AA34&gt;0,'Hours Per Job'!AA34,0)</f>
        <v>0</v>
      </c>
      <c r="AB71" s="249">
        <f>IF(AB34&gt;0,'Hours Per Job'!AB34,0)</f>
        <v>0</v>
      </c>
      <c r="AC71" s="249">
        <f>IF(AC34&gt;0,'Hours Per Job'!AC34,0)</f>
        <v>0</v>
      </c>
      <c r="AD71" s="249">
        <f>IF(AD34&gt;0,'Hours Per Job'!AD34,0)</f>
        <v>0</v>
      </c>
      <c r="AE71" s="249">
        <f>IF(AE34&gt;0,'Hours Per Job'!AE34,0)</f>
        <v>0</v>
      </c>
      <c r="AF71" s="249">
        <f>IF(AF34&gt;0,'Hours Per Job'!AF34,0)</f>
        <v>0</v>
      </c>
      <c r="AG71" s="249">
        <f>IF(AG34&gt;0,'Hours Per Job'!AG34,0)</f>
        <v>0</v>
      </c>
      <c r="AH71" s="249">
        <f>IF(AH34&gt;0,'Hours Per Job'!AH34,0)</f>
        <v>0</v>
      </c>
      <c r="AI71" s="249">
        <f>IF(AI34&gt;0,'Hours Per Job'!AI34,0)</f>
        <v>0</v>
      </c>
      <c r="AJ71" s="249">
        <f>IF(AJ34&gt;0,'Hours Per Job'!AJ34,0)</f>
        <v>0</v>
      </c>
      <c r="AK71" s="249">
        <f>IF(AK34&gt;0,'Hours Per Job'!AK34,0)</f>
        <v>0</v>
      </c>
      <c r="AL71" s="249">
        <f>IF(AL34&gt;0,'Hours Per Job'!AL34,0)</f>
        <v>0</v>
      </c>
      <c r="AM71" s="249">
        <f>IF(AM34&gt;0,'Hours Per Job'!AM34,0)</f>
        <v>0</v>
      </c>
      <c r="AN71" s="249">
        <f>IF(AN34&gt;0,'Hours Per Job'!AN34,0)</f>
        <v>0</v>
      </c>
      <c r="AO71" s="249">
        <f>IF(AO34&gt;0,'Hours Per Job'!AO34,0)</f>
        <v>0</v>
      </c>
      <c r="AP71" s="249">
        <f>IF(AP34&gt;0,'Hours Per Job'!AP34,0)</f>
        <v>0</v>
      </c>
      <c r="AQ71" s="249">
        <f>IF(AQ34&gt;0,'Hours Per Job'!AQ34,0)</f>
        <v>0</v>
      </c>
      <c r="AR71" s="249">
        <f>IF(AR34&gt;0,'Hours Per Job'!AR34,0)</f>
        <v>0</v>
      </c>
      <c r="AS71" s="249">
        <f>IF(AS34&gt;0,'Hours Per Job'!AS34,0)</f>
        <v>0</v>
      </c>
      <c r="AT71" s="249">
        <f>IF(AT34&gt;0,'Hours Per Job'!AT34,0)</f>
        <v>0</v>
      </c>
      <c r="AU71" s="249">
        <f>IF(AU34&gt;0,'Hours Per Job'!AU34,0)</f>
        <v>0</v>
      </c>
      <c r="AV71" s="249">
        <f>IF(AV34&gt;0,'Hours Per Job'!AV34,0)</f>
        <v>0</v>
      </c>
      <c r="AW71" s="249">
        <f>IF(AW34&gt;0,'Hours Per Job'!AW34,0)</f>
        <v>0</v>
      </c>
      <c r="AX71" s="249">
        <f>IF(AX34&gt;0,'Hours Per Job'!AX34,0)</f>
        <v>0</v>
      </c>
      <c r="AY71" s="249">
        <f>IF(AY34&gt;0,'Hours Per Job'!AY34,0)</f>
        <v>0</v>
      </c>
      <c r="AZ71" s="249">
        <f>IF(AZ34&gt;0,'Hours Per Job'!AZ34,0)</f>
        <v>0</v>
      </c>
      <c r="BA71" s="249">
        <f>IF(BA34&gt;0,'Hours Per Job'!BA34,0)</f>
        <v>0</v>
      </c>
      <c r="BB71" s="249">
        <f>IF(BB34&gt;0,'Hours Per Job'!BB34,0)</f>
        <v>0</v>
      </c>
      <c r="BC71" s="249">
        <f>IF(BC34&gt;0,'Hours Per Job'!BC34,0)</f>
        <v>0</v>
      </c>
      <c r="BD71" s="249">
        <f>IF(BD34&gt;0,'Hours Per Job'!BD34,0)</f>
        <v>0</v>
      </c>
      <c r="BE71" s="249">
        <f>IF(BE34&gt;0,'Hours Per Job'!BE34,0)</f>
        <v>0</v>
      </c>
      <c r="BF71" s="249">
        <f>IF(BF34&gt;0,'Hours Per Job'!BF34,0)</f>
        <v>0</v>
      </c>
      <c r="BG71" s="249">
        <f>IF(BG34&gt;0,'Hours Per Job'!BG34,0)</f>
        <v>0</v>
      </c>
      <c r="BH71" s="249">
        <f>IF(BH34&gt;0,'Hours Per Job'!BH34,0)</f>
        <v>0</v>
      </c>
      <c r="BI71" s="249">
        <f>IF(BI34&gt;0,'Hours Per Job'!BI34,0)</f>
        <v>0</v>
      </c>
      <c r="BJ71" s="249">
        <f>IF(BJ34&gt;0,'Hours Per Job'!BJ34,0)</f>
        <v>0</v>
      </c>
      <c r="BK71" s="249">
        <f>IF(BK34&gt;0,'Hours Per Job'!BK34,0)</f>
        <v>0</v>
      </c>
      <c r="BL71" s="249">
        <f>IF(BL34&gt;0,'Hours Per Job'!BL34,0)</f>
        <v>0</v>
      </c>
      <c r="BM71" s="249">
        <f>IF(BM34&gt;0,'Hours Per Job'!BM34,0)</f>
        <v>0</v>
      </c>
      <c r="BN71" s="249">
        <f>IF(BN34&gt;0,'Hours Per Job'!BN34,0)</f>
        <v>0</v>
      </c>
      <c r="BO71" s="249">
        <f>IF(BO34&gt;0,'Hours Per Job'!BO34,0)</f>
        <v>0</v>
      </c>
      <c r="BP71" s="249">
        <f>IF(BP34&gt;0,'Hours Per Job'!BP34,0)</f>
        <v>0</v>
      </c>
      <c r="BQ71" s="248">
        <f t="shared" si="5"/>
        <v>0</v>
      </c>
      <c r="BR71" s="248"/>
    </row>
    <row r="72" spans="1:70" x14ac:dyDescent="0.2">
      <c r="A72" s="248"/>
      <c r="B72" s="249"/>
      <c r="C72" s="249"/>
      <c r="D72" s="249"/>
      <c r="E72" s="249"/>
      <c r="F72" s="249"/>
      <c r="G72" s="249"/>
      <c r="H72" s="249"/>
      <c r="I72" s="249"/>
      <c r="J72" s="249"/>
      <c r="K72" s="249"/>
      <c r="L72" s="249"/>
      <c r="M72" s="249"/>
      <c r="N72" s="249"/>
      <c r="O72" s="249"/>
      <c r="P72" s="249"/>
      <c r="Q72" s="249"/>
      <c r="R72" s="249"/>
      <c r="S72" s="249"/>
      <c r="T72" s="249"/>
      <c r="U72" s="249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49"/>
      <c r="BE72" s="249"/>
      <c r="BF72" s="249"/>
      <c r="BG72" s="249"/>
      <c r="BH72" s="249"/>
      <c r="BI72" s="249"/>
      <c r="BJ72" s="249"/>
      <c r="BK72" s="249"/>
      <c r="BL72" s="249"/>
      <c r="BM72" s="249"/>
      <c r="BN72" s="249"/>
      <c r="BO72" s="249"/>
      <c r="BP72" s="249"/>
      <c r="BQ72" s="248"/>
      <c r="BR72" s="248"/>
    </row>
    <row r="73" spans="1:70" x14ac:dyDescent="0.2">
      <c r="A73" s="248"/>
      <c r="B73" s="249"/>
      <c r="C73" s="249"/>
      <c r="D73" s="249"/>
      <c r="E73" s="249"/>
      <c r="F73" s="249"/>
      <c r="G73" s="249"/>
      <c r="H73" s="249"/>
      <c r="I73" s="249"/>
      <c r="J73" s="249"/>
      <c r="K73" s="249"/>
      <c r="L73" s="249"/>
      <c r="M73" s="249"/>
      <c r="N73" s="249"/>
      <c r="O73" s="249"/>
      <c r="P73" s="249"/>
      <c r="Q73" s="249"/>
      <c r="R73" s="249"/>
      <c r="S73" s="249"/>
      <c r="T73" s="249"/>
      <c r="U73" s="249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49"/>
      <c r="BE73" s="249"/>
      <c r="BF73" s="249"/>
      <c r="BG73" s="249"/>
      <c r="BH73" s="249"/>
      <c r="BI73" s="249"/>
      <c r="BJ73" s="249"/>
      <c r="BK73" s="249"/>
      <c r="BL73" s="249"/>
      <c r="BM73" s="249"/>
      <c r="BN73" s="249"/>
      <c r="BO73" s="249"/>
      <c r="BP73" s="249"/>
      <c r="BQ73" s="248"/>
      <c r="BR73" s="248"/>
    </row>
    <row r="74" spans="1:70" x14ac:dyDescent="0.2">
      <c r="A74" s="248"/>
      <c r="B74" s="249"/>
      <c r="C74" s="249"/>
      <c r="D74" s="249"/>
      <c r="E74" s="249"/>
      <c r="F74" s="249"/>
      <c r="G74" s="249"/>
      <c r="H74" s="249"/>
      <c r="I74" s="249"/>
      <c r="J74" s="249"/>
      <c r="K74" s="249"/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49"/>
      <c r="BE74" s="249"/>
      <c r="BF74" s="249"/>
      <c r="BG74" s="249"/>
      <c r="BH74" s="249"/>
      <c r="BI74" s="249"/>
      <c r="BJ74" s="249"/>
      <c r="BK74" s="249"/>
      <c r="BL74" s="249"/>
      <c r="BM74" s="249"/>
      <c r="BN74" s="249"/>
      <c r="BO74" s="249"/>
      <c r="BP74" s="249"/>
      <c r="BQ74" s="248"/>
      <c r="BR74" s="248"/>
    </row>
    <row r="75" spans="1:70" x14ac:dyDescent="0.2">
      <c r="A75" s="248"/>
      <c r="B75" s="249"/>
      <c r="C75" s="249"/>
      <c r="D75" s="249"/>
      <c r="E75" s="249"/>
      <c r="F75" s="249"/>
      <c r="G75" s="249"/>
      <c r="H75" s="249"/>
      <c r="I75" s="249"/>
      <c r="J75" s="249"/>
      <c r="K75" s="249"/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49"/>
      <c r="BE75" s="249"/>
      <c r="BF75" s="249"/>
      <c r="BG75" s="249"/>
      <c r="BH75" s="249"/>
      <c r="BI75" s="249"/>
      <c r="BJ75" s="249"/>
      <c r="BK75" s="249"/>
      <c r="BL75" s="249"/>
      <c r="BM75" s="249"/>
      <c r="BN75" s="249"/>
      <c r="BO75" s="249"/>
      <c r="BP75" s="249"/>
      <c r="BQ75" s="248"/>
      <c r="BR75" s="248"/>
    </row>
    <row r="76" spans="1:70" x14ac:dyDescent="0.2">
      <c r="A76" s="248"/>
      <c r="B76" s="249"/>
      <c r="C76" s="249"/>
      <c r="D76" s="249"/>
      <c r="E76" s="249"/>
      <c r="F76" s="249"/>
      <c r="G76" s="249"/>
      <c r="H76" s="249"/>
      <c r="I76" s="249"/>
      <c r="J76" s="249"/>
      <c r="K76" s="249"/>
      <c r="L76" s="249"/>
      <c r="M76" s="249"/>
      <c r="N76" s="249"/>
      <c r="O76" s="249"/>
      <c r="P76" s="249"/>
      <c r="Q76" s="249"/>
      <c r="R76" s="249"/>
      <c r="S76" s="249"/>
      <c r="T76" s="249"/>
      <c r="U76" s="249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49"/>
      <c r="BE76" s="249"/>
      <c r="BF76" s="249"/>
      <c r="BG76" s="249"/>
      <c r="BH76" s="249"/>
      <c r="BI76" s="249"/>
      <c r="BJ76" s="249"/>
      <c r="BK76" s="249"/>
      <c r="BL76" s="249"/>
      <c r="BM76" s="249"/>
      <c r="BN76" s="249"/>
      <c r="BO76" s="249"/>
      <c r="BP76" s="249"/>
      <c r="BQ76" s="248"/>
      <c r="BR76" s="248"/>
    </row>
    <row r="77" spans="1:70" x14ac:dyDescent="0.2">
      <c r="A77" s="248"/>
      <c r="B77" s="249"/>
      <c r="C77" s="249"/>
      <c r="D77" s="249"/>
      <c r="E77" s="249"/>
      <c r="F77" s="249"/>
      <c r="G77" s="249"/>
      <c r="H77" s="249"/>
      <c r="I77" s="249"/>
      <c r="J77" s="249"/>
      <c r="K77" s="249"/>
      <c r="L77" s="249"/>
      <c r="M77" s="249"/>
      <c r="N77" s="249"/>
      <c r="O77" s="249"/>
      <c r="P77" s="249"/>
      <c r="Q77" s="249"/>
      <c r="R77" s="249"/>
      <c r="S77" s="249"/>
      <c r="T77" s="249"/>
      <c r="U77" s="249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49"/>
      <c r="BE77" s="249"/>
      <c r="BF77" s="249"/>
      <c r="BG77" s="249"/>
      <c r="BH77" s="249"/>
      <c r="BI77" s="249"/>
      <c r="BJ77" s="249"/>
      <c r="BK77" s="249"/>
      <c r="BL77" s="249"/>
      <c r="BM77" s="249"/>
      <c r="BN77" s="249"/>
      <c r="BO77" s="249"/>
      <c r="BP77" s="249"/>
      <c r="BQ77" s="248"/>
      <c r="BR77" s="248"/>
    </row>
    <row r="78" spans="1:70" x14ac:dyDescent="0.2">
      <c r="A78" s="248"/>
      <c r="B78" s="249"/>
      <c r="C78" s="249"/>
      <c r="D78" s="249"/>
      <c r="E78" s="249"/>
      <c r="F78" s="249"/>
      <c r="G78" s="249"/>
      <c r="H78" s="249"/>
      <c r="I78" s="249"/>
      <c r="J78" s="249"/>
      <c r="K78" s="249"/>
      <c r="L78" s="249"/>
      <c r="M78" s="249"/>
      <c r="N78" s="249"/>
      <c r="O78" s="249"/>
      <c r="P78" s="249"/>
      <c r="Q78" s="249"/>
      <c r="R78" s="249"/>
      <c r="S78" s="249"/>
      <c r="T78" s="249"/>
      <c r="U78" s="249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49"/>
      <c r="BE78" s="249"/>
      <c r="BF78" s="249"/>
      <c r="BG78" s="249"/>
      <c r="BH78" s="249"/>
      <c r="BI78" s="249"/>
      <c r="BJ78" s="249"/>
      <c r="BK78" s="249"/>
      <c r="BL78" s="249"/>
      <c r="BM78" s="249"/>
      <c r="BN78" s="249"/>
      <c r="BO78" s="249"/>
      <c r="BP78" s="249"/>
      <c r="BQ78" s="248"/>
      <c r="BR78" s="248"/>
    </row>
    <row r="79" spans="1:70" x14ac:dyDescent="0.2">
      <c r="A79" s="248"/>
      <c r="B79" s="249"/>
      <c r="C79" s="249"/>
      <c r="D79" s="249"/>
      <c r="E79" s="249"/>
      <c r="F79" s="249"/>
      <c r="G79" s="249"/>
      <c r="H79" s="249"/>
      <c r="I79" s="249"/>
      <c r="J79" s="249"/>
      <c r="K79" s="249"/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49"/>
      <c r="BE79" s="249"/>
      <c r="BF79" s="249"/>
      <c r="BG79" s="249"/>
      <c r="BH79" s="249"/>
      <c r="BI79" s="249"/>
      <c r="BJ79" s="249"/>
      <c r="BK79" s="249"/>
      <c r="BL79" s="249"/>
      <c r="BM79" s="249"/>
      <c r="BN79" s="249"/>
      <c r="BO79" s="249"/>
      <c r="BP79" s="249"/>
      <c r="BQ79" s="248"/>
      <c r="BR79" s="248"/>
    </row>
    <row r="80" spans="1:70" x14ac:dyDescent="0.2">
      <c r="A80" s="248"/>
      <c r="B80" s="249"/>
      <c r="C80" s="249"/>
      <c r="D80" s="249"/>
      <c r="E80" s="249"/>
      <c r="F80" s="249"/>
      <c r="G80" s="249"/>
      <c r="H80" s="249"/>
      <c r="I80" s="249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49"/>
      <c r="BE80" s="249"/>
      <c r="BF80" s="249"/>
      <c r="BG80" s="249"/>
      <c r="BH80" s="249"/>
      <c r="BI80" s="249"/>
      <c r="BJ80" s="249"/>
      <c r="BK80" s="249"/>
      <c r="BL80" s="249"/>
      <c r="BM80" s="249"/>
      <c r="BN80" s="249"/>
      <c r="BO80" s="249"/>
      <c r="BP80" s="249"/>
      <c r="BQ80" s="248"/>
      <c r="BR80" s="248"/>
    </row>
    <row r="81" spans="1:70" x14ac:dyDescent="0.2">
      <c r="A81" s="248"/>
      <c r="B81" s="249"/>
      <c r="C81" s="249"/>
      <c r="D81" s="249"/>
      <c r="E81" s="249"/>
      <c r="F81" s="249"/>
      <c r="G81" s="249"/>
      <c r="H81" s="249"/>
      <c r="I81" s="249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49"/>
      <c r="BE81" s="249"/>
      <c r="BF81" s="249"/>
      <c r="BG81" s="249"/>
      <c r="BH81" s="249"/>
      <c r="BI81" s="249"/>
      <c r="BJ81" s="249"/>
      <c r="BK81" s="249"/>
      <c r="BL81" s="249"/>
      <c r="BM81" s="249"/>
      <c r="BN81" s="249"/>
      <c r="BO81" s="249"/>
      <c r="BP81" s="249"/>
      <c r="BQ81" s="248"/>
      <c r="BR81" s="248"/>
    </row>
    <row r="82" spans="1:70" x14ac:dyDescent="0.2">
      <c r="A82" s="248"/>
      <c r="B82" s="249"/>
      <c r="C82" s="24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49"/>
      <c r="BE82" s="249"/>
      <c r="BF82" s="249"/>
      <c r="BG82" s="249"/>
      <c r="BH82" s="249"/>
      <c r="BI82" s="249"/>
      <c r="BJ82" s="249"/>
      <c r="BK82" s="249"/>
      <c r="BL82" s="249"/>
      <c r="BM82" s="249"/>
      <c r="BN82" s="249"/>
      <c r="BO82" s="249"/>
      <c r="BP82" s="249"/>
      <c r="BQ82" s="248"/>
      <c r="BR82" s="248"/>
    </row>
    <row r="83" spans="1:70" x14ac:dyDescent="0.2">
      <c r="A83" s="248"/>
      <c r="B83" s="249"/>
      <c r="C83" s="249"/>
      <c r="D83" s="249"/>
      <c r="E83" s="249"/>
      <c r="F83" s="249"/>
      <c r="G83" s="249"/>
      <c r="H83" s="249"/>
      <c r="I83" s="249"/>
      <c r="J83" s="249"/>
      <c r="K83" s="249"/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49"/>
      <c r="BE83" s="249"/>
      <c r="BF83" s="249"/>
      <c r="BG83" s="249"/>
      <c r="BH83" s="249"/>
      <c r="BI83" s="249"/>
      <c r="BJ83" s="249"/>
      <c r="BK83" s="249"/>
      <c r="BL83" s="249"/>
      <c r="BM83" s="249"/>
      <c r="BN83" s="249"/>
      <c r="BO83" s="249"/>
      <c r="BP83" s="249"/>
      <c r="BQ83" s="248"/>
      <c r="BR83" s="248"/>
    </row>
    <row r="84" spans="1:70" x14ac:dyDescent="0.2">
      <c r="A84" s="248"/>
      <c r="B84" s="249"/>
      <c r="C84" s="249"/>
      <c r="D84" s="249"/>
      <c r="E84" s="249"/>
      <c r="F84" s="249"/>
      <c r="G84" s="249"/>
      <c r="H84" s="249"/>
      <c r="I84" s="249"/>
      <c r="J84" s="249"/>
      <c r="K84" s="249"/>
      <c r="L84" s="249"/>
      <c r="M84" s="249"/>
      <c r="N84" s="249"/>
      <c r="O84" s="249"/>
      <c r="P84" s="249"/>
      <c r="Q84" s="249"/>
      <c r="R84" s="249"/>
      <c r="S84" s="249"/>
      <c r="T84" s="249"/>
      <c r="U84" s="249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49"/>
      <c r="BE84" s="249"/>
      <c r="BF84" s="249"/>
      <c r="BG84" s="249"/>
      <c r="BH84" s="249"/>
      <c r="BI84" s="249"/>
      <c r="BJ84" s="249"/>
      <c r="BK84" s="249"/>
      <c r="BL84" s="249"/>
      <c r="BM84" s="249"/>
      <c r="BN84" s="249"/>
      <c r="BO84" s="249"/>
      <c r="BP84" s="249"/>
      <c r="BQ84" s="248"/>
      <c r="BR84" s="248"/>
    </row>
    <row r="85" spans="1:70" x14ac:dyDescent="0.2">
      <c r="A85" s="248"/>
      <c r="B85" s="249"/>
      <c r="C85" s="249"/>
      <c r="D85" s="249"/>
      <c r="E85" s="249"/>
      <c r="F85" s="249"/>
      <c r="G85" s="249"/>
      <c r="H85" s="249"/>
      <c r="I85" s="249"/>
      <c r="J85" s="249"/>
      <c r="K85" s="249"/>
      <c r="L85" s="249"/>
      <c r="M85" s="249"/>
      <c r="N85" s="249"/>
      <c r="O85" s="249"/>
      <c r="P85" s="249"/>
      <c r="Q85" s="249"/>
      <c r="R85" s="249"/>
      <c r="S85" s="249"/>
      <c r="T85" s="249"/>
      <c r="U85" s="249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49"/>
      <c r="BE85" s="249"/>
      <c r="BF85" s="249"/>
      <c r="BG85" s="249"/>
      <c r="BH85" s="249"/>
      <c r="BI85" s="249"/>
      <c r="BJ85" s="249"/>
      <c r="BK85" s="249"/>
      <c r="BL85" s="249"/>
      <c r="BM85" s="249"/>
      <c r="BN85" s="249"/>
      <c r="BO85" s="249"/>
      <c r="BP85" s="249"/>
      <c r="BQ85" s="248"/>
      <c r="BR85" s="248"/>
    </row>
    <row r="86" spans="1:70" x14ac:dyDescent="0.2">
      <c r="A86" s="248"/>
      <c r="B86" s="249"/>
      <c r="C86" s="249"/>
      <c r="D86" s="249"/>
      <c r="E86" s="249"/>
      <c r="F86" s="249"/>
      <c r="G86" s="249"/>
      <c r="H86" s="249"/>
      <c r="I86" s="249"/>
      <c r="J86" s="249"/>
      <c r="K86" s="249"/>
      <c r="L86" s="249"/>
      <c r="M86" s="249"/>
      <c r="N86" s="249"/>
      <c r="O86" s="249"/>
      <c r="P86" s="249"/>
      <c r="Q86" s="249"/>
      <c r="R86" s="249"/>
      <c r="S86" s="249"/>
      <c r="T86" s="249"/>
      <c r="U86" s="249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49"/>
      <c r="BE86" s="249"/>
      <c r="BF86" s="249"/>
      <c r="BG86" s="249"/>
      <c r="BH86" s="249"/>
      <c r="BI86" s="249"/>
      <c r="BJ86" s="249"/>
      <c r="BK86" s="249"/>
      <c r="BL86" s="249"/>
      <c r="BM86" s="249"/>
      <c r="BN86" s="249"/>
      <c r="BO86" s="249"/>
      <c r="BP86" s="249"/>
      <c r="BQ86" s="248"/>
      <c r="BR86" s="248"/>
    </row>
    <row r="87" spans="1:70" x14ac:dyDescent="0.2">
      <c r="A87" s="248"/>
      <c r="B87" s="249"/>
      <c r="C87" s="249"/>
      <c r="D87" s="249"/>
      <c r="E87" s="249"/>
      <c r="F87" s="249"/>
      <c r="G87" s="249"/>
      <c r="H87" s="249"/>
      <c r="I87" s="249"/>
      <c r="J87" s="249"/>
      <c r="K87" s="249"/>
      <c r="L87" s="249"/>
      <c r="M87" s="249"/>
      <c r="N87" s="249"/>
      <c r="O87" s="249"/>
      <c r="P87" s="249"/>
      <c r="Q87" s="249"/>
      <c r="R87" s="249"/>
      <c r="S87" s="249"/>
      <c r="T87" s="249"/>
      <c r="U87" s="249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49"/>
      <c r="BE87" s="249"/>
      <c r="BF87" s="249"/>
      <c r="BG87" s="248"/>
      <c r="BH87" s="248"/>
      <c r="BI87" s="248"/>
      <c r="BJ87" s="248"/>
      <c r="BK87" s="248"/>
      <c r="BL87" s="248"/>
      <c r="BM87" s="248"/>
      <c r="BN87" s="248"/>
      <c r="BO87" s="248"/>
      <c r="BP87" s="248"/>
      <c r="BQ87" s="248"/>
      <c r="BR87" s="248"/>
    </row>
    <row r="88" spans="1:70" x14ac:dyDescent="0.2">
      <c r="A88" s="248"/>
      <c r="B88" s="249"/>
      <c r="C88" s="249"/>
      <c r="D88" s="249"/>
      <c r="E88" s="249"/>
      <c r="F88" s="249"/>
      <c r="G88" s="249"/>
      <c r="H88" s="249"/>
      <c r="I88" s="249"/>
      <c r="J88" s="249"/>
      <c r="K88" s="249"/>
      <c r="L88" s="249"/>
      <c r="M88" s="249"/>
      <c r="N88" s="249"/>
      <c r="O88" s="249"/>
      <c r="P88" s="249"/>
      <c r="Q88" s="249"/>
      <c r="R88" s="249"/>
      <c r="S88" s="249"/>
      <c r="T88" s="249"/>
      <c r="U88" s="249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49"/>
      <c r="BE88" s="249"/>
      <c r="BF88" s="249"/>
      <c r="BG88" s="248"/>
      <c r="BH88" s="248"/>
      <c r="BI88" s="248"/>
      <c r="BJ88" s="248"/>
      <c r="BK88" s="248"/>
      <c r="BL88" s="248"/>
      <c r="BM88" s="248"/>
      <c r="BN88" s="248"/>
      <c r="BO88" s="248"/>
      <c r="BP88" s="248"/>
      <c r="BQ88" s="248"/>
      <c r="BR88" s="248"/>
    </row>
    <row r="89" spans="1:70" x14ac:dyDescent="0.2">
      <c r="A89" s="248"/>
      <c r="B89" s="249"/>
      <c r="C89" s="249"/>
      <c r="D89" s="249"/>
      <c r="E89" s="249"/>
      <c r="F89" s="249"/>
      <c r="G89" s="249"/>
      <c r="H89" s="249"/>
      <c r="I89" s="249"/>
      <c r="J89" s="249"/>
      <c r="K89" s="249"/>
      <c r="L89" s="249"/>
      <c r="M89" s="249"/>
      <c r="N89" s="249"/>
      <c r="O89" s="249"/>
      <c r="P89" s="249"/>
      <c r="Q89" s="249"/>
      <c r="R89" s="249"/>
      <c r="S89" s="249"/>
      <c r="T89" s="249"/>
      <c r="U89" s="249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49"/>
      <c r="BE89" s="249"/>
      <c r="BF89" s="249"/>
      <c r="BG89" s="248"/>
      <c r="BH89" s="248"/>
      <c r="BI89" s="248"/>
      <c r="BJ89" s="248"/>
      <c r="BK89" s="248"/>
      <c r="BL89" s="248"/>
      <c r="BM89" s="248"/>
      <c r="BN89" s="248"/>
      <c r="BO89" s="248"/>
      <c r="BP89" s="248"/>
      <c r="BQ89" s="248"/>
      <c r="BR89" s="248"/>
    </row>
    <row r="90" spans="1:70" x14ac:dyDescent="0.2">
      <c r="A90" s="248"/>
      <c r="B90" s="249"/>
      <c r="C90" s="249"/>
      <c r="D90" s="249"/>
      <c r="E90" s="249"/>
      <c r="F90" s="249"/>
      <c r="G90" s="249"/>
      <c r="H90" s="249"/>
      <c r="I90" s="249"/>
      <c r="J90" s="249"/>
      <c r="K90" s="249"/>
      <c r="L90" s="249"/>
      <c r="M90" s="249"/>
      <c r="N90" s="249"/>
      <c r="O90" s="249"/>
      <c r="P90" s="249"/>
      <c r="Q90" s="249"/>
      <c r="R90" s="249"/>
      <c r="S90" s="249"/>
      <c r="T90" s="249"/>
      <c r="U90" s="249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49"/>
      <c r="BE90" s="249"/>
      <c r="BF90" s="249"/>
      <c r="BG90" s="248"/>
      <c r="BH90" s="248"/>
      <c r="BI90" s="248"/>
      <c r="BJ90" s="248"/>
      <c r="BK90" s="248"/>
      <c r="BL90" s="248"/>
      <c r="BM90" s="248"/>
      <c r="BN90" s="248"/>
      <c r="BO90" s="248"/>
      <c r="BP90" s="248"/>
      <c r="BQ90" s="248"/>
      <c r="BR90" s="248"/>
    </row>
    <row r="91" spans="1:70" x14ac:dyDescent="0.2">
      <c r="A91" s="248"/>
      <c r="B91" s="249"/>
      <c r="C91" s="249"/>
      <c r="D91" s="249"/>
      <c r="E91" s="249"/>
      <c r="F91" s="249"/>
      <c r="G91" s="249"/>
      <c r="H91" s="249"/>
      <c r="I91" s="249"/>
      <c r="J91" s="249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249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49"/>
      <c r="BE91" s="249"/>
      <c r="BF91" s="249"/>
      <c r="BG91" s="248"/>
      <c r="BH91" s="248"/>
      <c r="BI91" s="248"/>
      <c r="BJ91" s="248"/>
      <c r="BK91" s="248"/>
      <c r="BL91" s="248"/>
      <c r="BM91" s="248"/>
      <c r="BN91" s="248"/>
      <c r="BO91" s="248"/>
      <c r="BP91" s="248"/>
      <c r="BQ91" s="248"/>
      <c r="BR91" s="248"/>
    </row>
    <row r="92" spans="1:70" x14ac:dyDescent="0.2">
      <c r="A92" s="248"/>
      <c r="B92" s="249"/>
      <c r="C92" s="249"/>
      <c r="D92" s="249"/>
      <c r="E92" s="249"/>
      <c r="F92" s="249"/>
      <c r="G92" s="249"/>
      <c r="H92" s="249"/>
      <c r="I92" s="249"/>
      <c r="J92" s="249"/>
      <c r="K92" s="249"/>
      <c r="L92" s="249"/>
      <c r="M92" s="249"/>
      <c r="N92" s="249"/>
      <c r="O92" s="249"/>
      <c r="P92" s="249"/>
      <c r="Q92" s="249"/>
      <c r="R92" s="249"/>
      <c r="S92" s="249"/>
      <c r="T92" s="249"/>
      <c r="U92" s="249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49"/>
      <c r="BE92" s="249"/>
      <c r="BF92" s="249"/>
      <c r="BG92" s="248"/>
      <c r="BH92" s="248"/>
      <c r="BI92" s="248"/>
      <c r="BJ92" s="248"/>
      <c r="BK92" s="248"/>
      <c r="BL92" s="248"/>
      <c r="BM92" s="248"/>
      <c r="BN92" s="248"/>
      <c r="BO92" s="248"/>
      <c r="BP92" s="248"/>
      <c r="BQ92" s="248"/>
      <c r="BR92" s="248"/>
    </row>
    <row r="93" spans="1:70" x14ac:dyDescent="0.2">
      <c r="A93" s="248"/>
      <c r="B93" s="249"/>
      <c r="C93" s="249"/>
      <c r="D93" s="249"/>
      <c r="E93" s="249"/>
      <c r="F93" s="249"/>
      <c r="G93" s="249"/>
      <c r="H93" s="249"/>
      <c r="I93" s="249"/>
      <c r="J93" s="249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249"/>
      <c r="W93" s="249"/>
      <c r="X93" s="249"/>
      <c r="Y93" s="249"/>
      <c r="Z93" s="249"/>
      <c r="AA93" s="249"/>
      <c r="AB93" s="249"/>
      <c r="AC93" s="249"/>
      <c r="AD93" s="249"/>
      <c r="AE93" s="249"/>
      <c r="AF93" s="249"/>
      <c r="AG93" s="249"/>
      <c r="AH93" s="249"/>
      <c r="AI93" s="249"/>
      <c r="AJ93" s="249"/>
      <c r="AK93" s="249"/>
      <c r="AL93" s="249"/>
      <c r="AM93" s="249"/>
      <c r="AN93" s="249"/>
      <c r="AO93" s="249"/>
      <c r="AP93" s="249"/>
      <c r="AQ93" s="249"/>
      <c r="AR93" s="249"/>
      <c r="AS93" s="249"/>
      <c r="AT93" s="249"/>
      <c r="AU93" s="249"/>
      <c r="AV93" s="249"/>
      <c r="AW93" s="249"/>
      <c r="AX93" s="249"/>
      <c r="AY93" s="249"/>
      <c r="AZ93" s="249"/>
      <c r="BA93" s="249"/>
      <c r="BB93" s="249"/>
      <c r="BC93" s="249"/>
      <c r="BD93" s="249"/>
      <c r="BE93" s="249"/>
      <c r="BF93" s="249"/>
      <c r="BG93" s="248"/>
      <c r="BH93" s="248"/>
      <c r="BI93" s="248"/>
      <c r="BJ93" s="248"/>
      <c r="BK93" s="248"/>
      <c r="BL93" s="248"/>
      <c r="BM93" s="248"/>
      <c r="BN93" s="248"/>
      <c r="BO93" s="248"/>
      <c r="BP93" s="248"/>
      <c r="BQ93" s="248"/>
      <c r="BR93" s="248"/>
    </row>
    <row r="94" spans="1:70" x14ac:dyDescent="0.2">
      <c r="A94" s="248"/>
      <c r="B94" s="249"/>
      <c r="C94" s="249"/>
      <c r="D94" s="249"/>
      <c r="E94" s="249"/>
      <c r="F94" s="249"/>
      <c r="G94" s="249"/>
      <c r="H94" s="249"/>
      <c r="I94" s="249"/>
      <c r="J94" s="249"/>
      <c r="K94" s="249"/>
      <c r="L94" s="249"/>
      <c r="M94" s="249"/>
      <c r="N94" s="249"/>
      <c r="O94" s="249"/>
      <c r="P94" s="249"/>
      <c r="Q94" s="249"/>
      <c r="R94" s="249"/>
      <c r="S94" s="249"/>
      <c r="T94" s="249"/>
      <c r="U94" s="249"/>
      <c r="V94" s="249"/>
      <c r="W94" s="249"/>
      <c r="X94" s="249"/>
      <c r="Y94" s="249"/>
      <c r="Z94" s="249"/>
      <c r="AA94" s="249"/>
      <c r="AB94" s="249"/>
      <c r="AC94" s="249"/>
      <c r="AD94" s="249"/>
      <c r="AE94" s="249"/>
      <c r="AF94" s="249"/>
      <c r="AG94" s="249"/>
      <c r="AH94" s="249"/>
      <c r="AI94" s="249"/>
      <c r="AJ94" s="249"/>
      <c r="AK94" s="249"/>
      <c r="AL94" s="249"/>
      <c r="AM94" s="249"/>
      <c r="AN94" s="249"/>
      <c r="AO94" s="249"/>
      <c r="AP94" s="249"/>
      <c r="AQ94" s="249"/>
      <c r="AR94" s="249"/>
      <c r="AS94" s="249"/>
      <c r="AT94" s="249"/>
      <c r="AU94" s="249"/>
      <c r="AV94" s="249"/>
      <c r="AW94" s="249"/>
      <c r="AX94" s="249"/>
      <c r="AY94" s="249"/>
      <c r="AZ94" s="249"/>
      <c r="BA94" s="249"/>
      <c r="BB94" s="249"/>
      <c r="BC94" s="249"/>
      <c r="BD94" s="249"/>
      <c r="BE94" s="249"/>
      <c r="BF94" s="249"/>
      <c r="BG94" s="248"/>
      <c r="BH94" s="248"/>
      <c r="BI94" s="248"/>
      <c r="BJ94" s="248"/>
      <c r="BK94" s="248"/>
      <c r="BL94" s="248"/>
      <c r="BM94" s="248"/>
      <c r="BN94" s="248"/>
      <c r="BO94" s="248"/>
      <c r="BP94" s="248"/>
      <c r="BQ94" s="248"/>
      <c r="BR94" s="248"/>
    </row>
    <row r="95" spans="1:70" x14ac:dyDescent="0.2">
      <c r="A95" s="248"/>
      <c r="B95" s="249"/>
      <c r="C95" s="249"/>
      <c r="D95" s="249"/>
      <c r="E95" s="249"/>
      <c r="F95" s="249"/>
      <c r="G95" s="249"/>
      <c r="H95" s="249"/>
      <c r="I95" s="249"/>
      <c r="J95" s="249"/>
      <c r="K95" s="249"/>
      <c r="L95" s="249"/>
      <c r="M95" s="249"/>
      <c r="N95" s="249"/>
      <c r="O95" s="249"/>
      <c r="P95" s="249"/>
      <c r="Q95" s="249"/>
      <c r="R95" s="249"/>
      <c r="S95" s="249"/>
      <c r="T95" s="249"/>
      <c r="U95" s="249"/>
      <c r="V95" s="249"/>
      <c r="W95" s="249"/>
      <c r="X95" s="249"/>
      <c r="Y95" s="249"/>
      <c r="Z95" s="249"/>
      <c r="AA95" s="249"/>
      <c r="AB95" s="249"/>
      <c r="AC95" s="249"/>
      <c r="AD95" s="249"/>
      <c r="AE95" s="249"/>
      <c r="AF95" s="249"/>
      <c r="AG95" s="249"/>
      <c r="AH95" s="249"/>
      <c r="AI95" s="249"/>
      <c r="AJ95" s="249"/>
      <c r="AK95" s="249"/>
      <c r="AL95" s="249"/>
      <c r="AM95" s="249"/>
      <c r="AN95" s="249"/>
      <c r="AO95" s="249"/>
      <c r="AP95" s="249"/>
      <c r="AQ95" s="249"/>
      <c r="AR95" s="249"/>
      <c r="AS95" s="249"/>
      <c r="AT95" s="249"/>
      <c r="AU95" s="249"/>
      <c r="AV95" s="249"/>
      <c r="AW95" s="249"/>
      <c r="AX95" s="249"/>
      <c r="AY95" s="249"/>
      <c r="AZ95" s="249"/>
      <c r="BA95" s="249"/>
      <c r="BB95" s="249"/>
      <c r="BC95" s="249"/>
      <c r="BD95" s="249"/>
      <c r="BE95" s="249"/>
      <c r="BF95" s="249"/>
      <c r="BG95" s="248"/>
      <c r="BH95" s="248"/>
      <c r="BI95" s="248"/>
      <c r="BJ95" s="248"/>
      <c r="BK95" s="248"/>
      <c r="BL95" s="248"/>
      <c r="BM95" s="248"/>
      <c r="BN95" s="248"/>
      <c r="BO95" s="248"/>
      <c r="BP95" s="248"/>
      <c r="BQ95" s="248"/>
      <c r="BR95" s="248"/>
    </row>
    <row r="96" spans="1:70" x14ac:dyDescent="0.2">
      <c r="A96" s="248"/>
      <c r="B96" s="249"/>
      <c r="C96" s="249"/>
      <c r="D96" s="249"/>
      <c r="E96" s="249"/>
      <c r="F96" s="249"/>
      <c r="G96" s="249"/>
      <c r="H96" s="249"/>
      <c r="I96" s="249"/>
      <c r="J96" s="249"/>
      <c r="K96" s="249"/>
      <c r="L96" s="249"/>
      <c r="M96" s="249"/>
      <c r="N96" s="249"/>
      <c r="O96" s="249"/>
      <c r="P96" s="249"/>
      <c r="Q96" s="249"/>
      <c r="R96" s="249"/>
      <c r="S96" s="249"/>
      <c r="T96" s="249"/>
      <c r="U96" s="249"/>
      <c r="V96" s="249"/>
      <c r="W96" s="249"/>
      <c r="X96" s="249"/>
      <c r="Y96" s="249"/>
      <c r="Z96" s="249"/>
      <c r="AA96" s="249"/>
      <c r="AB96" s="249"/>
      <c r="AC96" s="249"/>
      <c r="AD96" s="249"/>
      <c r="AE96" s="249"/>
      <c r="AF96" s="249"/>
      <c r="AG96" s="249"/>
      <c r="AH96" s="249"/>
      <c r="AI96" s="249"/>
      <c r="AJ96" s="249"/>
      <c r="AK96" s="249"/>
      <c r="AL96" s="249"/>
      <c r="AM96" s="249"/>
      <c r="AN96" s="249"/>
      <c r="AO96" s="249"/>
      <c r="AP96" s="249"/>
      <c r="AQ96" s="249"/>
      <c r="AR96" s="249"/>
      <c r="AS96" s="249"/>
      <c r="AT96" s="249"/>
      <c r="AU96" s="249"/>
      <c r="AV96" s="249"/>
      <c r="AW96" s="249"/>
      <c r="AX96" s="249"/>
      <c r="AY96" s="249"/>
      <c r="AZ96" s="249"/>
      <c r="BA96" s="249"/>
      <c r="BB96" s="249"/>
      <c r="BC96" s="249"/>
      <c r="BD96" s="249"/>
      <c r="BE96" s="249"/>
      <c r="BF96" s="249"/>
      <c r="BG96" s="248"/>
      <c r="BH96" s="248"/>
      <c r="BI96" s="248"/>
      <c r="BJ96" s="248"/>
      <c r="BK96" s="248"/>
      <c r="BL96" s="248"/>
      <c r="BM96" s="248"/>
      <c r="BN96" s="248"/>
      <c r="BO96" s="248"/>
      <c r="BP96" s="248"/>
      <c r="BQ96" s="248"/>
      <c r="BR96" s="248"/>
    </row>
    <row r="97" spans="1:70" x14ac:dyDescent="0.2">
      <c r="A97" s="248"/>
      <c r="B97" s="249"/>
      <c r="C97" s="249"/>
      <c r="D97" s="249"/>
      <c r="E97" s="249"/>
      <c r="F97" s="249"/>
      <c r="G97" s="249"/>
      <c r="H97" s="249"/>
      <c r="I97" s="249"/>
      <c r="J97" s="249"/>
      <c r="K97" s="249"/>
      <c r="L97" s="249"/>
      <c r="M97" s="249"/>
      <c r="N97" s="249"/>
      <c r="O97" s="249"/>
      <c r="P97" s="249"/>
      <c r="Q97" s="249"/>
      <c r="R97" s="249"/>
      <c r="S97" s="249"/>
      <c r="T97" s="249"/>
      <c r="U97" s="249"/>
      <c r="V97" s="249"/>
      <c r="W97" s="249"/>
      <c r="X97" s="249"/>
      <c r="Y97" s="249"/>
      <c r="Z97" s="249"/>
      <c r="AA97" s="249"/>
      <c r="AB97" s="249"/>
      <c r="AC97" s="249"/>
      <c r="AD97" s="249"/>
      <c r="AE97" s="249"/>
      <c r="AF97" s="249"/>
      <c r="AG97" s="249"/>
      <c r="AH97" s="249"/>
      <c r="AI97" s="249"/>
      <c r="AJ97" s="249"/>
      <c r="AK97" s="249"/>
      <c r="AL97" s="249"/>
      <c r="AM97" s="249"/>
      <c r="AN97" s="249"/>
      <c r="AO97" s="249"/>
      <c r="AP97" s="249"/>
      <c r="AQ97" s="249"/>
      <c r="AR97" s="249"/>
      <c r="AS97" s="249"/>
      <c r="AT97" s="249"/>
      <c r="AU97" s="249"/>
      <c r="AV97" s="249"/>
      <c r="AW97" s="249"/>
      <c r="AX97" s="249"/>
      <c r="AY97" s="249"/>
      <c r="AZ97" s="249"/>
      <c r="BA97" s="249"/>
      <c r="BB97" s="249"/>
      <c r="BC97" s="249"/>
      <c r="BD97" s="249"/>
      <c r="BE97" s="249"/>
      <c r="BF97" s="249"/>
      <c r="BG97" s="248"/>
      <c r="BH97" s="248"/>
      <c r="BI97" s="248"/>
      <c r="BJ97" s="248"/>
      <c r="BK97" s="248"/>
      <c r="BL97" s="248"/>
      <c r="BM97" s="248"/>
      <c r="BN97" s="248"/>
      <c r="BO97" s="248"/>
      <c r="BP97" s="248"/>
      <c r="BQ97" s="248"/>
      <c r="BR97" s="248"/>
    </row>
    <row r="98" spans="1:70" x14ac:dyDescent="0.2">
      <c r="A98" s="248"/>
      <c r="B98" s="249"/>
      <c r="C98" s="249"/>
      <c r="D98" s="249"/>
      <c r="E98" s="249"/>
      <c r="F98" s="249"/>
      <c r="G98" s="249"/>
      <c r="H98" s="249"/>
      <c r="I98" s="249"/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249"/>
      <c r="W98" s="249"/>
      <c r="X98" s="249"/>
      <c r="Y98" s="249"/>
      <c r="Z98" s="249"/>
      <c r="AA98" s="249"/>
      <c r="AB98" s="249"/>
      <c r="AC98" s="249"/>
      <c r="AD98" s="249"/>
      <c r="AE98" s="249"/>
      <c r="AF98" s="249"/>
      <c r="AG98" s="249"/>
      <c r="AH98" s="249"/>
      <c r="AI98" s="249"/>
      <c r="AJ98" s="249"/>
      <c r="AK98" s="249"/>
      <c r="AL98" s="249"/>
      <c r="AM98" s="249"/>
      <c r="AN98" s="249"/>
      <c r="AO98" s="249"/>
      <c r="AP98" s="249"/>
      <c r="AQ98" s="249"/>
      <c r="AR98" s="249"/>
      <c r="AS98" s="249"/>
      <c r="AT98" s="249"/>
      <c r="AU98" s="249"/>
      <c r="AV98" s="249"/>
      <c r="AW98" s="249"/>
      <c r="AX98" s="249"/>
      <c r="AY98" s="249"/>
      <c r="AZ98" s="249"/>
      <c r="BA98" s="249"/>
      <c r="BB98" s="249"/>
      <c r="BC98" s="249"/>
      <c r="BD98" s="249"/>
      <c r="BE98" s="249"/>
      <c r="BF98" s="249"/>
      <c r="BG98" s="248"/>
      <c r="BH98" s="248"/>
      <c r="BI98" s="248"/>
      <c r="BJ98" s="248"/>
      <c r="BK98" s="248"/>
      <c r="BL98" s="248"/>
      <c r="BM98" s="248"/>
      <c r="BN98" s="248"/>
      <c r="BO98" s="248"/>
      <c r="BP98" s="248"/>
      <c r="BQ98" s="248"/>
      <c r="BR98" s="248"/>
    </row>
    <row r="99" spans="1:70" x14ac:dyDescent="0.2">
      <c r="A99" s="248"/>
      <c r="B99" s="249"/>
      <c r="C99" s="249"/>
      <c r="D99" s="249"/>
      <c r="E99" s="249"/>
      <c r="F99" s="249"/>
      <c r="G99" s="249"/>
      <c r="H99" s="249"/>
      <c r="I99" s="249"/>
      <c r="J99" s="249"/>
      <c r="K99" s="249"/>
      <c r="L99" s="249"/>
      <c r="M99" s="249"/>
      <c r="N99" s="249"/>
      <c r="O99" s="249"/>
      <c r="P99" s="249"/>
      <c r="Q99" s="249"/>
      <c r="R99" s="249"/>
      <c r="S99" s="249"/>
      <c r="T99" s="249"/>
      <c r="U99" s="249"/>
      <c r="V99" s="249"/>
      <c r="W99" s="249"/>
      <c r="X99" s="249"/>
      <c r="Y99" s="249"/>
      <c r="Z99" s="249"/>
      <c r="AA99" s="249"/>
      <c r="AB99" s="249"/>
      <c r="AC99" s="249"/>
      <c r="AD99" s="249"/>
      <c r="AE99" s="249"/>
      <c r="AF99" s="249"/>
      <c r="AG99" s="249"/>
      <c r="AH99" s="249"/>
      <c r="AI99" s="249"/>
      <c r="AJ99" s="249"/>
      <c r="AK99" s="249"/>
      <c r="AL99" s="249"/>
      <c r="AM99" s="249"/>
      <c r="AN99" s="249"/>
      <c r="AO99" s="249"/>
      <c r="AP99" s="249"/>
      <c r="AQ99" s="249"/>
      <c r="AR99" s="249"/>
      <c r="AS99" s="249"/>
      <c r="AT99" s="249"/>
      <c r="AU99" s="249"/>
      <c r="AV99" s="249"/>
      <c r="AW99" s="249"/>
      <c r="AX99" s="249"/>
      <c r="AY99" s="249"/>
      <c r="AZ99" s="249"/>
      <c r="BA99" s="249"/>
      <c r="BB99" s="249"/>
      <c r="BC99" s="249"/>
      <c r="BD99" s="249"/>
      <c r="BE99" s="249"/>
      <c r="BF99" s="249"/>
      <c r="BG99" s="248"/>
      <c r="BH99" s="248"/>
      <c r="BI99" s="248"/>
      <c r="BJ99" s="248"/>
      <c r="BK99" s="248"/>
      <c r="BL99" s="248"/>
      <c r="BM99" s="248"/>
      <c r="BN99" s="248"/>
      <c r="BO99" s="248"/>
      <c r="BP99" s="248"/>
      <c r="BQ99" s="248"/>
      <c r="BR99" s="248"/>
    </row>
    <row r="100" spans="1:70" x14ac:dyDescent="0.2">
      <c r="A100" s="248"/>
      <c r="B100" s="249"/>
      <c r="C100" s="249"/>
      <c r="D100" s="249"/>
      <c r="E100" s="249"/>
      <c r="F100" s="249"/>
      <c r="G100" s="249"/>
      <c r="H100" s="249"/>
      <c r="I100" s="249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249"/>
      <c r="W100" s="249"/>
      <c r="X100" s="249"/>
      <c r="Y100" s="249"/>
      <c r="Z100" s="249"/>
      <c r="AA100" s="249"/>
      <c r="AB100" s="249"/>
      <c r="AC100" s="249"/>
      <c r="AD100" s="249"/>
      <c r="AE100" s="249"/>
      <c r="AF100" s="249"/>
      <c r="AG100" s="249"/>
      <c r="AH100" s="249"/>
      <c r="AI100" s="249"/>
      <c r="AJ100" s="249"/>
      <c r="AK100" s="249"/>
      <c r="AL100" s="249"/>
      <c r="AM100" s="249"/>
      <c r="AN100" s="249"/>
      <c r="AO100" s="249"/>
      <c r="AP100" s="249"/>
      <c r="AQ100" s="249"/>
      <c r="AR100" s="249"/>
      <c r="AS100" s="249"/>
      <c r="AT100" s="249"/>
      <c r="AU100" s="249"/>
      <c r="AV100" s="249"/>
      <c r="AW100" s="249"/>
      <c r="AX100" s="249"/>
      <c r="AY100" s="249"/>
      <c r="AZ100" s="249"/>
      <c r="BA100" s="249"/>
      <c r="BB100" s="249"/>
      <c r="BC100" s="249"/>
      <c r="BD100" s="249"/>
      <c r="BE100" s="249"/>
      <c r="BF100" s="249"/>
      <c r="BG100" s="248"/>
      <c r="BH100" s="248"/>
      <c r="BI100" s="248"/>
      <c r="BJ100" s="248"/>
      <c r="BK100" s="248"/>
      <c r="BL100" s="248"/>
      <c r="BM100" s="248"/>
      <c r="BN100" s="248"/>
      <c r="BO100" s="248"/>
      <c r="BP100" s="248"/>
      <c r="BQ100" s="248"/>
      <c r="BR100" s="248"/>
    </row>
    <row r="101" spans="1:70" x14ac:dyDescent="0.2">
      <c r="A101" s="248"/>
      <c r="B101" s="249"/>
      <c r="C101" s="249"/>
      <c r="D101" s="249"/>
      <c r="E101" s="249"/>
      <c r="F101" s="249"/>
      <c r="G101" s="249"/>
      <c r="H101" s="249"/>
      <c r="I101" s="249"/>
      <c r="J101" s="249"/>
      <c r="K101" s="249"/>
      <c r="L101" s="249"/>
      <c r="M101" s="249"/>
      <c r="N101" s="249"/>
      <c r="O101" s="249"/>
      <c r="P101" s="249"/>
      <c r="Q101" s="249"/>
      <c r="R101" s="249"/>
      <c r="S101" s="249"/>
      <c r="T101" s="249"/>
      <c r="U101" s="249"/>
      <c r="V101" s="249"/>
      <c r="W101" s="249"/>
      <c r="X101" s="249"/>
      <c r="Y101" s="249"/>
      <c r="Z101" s="249"/>
      <c r="AA101" s="249"/>
      <c r="AB101" s="249"/>
      <c r="AC101" s="249"/>
      <c r="AD101" s="249"/>
      <c r="AE101" s="249"/>
      <c r="AF101" s="249"/>
      <c r="AG101" s="249"/>
      <c r="AH101" s="249"/>
      <c r="AI101" s="249"/>
      <c r="AJ101" s="249"/>
      <c r="AK101" s="249"/>
      <c r="AL101" s="249"/>
      <c r="AM101" s="249"/>
      <c r="AN101" s="249"/>
      <c r="AO101" s="249"/>
      <c r="AP101" s="249"/>
      <c r="AQ101" s="249"/>
      <c r="AR101" s="249"/>
      <c r="AS101" s="249"/>
      <c r="AT101" s="249"/>
      <c r="AU101" s="249"/>
      <c r="AV101" s="249"/>
      <c r="AW101" s="249"/>
      <c r="AX101" s="249"/>
      <c r="AY101" s="249"/>
      <c r="AZ101" s="249"/>
      <c r="BA101" s="249"/>
      <c r="BB101" s="249"/>
      <c r="BC101" s="249"/>
      <c r="BD101" s="249"/>
      <c r="BE101" s="249"/>
      <c r="BF101" s="249"/>
      <c r="BG101" s="248"/>
      <c r="BH101" s="248"/>
      <c r="BI101" s="248"/>
      <c r="BJ101" s="248"/>
      <c r="BK101" s="248"/>
      <c r="BL101" s="248"/>
      <c r="BM101" s="248"/>
      <c r="BN101" s="248"/>
      <c r="BO101" s="248"/>
      <c r="BP101" s="248"/>
      <c r="BQ101" s="248"/>
      <c r="BR101" s="248"/>
    </row>
    <row r="102" spans="1:70" x14ac:dyDescent="0.2">
      <c r="A102" s="248"/>
      <c r="B102" s="249"/>
      <c r="C102" s="249"/>
      <c r="D102" s="249"/>
      <c r="E102" s="249"/>
      <c r="F102" s="249"/>
      <c r="G102" s="249"/>
      <c r="H102" s="249"/>
      <c r="I102" s="249"/>
      <c r="J102" s="249"/>
      <c r="K102" s="249"/>
      <c r="L102" s="249"/>
      <c r="M102" s="249"/>
      <c r="N102" s="249"/>
      <c r="O102" s="249"/>
      <c r="P102" s="249"/>
      <c r="Q102" s="249"/>
      <c r="R102" s="249"/>
      <c r="S102" s="249"/>
      <c r="T102" s="249"/>
      <c r="U102" s="249"/>
      <c r="V102" s="249"/>
      <c r="W102" s="249"/>
      <c r="X102" s="249"/>
      <c r="Y102" s="249"/>
      <c r="Z102" s="249"/>
      <c r="AA102" s="249"/>
      <c r="AB102" s="249"/>
      <c r="AC102" s="249"/>
      <c r="AD102" s="249"/>
      <c r="AE102" s="249"/>
      <c r="AF102" s="249"/>
      <c r="AG102" s="249"/>
      <c r="AH102" s="249"/>
      <c r="AI102" s="249"/>
      <c r="AJ102" s="249"/>
      <c r="AK102" s="249"/>
      <c r="AL102" s="249"/>
      <c r="AM102" s="249"/>
      <c r="AN102" s="249"/>
      <c r="AO102" s="249"/>
      <c r="AP102" s="249"/>
      <c r="AQ102" s="249"/>
      <c r="AR102" s="249"/>
      <c r="AS102" s="249"/>
      <c r="AT102" s="249"/>
      <c r="AU102" s="249"/>
      <c r="AV102" s="249"/>
      <c r="AW102" s="249"/>
      <c r="AX102" s="249"/>
      <c r="AY102" s="249"/>
      <c r="AZ102" s="249"/>
      <c r="BA102" s="249"/>
      <c r="BB102" s="249"/>
      <c r="BC102" s="249"/>
      <c r="BD102" s="249"/>
      <c r="BE102" s="249"/>
      <c r="BF102" s="249"/>
      <c r="BG102" s="248"/>
      <c r="BH102" s="248"/>
      <c r="BI102" s="248"/>
      <c r="BJ102" s="248"/>
      <c r="BK102" s="248"/>
      <c r="BL102" s="248"/>
      <c r="BM102" s="248"/>
      <c r="BN102" s="248"/>
      <c r="BO102" s="248"/>
      <c r="BP102" s="248"/>
      <c r="BQ102" s="248"/>
      <c r="BR102" s="248"/>
    </row>
    <row r="103" spans="1:70" x14ac:dyDescent="0.2">
      <c r="A103" s="248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49"/>
      <c r="P103" s="249"/>
      <c r="Q103" s="249"/>
      <c r="R103" s="249"/>
      <c r="S103" s="249"/>
      <c r="T103" s="249"/>
      <c r="U103" s="249"/>
      <c r="V103" s="249"/>
      <c r="W103" s="249"/>
      <c r="X103" s="249"/>
      <c r="Y103" s="249"/>
      <c r="Z103" s="249"/>
      <c r="AA103" s="249"/>
      <c r="AB103" s="249"/>
      <c r="AC103" s="249"/>
      <c r="AD103" s="249"/>
      <c r="AE103" s="249"/>
      <c r="AF103" s="249"/>
      <c r="AG103" s="249"/>
      <c r="AH103" s="249"/>
      <c r="AI103" s="249"/>
      <c r="AJ103" s="249"/>
      <c r="AK103" s="249"/>
      <c r="AL103" s="249"/>
      <c r="AM103" s="249"/>
      <c r="AN103" s="249"/>
      <c r="AO103" s="249"/>
      <c r="AP103" s="249"/>
      <c r="AQ103" s="249"/>
      <c r="AR103" s="249"/>
      <c r="AS103" s="249"/>
      <c r="AT103" s="249"/>
      <c r="AU103" s="249"/>
      <c r="AV103" s="249"/>
      <c r="AW103" s="249"/>
      <c r="AX103" s="249"/>
      <c r="AY103" s="249"/>
      <c r="AZ103" s="249"/>
      <c r="BA103" s="249"/>
      <c r="BB103" s="249"/>
      <c r="BC103" s="249"/>
      <c r="BD103" s="249"/>
      <c r="BE103" s="249"/>
      <c r="BF103" s="249"/>
      <c r="BG103" s="248"/>
      <c r="BH103" s="248"/>
      <c r="BI103" s="248"/>
      <c r="BJ103" s="248"/>
      <c r="BK103" s="248"/>
      <c r="BL103" s="248"/>
      <c r="BM103" s="248"/>
      <c r="BN103" s="248"/>
      <c r="BO103" s="248"/>
      <c r="BP103" s="248"/>
      <c r="BQ103" s="248"/>
      <c r="BR103" s="248"/>
    </row>
    <row r="104" spans="1:70" x14ac:dyDescent="0.2">
      <c r="A104" s="248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49"/>
      <c r="P104" s="249"/>
      <c r="Q104" s="249"/>
      <c r="R104" s="249"/>
      <c r="S104" s="249"/>
      <c r="T104" s="249"/>
      <c r="U104" s="249"/>
      <c r="V104" s="249"/>
      <c r="W104" s="249"/>
      <c r="X104" s="249"/>
      <c r="Y104" s="249"/>
      <c r="Z104" s="249"/>
      <c r="AA104" s="249"/>
      <c r="AB104" s="249"/>
      <c r="AC104" s="249"/>
      <c r="AD104" s="249"/>
      <c r="AE104" s="249"/>
      <c r="AF104" s="249"/>
      <c r="AG104" s="249"/>
      <c r="AH104" s="249"/>
      <c r="AI104" s="249"/>
      <c r="AJ104" s="249"/>
      <c r="AK104" s="249"/>
      <c r="AL104" s="249"/>
      <c r="AM104" s="249"/>
      <c r="AN104" s="249"/>
      <c r="AO104" s="249"/>
      <c r="AP104" s="249"/>
      <c r="AQ104" s="249"/>
      <c r="AR104" s="249"/>
      <c r="AS104" s="249"/>
      <c r="AT104" s="249"/>
      <c r="AU104" s="249"/>
      <c r="AV104" s="249"/>
      <c r="AW104" s="249"/>
      <c r="AX104" s="249"/>
      <c r="AY104" s="249"/>
      <c r="AZ104" s="249"/>
      <c r="BA104" s="249"/>
      <c r="BB104" s="249"/>
      <c r="BC104" s="249"/>
      <c r="BD104" s="249"/>
      <c r="BE104" s="249"/>
      <c r="BF104" s="249"/>
      <c r="BG104" s="248"/>
      <c r="BH104" s="248"/>
      <c r="BI104" s="248"/>
      <c r="BJ104" s="248"/>
      <c r="BK104" s="248"/>
      <c r="BL104" s="248"/>
      <c r="BM104" s="248"/>
      <c r="BN104" s="248"/>
      <c r="BO104" s="248"/>
      <c r="BP104" s="248"/>
      <c r="BQ104" s="248"/>
      <c r="BR104" s="248"/>
    </row>
    <row r="105" spans="1:70" x14ac:dyDescent="0.2">
      <c r="A105" s="248"/>
      <c r="B105" s="249"/>
      <c r="C105" s="249"/>
      <c r="D105" s="249"/>
      <c r="E105" s="249"/>
      <c r="F105" s="249"/>
      <c r="G105" s="249"/>
      <c r="H105" s="249"/>
      <c r="I105" s="249"/>
      <c r="J105" s="249"/>
      <c r="K105" s="249"/>
      <c r="L105" s="249"/>
      <c r="M105" s="249"/>
      <c r="N105" s="249"/>
      <c r="O105" s="249"/>
      <c r="P105" s="249"/>
      <c r="Q105" s="249"/>
      <c r="R105" s="249"/>
      <c r="S105" s="249"/>
      <c r="T105" s="249"/>
      <c r="U105" s="249"/>
      <c r="V105" s="249"/>
      <c r="W105" s="249"/>
      <c r="X105" s="249"/>
      <c r="Y105" s="249"/>
      <c r="Z105" s="249"/>
      <c r="AA105" s="249"/>
      <c r="AB105" s="249"/>
      <c r="AC105" s="249"/>
      <c r="AD105" s="249"/>
      <c r="AE105" s="249"/>
      <c r="AF105" s="249"/>
      <c r="AG105" s="249"/>
      <c r="AH105" s="249"/>
      <c r="AI105" s="249"/>
      <c r="AJ105" s="249"/>
      <c r="AK105" s="249"/>
      <c r="AL105" s="249"/>
      <c r="AM105" s="249"/>
      <c r="AN105" s="249"/>
      <c r="AO105" s="249"/>
      <c r="AP105" s="249"/>
      <c r="AQ105" s="249"/>
      <c r="AR105" s="249"/>
      <c r="AS105" s="249"/>
      <c r="AT105" s="249"/>
      <c r="AU105" s="249"/>
      <c r="AV105" s="249"/>
      <c r="AW105" s="249"/>
      <c r="AX105" s="249"/>
      <c r="AY105" s="249"/>
      <c r="AZ105" s="249"/>
      <c r="BA105" s="249"/>
      <c r="BB105" s="249"/>
      <c r="BC105" s="249"/>
      <c r="BD105" s="249"/>
      <c r="BE105" s="249"/>
      <c r="BF105" s="249"/>
      <c r="BG105" s="248"/>
      <c r="BH105" s="248"/>
      <c r="BI105" s="248"/>
      <c r="BJ105" s="248"/>
      <c r="BK105" s="248"/>
      <c r="BL105" s="248"/>
      <c r="BM105" s="248"/>
      <c r="BN105" s="248"/>
      <c r="BO105" s="248"/>
      <c r="BP105" s="248"/>
      <c r="BQ105" s="248"/>
      <c r="BR105" s="248"/>
    </row>
    <row r="106" spans="1:70" x14ac:dyDescent="0.2">
      <c r="A106" s="248"/>
      <c r="B106" s="249"/>
      <c r="C106" s="249"/>
      <c r="D106" s="249"/>
      <c r="E106" s="249"/>
      <c r="F106" s="249"/>
      <c r="G106" s="249"/>
      <c r="H106" s="249"/>
      <c r="I106" s="249"/>
      <c r="J106" s="249"/>
      <c r="K106" s="249"/>
      <c r="L106" s="249"/>
      <c r="M106" s="249"/>
      <c r="N106" s="249"/>
      <c r="O106" s="249"/>
      <c r="P106" s="249"/>
      <c r="Q106" s="249"/>
      <c r="R106" s="249"/>
      <c r="S106" s="249"/>
      <c r="T106" s="249"/>
      <c r="U106" s="249"/>
      <c r="V106" s="249"/>
      <c r="W106" s="249"/>
      <c r="X106" s="249"/>
      <c r="Y106" s="249"/>
      <c r="Z106" s="249"/>
      <c r="AA106" s="249"/>
      <c r="AB106" s="249"/>
      <c r="AC106" s="249"/>
      <c r="AD106" s="249"/>
      <c r="AE106" s="249"/>
      <c r="AF106" s="249"/>
      <c r="AG106" s="249"/>
      <c r="AH106" s="249"/>
      <c r="AI106" s="249"/>
      <c r="AJ106" s="249"/>
      <c r="AK106" s="249"/>
      <c r="AL106" s="249"/>
      <c r="AM106" s="249"/>
      <c r="AN106" s="249"/>
      <c r="AO106" s="249"/>
      <c r="AP106" s="249"/>
      <c r="AQ106" s="249"/>
      <c r="AR106" s="249"/>
      <c r="AS106" s="249"/>
      <c r="AT106" s="249"/>
      <c r="AU106" s="249"/>
      <c r="AV106" s="249"/>
      <c r="AW106" s="249"/>
      <c r="AX106" s="249"/>
      <c r="AY106" s="249"/>
      <c r="AZ106" s="249"/>
      <c r="BA106" s="249"/>
      <c r="BB106" s="249"/>
      <c r="BC106" s="249"/>
      <c r="BD106" s="249"/>
      <c r="BE106" s="249"/>
      <c r="BF106" s="249"/>
      <c r="BG106" s="248"/>
      <c r="BH106" s="248"/>
      <c r="BI106" s="248"/>
      <c r="BJ106" s="248"/>
      <c r="BK106" s="248"/>
      <c r="BL106" s="248"/>
      <c r="BM106" s="248"/>
      <c r="BN106" s="248"/>
      <c r="BO106" s="248"/>
      <c r="BP106" s="248"/>
      <c r="BQ106" s="248"/>
      <c r="BR106" s="248"/>
    </row>
    <row r="107" spans="1:70" x14ac:dyDescent="0.2">
      <c r="A107" s="248"/>
      <c r="B107" s="249"/>
      <c r="C107" s="249"/>
      <c r="D107" s="249"/>
      <c r="E107" s="249"/>
      <c r="F107" s="249"/>
      <c r="G107" s="249"/>
      <c r="H107" s="249"/>
      <c r="I107" s="249"/>
      <c r="J107" s="249"/>
      <c r="K107" s="249"/>
      <c r="L107" s="249"/>
      <c r="M107" s="249"/>
      <c r="N107" s="249"/>
      <c r="O107" s="249"/>
      <c r="P107" s="249"/>
      <c r="Q107" s="249"/>
      <c r="R107" s="249"/>
      <c r="S107" s="249"/>
      <c r="T107" s="249"/>
      <c r="U107" s="249"/>
      <c r="V107" s="249"/>
      <c r="W107" s="249"/>
      <c r="X107" s="249"/>
      <c r="Y107" s="249"/>
      <c r="Z107" s="249"/>
      <c r="AA107" s="249"/>
      <c r="AB107" s="249"/>
      <c r="AC107" s="249"/>
      <c r="AD107" s="249"/>
      <c r="AE107" s="249"/>
      <c r="AF107" s="249"/>
      <c r="AG107" s="249"/>
      <c r="AH107" s="249"/>
      <c r="AI107" s="249"/>
      <c r="AJ107" s="249"/>
      <c r="AK107" s="249"/>
      <c r="AL107" s="249"/>
      <c r="AM107" s="249"/>
      <c r="AN107" s="249"/>
      <c r="AO107" s="249"/>
      <c r="AP107" s="249"/>
      <c r="AQ107" s="249"/>
      <c r="AR107" s="249"/>
      <c r="AS107" s="249"/>
      <c r="AT107" s="249"/>
      <c r="AU107" s="249"/>
      <c r="AV107" s="249"/>
      <c r="AW107" s="249"/>
      <c r="AX107" s="249"/>
      <c r="AY107" s="249"/>
      <c r="AZ107" s="249"/>
      <c r="BA107" s="249"/>
      <c r="BB107" s="249"/>
      <c r="BC107" s="249"/>
      <c r="BD107" s="249"/>
      <c r="BE107" s="249"/>
      <c r="BF107" s="249"/>
      <c r="BG107" s="248"/>
      <c r="BH107" s="248"/>
      <c r="BI107" s="248"/>
      <c r="BJ107" s="248"/>
      <c r="BK107" s="248"/>
      <c r="BL107" s="248"/>
      <c r="BM107" s="248"/>
      <c r="BN107" s="248"/>
      <c r="BO107" s="248"/>
      <c r="BP107" s="248"/>
      <c r="BQ107" s="248"/>
      <c r="BR107" s="248"/>
    </row>
    <row r="108" spans="1:70" x14ac:dyDescent="0.2">
      <c r="A108" s="248"/>
      <c r="B108" s="249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49"/>
      <c r="O108" s="249"/>
      <c r="P108" s="249"/>
      <c r="Q108" s="249"/>
      <c r="R108" s="249"/>
      <c r="S108" s="249"/>
      <c r="T108" s="249"/>
      <c r="U108" s="249"/>
      <c r="V108" s="249"/>
      <c r="W108" s="249"/>
      <c r="X108" s="249"/>
      <c r="Y108" s="249"/>
      <c r="Z108" s="249"/>
      <c r="AA108" s="249"/>
      <c r="AB108" s="249"/>
      <c r="AC108" s="249"/>
      <c r="AD108" s="249"/>
      <c r="AE108" s="249"/>
      <c r="AF108" s="249"/>
      <c r="AG108" s="249"/>
      <c r="AH108" s="249"/>
      <c r="AI108" s="249"/>
      <c r="AJ108" s="249"/>
      <c r="AK108" s="249"/>
      <c r="AL108" s="249"/>
      <c r="AM108" s="249"/>
      <c r="AN108" s="249"/>
      <c r="AO108" s="249"/>
      <c r="AP108" s="249"/>
      <c r="AQ108" s="249"/>
      <c r="AR108" s="249"/>
      <c r="AS108" s="249"/>
      <c r="AT108" s="249"/>
      <c r="AU108" s="249"/>
      <c r="AV108" s="249"/>
      <c r="AW108" s="249"/>
      <c r="AX108" s="249"/>
      <c r="AY108" s="249"/>
      <c r="AZ108" s="249"/>
      <c r="BA108" s="249"/>
      <c r="BB108" s="249"/>
      <c r="BC108" s="249"/>
      <c r="BD108" s="249"/>
      <c r="BE108" s="249"/>
      <c r="BF108" s="249"/>
      <c r="BG108" s="248"/>
      <c r="BH108" s="248"/>
      <c r="BI108" s="248"/>
      <c r="BJ108" s="248"/>
      <c r="BK108" s="248"/>
      <c r="BL108" s="248"/>
      <c r="BM108" s="248"/>
      <c r="BN108" s="248"/>
      <c r="BO108" s="248"/>
      <c r="BP108" s="248"/>
      <c r="BQ108" s="248"/>
      <c r="BR108" s="248"/>
    </row>
    <row r="109" spans="1:70" x14ac:dyDescent="0.2">
      <c r="A109" s="248"/>
      <c r="B109" s="249"/>
      <c r="C109" s="249"/>
      <c r="D109" s="249"/>
      <c r="E109" s="249"/>
      <c r="F109" s="249"/>
      <c r="G109" s="249"/>
      <c r="H109" s="249"/>
      <c r="I109" s="249"/>
      <c r="J109" s="249"/>
      <c r="K109" s="249"/>
      <c r="L109" s="249"/>
      <c r="M109" s="249"/>
      <c r="N109" s="249"/>
      <c r="O109" s="249"/>
      <c r="P109" s="249"/>
      <c r="Q109" s="249"/>
      <c r="R109" s="249"/>
      <c r="S109" s="249"/>
      <c r="T109" s="249"/>
      <c r="U109" s="249"/>
      <c r="V109" s="249"/>
      <c r="W109" s="249"/>
      <c r="X109" s="249"/>
      <c r="Y109" s="249"/>
      <c r="Z109" s="249"/>
      <c r="AA109" s="249"/>
      <c r="AB109" s="249"/>
      <c r="AC109" s="249"/>
      <c r="AD109" s="249"/>
      <c r="AE109" s="249"/>
      <c r="AF109" s="249"/>
      <c r="AG109" s="249"/>
      <c r="AH109" s="249"/>
      <c r="AI109" s="249"/>
      <c r="AJ109" s="249"/>
      <c r="AK109" s="249"/>
      <c r="AL109" s="249"/>
      <c r="AM109" s="249"/>
      <c r="AN109" s="249"/>
      <c r="AO109" s="249"/>
      <c r="AP109" s="249"/>
      <c r="AQ109" s="249"/>
      <c r="AR109" s="249"/>
      <c r="AS109" s="249"/>
      <c r="AT109" s="249"/>
      <c r="AU109" s="249"/>
      <c r="AV109" s="249"/>
      <c r="AW109" s="249"/>
      <c r="AX109" s="249"/>
      <c r="AY109" s="249"/>
      <c r="AZ109" s="249"/>
      <c r="BA109" s="249"/>
      <c r="BB109" s="249"/>
      <c r="BC109" s="249"/>
      <c r="BD109" s="249"/>
      <c r="BE109" s="249"/>
      <c r="BF109" s="249"/>
      <c r="BG109" s="248"/>
      <c r="BH109" s="248"/>
      <c r="BI109" s="248"/>
      <c r="BJ109" s="248"/>
      <c r="BK109" s="248"/>
      <c r="BL109" s="248"/>
      <c r="BM109" s="248"/>
      <c r="BN109" s="248"/>
      <c r="BO109" s="248"/>
      <c r="BP109" s="248"/>
      <c r="BQ109" s="248"/>
      <c r="BR109" s="248"/>
    </row>
    <row r="110" spans="1:70" x14ac:dyDescent="0.2">
      <c r="A110" s="248"/>
      <c r="B110" s="249"/>
      <c r="C110" s="249"/>
      <c r="D110" s="249"/>
      <c r="E110" s="249"/>
      <c r="F110" s="249"/>
      <c r="G110" s="249"/>
      <c r="H110" s="249"/>
      <c r="I110" s="249"/>
      <c r="J110" s="249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  <c r="V110" s="249"/>
      <c r="W110" s="249"/>
      <c r="X110" s="249"/>
      <c r="Y110" s="249"/>
      <c r="Z110" s="249"/>
      <c r="AA110" s="249"/>
      <c r="AB110" s="249"/>
      <c r="AC110" s="249"/>
      <c r="AD110" s="249"/>
      <c r="AE110" s="249"/>
      <c r="AF110" s="249"/>
      <c r="AG110" s="249"/>
      <c r="AH110" s="249"/>
      <c r="AI110" s="249"/>
      <c r="AJ110" s="249"/>
      <c r="AK110" s="249"/>
      <c r="AL110" s="249"/>
      <c r="AM110" s="249"/>
      <c r="AN110" s="249"/>
      <c r="AO110" s="249"/>
      <c r="AP110" s="249"/>
      <c r="AQ110" s="249"/>
      <c r="AR110" s="249"/>
      <c r="AS110" s="249"/>
      <c r="AT110" s="249"/>
      <c r="AU110" s="249"/>
      <c r="AV110" s="249"/>
      <c r="AW110" s="249"/>
      <c r="AX110" s="249"/>
      <c r="AY110" s="249"/>
      <c r="AZ110" s="249"/>
      <c r="BA110" s="249"/>
      <c r="BB110" s="249"/>
      <c r="BC110" s="249"/>
      <c r="BD110" s="249"/>
      <c r="BE110" s="249"/>
      <c r="BF110" s="249"/>
      <c r="BG110" s="248"/>
      <c r="BH110" s="248"/>
      <c r="BI110" s="248"/>
      <c r="BJ110" s="248"/>
      <c r="BK110" s="248"/>
      <c r="BL110" s="248"/>
      <c r="BM110" s="248"/>
      <c r="BN110" s="248"/>
      <c r="BO110" s="248"/>
      <c r="BP110" s="248"/>
      <c r="BQ110" s="248"/>
      <c r="BR110" s="248"/>
    </row>
    <row r="111" spans="1:70" x14ac:dyDescent="0.2">
      <c r="A111" s="248"/>
      <c r="B111" s="249"/>
      <c r="C111" s="249"/>
      <c r="D111" s="249"/>
      <c r="E111" s="249"/>
      <c r="F111" s="249"/>
      <c r="G111" s="249"/>
      <c r="H111" s="249"/>
      <c r="I111" s="249"/>
      <c r="J111" s="249"/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  <c r="V111" s="249"/>
      <c r="W111" s="249"/>
      <c r="X111" s="249"/>
      <c r="Y111" s="249"/>
      <c r="Z111" s="249"/>
      <c r="AA111" s="249"/>
      <c r="AB111" s="249"/>
      <c r="AC111" s="249"/>
      <c r="AD111" s="249"/>
      <c r="AE111" s="249"/>
      <c r="AF111" s="249"/>
      <c r="AG111" s="249"/>
      <c r="AH111" s="249"/>
      <c r="AI111" s="249"/>
      <c r="AJ111" s="249"/>
      <c r="AK111" s="249"/>
      <c r="AL111" s="249"/>
      <c r="AM111" s="249"/>
      <c r="AN111" s="249"/>
      <c r="AO111" s="249"/>
      <c r="AP111" s="249"/>
      <c r="AQ111" s="249"/>
      <c r="AR111" s="249"/>
      <c r="AS111" s="249"/>
      <c r="AT111" s="249"/>
      <c r="AU111" s="249"/>
      <c r="AV111" s="249"/>
      <c r="AW111" s="249"/>
      <c r="AX111" s="249"/>
      <c r="AY111" s="249"/>
      <c r="AZ111" s="249"/>
      <c r="BA111" s="249"/>
      <c r="BB111" s="249"/>
      <c r="BC111" s="249"/>
      <c r="BD111" s="249"/>
      <c r="BE111" s="249"/>
      <c r="BF111" s="249"/>
      <c r="BG111" s="248"/>
      <c r="BH111" s="248"/>
      <c r="BI111" s="248"/>
      <c r="BJ111" s="248"/>
      <c r="BK111" s="248"/>
      <c r="BL111" s="248"/>
      <c r="BM111" s="248"/>
      <c r="BN111" s="248"/>
      <c r="BO111" s="248"/>
      <c r="BP111" s="248"/>
      <c r="BQ111" s="248"/>
      <c r="BR111" s="248"/>
    </row>
    <row r="112" spans="1:70" x14ac:dyDescent="0.2">
      <c r="A112" s="248"/>
      <c r="B112" s="249"/>
      <c r="C112" s="249"/>
      <c r="D112" s="249"/>
      <c r="E112" s="249"/>
      <c r="F112" s="249"/>
      <c r="G112" s="249"/>
      <c r="H112" s="249"/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249"/>
      <c r="W112" s="249"/>
      <c r="X112" s="249"/>
      <c r="Y112" s="249"/>
      <c r="Z112" s="249"/>
      <c r="AA112" s="249"/>
      <c r="AB112" s="249"/>
      <c r="AC112" s="249"/>
      <c r="AD112" s="249"/>
      <c r="AE112" s="249"/>
      <c r="AF112" s="249"/>
      <c r="AG112" s="249"/>
      <c r="AH112" s="249"/>
      <c r="AI112" s="249"/>
      <c r="AJ112" s="249"/>
      <c r="AK112" s="249"/>
      <c r="AL112" s="249"/>
      <c r="AM112" s="249"/>
      <c r="AN112" s="249"/>
      <c r="AO112" s="249"/>
      <c r="AP112" s="249"/>
      <c r="AQ112" s="249"/>
      <c r="AR112" s="249"/>
      <c r="AS112" s="249"/>
      <c r="AT112" s="249"/>
      <c r="AU112" s="249"/>
      <c r="AV112" s="249"/>
      <c r="AW112" s="249"/>
      <c r="AX112" s="249"/>
      <c r="AY112" s="249"/>
      <c r="AZ112" s="249"/>
      <c r="BA112" s="249"/>
      <c r="BB112" s="249"/>
      <c r="BC112" s="249"/>
      <c r="BD112" s="249"/>
      <c r="BE112" s="249"/>
      <c r="BF112" s="249"/>
      <c r="BG112" s="248"/>
      <c r="BH112" s="248"/>
      <c r="BI112" s="248"/>
      <c r="BJ112" s="248"/>
      <c r="BK112" s="248"/>
      <c r="BL112" s="248"/>
      <c r="BM112" s="248"/>
      <c r="BN112" s="248"/>
      <c r="BO112" s="248"/>
      <c r="BP112" s="248"/>
      <c r="BQ112" s="248"/>
      <c r="BR112" s="248"/>
    </row>
    <row r="113" spans="1:70" x14ac:dyDescent="0.2">
      <c r="A113" s="248"/>
      <c r="B113" s="249"/>
      <c r="C113" s="249"/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249"/>
      <c r="W113" s="249"/>
      <c r="X113" s="249"/>
      <c r="Y113" s="249"/>
      <c r="Z113" s="249"/>
      <c r="AA113" s="249"/>
      <c r="AB113" s="249"/>
      <c r="AC113" s="249"/>
      <c r="AD113" s="249"/>
      <c r="AE113" s="249"/>
      <c r="AF113" s="249"/>
      <c r="AG113" s="249"/>
      <c r="AH113" s="249"/>
      <c r="AI113" s="249"/>
      <c r="AJ113" s="249"/>
      <c r="AK113" s="249"/>
      <c r="AL113" s="249"/>
      <c r="AM113" s="249"/>
      <c r="AN113" s="249"/>
      <c r="AO113" s="249"/>
      <c r="AP113" s="249"/>
      <c r="AQ113" s="249"/>
      <c r="AR113" s="249"/>
      <c r="AS113" s="249"/>
      <c r="AT113" s="249"/>
      <c r="AU113" s="249"/>
      <c r="AV113" s="249"/>
      <c r="AW113" s="249"/>
      <c r="AX113" s="249"/>
      <c r="AY113" s="249"/>
      <c r="AZ113" s="249"/>
      <c r="BA113" s="249"/>
      <c r="BB113" s="249"/>
      <c r="BC113" s="249"/>
      <c r="BD113" s="249"/>
      <c r="BE113" s="249"/>
      <c r="BF113" s="249"/>
      <c r="BG113" s="248"/>
      <c r="BH113" s="248"/>
      <c r="BI113" s="248"/>
      <c r="BJ113" s="248"/>
      <c r="BK113" s="248"/>
      <c r="BL113" s="248"/>
      <c r="BM113" s="248"/>
      <c r="BN113" s="248"/>
      <c r="BO113" s="248"/>
      <c r="BP113" s="248"/>
      <c r="BQ113" s="248"/>
      <c r="BR113" s="248"/>
    </row>
    <row r="114" spans="1:70" x14ac:dyDescent="0.2">
      <c r="A114" s="248"/>
      <c r="B114" s="249"/>
      <c r="C114" s="249"/>
      <c r="D114" s="249"/>
      <c r="E114" s="249"/>
      <c r="F114" s="249"/>
      <c r="G114" s="249"/>
      <c r="H114" s="249"/>
      <c r="I114" s="249"/>
      <c r="J114" s="249"/>
      <c r="K114" s="249"/>
      <c r="L114" s="249"/>
      <c r="M114" s="249"/>
      <c r="N114" s="249"/>
      <c r="O114" s="249"/>
      <c r="P114" s="249"/>
      <c r="Q114" s="249"/>
      <c r="R114" s="249"/>
      <c r="S114" s="249"/>
      <c r="T114" s="249"/>
      <c r="U114" s="249"/>
      <c r="V114" s="249"/>
      <c r="W114" s="249"/>
      <c r="X114" s="249"/>
      <c r="Y114" s="249"/>
      <c r="Z114" s="249"/>
      <c r="AA114" s="249"/>
      <c r="AB114" s="249"/>
      <c r="AC114" s="249"/>
      <c r="AD114" s="249"/>
      <c r="AE114" s="249"/>
      <c r="AF114" s="249"/>
      <c r="AG114" s="249"/>
      <c r="AH114" s="249"/>
      <c r="AI114" s="249"/>
      <c r="AJ114" s="249"/>
      <c r="AK114" s="249"/>
      <c r="AL114" s="249"/>
      <c r="AM114" s="249"/>
      <c r="AN114" s="249"/>
      <c r="AO114" s="249"/>
      <c r="AP114" s="249"/>
      <c r="AQ114" s="249"/>
      <c r="AR114" s="249"/>
      <c r="AS114" s="249"/>
      <c r="AT114" s="249"/>
      <c r="AU114" s="249"/>
      <c r="AV114" s="249"/>
      <c r="AW114" s="249"/>
      <c r="AX114" s="249"/>
      <c r="AY114" s="249"/>
      <c r="AZ114" s="249"/>
      <c r="BA114" s="249"/>
      <c r="BB114" s="249"/>
      <c r="BC114" s="249"/>
      <c r="BD114" s="249"/>
      <c r="BE114" s="249"/>
      <c r="BF114" s="249"/>
      <c r="BG114" s="248"/>
      <c r="BH114" s="248"/>
      <c r="BI114" s="248"/>
      <c r="BJ114" s="248"/>
      <c r="BK114" s="248"/>
      <c r="BL114" s="248"/>
      <c r="BM114" s="248"/>
      <c r="BN114" s="248"/>
      <c r="BO114" s="248"/>
      <c r="BP114" s="248"/>
      <c r="BQ114" s="248"/>
      <c r="BR114" s="248"/>
    </row>
    <row r="115" spans="1:70" x14ac:dyDescent="0.2">
      <c r="A115" s="248"/>
      <c r="B115" s="249"/>
      <c r="C115" s="249"/>
      <c r="D115" s="249"/>
      <c r="E115" s="249"/>
      <c r="F115" s="249"/>
      <c r="G115" s="249"/>
      <c r="H115" s="249"/>
      <c r="I115" s="249"/>
      <c r="J115" s="249"/>
      <c r="K115" s="249"/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  <c r="V115" s="249"/>
      <c r="W115" s="249"/>
      <c r="X115" s="249"/>
      <c r="Y115" s="249"/>
      <c r="Z115" s="249"/>
      <c r="AA115" s="249"/>
      <c r="AB115" s="249"/>
      <c r="AC115" s="249"/>
      <c r="AD115" s="249"/>
      <c r="AE115" s="249"/>
      <c r="AF115" s="249"/>
      <c r="AG115" s="249"/>
      <c r="AH115" s="249"/>
      <c r="AI115" s="249"/>
      <c r="AJ115" s="249"/>
      <c r="AK115" s="249"/>
      <c r="AL115" s="249"/>
      <c r="AM115" s="249"/>
      <c r="AN115" s="249"/>
      <c r="AO115" s="249"/>
      <c r="AP115" s="249"/>
      <c r="AQ115" s="249"/>
      <c r="AR115" s="249"/>
      <c r="AS115" s="249"/>
      <c r="AT115" s="249"/>
      <c r="AU115" s="249"/>
      <c r="AV115" s="249"/>
      <c r="AW115" s="249"/>
      <c r="AX115" s="249"/>
      <c r="AY115" s="249"/>
      <c r="AZ115" s="249"/>
      <c r="BA115" s="249"/>
      <c r="BB115" s="249"/>
      <c r="BC115" s="249"/>
      <c r="BD115" s="249"/>
      <c r="BE115" s="249"/>
      <c r="BF115" s="249"/>
      <c r="BG115" s="248"/>
      <c r="BH115" s="248"/>
      <c r="BI115" s="248"/>
      <c r="BJ115" s="248"/>
      <c r="BK115" s="248"/>
      <c r="BL115" s="248"/>
      <c r="BM115" s="248"/>
      <c r="BN115" s="248"/>
      <c r="BO115" s="248"/>
      <c r="BP115" s="248"/>
      <c r="BQ115" s="248"/>
      <c r="BR115" s="248"/>
    </row>
    <row r="116" spans="1:70" x14ac:dyDescent="0.2">
      <c r="A116" s="248"/>
      <c r="B116" s="249"/>
      <c r="C116" s="249"/>
      <c r="D116" s="249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249"/>
      <c r="W116" s="249"/>
      <c r="X116" s="249"/>
      <c r="Y116" s="249"/>
      <c r="Z116" s="249"/>
      <c r="AA116" s="249"/>
      <c r="AB116" s="249"/>
      <c r="AC116" s="249"/>
      <c r="AD116" s="249"/>
      <c r="AE116" s="249"/>
      <c r="AF116" s="249"/>
      <c r="AG116" s="249"/>
      <c r="AH116" s="249"/>
      <c r="AI116" s="249"/>
      <c r="AJ116" s="249"/>
      <c r="AK116" s="249"/>
      <c r="AL116" s="249"/>
      <c r="AM116" s="249"/>
      <c r="AN116" s="249"/>
      <c r="AO116" s="249"/>
      <c r="AP116" s="249"/>
      <c r="AQ116" s="249"/>
      <c r="AR116" s="249"/>
      <c r="AS116" s="249"/>
      <c r="AT116" s="249"/>
      <c r="AU116" s="249"/>
      <c r="AV116" s="249"/>
      <c r="AW116" s="249"/>
      <c r="AX116" s="249"/>
      <c r="AY116" s="249"/>
      <c r="AZ116" s="249"/>
      <c r="BA116" s="249"/>
      <c r="BB116" s="249"/>
      <c r="BC116" s="249"/>
      <c r="BD116" s="249"/>
      <c r="BE116" s="249"/>
      <c r="BF116" s="249"/>
      <c r="BG116" s="248"/>
      <c r="BH116" s="248"/>
      <c r="BI116" s="248"/>
      <c r="BJ116" s="248"/>
      <c r="BK116" s="248"/>
      <c r="BL116" s="248"/>
      <c r="BM116" s="248"/>
      <c r="BN116" s="248"/>
      <c r="BO116" s="248"/>
      <c r="BP116" s="248"/>
      <c r="BQ116" s="248"/>
      <c r="BR116" s="248"/>
    </row>
    <row r="117" spans="1:70" x14ac:dyDescent="0.2">
      <c r="A117" s="248"/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  <c r="V117" s="249"/>
      <c r="W117" s="249"/>
      <c r="X117" s="249"/>
      <c r="Y117" s="249"/>
      <c r="Z117" s="249"/>
      <c r="AA117" s="249"/>
      <c r="AB117" s="249"/>
      <c r="AC117" s="249"/>
      <c r="AD117" s="249"/>
      <c r="AE117" s="249"/>
      <c r="AF117" s="249"/>
      <c r="AG117" s="249"/>
      <c r="AH117" s="249"/>
      <c r="AI117" s="249"/>
      <c r="AJ117" s="249"/>
      <c r="AK117" s="249"/>
      <c r="AL117" s="249"/>
      <c r="AM117" s="249"/>
      <c r="AN117" s="249"/>
      <c r="AO117" s="249"/>
      <c r="AP117" s="249"/>
      <c r="AQ117" s="249"/>
      <c r="AR117" s="249"/>
      <c r="AS117" s="249"/>
      <c r="AT117" s="249"/>
      <c r="AU117" s="249"/>
      <c r="AV117" s="249"/>
      <c r="AW117" s="249"/>
      <c r="AX117" s="249"/>
      <c r="AY117" s="249"/>
      <c r="AZ117" s="249"/>
      <c r="BA117" s="249"/>
      <c r="BB117" s="249"/>
      <c r="BC117" s="249"/>
      <c r="BD117" s="249"/>
      <c r="BE117" s="249"/>
      <c r="BF117" s="249"/>
      <c r="BG117" s="248"/>
      <c r="BH117" s="248"/>
      <c r="BI117" s="248"/>
      <c r="BJ117" s="248"/>
      <c r="BK117" s="248"/>
      <c r="BL117" s="248"/>
      <c r="BM117" s="248"/>
      <c r="BN117" s="248"/>
      <c r="BO117" s="248"/>
      <c r="BP117" s="248"/>
      <c r="BQ117" s="248"/>
      <c r="BR117" s="248"/>
    </row>
    <row r="118" spans="1:70" x14ac:dyDescent="0.2">
      <c r="A118" s="248"/>
      <c r="B118" s="249"/>
      <c r="C118" s="249"/>
      <c r="D118" s="249"/>
      <c r="E118" s="249"/>
      <c r="F118" s="249"/>
      <c r="G118" s="249"/>
      <c r="H118" s="249"/>
      <c r="I118" s="249"/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249"/>
      <c r="W118" s="249"/>
      <c r="X118" s="249"/>
      <c r="Y118" s="249"/>
      <c r="Z118" s="249"/>
      <c r="AA118" s="249"/>
      <c r="AB118" s="249"/>
      <c r="AC118" s="249"/>
      <c r="AD118" s="249"/>
      <c r="AE118" s="249"/>
      <c r="AF118" s="249"/>
      <c r="AG118" s="249"/>
      <c r="AH118" s="249"/>
      <c r="AI118" s="249"/>
      <c r="AJ118" s="249"/>
      <c r="AK118" s="249"/>
      <c r="AL118" s="249"/>
      <c r="AM118" s="249"/>
      <c r="AN118" s="249"/>
      <c r="AO118" s="249"/>
      <c r="AP118" s="249"/>
      <c r="AQ118" s="249"/>
      <c r="AR118" s="249"/>
      <c r="AS118" s="249"/>
      <c r="AT118" s="249"/>
      <c r="AU118" s="249"/>
      <c r="AV118" s="249"/>
      <c r="AW118" s="249"/>
      <c r="AX118" s="249"/>
      <c r="AY118" s="249"/>
      <c r="AZ118" s="249"/>
      <c r="BA118" s="249"/>
      <c r="BB118" s="249"/>
      <c r="BC118" s="249"/>
      <c r="BD118" s="249"/>
      <c r="BE118" s="249"/>
      <c r="BF118" s="249"/>
      <c r="BG118" s="248"/>
      <c r="BH118" s="248"/>
      <c r="BI118" s="248"/>
      <c r="BJ118" s="248"/>
      <c r="BK118" s="248"/>
      <c r="BL118" s="248"/>
      <c r="BM118" s="248"/>
      <c r="BN118" s="248"/>
      <c r="BO118" s="248"/>
      <c r="BP118" s="248"/>
      <c r="BQ118" s="248"/>
      <c r="BR118" s="248"/>
    </row>
    <row r="119" spans="1:70" x14ac:dyDescent="0.2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</row>
    <row r="120" spans="1:70" x14ac:dyDescent="0.2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</row>
    <row r="121" spans="1:70" x14ac:dyDescent="0.2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</row>
    <row r="122" spans="1:70" x14ac:dyDescent="0.2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</row>
    <row r="123" spans="1:70" x14ac:dyDescent="0.2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</row>
    <row r="124" spans="1:70" x14ac:dyDescent="0.2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</row>
    <row r="125" spans="1:70" x14ac:dyDescent="0.2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</row>
    <row r="126" spans="1:70" x14ac:dyDescent="0.2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</row>
    <row r="127" spans="1:70" x14ac:dyDescent="0.2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</row>
    <row r="128" spans="1:70" x14ac:dyDescent="0.2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</row>
    <row r="129" spans="2:58" x14ac:dyDescent="0.2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</row>
    <row r="130" spans="2:58" x14ac:dyDescent="0.2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</row>
    <row r="131" spans="2:58" x14ac:dyDescent="0.2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</row>
    <row r="132" spans="2:58" x14ac:dyDescent="0.2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</row>
    <row r="133" spans="2:58" x14ac:dyDescent="0.2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</row>
    <row r="134" spans="2:58" x14ac:dyDescent="0.2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</row>
    <row r="135" spans="2:58" x14ac:dyDescent="0.2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</row>
    <row r="136" spans="2:58" x14ac:dyDescent="0.2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</row>
    <row r="137" spans="2:58" x14ac:dyDescent="0.2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</row>
    <row r="138" spans="2:58" x14ac:dyDescent="0.2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</row>
    <row r="139" spans="2:58" x14ac:dyDescent="0.2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</row>
    <row r="140" spans="2:58" x14ac:dyDescent="0.2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</row>
    <row r="141" spans="2:58" x14ac:dyDescent="0.2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</row>
    <row r="142" spans="2:58" x14ac:dyDescent="0.2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</row>
    <row r="143" spans="2:58" x14ac:dyDescent="0.2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</row>
    <row r="144" spans="2:58" x14ac:dyDescent="0.2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</row>
    <row r="145" spans="2:58" x14ac:dyDescent="0.2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</row>
    <row r="146" spans="2:58" x14ac:dyDescent="0.2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</row>
    <row r="147" spans="2:58" x14ac:dyDescent="0.2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</row>
    <row r="148" spans="2:58" x14ac:dyDescent="0.2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</row>
    <row r="149" spans="2:58" x14ac:dyDescent="0.2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</row>
    <row r="150" spans="2:58" x14ac:dyDescent="0.2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</row>
    <row r="151" spans="2:58" x14ac:dyDescent="0.2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</row>
    <row r="152" spans="2:58" x14ac:dyDescent="0.2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</row>
    <row r="153" spans="2:58" x14ac:dyDescent="0.2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</row>
    <row r="154" spans="2:58" x14ac:dyDescent="0.2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</row>
    <row r="155" spans="2:58" x14ac:dyDescent="0.2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</row>
    <row r="156" spans="2:58" x14ac:dyDescent="0.2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</row>
    <row r="157" spans="2:58" x14ac:dyDescent="0.2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</row>
    <row r="158" spans="2:58" x14ac:dyDescent="0.2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</row>
    <row r="159" spans="2:58" x14ac:dyDescent="0.2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</row>
    <row r="160" spans="2:58" x14ac:dyDescent="0.2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</row>
    <row r="161" spans="2:58" x14ac:dyDescent="0.2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</row>
    <row r="162" spans="2:58" x14ac:dyDescent="0.2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</row>
    <row r="163" spans="2:58" x14ac:dyDescent="0.2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</row>
    <row r="164" spans="2:58" x14ac:dyDescent="0.2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</row>
    <row r="165" spans="2:58" x14ac:dyDescent="0.2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</row>
    <row r="166" spans="2:58" x14ac:dyDescent="0.2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</row>
    <row r="167" spans="2:58" x14ac:dyDescent="0.2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</row>
    <row r="168" spans="2:58" x14ac:dyDescent="0.2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</row>
    <row r="169" spans="2:58" x14ac:dyDescent="0.2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</row>
    <row r="170" spans="2:58" x14ac:dyDescent="0.2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</row>
    <row r="171" spans="2:58" x14ac:dyDescent="0.2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</row>
    <row r="172" spans="2:58" x14ac:dyDescent="0.2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</row>
    <row r="173" spans="2:58" x14ac:dyDescent="0.2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</row>
    <row r="174" spans="2:58" x14ac:dyDescent="0.2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</row>
    <row r="175" spans="2:58" x14ac:dyDescent="0.2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</row>
    <row r="176" spans="2:58" x14ac:dyDescent="0.2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</row>
    <row r="177" spans="2:58" x14ac:dyDescent="0.2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</row>
    <row r="178" spans="2:58" x14ac:dyDescent="0.2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</row>
    <row r="179" spans="2:58" x14ac:dyDescent="0.2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</row>
    <row r="180" spans="2:58" x14ac:dyDescent="0.2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</row>
    <row r="181" spans="2:58" x14ac:dyDescent="0.2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</row>
    <row r="182" spans="2:58" x14ac:dyDescent="0.2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</row>
    <row r="183" spans="2:58" x14ac:dyDescent="0.2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</row>
    <row r="184" spans="2:58" x14ac:dyDescent="0.2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</row>
    <row r="185" spans="2:58" x14ac:dyDescent="0.2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</row>
    <row r="186" spans="2:58" x14ac:dyDescent="0.2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</row>
    <row r="187" spans="2:58" x14ac:dyDescent="0.2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</row>
    <row r="188" spans="2:58" x14ac:dyDescent="0.2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</row>
    <row r="189" spans="2:58" x14ac:dyDescent="0.2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</row>
    <row r="190" spans="2:58" x14ac:dyDescent="0.2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</row>
    <row r="191" spans="2:58" x14ac:dyDescent="0.2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</row>
    <row r="192" spans="2:58" x14ac:dyDescent="0.2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</row>
    <row r="193" spans="2:58" x14ac:dyDescent="0.2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</row>
    <row r="194" spans="2:58" x14ac:dyDescent="0.2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</row>
    <row r="195" spans="2:58" x14ac:dyDescent="0.2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</row>
    <row r="196" spans="2:58" x14ac:dyDescent="0.2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</row>
    <row r="197" spans="2:58" x14ac:dyDescent="0.2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</row>
    <row r="198" spans="2:58" x14ac:dyDescent="0.2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</row>
    <row r="199" spans="2:58" x14ac:dyDescent="0.2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</row>
    <row r="200" spans="2:58" x14ac:dyDescent="0.2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</row>
    <row r="201" spans="2:58" x14ac:dyDescent="0.2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</row>
    <row r="202" spans="2:58" x14ac:dyDescent="0.2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</row>
    <row r="203" spans="2:58" x14ac:dyDescent="0.2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</row>
    <row r="204" spans="2:58" x14ac:dyDescent="0.2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</row>
    <row r="205" spans="2:58" x14ac:dyDescent="0.2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</row>
    <row r="206" spans="2:58" x14ac:dyDescent="0.2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</row>
    <row r="207" spans="2:58" x14ac:dyDescent="0.2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</row>
    <row r="208" spans="2:58" x14ac:dyDescent="0.2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</row>
    <row r="209" spans="2:58" x14ac:dyDescent="0.2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</row>
    <row r="210" spans="2:58" x14ac:dyDescent="0.2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</row>
    <row r="211" spans="2:58" x14ac:dyDescent="0.2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</row>
    <row r="212" spans="2:58" x14ac:dyDescent="0.2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</row>
    <row r="213" spans="2:58" x14ac:dyDescent="0.2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</row>
    <row r="214" spans="2:58" x14ac:dyDescent="0.2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</row>
    <row r="215" spans="2:58" x14ac:dyDescent="0.2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</row>
    <row r="216" spans="2:58" x14ac:dyDescent="0.2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</row>
    <row r="217" spans="2:58" x14ac:dyDescent="0.2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</row>
    <row r="218" spans="2:58" x14ac:dyDescent="0.2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</row>
    <row r="219" spans="2:58" x14ac:dyDescent="0.2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</row>
    <row r="220" spans="2:58" x14ac:dyDescent="0.2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</row>
    <row r="221" spans="2:58" x14ac:dyDescent="0.2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</row>
    <row r="222" spans="2:58" x14ac:dyDescent="0.2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</row>
    <row r="223" spans="2:58" x14ac:dyDescent="0.2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</row>
    <row r="224" spans="2:58" x14ac:dyDescent="0.2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</row>
    <row r="225" spans="2:58" x14ac:dyDescent="0.2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</row>
    <row r="226" spans="2:58" x14ac:dyDescent="0.2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</row>
    <row r="227" spans="2:58" x14ac:dyDescent="0.2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</row>
    <row r="228" spans="2:58" x14ac:dyDescent="0.2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</row>
    <row r="229" spans="2:58" x14ac:dyDescent="0.2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</row>
    <row r="230" spans="2:58" x14ac:dyDescent="0.2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</row>
    <row r="231" spans="2:58" x14ac:dyDescent="0.2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</row>
    <row r="232" spans="2:58" x14ac:dyDescent="0.2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</row>
    <row r="233" spans="2:58" x14ac:dyDescent="0.2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</row>
    <row r="234" spans="2:58" x14ac:dyDescent="0.2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</row>
    <row r="235" spans="2:58" x14ac:dyDescent="0.2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</row>
    <row r="236" spans="2:58" x14ac:dyDescent="0.2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</row>
    <row r="237" spans="2:58" x14ac:dyDescent="0.2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</row>
    <row r="238" spans="2:58" x14ac:dyDescent="0.2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</row>
    <row r="239" spans="2:58" x14ac:dyDescent="0.2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</row>
    <row r="240" spans="2:58" x14ac:dyDescent="0.2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</row>
    <row r="241" spans="2:58" x14ac:dyDescent="0.2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</row>
    <row r="242" spans="2:58" x14ac:dyDescent="0.2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</row>
    <row r="243" spans="2:58" x14ac:dyDescent="0.2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</row>
    <row r="244" spans="2:58" x14ac:dyDescent="0.2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</row>
    <row r="245" spans="2:58" x14ac:dyDescent="0.2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</row>
    <row r="246" spans="2:58" x14ac:dyDescent="0.2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</row>
    <row r="247" spans="2:58" x14ac:dyDescent="0.2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</row>
    <row r="248" spans="2:58" x14ac:dyDescent="0.2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</row>
    <row r="249" spans="2:58" x14ac:dyDescent="0.2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</row>
    <row r="250" spans="2:58" x14ac:dyDescent="0.2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</row>
    <row r="251" spans="2:58" x14ac:dyDescent="0.2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</row>
    <row r="252" spans="2:58" x14ac:dyDescent="0.2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</row>
    <row r="253" spans="2:58" x14ac:dyDescent="0.2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</row>
    <row r="254" spans="2:58" x14ac:dyDescent="0.2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</row>
    <row r="255" spans="2:58" x14ac:dyDescent="0.2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</row>
    <row r="256" spans="2:58" x14ac:dyDescent="0.2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</row>
    <row r="257" spans="2:58" x14ac:dyDescent="0.2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</row>
    <row r="258" spans="2:58" x14ac:dyDescent="0.2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</row>
    <row r="259" spans="2:58" x14ac:dyDescent="0.2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</row>
    <row r="260" spans="2:58" x14ac:dyDescent="0.2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</row>
    <row r="261" spans="2:58" x14ac:dyDescent="0.2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</row>
    <row r="262" spans="2:58" x14ac:dyDescent="0.2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</row>
    <row r="263" spans="2:58" x14ac:dyDescent="0.2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</row>
    <row r="264" spans="2:58" x14ac:dyDescent="0.2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</row>
    <row r="265" spans="2:58" x14ac:dyDescent="0.2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</row>
    <row r="266" spans="2:58" x14ac:dyDescent="0.2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</row>
    <row r="267" spans="2:58" x14ac:dyDescent="0.2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</row>
    <row r="268" spans="2:58" x14ac:dyDescent="0.2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</row>
    <row r="269" spans="2:58" x14ac:dyDescent="0.2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</row>
    <row r="270" spans="2:58" x14ac:dyDescent="0.2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</row>
    <row r="271" spans="2:58" x14ac:dyDescent="0.2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</row>
    <row r="272" spans="2:58" x14ac:dyDescent="0.2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</row>
    <row r="273" spans="2:58" x14ac:dyDescent="0.2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</row>
    <row r="274" spans="2:58" x14ac:dyDescent="0.2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</row>
    <row r="275" spans="2:58" x14ac:dyDescent="0.2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</row>
    <row r="276" spans="2:58" x14ac:dyDescent="0.2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</row>
    <row r="277" spans="2:58" x14ac:dyDescent="0.2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</row>
    <row r="278" spans="2:58" x14ac:dyDescent="0.2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</row>
    <row r="279" spans="2:58" x14ac:dyDescent="0.2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</row>
    <row r="280" spans="2:58" x14ac:dyDescent="0.2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</row>
    <row r="281" spans="2:58" x14ac:dyDescent="0.2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</row>
    <row r="282" spans="2:58" x14ac:dyDescent="0.2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</row>
    <row r="283" spans="2:58" x14ac:dyDescent="0.2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</row>
    <row r="284" spans="2:58" x14ac:dyDescent="0.2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</row>
    <row r="285" spans="2:58" x14ac:dyDescent="0.2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</row>
    <row r="286" spans="2:58" x14ac:dyDescent="0.2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</row>
    <row r="287" spans="2:58" x14ac:dyDescent="0.2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</row>
    <row r="288" spans="2:58" x14ac:dyDescent="0.2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</row>
    <row r="289" spans="2:58" x14ac:dyDescent="0.2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</row>
    <row r="290" spans="2:58" x14ac:dyDescent="0.2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</row>
    <row r="291" spans="2:58" x14ac:dyDescent="0.2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</row>
    <row r="292" spans="2:58" x14ac:dyDescent="0.2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</row>
    <row r="293" spans="2:58" x14ac:dyDescent="0.2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</row>
    <row r="294" spans="2:58" x14ac:dyDescent="0.2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</row>
    <row r="295" spans="2:58" x14ac:dyDescent="0.2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</row>
    <row r="296" spans="2:58" x14ac:dyDescent="0.2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</row>
    <row r="297" spans="2:58" x14ac:dyDescent="0.2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</row>
    <row r="298" spans="2:58" x14ac:dyDescent="0.2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</row>
    <row r="299" spans="2:58" x14ac:dyDescent="0.2"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</row>
    <row r="300" spans="2:58" x14ac:dyDescent="0.2"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</row>
    <row r="301" spans="2:58" x14ac:dyDescent="0.2"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</row>
    <row r="302" spans="2:58" x14ac:dyDescent="0.2"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</row>
    <row r="303" spans="2:58" x14ac:dyDescent="0.2"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</row>
    <row r="304" spans="2:58" x14ac:dyDescent="0.2"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</row>
    <row r="305" spans="2:58" x14ac:dyDescent="0.2"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</row>
    <row r="306" spans="2:58" x14ac:dyDescent="0.2"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</row>
    <row r="307" spans="2:58" x14ac:dyDescent="0.2"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</row>
    <row r="308" spans="2:58" x14ac:dyDescent="0.2"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</row>
    <row r="309" spans="2:58" x14ac:dyDescent="0.2"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</row>
    <row r="310" spans="2:58" x14ac:dyDescent="0.2"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</row>
    <row r="311" spans="2:58" x14ac:dyDescent="0.2"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</row>
    <row r="312" spans="2:58" x14ac:dyDescent="0.2"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</row>
    <row r="313" spans="2:58" x14ac:dyDescent="0.2"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</row>
    <row r="314" spans="2:58" x14ac:dyDescent="0.2"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</row>
    <row r="315" spans="2:58" x14ac:dyDescent="0.2"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</row>
    <row r="316" spans="2:58" x14ac:dyDescent="0.2"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</row>
    <row r="317" spans="2:58" x14ac:dyDescent="0.2"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</row>
    <row r="318" spans="2:58" x14ac:dyDescent="0.2"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</row>
    <row r="319" spans="2:58" x14ac:dyDescent="0.2"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</row>
    <row r="320" spans="2:58" x14ac:dyDescent="0.2"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</row>
    <row r="321" spans="2:58" x14ac:dyDescent="0.2"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</row>
    <row r="322" spans="2:58" x14ac:dyDescent="0.2"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</row>
    <row r="323" spans="2:58" x14ac:dyDescent="0.2"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</row>
    <row r="324" spans="2:58" x14ac:dyDescent="0.2"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</row>
    <row r="325" spans="2:58" x14ac:dyDescent="0.2"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</row>
    <row r="326" spans="2:58" x14ac:dyDescent="0.2"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</row>
    <row r="327" spans="2:58" x14ac:dyDescent="0.2"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</row>
    <row r="328" spans="2:58" x14ac:dyDescent="0.2"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</row>
    <row r="329" spans="2:58" x14ac:dyDescent="0.2"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</row>
    <row r="330" spans="2:58" x14ac:dyDescent="0.2"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</row>
    <row r="331" spans="2:58" x14ac:dyDescent="0.2"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</row>
    <row r="332" spans="2:58" x14ac:dyDescent="0.2"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</row>
    <row r="333" spans="2:58" x14ac:dyDescent="0.2"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</row>
    <row r="334" spans="2:58" x14ac:dyDescent="0.2"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</row>
    <row r="335" spans="2:58" x14ac:dyDescent="0.2"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</row>
    <row r="336" spans="2:58" x14ac:dyDescent="0.2"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</row>
    <row r="337" spans="2:58" x14ac:dyDescent="0.2"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</row>
    <row r="338" spans="2:58" x14ac:dyDescent="0.2"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</row>
    <row r="339" spans="2:58" x14ac:dyDescent="0.2"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</row>
    <row r="340" spans="2:58" x14ac:dyDescent="0.2"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</row>
    <row r="341" spans="2:58" x14ac:dyDescent="0.2"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</row>
    <row r="342" spans="2:58" x14ac:dyDescent="0.2"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</row>
    <row r="343" spans="2:58" x14ac:dyDescent="0.2"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</row>
    <row r="344" spans="2:58" x14ac:dyDescent="0.2"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</row>
    <row r="345" spans="2:58" x14ac:dyDescent="0.2"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</row>
    <row r="346" spans="2:58" x14ac:dyDescent="0.2"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</row>
    <row r="347" spans="2:58" x14ac:dyDescent="0.2"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</row>
    <row r="348" spans="2:58" x14ac:dyDescent="0.2"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</row>
    <row r="349" spans="2:58" x14ac:dyDescent="0.2"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</row>
    <row r="350" spans="2:58" x14ac:dyDescent="0.2"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</row>
    <row r="351" spans="2:58" x14ac:dyDescent="0.2"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</row>
    <row r="352" spans="2:58" x14ac:dyDescent="0.2"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</row>
    <row r="353" spans="2:58" x14ac:dyDescent="0.2"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</row>
    <row r="354" spans="2:58" x14ac:dyDescent="0.2"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</row>
    <row r="355" spans="2:58" x14ac:dyDescent="0.2"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</row>
    <row r="356" spans="2:58" x14ac:dyDescent="0.2"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</row>
    <row r="357" spans="2:58" x14ac:dyDescent="0.2"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</row>
    <row r="358" spans="2:58" x14ac:dyDescent="0.2"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</row>
    <row r="359" spans="2:58" x14ac:dyDescent="0.2"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</row>
    <row r="360" spans="2:58" x14ac:dyDescent="0.2"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</row>
    <row r="361" spans="2:58" x14ac:dyDescent="0.2"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</row>
    <row r="362" spans="2:58" x14ac:dyDescent="0.2"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</row>
    <row r="363" spans="2:58" x14ac:dyDescent="0.2"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</row>
    <row r="364" spans="2:58" x14ac:dyDescent="0.2"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</row>
    <row r="365" spans="2:58" x14ac:dyDescent="0.2"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</row>
    <row r="366" spans="2:58" x14ac:dyDescent="0.2"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</row>
    <row r="367" spans="2:58" x14ac:dyDescent="0.2"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</row>
    <row r="368" spans="2:58" x14ac:dyDescent="0.2"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</row>
    <row r="369" spans="2:58" x14ac:dyDescent="0.2"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</row>
    <row r="370" spans="2:58" x14ac:dyDescent="0.2"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</row>
    <row r="371" spans="2:58" x14ac:dyDescent="0.2"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</row>
    <row r="372" spans="2:58" x14ac:dyDescent="0.2"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</row>
    <row r="373" spans="2:58" x14ac:dyDescent="0.2"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</row>
    <row r="374" spans="2:58" x14ac:dyDescent="0.2"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</row>
    <row r="375" spans="2:58" x14ac:dyDescent="0.2"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</row>
    <row r="376" spans="2:58" x14ac:dyDescent="0.2"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</row>
    <row r="377" spans="2:58" x14ac:dyDescent="0.2"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</row>
    <row r="378" spans="2:58" x14ac:dyDescent="0.2"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</row>
    <row r="379" spans="2:58" x14ac:dyDescent="0.2"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</row>
    <row r="380" spans="2:58" x14ac:dyDescent="0.2"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</row>
    <row r="381" spans="2:58" x14ac:dyDescent="0.2"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</row>
    <row r="382" spans="2:58" x14ac:dyDescent="0.2"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</row>
    <row r="383" spans="2:58" x14ac:dyDescent="0.2"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</row>
    <row r="384" spans="2:58" x14ac:dyDescent="0.2"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</row>
    <row r="385" spans="2:58" x14ac:dyDescent="0.2"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</row>
    <row r="386" spans="2:58" x14ac:dyDescent="0.2"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</row>
    <row r="387" spans="2:58" x14ac:dyDescent="0.2"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</row>
    <row r="388" spans="2:58" x14ac:dyDescent="0.2"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</row>
    <row r="389" spans="2:58" x14ac:dyDescent="0.2"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</row>
    <row r="390" spans="2:58" x14ac:dyDescent="0.2"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</row>
    <row r="391" spans="2:58" x14ac:dyDescent="0.2"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</row>
    <row r="392" spans="2:58" x14ac:dyDescent="0.2"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</row>
    <row r="393" spans="2:58" x14ac:dyDescent="0.2"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</row>
    <row r="394" spans="2:58" x14ac:dyDescent="0.2"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</row>
    <row r="395" spans="2:58" x14ac:dyDescent="0.2"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</row>
    <row r="396" spans="2:58" x14ac:dyDescent="0.2"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</row>
    <row r="397" spans="2:58" x14ac:dyDescent="0.2"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</row>
    <row r="398" spans="2:58" x14ac:dyDescent="0.2"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</row>
    <row r="399" spans="2:58" x14ac:dyDescent="0.2"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</row>
    <row r="400" spans="2:58" x14ac:dyDescent="0.2"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</row>
    <row r="401" spans="2:58" x14ac:dyDescent="0.2"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</row>
    <row r="402" spans="2:58" x14ac:dyDescent="0.2"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</row>
    <row r="403" spans="2:58" x14ac:dyDescent="0.2"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</row>
    <row r="404" spans="2:58" x14ac:dyDescent="0.2"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</row>
    <row r="405" spans="2:58" x14ac:dyDescent="0.2"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</row>
    <row r="406" spans="2:58" x14ac:dyDescent="0.2"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</row>
    <row r="407" spans="2:58" x14ac:dyDescent="0.2"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</row>
    <row r="408" spans="2:58" x14ac:dyDescent="0.2"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</row>
    <row r="409" spans="2:58" x14ac:dyDescent="0.2"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</row>
    <row r="410" spans="2:58" x14ac:dyDescent="0.2"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</row>
    <row r="411" spans="2:58" x14ac:dyDescent="0.2"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</row>
    <row r="412" spans="2:58" x14ac:dyDescent="0.2"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</row>
    <row r="413" spans="2:58" x14ac:dyDescent="0.2"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</row>
    <row r="414" spans="2:58" x14ac:dyDescent="0.2"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</row>
    <row r="415" spans="2:58" x14ac:dyDescent="0.2"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</row>
    <row r="416" spans="2:58" x14ac:dyDescent="0.2"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</row>
    <row r="417" spans="2:58" x14ac:dyDescent="0.2"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</row>
    <row r="418" spans="2:58" x14ac:dyDescent="0.2"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</row>
    <row r="419" spans="2:58" x14ac:dyDescent="0.2"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</row>
    <row r="420" spans="2:58" x14ac:dyDescent="0.2"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</row>
    <row r="421" spans="2:58" x14ac:dyDescent="0.2"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</row>
    <row r="422" spans="2:58" x14ac:dyDescent="0.2"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</row>
    <row r="423" spans="2:58" x14ac:dyDescent="0.2"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</row>
    <row r="424" spans="2:58" x14ac:dyDescent="0.2"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</row>
    <row r="425" spans="2:58" x14ac:dyDescent="0.2"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</row>
    <row r="426" spans="2:58" x14ac:dyDescent="0.2"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</row>
    <row r="427" spans="2:58" x14ac:dyDescent="0.2"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</row>
    <row r="428" spans="2:58" x14ac:dyDescent="0.2"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</row>
    <row r="429" spans="2:58" x14ac:dyDescent="0.2"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</row>
    <row r="430" spans="2:58" x14ac:dyDescent="0.2"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</row>
    <row r="431" spans="2:58" x14ac:dyDescent="0.2"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</row>
    <row r="432" spans="2:58" x14ac:dyDescent="0.2"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</row>
    <row r="433" spans="2:58" x14ac:dyDescent="0.2"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</row>
    <row r="434" spans="2:58" x14ac:dyDescent="0.2"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</row>
    <row r="435" spans="2:58" x14ac:dyDescent="0.2"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</row>
    <row r="436" spans="2:58" x14ac:dyDescent="0.2"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</row>
    <row r="437" spans="2:58" x14ac:dyDescent="0.2"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</row>
    <row r="438" spans="2:58" x14ac:dyDescent="0.2"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</row>
    <row r="439" spans="2:58" x14ac:dyDescent="0.2"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</row>
    <row r="440" spans="2:58" x14ac:dyDescent="0.2"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</row>
    <row r="441" spans="2:58" x14ac:dyDescent="0.2"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</row>
    <row r="442" spans="2:58" x14ac:dyDescent="0.2"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</row>
    <row r="443" spans="2:58" x14ac:dyDescent="0.2"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</row>
    <row r="444" spans="2:58" x14ac:dyDescent="0.2"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</row>
    <row r="445" spans="2:58" x14ac:dyDescent="0.2"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</row>
    <row r="446" spans="2:58" x14ac:dyDescent="0.2"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</row>
    <row r="447" spans="2:58" x14ac:dyDescent="0.2"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</row>
    <row r="448" spans="2:58" x14ac:dyDescent="0.2"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</row>
    <row r="449" spans="2:58" x14ac:dyDescent="0.2"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</row>
    <row r="450" spans="2:58" x14ac:dyDescent="0.2"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</row>
    <row r="451" spans="2:58" x14ac:dyDescent="0.2"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</row>
    <row r="452" spans="2:58" x14ac:dyDescent="0.2"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</row>
    <row r="453" spans="2:58" x14ac:dyDescent="0.2"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</row>
    <row r="454" spans="2:58" x14ac:dyDescent="0.2"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</row>
    <row r="455" spans="2:58" x14ac:dyDescent="0.2"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</row>
    <row r="456" spans="2:58" x14ac:dyDescent="0.2"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</row>
    <row r="457" spans="2:58" x14ac:dyDescent="0.2"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</row>
    <row r="458" spans="2:58" x14ac:dyDescent="0.2"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</row>
    <row r="459" spans="2:58" x14ac:dyDescent="0.2"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</row>
    <row r="460" spans="2:58" x14ac:dyDescent="0.2"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</row>
    <row r="461" spans="2:58" x14ac:dyDescent="0.2"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</row>
    <row r="462" spans="2:58" x14ac:dyDescent="0.2"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</row>
    <row r="463" spans="2:58" x14ac:dyDescent="0.2"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</row>
    <row r="464" spans="2:58" x14ac:dyDescent="0.2"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</row>
    <row r="465" spans="2:58" x14ac:dyDescent="0.2"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</row>
    <row r="466" spans="2:58" x14ac:dyDescent="0.2"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</row>
    <row r="467" spans="2:58" x14ac:dyDescent="0.2"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</row>
    <row r="468" spans="2:58" x14ac:dyDescent="0.2"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</row>
    <row r="469" spans="2:58" x14ac:dyDescent="0.2"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</row>
    <row r="470" spans="2:58" x14ac:dyDescent="0.2"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</row>
    <row r="471" spans="2:58" x14ac:dyDescent="0.2"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</row>
    <row r="472" spans="2:58" x14ac:dyDescent="0.2"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</row>
    <row r="473" spans="2:58" x14ac:dyDescent="0.2"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</row>
    <row r="474" spans="2:58" x14ac:dyDescent="0.2"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</row>
    <row r="475" spans="2:58" x14ac:dyDescent="0.2"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</row>
    <row r="476" spans="2:58" x14ac:dyDescent="0.2"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</row>
    <row r="477" spans="2:58" x14ac:dyDescent="0.2"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</row>
    <row r="478" spans="2:58" x14ac:dyDescent="0.2"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</row>
    <row r="479" spans="2:58" x14ac:dyDescent="0.2"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</row>
    <row r="480" spans="2:58" x14ac:dyDescent="0.2"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</row>
    <row r="481" spans="2:58" x14ac:dyDescent="0.2"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</row>
    <row r="482" spans="2:58" x14ac:dyDescent="0.2"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</row>
    <row r="483" spans="2:58" x14ac:dyDescent="0.2"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</row>
    <row r="484" spans="2:58" x14ac:dyDescent="0.2"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</row>
    <row r="485" spans="2:58" x14ac:dyDescent="0.2"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</row>
    <row r="486" spans="2:58" x14ac:dyDescent="0.2"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</row>
    <row r="487" spans="2:58" x14ac:dyDescent="0.2"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</row>
    <row r="488" spans="2:58" x14ac:dyDescent="0.2"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</row>
    <row r="489" spans="2:58" x14ac:dyDescent="0.2"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</row>
    <row r="490" spans="2:58" x14ac:dyDescent="0.2"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</row>
    <row r="491" spans="2:58" x14ac:dyDescent="0.2"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</row>
    <row r="492" spans="2:58" x14ac:dyDescent="0.2"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</row>
    <row r="493" spans="2:58" x14ac:dyDescent="0.2"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</row>
    <row r="494" spans="2:58" x14ac:dyDescent="0.2"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</row>
    <row r="495" spans="2:58" x14ac:dyDescent="0.2"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</row>
    <row r="496" spans="2:58" x14ac:dyDescent="0.2"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</row>
    <row r="497" spans="2:58" x14ac:dyDescent="0.2"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</row>
    <row r="498" spans="2:58" x14ac:dyDescent="0.2"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</row>
    <row r="499" spans="2:58" x14ac:dyDescent="0.2"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</row>
    <row r="500" spans="2:58" x14ac:dyDescent="0.2"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</row>
    <row r="501" spans="2:58" x14ac:dyDescent="0.2"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</row>
    <row r="502" spans="2:58" x14ac:dyDescent="0.2"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</row>
    <row r="503" spans="2:58" x14ac:dyDescent="0.2"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</row>
    <row r="504" spans="2:58" x14ac:dyDescent="0.2"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</row>
    <row r="505" spans="2:58" x14ac:dyDescent="0.2"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</row>
    <row r="506" spans="2:58" x14ac:dyDescent="0.2"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</row>
    <row r="507" spans="2:58" x14ac:dyDescent="0.2"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</row>
    <row r="508" spans="2:58" x14ac:dyDescent="0.2"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</row>
    <row r="509" spans="2:58" x14ac:dyDescent="0.2"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</row>
    <row r="510" spans="2:58" x14ac:dyDescent="0.2"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</row>
    <row r="511" spans="2:58" x14ac:dyDescent="0.2"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</row>
    <row r="512" spans="2:58" x14ac:dyDescent="0.2"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</row>
    <row r="513" spans="2:58" x14ac:dyDescent="0.2"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</row>
    <row r="514" spans="2:58" x14ac:dyDescent="0.2"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</row>
    <row r="515" spans="2:58" x14ac:dyDescent="0.2"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</row>
    <row r="516" spans="2:58" x14ac:dyDescent="0.2"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</row>
    <row r="517" spans="2:58" x14ac:dyDescent="0.2"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</row>
    <row r="518" spans="2:58" x14ac:dyDescent="0.2"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</row>
    <row r="519" spans="2:58" x14ac:dyDescent="0.2"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</row>
    <row r="520" spans="2:58" x14ac:dyDescent="0.2"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</row>
    <row r="521" spans="2:58" x14ac:dyDescent="0.2"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</row>
    <row r="522" spans="2:58" x14ac:dyDescent="0.2"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</row>
    <row r="523" spans="2:58" x14ac:dyDescent="0.2"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</row>
    <row r="524" spans="2:58" x14ac:dyDescent="0.2"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</row>
    <row r="525" spans="2:58" x14ac:dyDescent="0.2"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</row>
    <row r="526" spans="2:58" x14ac:dyDescent="0.2"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</row>
    <row r="527" spans="2:58" x14ac:dyDescent="0.2"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</row>
    <row r="528" spans="2:58" x14ac:dyDescent="0.2"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</row>
    <row r="529" spans="2:58" x14ac:dyDescent="0.2"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</row>
    <row r="530" spans="2:58" x14ac:dyDescent="0.2"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</row>
    <row r="531" spans="2:58" x14ac:dyDescent="0.2"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</row>
    <row r="532" spans="2:58" x14ac:dyDescent="0.2"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</row>
    <row r="533" spans="2:58" x14ac:dyDescent="0.2"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</row>
    <row r="534" spans="2:58" x14ac:dyDescent="0.2"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</row>
    <row r="535" spans="2:58" x14ac:dyDescent="0.2"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</row>
    <row r="536" spans="2:58" x14ac:dyDescent="0.2"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</row>
    <row r="537" spans="2:58" x14ac:dyDescent="0.2"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</row>
    <row r="538" spans="2:58" x14ac:dyDescent="0.2"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</row>
    <row r="539" spans="2:58" x14ac:dyDescent="0.2"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</row>
    <row r="540" spans="2:58" x14ac:dyDescent="0.2"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</row>
    <row r="541" spans="2:58" x14ac:dyDescent="0.2"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</row>
    <row r="542" spans="2:58" x14ac:dyDescent="0.2"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</row>
    <row r="543" spans="2:58" x14ac:dyDescent="0.2"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</row>
    <row r="544" spans="2:58" x14ac:dyDescent="0.2"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</row>
    <row r="545" spans="2:58" x14ac:dyDescent="0.2"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</row>
    <row r="546" spans="2:58" x14ac:dyDescent="0.2"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</row>
    <row r="547" spans="2:58" x14ac:dyDescent="0.2"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</row>
    <row r="548" spans="2:58" x14ac:dyDescent="0.2"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</row>
    <row r="549" spans="2:58" x14ac:dyDescent="0.2"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</row>
    <row r="550" spans="2:58" x14ac:dyDescent="0.2"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</row>
    <row r="551" spans="2:58" x14ac:dyDescent="0.2"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</row>
    <row r="552" spans="2:58" x14ac:dyDescent="0.2"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</row>
    <row r="553" spans="2:58" x14ac:dyDescent="0.2"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</row>
    <row r="554" spans="2:58" x14ac:dyDescent="0.2"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</row>
    <row r="555" spans="2:58" x14ac:dyDescent="0.2"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</row>
    <row r="556" spans="2:58" x14ac:dyDescent="0.2"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</row>
    <row r="557" spans="2:58" x14ac:dyDescent="0.2"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</row>
    <row r="558" spans="2:58" x14ac:dyDescent="0.2"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</row>
    <row r="559" spans="2:58" x14ac:dyDescent="0.2"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</row>
    <row r="560" spans="2:58" x14ac:dyDescent="0.2"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</row>
    <row r="561" spans="2:58" x14ac:dyDescent="0.2"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</row>
    <row r="562" spans="2:58" x14ac:dyDescent="0.2"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</row>
    <row r="563" spans="2:58" x14ac:dyDescent="0.2"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</row>
    <row r="564" spans="2:58" x14ac:dyDescent="0.2"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</row>
    <row r="565" spans="2:58" x14ac:dyDescent="0.2"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</row>
    <row r="566" spans="2:58" x14ac:dyDescent="0.2"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</row>
    <row r="567" spans="2:58" x14ac:dyDescent="0.2"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</row>
    <row r="568" spans="2:58" x14ac:dyDescent="0.2"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</row>
    <row r="569" spans="2:58" x14ac:dyDescent="0.2"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</row>
    <row r="570" spans="2:58" x14ac:dyDescent="0.2"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</row>
    <row r="571" spans="2:58" x14ac:dyDescent="0.2"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</row>
    <row r="572" spans="2:58" x14ac:dyDescent="0.2"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</row>
    <row r="573" spans="2:58" x14ac:dyDescent="0.2"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</row>
    <row r="574" spans="2:58" x14ac:dyDescent="0.2"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</row>
    <row r="575" spans="2:58" x14ac:dyDescent="0.2"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</row>
    <row r="576" spans="2:58" x14ac:dyDescent="0.2"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</row>
    <row r="577" spans="2:58" x14ac:dyDescent="0.2"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</row>
    <row r="578" spans="2:58" x14ac:dyDescent="0.2"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</row>
    <row r="579" spans="2:58" x14ac:dyDescent="0.2"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</row>
    <row r="580" spans="2:58" x14ac:dyDescent="0.2"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</row>
    <row r="581" spans="2:58" x14ac:dyDescent="0.2"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</row>
    <row r="582" spans="2:58" x14ac:dyDescent="0.2"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</row>
    <row r="583" spans="2:58" x14ac:dyDescent="0.2"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</row>
    <row r="584" spans="2:58" x14ac:dyDescent="0.2"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</row>
    <row r="585" spans="2:58" x14ac:dyDescent="0.2"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</row>
    <row r="586" spans="2:58" x14ac:dyDescent="0.2"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</row>
    <row r="587" spans="2:58" x14ac:dyDescent="0.2"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</row>
    <row r="588" spans="2:58" x14ac:dyDescent="0.2"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</row>
    <row r="589" spans="2:58" x14ac:dyDescent="0.2"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</row>
    <row r="590" spans="2:58" x14ac:dyDescent="0.2"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</row>
    <row r="591" spans="2:58" x14ac:dyDescent="0.2"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</row>
    <row r="592" spans="2:58" x14ac:dyDescent="0.2"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</row>
    <row r="593" spans="2:58" x14ac:dyDescent="0.2"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</row>
    <row r="594" spans="2:58" x14ac:dyDescent="0.2"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</row>
    <row r="595" spans="2:58" x14ac:dyDescent="0.2"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</row>
    <row r="596" spans="2:58" x14ac:dyDescent="0.2"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</row>
    <row r="597" spans="2:58" x14ac:dyDescent="0.2"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</row>
    <row r="598" spans="2:58" x14ac:dyDescent="0.2"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</row>
    <row r="599" spans="2:58" x14ac:dyDescent="0.2"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</row>
    <row r="600" spans="2:58" x14ac:dyDescent="0.2"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</row>
    <row r="601" spans="2:58" x14ac:dyDescent="0.2"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</row>
    <row r="602" spans="2:58" x14ac:dyDescent="0.2"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</row>
    <row r="603" spans="2:58" x14ac:dyDescent="0.2"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</row>
    <row r="604" spans="2:58" x14ac:dyDescent="0.2"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</row>
    <row r="605" spans="2:58" x14ac:dyDescent="0.2"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</row>
    <row r="606" spans="2:58" x14ac:dyDescent="0.2"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</row>
    <row r="607" spans="2:58" x14ac:dyDescent="0.2"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</row>
    <row r="608" spans="2:58" x14ac:dyDescent="0.2"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</row>
    <row r="609" spans="2:58" x14ac:dyDescent="0.2"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</row>
    <row r="610" spans="2:58" x14ac:dyDescent="0.2"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</row>
    <row r="611" spans="2:58" x14ac:dyDescent="0.2"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</row>
    <row r="612" spans="2:58" x14ac:dyDescent="0.2"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</row>
    <row r="613" spans="2:58" x14ac:dyDescent="0.2"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</row>
    <row r="614" spans="2:58" x14ac:dyDescent="0.2"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</row>
    <row r="615" spans="2:58" x14ac:dyDescent="0.2"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</row>
    <row r="616" spans="2:58" x14ac:dyDescent="0.2"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</row>
    <row r="617" spans="2:58" x14ac:dyDescent="0.2"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</row>
    <row r="618" spans="2:58" x14ac:dyDescent="0.2"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</row>
    <row r="619" spans="2:58" x14ac:dyDescent="0.2"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</row>
    <row r="620" spans="2:58" x14ac:dyDescent="0.2"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</row>
    <row r="621" spans="2:58" x14ac:dyDescent="0.2"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</row>
    <row r="622" spans="2:58" x14ac:dyDescent="0.2"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</row>
    <row r="623" spans="2:58" x14ac:dyDescent="0.2"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</row>
    <row r="624" spans="2:58" x14ac:dyDescent="0.2"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</row>
    <row r="625" spans="2:58" x14ac:dyDescent="0.2"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</row>
    <row r="626" spans="2:58" x14ac:dyDescent="0.2"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</row>
    <row r="627" spans="2:58" x14ac:dyDescent="0.2"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</row>
    <row r="628" spans="2:58" x14ac:dyDescent="0.2"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</row>
    <row r="629" spans="2:58" x14ac:dyDescent="0.2"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</row>
    <row r="630" spans="2:58" x14ac:dyDescent="0.2"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</row>
    <row r="631" spans="2:58" x14ac:dyDescent="0.2"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</row>
    <row r="632" spans="2:58" x14ac:dyDescent="0.2"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</row>
    <row r="633" spans="2:58" x14ac:dyDescent="0.2"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</row>
    <row r="634" spans="2:58" x14ac:dyDescent="0.2"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</row>
    <row r="635" spans="2:58" x14ac:dyDescent="0.2"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</row>
    <row r="636" spans="2:58" x14ac:dyDescent="0.2"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</row>
    <row r="637" spans="2:58" x14ac:dyDescent="0.2"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</row>
    <row r="638" spans="2:58" x14ac:dyDescent="0.2"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</row>
    <row r="639" spans="2:58" x14ac:dyDescent="0.2"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</row>
    <row r="640" spans="2:58" x14ac:dyDescent="0.2"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</row>
    <row r="641" spans="2:58" x14ac:dyDescent="0.2"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</row>
    <row r="642" spans="2:58" x14ac:dyDescent="0.2"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</row>
    <row r="643" spans="2:58" x14ac:dyDescent="0.2"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</row>
    <row r="644" spans="2:58" x14ac:dyDescent="0.2"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</row>
    <row r="645" spans="2:58" x14ac:dyDescent="0.2"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</row>
    <row r="646" spans="2:58" x14ac:dyDescent="0.2"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</row>
    <row r="647" spans="2:58" x14ac:dyDescent="0.2"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</row>
    <row r="648" spans="2:58" x14ac:dyDescent="0.2"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</row>
    <row r="649" spans="2:58" x14ac:dyDescent="0.2"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</row>
    <row r="650" spans="2:58" x14ac:dyDescent="0.2"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</row>
    <row r="651" spans="2:58" x14ac:dyDescent="0.2"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</row>
    <row r="652" spans="2:58" x14ac:dyDescent="0.2"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</row>
    <row r="653" spans="2:58" x14ac:dyDescent="0.2"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</row>
    <row r="654" spans="2:58" x14ac:dyDescent="0.2"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</row>
    <row r="655" spans="2:58" x14ac:dyDescent="0.2"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</row>
    <row r="656" spans="2:58" x14ac:dyDescent="0.2"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</row>
    <row r="657" spans="2:58" x14ac:dyDescent="0.2"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</row>
    <row r="658" spans="2:58" x14ac:dyDescent="0.2"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</row>
    <row r="659" spans="2:58" x14ac:dyDescent="0.2"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</row>
    <row r="660" spans="2:58" x14ac:dyDescent="0.2"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</row>
    <row r="661" spans="2:58" x14ac:dyDescent="0.2"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</row>
    <row r="662" spans="2:58" x14ac:dyDescent="0.2"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</row>
    <row r="663" spans="2:58" x14ac:dyDescent="0.2"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</row>
    <row r="664" spans="2:58" x14ac:dyDescent="0.2"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</row>
    <row r="665" spans="2:58" x14ac:dyDescent="0.2"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</row>
    <row r="666" spans="2:58" x14ac:dyDescent="0.2"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</row>
    <row r="667" spans="2:58" x14ac:dyDescent="0.2"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</row>
    <row r="668" spans="2:58" x14ac:dyDescent="0.2"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</row>
    <row r="669" spans="2:58" x14ac:dyDescent="0.2"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</row>
    <row r="670" spans="2:58" x14ac:dyDescent="0.2"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</row>
    <row r="671" spans="2:58" x14ac:dyDescent="0.2"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</row>
    <row r="672" spans="2:58" x14ac:dyDescent="0.2"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</row>
    <row r="673" spans="2:58" x14ac:dyDescent="0.2"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</row>
    <row r="674" spans="2:58" x14ac:dyDescent="0.2"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</row>
    <row r="675" spans="2:58" x14ac:dyDescent="0.2"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</row>
    <row r="676" spans="2:58" x14ac:dyDescent="0.2"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</row>
    <row r="677" spans="2:58" x14ac:dyDescent="0.2"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</row>
    <row r="678" spans="2:58" x14ac:dyDescent="0.2"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</row>
    <row r="679" spans="2:58" x14ac:dyDescent="0.2"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</row>
    <row r="680" spans="2:58" x14ac:dyDescent="0.2"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</row>
    <row r="681" spans="2:58" x14ac:dyDescent="0.2"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</row>
    <row r="682" spans="2:58" x14ac:dyDescent="0.2"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</row>
    <row r="683" spans="2:58" x14ac:dyDescent="0.2"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</row>
    <row r="684" spans="2:58" x14ac:dyDescent="0.2"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</row>
    <row r="685" spans="2:58" x14ac:dyDescent="0.2"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</row>
    <row r="686" spans="2:58" x14ac:dyDescent="0.2"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</row>
    <row r="687" spans="2:58" x14ac:dyDescent="0.2"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</row>
    <row r="688" spans="2:58" x14ac:dyDescent="0.2"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</row>
    <row r="689" spans="2:58" x14ac:dyDescent="0.2"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</row>
    <row r="690" spans="2:58" x14ac:dyDescent="0.2"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</row>
    <row r="691" spans="2:58" x14ac:dyDescent="0.2"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</row>
    <row r="692" spans="2:58" x14ac:dyDescent="0.2"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</row>
    <row r="693" spans="2:58" x14ac:dyDescent="0.2"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</row>
    <row r="694" spans="2:58" x14ac:dyDescent="0.2"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</row>
    <row r="695" spans="2:58" x14ac:dyDescent="0.2"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</row>
    <row r="696" spans="2:58" x14ac:dyDescent="0.2"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</row>
    <row r="697" spans="2:58" x14ac:dyDescent="0.2"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</row>
    <row r="698" spans="2:58" x14ac:dyDescent="0.2"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</row>
    <row r="699" spans="2:58" x14ac:dyDescent="0.2"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</row>
    <row r="700" spans="2:58" x14ac:dyDescent="0.2"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</row>
    <row r="701" spans="2:58" x14ac:dyDescent="0.2"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</row>
    <row r="702" spans="2:58" x14ac:dyDescent="0.2"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</row>
    <row r="703" spans="2:58" x14ac:dyDescent="0.2"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</row>
    <row r="704" spans="2:58" x14ac:dyDescent="0.2"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</row>
    <row r="705" spans="2:58" x14ac:dyDescent="0.2"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</row>
    <row r="706" spans="2:58" x14ac:dyDescent="0.2"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</row>
    <row r="707" spans="2:58" x14ac:dyDescent="0.2"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</row>
    <row r="708" spans="2:58" x14ac:dyDescent="0.2"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</row>
    <row r="709" spans="2:58" x14ac:dyDescent="0.2"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</row>
    <row r="710" spans="2:58" x14ac:dyDescent="0.2"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</row>
    <row r="711" spans="2:58" x14ac:dyDescent="0.2"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</row>
    <row r="712" spans="2:58" x14ac:dyDescent="0.2"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</row>
    <row r="713" spans="2:58" x14ac:dyDescent="0.2"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</row>
    <row r="714" spans="2:58" x14ac:dyDescent="0.2"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</row>
    <row r="715" spans="2:58" x14ac:dyDescent="0.2"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</row>
    <row r="716" spans="2:58" x14ac:dyDescent="0.2"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</row>
    <row r="717" spans="2:58" x14ac:dyDescent="0.2"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</row>
    <row r="718" spans="2:58" x14ac:dyDescent="0.2"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</row>
    <row r="719" spans="2:58" x14ac:dyDescent="0.2"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</row>
    <row r="720" spans="2:58" x14ac:dyDescent="0.2"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</row>
    <row r="721" spans="2:58" x14ac:dyDescent="0.2"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</row>
    <row r="722" spans="2:58" x14ac:dyDescent="0.2"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</row>
    <row r="723" spans="2:58" x14ac:dyDescent="0.2"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</row>
    <row r="724" spans="2:58" x14ac:dyDescent="0.2"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</row>
    <row r="725" spans="2:58" x14ac:dyDescent="0.2"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</row>
    <row r="726" spans="2:58" x14ac:dyDescent="0.2"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</row>
    <row r="727" spans="2:58" x14ac:dyDescent="0.2"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</row>
    <row r="728" spans="2:58" x14ac:dyDescent="0.2"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</row>
    <row r="729" spans="2:58" x14ac:dyDescent="0.2"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</row>
    <row r="730" spans="2:58" x14ac:dyDescent="0.2"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</row>
    <row r="731" spans="2:58" x14ac:dyDescent="0.2"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</row>
    <row r="732" spans="2:58" x14ac:dyDescent="0.2"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</row>
    <row r="733" spans="2:58" x14ac:dyDescent="0.2"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</row>
    <row r="734" spans="2:58" x14ac:dyDescent="0.2"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</row>
    <row r="735" spans="2:58" x14ac:dyDescent="0.2"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</row>
    <row r="736" spans="2:58" x14ac:dyDescent="0.2"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</row>
    <row r="737" spans="2:58" x14ac:dyDescent="0.2"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</row>
    <row r="738" spans="2:58" x14ac:dyDescent="0.2"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</row>
    <row r="739" spans="2:58" x14ac:dyDescent="0.2"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</row>
    <row r="740" spans="2:58" x14ac:dyDescent="0.2"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</row>
    <row r="741" spans="2:58" x14ac:dyDescent="0.2"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</row>
    <row r="742" spans="2:58" x14ac:dyDescent="0.2"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</row>
    <row r="743" spans="2:58" x14ac:dyDescent="0.2"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</row>
    <row r="744" spans="2:58" x14ac:dyDescent="0.2"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</row>
    <row r="745" spans="2:58" x14ac:dyDescent="0.2"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</row>
    <row r="746" spans="2:58" x14ac:dyDescent="0.2"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</row>
    <row r="747" spans="2:58" x14ac:dyDescent="0.2"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</row>
    <row r="748" spans="2:58" x14ac:dyDescent="0.2"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</row>
    <row r="749" spans="2:58" x14ac:dyDescent="0.2"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</row>
    <row r="750" spans="2:58" x14ac:dyDescent="0.2"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</row>
    <row r="751" spans="2:58" x14ac:dyDescent="0.2"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</row>
    <row r="752" spans="2:58" x14ac:dyDescent="0.2"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</row>
    <row r="753" spans="2:58" x14ac:dyDescent="0.2"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</row>
    <row r="754" spans="2:58" x14ac:dyDescent="0.2"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</row>
    <row r="755" spans="2:58" x14ac:dyDescent="0.2"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</row>
    <row r="756" spans="2:58" x14ac:dyDescent="0.2"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</row>
    <row r="757" spans="2:58" x14ac:dyDescent="0.2"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</row>
    <row r="758" spans="2:58" x14ac:dyDescent="0.2"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</row>
    <row r="759" spans="2:58" x14ac:dyDescent="0.2"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</row>
    <row r="760" spans="2:58" x14ac:dyDescent="0.2"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</row>
    <row r="761" spans="2:58" x14ac:dyDescent="0.2"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</row>
    <row r="762" spans="2:58" x14ac:dyDescent="0.2"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</row>
    <row r="763" spans="2:58" x14ac:dyDescent="0.2"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</row>
    <row r="764" spans="2:58" x14ac:dyDescent="0.2"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</row>
    <row r="765" spans="2:58" x14ac:dyDescent="0.2"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</row>
    <row r="766" spans="2:58" x14ac:dyDescent="0.2"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</row>
    <row r="767" spans="2:58" x14ac:dyDescent="0.2"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</row>
    <row r="768" spans="2:58" x14ac:dyDescent="0.2"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</row>
    <row r="769" spans="2:58" x14ac:dyDescent="0.2"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</row>
    <row r="770" spans="2:58" x14ac:dyDescent="0.2"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</row>
    <row r="771" spans="2:58" x14ac:dyDescent="0.2"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</row>
    <row r="772" spans="2:58" x14ac:dyDescent="0.2"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</row>
    <row r="773" spans="2:58" x14ac:dyDescent="0.2"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</row>
    <row r="774" spans="2:58" x14ac:dyDescent="0.2"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</row>
    <row r="775" spans="2:58" x14ac:dyDescent="0.2"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</row>
    <row r="776" spans="2:58" x14ac:dyDescent="0.2"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</row>
    <row r="777" spans="2:58" x14ac:dyDescent="0.2"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</row>
    <row r="778" spans="2:58" x14ac:dyDescent="0.2"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</row>
    <row r="779" spans="2:58" x14ac:dyDescent="0.2"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</row>
    <row r="780" spans="2:58" x14ac:dyDescent="0.2"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</row>
    <row r="781" spans="2:58" x14ac:dyDescent="0.2"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</row>
    <row r="782" spans="2:58" x14ac:dyDescent="0.2"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</row>
    <row r="783" spans="2:58" x14ac:dyDescent="0.2"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</row>
    <row r="784" spans="2:58" x14ac:dyDescent="0.2"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</row>
    <row r="785" spans="2:58" x14ac:dyDescent="0.2"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</row>
    <row r="786" spans="2:58" x14ac:dyDescent="0.2"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</row>
    <row r="787" spans="2:58" x14ac:dyDescent="0.2"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</row>
    <row r="788" spans="2:58" x14ac:dyDescent="0.2"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</row>
    <row r="789" spans="2:58" x14ac:dyDescent="0.2"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</row>
    <row r="790" spans="2:58" x14ac:dyDescent="0.2"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</row>
    <row r="791" spans="2:58" x14ac:dyDescent="0.2"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</row>
    <row r="792" spans="2:58" x14ac:dyDescent="0.2"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</row>
    <row r="793" spans="2:58" x14ac:dyDescent="0.2"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</row>
    <row r="794" spans="2:58" x14ac:dyDescent="0.2"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</row>
    <row r="795" spans="2:58" x14ac:dyDescent="0.2"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</row>
    <row r="796" spans="2:58" x14ac:dyDescent="0.2"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</row>
    <row r="797" spans="2:58" x14ac:dyDescent="0.2"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</row>
    <row r="798" spans="2:58" x14ac:dyDescent="0.2"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</row>
    <row r="799" spans="2:58" x14ac:dyDescent="0.2"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</row>
    <row r="800" spans="2:58" x14ac:dyDescent="0.2"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</row>
    <row r="801" spans="2:58" x14ac:dyDescent="0.2"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</row>
    <row r="802" spans="2:58" x14ac:dyDescent="0.2"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</row>
    <row r="803" spans="2:58" x14ac:dyDescent="0.2"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</row>
    <row r="804" spans="2:58" x14ac:dyDescent="0.2"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</row>
    <row r="805" spans="2:58" x14ac:dyDescent="0.2"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</row>
    <row r="806" spans="2:58" x14ac:dyDescent="0.2"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</row>
    <row r="807" spans="2:58" x14ac:dyDescent="0.2"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</row>
    <row r="808" spans="2:58" x14ac:dyDescent="0.2"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</row>
    <row r="809" spans="2:58" x14ac:dyDescent="0.2"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</row>
    <row r="810" spans="2:58" x14ac:dyDescent="0.2"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</row>
    <row r="811" spans="2:58" x14ac:dyDescent="0.2"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</row>
    <row r="812" spans="2:58" x14ac:dyDescent="0.2"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</row>
    <row r="813" spans="2:58" x14ac:dyDescent="0.2"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</row>
    <row r="814" spans="2:58" x14ac:dyDescent="0.2"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</row>
    <row r="815" spans="2:58" x14ac:dyDescent="0.2"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</row>
    <row r="816" spans="2:58" x14ac:dyDescent="0.2"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</row>
    <row r="817" spans="2:58" x14ac:dyDescent="0.2"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</row>
    <row r="818" spans="2:58" x14ac:dyDescent="0.2"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</row>
    <row r="819" spans="2:58" x14ac:dyDescent="0.2"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</row>
    <row r="820" spans="2:58" x14ac:dyDescent="0.2"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</row>
    <row r="821" spans="2:58" x14ac:dyDescent="0.2"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</row>
    <row r="822" spans="2:58" x14ac:dyDescent="0.2"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</row>
    <row r="823" spans="2:58" x14ac:dyDescent="0.2"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</row>
    <row r="824" spans="2:58" x14ac:dyDescent="0.2"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</row>
    <row r="825" spans="2:58" x14ac:dyDescent="0.2"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</row>
    <row r="826" spans="2:58" x14ac:dyDescent="0.2"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</row>
    <row r="827" spans="2:58" x14ac:dyDescent="0.2"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</row>
    <row r="828" spans="2:58" x14ac:dyDescent="0.2"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</row>
    <row r="829" spans="2:58" x14ac:dyDescent="0.2"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</row>
    <row r="830" spans="2:58" x14ac:dyDescent="0.2"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</row>
    <row r="831" spans="2:58" x14ac:dyDescent="0.2"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</row>
    <row r="832" spans="2:58" x14ac:dyDescent="0.2"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</row>
    <row r="833" spans="2:58" x14ac:dyDescent="0.2"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</row>
    <row r="834" spans="2:58" x14ac:dyDescent="0.2"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</row>
    <row r="835" spans="2:58" x14ac:dyDescent="0.2"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</row>
    <row r="836" spans="2:58" x14ac:dyDescent="0.2"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</row>
    <row r="837" spans="2:58" x14ac:dyDescent="0.2"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</row>
    <row r="838" spans="2:58" x14ac:dyDescent="0.2"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</row>
    <row r="839" spans="2:58" x14ac:dyDescent="0.2"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</row>
    <row r="840" spans="2:58" x14ac:dyDescent="0.2"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</row>
    <row r="841" spans="2:58" x14ac:dyDescent="0.2"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</row>
    <row r="842" spans="2:58" x14ac:dyDescent="0.2"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</row>
    <row r="843" spans="2:58" x14ac:dyDescent="0.2"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</row>
    <row r="844" spans="2:58" x14ac:dyDescent="0.2"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</row>
    <row r="845" spans="2:58" x14ac:dyDescent="0.2"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</row>
    <row r="846" spans="2:58" x14ac:dyDescent="0.2"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</row>
    <row r="847" spans="2:58" x14ac:dyDescent="0.2"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</row>
    <row r="848" spans="2:58" x14ac:dyDescent="0.2"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</row>
    <row r="849" spans="2:58" x14ac:dyDescent="0.2"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</row>
    <row r="850" spans="2:58" x14ac:dyDescent="0.2"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</row>
    <row r="851" spans="2:58" x14ac:dyDescent="0.2"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</row>
    <row r="852" spans="2:58" x14ac:dyDescent="0.2"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</row>
    <row r="853" spans="2:58" x14ac:dyDescent="0.2"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</row>
    <row r="854" spans="2:58" x14ac:dyDescent="0.2"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</row>
    <row r="855" spans="2:58" x14ac:dyDescent="0.2"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</row>
    <row r="856" spans="2:58" x14ac:dyDescent="0.2"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</row>
    <row r="857" spans="2:58" x14ac:dyDescent="0.2"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</row>
    <row r="858" spans="2:58" x14ac:dyDescent="0.2"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</row>
    <row r="859" spans="2:58" x14ac:dyDescent="0.2"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</row>
    <row r="860" spans="2:58" x14ac:dyDescent="0.2"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</row>
    <row r="861" spans="2:58" x14ac:dyDescent="0.2"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</row>
    <row r="862" spans="2:58" x14ac:dyDescent="0.2"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</row>
    <row r="863" spans="2:58" x14ac:dyDescent="0.2"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</row>
    <row r="864" spans="2:58" x14ac:dyDescent="0.2"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</row>
    <row r="865" spans="2:58" x14ac:dyDescent="0.2"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</row>
    <row r="866" spans="2:58" x14ac:dyDescent="0.2"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</row>
    <row r="867" spans="2:58" x14ac:dyDescent="0.2"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</row>
    <row r="868" spans="2:58" x14ac:dyDescent="0.2"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</row>
    <row r="869" spans="2:58" x14ac:dyDescent="0.2"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</row>
    <row r="870" spans="2:58" x14ac:dyDescent="0.2"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</row>
    <row r="871" spans="2:58" x14ac:dyDescent="0.2"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</row>
    <row r="872" spans="2:58" x14ac:dyDescent="0.2"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</row>
    <row r="873" spans="2:58" x14ac:dyDescent="0.2"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</row>
    <row r="874" spans="2:58" x14ac:dyDescent="0.2"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</row>
    <row r="875" spans="2:58" x14ac:dyDescent="0.2"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</row>
    <row r="876" spans="2:58" x14ac:dyDescent="0.2"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</row>
    <row r="877" spans="2:58" x14ac:dyDescent="0.2"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</row>
    <row r="878" spans="2:58" x14ac:dyDescent="0.2"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</row>
    <row r="879" spans="2:58" x14ac:dyDescent="0.2"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</row>
    <row r="880" spans="2:58" x14ac:dyDescent="0.2"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</row>
    <row r="881" spans="2:58" x14ac:dyDescent="0.2"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</row>
    <row r="882" spans="2:58" x14ac:dyDescent="0.2"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</row>
    <row r="883" spans="2:58" x14ac:dyDescent="0.2"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</row>
    <row r="884" spans="2:58" x14ac:dyDescent="0.2"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</row>
    <row r="885" spans="2:58" x14ac:dyDescent="0.2"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</row>
    <row r="886" spans="2:58" x14ac:dyDescent="0.2"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</row>
    <row r="887" spans="2:58" x14ac:dyDescent="0.2"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</row>
    <row r="888" spans="2:58" x14ac:dyDescent="0.2"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</row>
    <row r="889" spans="2:58" x14ac:dyDescent="0.2"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</row>
    <row r="890" spans="2:58" x14ac:dyDescent="0.2"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</row>
    <row r="891" spans="2:58" x14ac:dyDescent="0.2"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</row>
    <row r="892" spans="2:58" x14ac:dyDescent="0.2"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</row>
    <row r="893" spans="2:58" x14ac:dyDescent="0.2"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</row>
    <row r="894" spans="2:58" x14ac:dyDescent="0.2"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</row>
    <row r="895" spans="2:58" x14ac:dyDescent="0.2"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</row>
    <row r="896" spans="2:58" x14ac:dyDescent="0.2"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</row>
    <row r="897" spans="2:58" x14ac:dyDescent="0.2"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</row>
    <row r="898" spans="2:58" x14ac:dyDescent="0.2"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</row>
    <row r="899" spans="2:58" x14ac:dyDescent="0.2"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</row>
    <row r="900" spans="2:58" x14ac:dyDescent="0.2"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</row>
    <row r="901" spans="2:58" x14ac:dyDescent="0.2"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</row>
    <row r="902" spans="2:58" x14ac:dyDescent="0.2"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</row>
    <row r="903" spans="2:58" x14ac:dyDescent="0.2"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</row>
    <row r="904" spans="2:58" x14ac:dyDescent="0.2"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</row>
    <row r="905" spans="2:58" x14ac:dyDescent="0.2"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</row>
    <row r="906" spans="2:58" x14ac:dyDescent="0.2"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</row>
    <row r="907" spans="2:58" x14ac:dyDescent="0.2"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</row>
    <row r="908" spans="2:58" x14ac:dyDescent="0.2"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</row>
    <row r="909" spans="2:58" x14ac:dyDescent="0.2"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</row>
    <row r="910" spans="2:58" x14ac:dyDescent="0.2"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</row>
    <row r="911" spans="2:58" x14ac:dyDescent="0.2"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</row>
    <row r="912" spans="2:58" x14ac:dyDescent="0.2"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</row>
    <row r="913" spans="2:58" x14ac:dyDescent="0.2"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</row>
    <row r="914" spans="2:58" x14ac:dyDescent="0.2"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</row>
    <row r="915" spans="2:58" x14ac:dyDescent="0.2"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</row>
    <row r="916" spans="2:58" x14ac:dyDescent="0.2"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</row>
    <row r="917" spans="2:58" x14ac:dyDescent="0.2"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</row>
    <row r="918" spans="2:58" x14ac:dyDescent="0.2"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</row>
    <row r="919" spans="2:58" x14ac:dyDescent="0.2"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</row>
    <row r="920" spans="2:58" x14ac:dyDescent="0.2"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</row>
    <row r="921" spans="2:58" x14ac:dyDescent="0.2"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</row>
    <row r="922" spans="2:58" x14ac:dyDescent="0.2"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</row>
    <row r="923" spans="2:58" x14ac:dyDescent="0.2"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</row>
    <row r="924" spans="2:58" x14ac:dyDescent="0.2"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</row>
    <row r="925" spans="2:58" x14ac:dyDescent="0.2"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</row>
    <row r="926" spans="2:58" x14ac:dyDescent="0.2"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</row>
    <row r="927" spans="2:58" x14ac:dyDescent="0.2"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</row>
    <row r="928" spans="2:58" x14ac:dyDescent="0.2"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</row>
    <row r="929" spans="2:58" x14ac:dyDescent="0.2"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</row>
    <row r="930" spans="2:58" x14ac:dyDescent="0.2"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</row>
    <row r="931" spans="2:58" x14ac:dyDescent="0.2"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</row>
    <row r="932" spans="2:58" x14ac:dyDescent="0.2"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</row>
    <row r="933" spans="2:58" x14ac:dyDescent="0.2"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</row>
    <row r="934" spans="2:58" x14ac:dyDescent="0.2"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</row>
    <row r="935" spans="2:58" x14ac:dyDescent="0.2"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</row>
    <row r="936" spans="2:58" x14ac:dyDescent="0.2"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</row>
    <row r="937" spans="2:58" x14ac:dyDescent="0.2"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</row>
    <row r="938" spans="2:58" x14ac:dyDescent="0.2"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</row>
    <row r="939" spans="2:58" x14ac:dyDescent="0.2"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</row>
    <row r="940" spans="2:58" x14ac:dyDescent="0.2"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</row>
    <row r="941" spans="2:58" x14ac:dyDescent="0.2"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</row>
    <row r="942" spans="2:58" x14ac:dyDescent="0.2"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</row>
    <row r="943" spans="2:58" x14ac:dyDescent="0.2"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</row>
    <row r="944" spans="2:58" x14ac:dyDescent="0.2"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</row>
    <row r="945" spans="2:58" x14ac:dyDescent="0.2"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</row>
    <row r="946" spans="2:58" x14ac:dyDescent="0.2"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</row>
    <row r="947" spans="2:58" x14ac:dyDescent="0.2"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</row>
    <row r="948" spans="2:58" x14ac:dyDescent="0.2"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</row>
    <row r="949" spans="2:58" x14ac:dyDescent="0.2"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</row>
    <row r="950" spans="2:58" x14ac:dyDescent="0.2"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</row>
    <row r="951" spans="2:58" x14ac:dyDescent="0.2"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</row>
    <row r="952" spans="2:58" x14ac:dyDescent="0.2"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</row>
    <row r="953" spans="2:58" x14ac:dyDescent="0.2"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</row>
    <row r="954" spans="2:58" x14ac:dyDescent="0.2"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</row>
    <row r="955" spans="2:58" x14ac:dyDescent="0.2"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</row>
    <row r="956" spans="2:58" x14ac:dyDescent="0.2"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</row>
    <row r="957" spans="2:58" x14ac:dyDescent="0.2"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</row>
    <row r="958" spans="2:58" x14ac:dyDescent="0.2"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</row>
    <row r="959" spans="2:58" x14ac:dyDescent="0.2"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</row>
    <row r="960" spans="2:58" x14ac:dyDescent="0.2"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</row>
    <row r="961" spans="2:58" x14ac:dyDescent="0.2"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</row>
    <row r="962" spans="2:58" x14ac:dyDescent="0.2"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</row>
    <row r="963" spans="2:58" x14ac:dyDescent="0.2"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</row>
    <row r="964" spans="2:58" x14ac:dyDescent="0.2"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</row>
    <row r="965" spans="2:58" x14ac:dyDescent="0.2"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</row>
    <row r="966" spans="2:58" x14ac:dyDescent="0.2"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</row>
    <row r="967" spans="2:58" x14ac:dyDescent="0.2"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</row>
    <row r="968" spans="2:58" x14ac:dyDescent="0.2"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</row>
    <row r="969" spans="2:58" x14ac:dyDescent="0.2"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</row>
    <row r="970" spans="2:58" x14ac:dyDescent="0.2"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</row>
    <row r="971" spans="2:58" x14ac:dyDescent="0.2"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</row>
    <row r="972" spans="2:58" x14ac:dyDescent="0.2"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</row>
    <row r="973" spans="2:58" x14ac:dyDescent="0.2"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</row>
    <row r="974" spans="2:58" x14ac:dyDescent="0.2"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</row>
    <row r="975" spans="2:58" x14ac:dyDescent="0.2"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</row>
    <row r="976" spans="2:58" x14ac:dyDescent="0.2"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</row>
    <row r="977" spans="2:58" x14ac:dyDescent="0.2"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</row>
    <row r="978" spans="2:58" x14ac:dyDescent="0.2"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</row>
    <row r="979" spans="2:58" x14ac:dyDescent="0.2"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</row>
    <row r="980" spans="2:58" x14ac:dyDescent="0.2"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</row>
    <row r="981" spans="2:58" x14ac:dyDescent="0.2"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</row>
    <row r="982" spans="2:58" x14ac:dyDescent="0.2"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</row>
    <row r="983" spans="2:58" x14ac:dyDescent="0.2"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</row>
    <row r="984" spans="2:58" x14ac:dyDescent="0.2"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</row>
    <row r="985" spans="2:58" x14ac:dyDescent="0.2"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</row>
    <row r="986" spans="2:58" x14ac:dyDescent="0.2"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</row>
    <row r="987" spans="2:58" x14ac:dyDescent="0.2"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</row>
    <row r="988" spans="2:58" x14ac:dyDescent="0.2"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</row>
    <row r="989" spans="2:58" x14ac:dyDescent="0.2"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</row>
    <row r="990" spans="2:58" x14ac:dyDescent="0.2"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</row>
    <row r="991" spans="2:58" x14ac:dyDescent="0.2"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</row>
    <row r="992" spans="2:58" x14ac:dyDescent="0.2"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</row>
    <row r="993" spans="2:58" x14ac:dyDescent="0.2"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</row>
    <row r="994" spans="2:58" x14ac:dyDescent="0.2"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</row>
    <row r="995" spans="2:58" x14ac:dyDescent="0.2"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</row>
    <row r="996" spans="2:58" x14ac:dyDescent="0.2"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</row>
    <row r="997" spans="2:58" x14ac:dyDescent="0.2"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</row>
    <row r="998" spans="2:58" x14ac:dyDescent="0.2"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</row>
    <row r="999" spans="2:58" x14ac:dyDescent="0.2"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</row>
    <row r="1000" spans="2:58" x14ac:dyDescent="0.2"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</row>
    <row r="1001" spans="2:58" x14ac:dyDescent="0.2"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</row>
    <row r="1002" spans="2:58" x14ac:dyDescent="0.2"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</row>
    <row r="1003" spans="2:58" x14ac:dyDescent="0.2"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</row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R1007"/>
  <sheetViews>
    <sheetView workbookViewId="0">
      <pane xSplit="1" topLeftCell="B1" activePane="topRight" state="frozen"/>
      <selection activeCell="A13" sqref="A13:E16"/>
      <selection pane="topRight" activeCell="A32" sqref="A32"/>
    </sheetView>
  </sheetViews>
  <sheetFormatPr baseColWidth="10" defaultColWidth="11.1640625" defaultRowHeight="15" customHeight="1" x14ac:dyDescent="0.2"/>
  <cols>
    <col min="1" max="1" width="20.1640625" customWidth="1"/>
    <col min="2" max="46" width="10.83203125" customWidth="1"/>
    <col min="47" max="47" width="13.6640625" customWidth="1"/>
    <col min="48" max="57" width="10.83203125" customWidth="1"/>
    <col min="58" max="58" width="13.83203125" customWidth="1"/>
    <col min="59" max="68" width="11" customWidth="1"/>
    <col min="69" max="69" width="16.5" customWidth="1"/>
    <col min="70" max="70" width="11" customWidth="1"/>
  </cols>
  <sheetData>
    <row r="1" spans="1:70" ht="16" x14ac:dyDescent="0.2">
      <c r="A1" s="1" t="s">
        <v>108</v>
      </c>
      <c r="B1" s="250">
        <f>+'Plan Summary'!C5</f>
        <v>300</v>
      </c>
      <c r="C1" s="9" t="s">
        <v>109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R1" s="246"/>
    </row>
    <row r="2" spans="1:70" ht="56" customHeight="1" x14ac:dyDescent="0.2">
      <c r="A2" s="29"/>
      <c r="B2" s="114" t="str">
        <f>+'Scheduled Intervals'!B2</f>
        <v>Perform Oil and Filter Change</v>
      </c>
      <c r="C2" s="115" t="str">
        <f>+'Scheduled Intervals'!C2</f>
        <v xml:space="preserve">Clean Water seperator </v>
      </c>
      <c r="D2" s="115" t="str">
        <f>+'Scheduled Intervals'!D2</f>
        <v xml:space="preserve">Drain Water from Fuel Tank </v>
      </c>
      <c r="E2" s="115" t="str">
        <f>+'Scheduled Intervals'!E2</f>
        <v>Perform Transmission Filter and Fluid Service</v>
      </c>
      <c r="F2" s="115" t="str">
        <f>+'Scheduled Intervals'!F2</f>
        <v xml:space="preserve">Change HST Oil Filter </v>
      </c>
      <c r="G2" s="115" t="str">
        <f>+'Scheduled Intervals'!G2</f>
        <v>Change Hydraulic Fluid</v>
      </c>
      <c r="H2" s="115" t="str">
        <f>+'Scheduled Intervals'!H2</f>
        <v>Grease Machine at required lubrication fittings</v>
      </c>
      <c r="I2" s="115" t="str">
        <f>+'Scheduled Intervals'!I2</f>
        <v>Conduct Multi Point Inpection and make minor adjustments</v>
      </c>
      <c r="J2" s="115" t="str">
        <f>+'Scheduled Intervals'!J2</f>
        <v>Perform Track Tension Adjustment</v>
      </c>
      <c r="K2" s="115" t="str">
        <f>+'Scheduled Intervals'!K2</f>
        <v xml:space="preserve">Change fuel filter element </v>
      </c>
      <c r="L2" s="115" t="str">
        <f>+'Scheduled Intervals'!L2</f>
        <v>Change final drive fluid</v>
      </c>
      <c r="M2" s="115" t="str">
        <f>+'Scheduled Intervals'!M2</f>
        <v>Change hydraulic return filter</v>
      </c>
      <c r="N2" s="116" t="str">
        <f>+'Scheduled Intervals'!N2</f>
        <v>Change final drive fluid</v>
      </c>
      <c r="O2" s="116" t="str">
        <f>+'Scheduled Intervals'!O2</f>
        <v>Change final drive fluid</v>
      </c>
      <c r="P2" s="117" t="str">
        <f>+'Scheduled Intervals'!P2</f>
        <v>Change Hydraulic suction return filter</v>
      </c>
      <c r="Q2" s="118" t="str">
        <f>+'Scheduled Intervals'!Q2</f>
        <v xml:space="preserve"> Change Hydraulic Oil Filter and Oil</v>
      </c>
      <c r="R2" s="119" t="str">
        <f>+'Scheduled Intervals'!R2</f>
        <v xml:space="preserve">Final Drive or Hydrostatic Oil Change </v>
      </c>
      <c r="S2" s="119" t="str">
        <f>+'Scheduled Intervals'!S2</f>
        <v>Change Transmission Fluid and filters</v>
      </c>
      <c r="T2" s="120" t="str">
        <f>+'Scheduled Intervals'!T2</f>
        <v>Change Hydraulic fluid</v>
      </c>
      <c r="U2" s="121" t="str">
        <f>+'Scheduled Intervals'!U2</f>
        <v>Perform Oil and Filter Change</v>
      </c>
      <c r="V2" s="122" t="str">
        <f>+'Scheduled Intervals'!V2</f>
        <v>Change Oil Seperator Element</v>
      </c>
      <c r="W2" s="122" t="str">
        <f>+'Scheduled Intervals'!W2</f>
        <v>Clean Water seperator</v>
      </c>
      <c r="X2" s="122" t="str">
        <f>+'Scheduled Intervals'!X2</f>
        <v>Replace Water Seperator Element</v>
      </c>
      <c r="Y2" s="122" t="str">
        <f>+'Scheduled Intervals'!Y2</f>
        <v>Drain Water from Fuel Tank</v>
      </c>
      <c r="Z2" s="122" t="str">
        <f>+'Scheduled Intervals'!Z2</f>
        <v>Change fuel Filter Element</v>
      </c>
      <c r="AA2" s="122" t="str">
        <f>+'Scheduled Intervals'!AA2</f>
        <v>Change Fuel Pump Filter and/or PCV Element</v>
      </c>
      <c r="AB2" s="122" t="str">
        <f>+'Scheduled Intervals'!AB2</f>
        <v xml:space="preserve">Perform Transmission Fluid and Tank Service </v>
      </c>
      <c r="AC2" s="122" t="str">
        <f>+'Scheduled Intervals'!AC2</f>
        <v>Replace Transmission Oil Filters</v>
      </c>
      <c r="AD2" s="122">
        <f>+'Scheduled Intervals'!AD2</f>
        <v>0</v>
      </c>
      <c r="AE2" s="122" t="str">
        <f>+'Scheduled Intervals'!AE2</f>
        <v>Change Hydraulic Oil Filter</v>
      </c>
      <c r="AF2" s="122" t="str">
        <f>+'Scheduled Intervals'!AF2</f>
        <v xml:space="preserve">Change or Clean Hydraulic Breather Element </v>
      </c>
      <c r="AG2" s="122" t="str">
        <f>+'Scheduled Intervals'!AG2</f>
        <v xml:space="preserve">Change or Clean Hydraulic return  Filter </v>
      </c>
      <c r="AH2" s="122" t="str">
        <f>+'Scheduled Intervals'!AH2</f>
        <v>Change Hydraulic Pilot Filters and O-Ring</v>
      </c>
      <c r="AI2" s="122" t="str">
        <f>+'Scheduled Intervals'!AI2</f>
        <v>Change Suction  Elements and Hydraulic Fluid</v>
      </c>
      <c r="AJ2" s="122" t="str">
        <f>+'Scheduled Intervals'!AJ2</f>
        <v xml:space="preserve">Change Drive Oil  - Front and Rear or Hydrostatic </v>
      </c>
      <c r="AK2" s="122" t="str">
        <f>+'Scheduled Intervals'!AK2</f>
        <v>Change Drive Oil Rear</v>
      </c>
      <c r="AL2" s="122" t="str">
        <f>+'Scheduled Intervals'!AL2</f>
        <v xml:space="preserve">Change Drive Oil Front </v>
      </c>
      <c r="AM2" s="122" t="str">
        <f>+'Scheduled Intervals'!AM2</f>
        <v>Change Gear Box Oil and Filter</v>
      </c>
      <c r="AN2" s="122" t="str">
        <f>+'Scheduled Intervals'!AN2</f>
        <v>Change Gear Box Seals</v>
      </c>
      <c r="AO2" s="122" t="str">
        <f>+'Scheduled Intervals'!AO2</f>
        <v>Grease Crank Shaft</v>
      </c>
      <c r="AP2" s="122" t="str">
        <f>+'Scheduled Intervals'!AP2</f>
        <v>Clean AC Condensor</v>
      </c>
      <c r="AQ2" s="122" t="str">
        <f>+'Scheduled Intervals'!AQ2</f>
        <v>Clean Cabin Air Filter</v>
      </c>
      <c r="AR2" s="122" t="str">
        <f>+'Scheduled Intervals'!AR2</f>
        <v>Change Breather Foam</v>
      </c>
      <c r="AS2" s="122" t="str">
        <f>+'Scheduled Intervals'!AS2</f>
        <v>Change or Clean Cabin Air Filter</v>
      </c>
      <c r="AT2" s="122" t="str">
        <f>+'Scheduled Intervals'!AT2</f>
        <v>Grease Machine at Assorted Lubrication Points</v>
      </c>
      <c r="AU2" s="122" t="str">
        <f>+'Scheduled Intervals'!AU2</f>
        <v>Lubricate and Oil Throttle Cable</v>
      </c>
      <c r="AV2" s="122" t="str">
        <f>+'Scheduled Intervals'!AV2</f>
        <v>Adjust Track Tension</v>
      </c>
      <c r="AW2" s="122" t="str">
        <f>+'Scheduled Intervals'!AW2</f>
        <v>Check and Adjust Valve Clearance</v>
      </c>
      <c r="AX2" s="122">
        <f>+'Scheduled Intervals'!AX2</f>
        <v>0</v>
      </c>
      <c r="AY2" s="122" t="str">
        <f>+'Scheduled Intervals'!AY2</f>
        <v>Adjust Electonic Clutch</v>
      </c>
      <c r="AZ2" s="122" t="str">
        <f>+'Scheduled Intervals'!AZ2</f>
        <v>Replace Fan/ Drive Belt</v>
      </c>
      <c r="BA2" s="122" t="str">
        <f>+'Scheduled Intervals'!BA2</f>
        <v>Replace or Replenish Power Steering Fluid</v>
      </c>
      <c r="BB2" s="122" t="str">
        <f>+'Scheduled Intervals'!BB2</f>
        <v>Replace Air Cleaner element</v>
      </c>
      <c r="BC2" s="122" t="str">
        <f>+'Scheduled Intervals'!BC2</f>
        <v>Replace Inner Air Filter</v>
      </c>
      <c r="BD2" s="122" t="str">
        <f>+'Scheduled Intervals'!BD2</f>
        <v>Replace Spark Plugs</v>
      </c>
      <c r="BE2" s="122" t="str">
        <f>+'Scheduled Intervals'!BE2</f>
        <v>Check End Play of  Center Shaft and Make minor Adjustment</v>
      </c>
      <c r="BF2" s="122" t="str">
        <f>+'Scheduled Intervals'!BF2</f>
        <v xml:space="preserve">Check PCV and EGR Valves and Check Fuel Injectors </v>
      </c>
      <c r="BG2" s="122" t="str">
        <f>+'Scheduled Intervals'!BG2</f>
        <v xml:space="preserve">Check DEF Injector Tips and Line </v>
      </c>
      <c r="BH2" s="122" t="str">
        <f>+'Scheduled Intervals'!BH2</f>
        <v>Perform Coolant System Flush</v>
      </c>
      <c r="BI2" s="122" t="str">
        <f>+'Scheduled Intervals'!BI2</f>
        <v>Inspect and Sharpen Blades</v>
      </c>
      <c r="BJ2" s="122" t="str">
        <f>+'Scheduled Intervals'!BJ2</f>
        <v>Conduct Multi Point Inpection and Make Minor Adjustments</v>
      </c>
      <c r="BK2" s="122" t="str">
        <f>+'Scheduled Intervals'!BK2</f>
        <v>Change DEF Suction and Pump Filters</v>
      </c>
      <c r="BL2" s="122" t="str">
        <f>+'Scheduled Intervals'!BL2</f>
        <v>Perform Brake Fluid Service</v>
      </c>
      <c r="BM2" s="122" t="str">
        <f>+'Scheduled Intervals'!BM2</f>
        <v>Change Swing Drive Oil</v>
      </c>
      <c r="BN2" s="122" t="str">
        <f>+'Scheduled Intervals'!BN2</f>
        <v>Perform Annual Oil and Filter Change</v>
      </c>
      <c r="BO2" s="122" t="str">
        <f>+'Scheduled Intervals'!BO2</f>
        <v>Annually Grease Machine at Assorted Lubrication Points</v>
      </c>
      <c r="BP2" s="123" t="str">
        <f>+'Scheduled Intervals'!BP2</f>
        <v>Conduct Annual Multi Point Inpection and Make Minor Adjustments</v>
      </c>
      <c r="BQ2" s="29" t="s">
        <v>105</v>
      </c>
      <c r="BR2" s="246"/>
    </row>
    <row r="3" spans="1:70" ht="16" x14ac:dyDescent="0.2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R3" s="246"/>
    </row>
    <row r="4" spans="1:70" ht="16" x14ac:dyDescent="0.2">
      <c r="A4" s="18" t="str">
        <f>+'Scheduled Intervals'!A4</f>
        <v>RTV</v>
      </c>
      <c r="B4" s="246">
        <f>ROUND(('Hours Per Job'!B4*'Total Cost for Plan'!$B$36+'Parts Cost Per Job'!B4*((1+'Total Cost for Plan'!$B$37)*'Total Cost for Plan'!$B$38)),2)</f>
        <v>89.63</v>
      </c>
      <c r="C4" s="246">
        <f>ROUND(('Hours Per Job'!C4*'Total Cost for Plan'!$B$36+'Parts Cost Per Job'!C4*((1+'Total Cost for Plan'!$B$37)*'Total Cost for Plan'!$B$38)),2)</f>
        <v>0</v>
      </c>
      <c r="D4" s="246">
        <f>ROUND(('Hours Per Job'!D4*'Total Cost for Plan'!$B$36+'Parts Cost Per Job'!D4*((1+'Total Cost for Plan'!$B$37)*'Total Cost for Plan'!$B$38)),2)</f>
        <v>0</v>
      </c>
      <c r="E4" s="246">
        <f>ROUND(('Hours Per Job'!E4*'Total Cost for Plan'!$B$36+'Parts Cost Per Job'!E4*((1+'Total Cost for Plan'!$B$37)*'Total Cost for Plan'!$B$38)),2)</f>
        <v>0</v>
      </c>
      <c r="F4" s="246">
        <f>ROUND(('Hours Per Job'!F4*'Total Cost for Plan'!$B$36+'Parts Cost Per Job'!F4*((1+'Total Cost for Plan'!$B$37)*'Total Cost for Plan'!$B$38)),2)</f>
        <v>148.69</v>
      </c>
      <c r="G4" s="246">
        <f>ROUND(('Hours Per Job'!G4*'Total Cost for Plan'!$B$36+'Parts Cost Per Job'!G4*((1+'Total Cost for Plan'!$B$37)*'Total Cost for Plan'!$B$38)),2)</f>
        <v>0</v>
      </c>
      <c r="H4" s="246">
        <f>ROUND(('Hours Per Job'!H4*'Total Cost for Plan'!$B$36+'Parts Cost Per Job'!H4*((1+'Total Cost for Plan'!$B$37)*'Total Cost for Plan'!$B$38)),2)</f>
        <v>23.07</v>
      </c>
      <c r="I4" s="246">
        <f>ROUND(('Hours Per Job'!I4*'Total Cost for Plan'!$B$36+'Parts Cost Per Job'!I4*((1+'Total Cost for Plan'!$B$37)*'Total Cost for Plan'!$B$38)),2)</f>
        <v>30</v>
      </c>
      <c r="J4" s="246">
        <f>ROUND(('Hours Per Job'!J4*'Total Cost for Plan'!$B$36+'Parts Cost Per Job'!J4*((1+'Total Cost for Plan'!$B$37)*'Total Cost for Plan'!$B$38)),2)</f>
        <v>0</v>
      </c>
      <c r="K4" s="246">
        <f>ROUND(('Hours Per Job'!K4*'Total Cost for Plan'!$B$36+'Parts Cost Per Job'!K4*((1+'Total Cost for Plan'!$B$37)*'Total Cost for Plan'!$B$38)),2)</f>
        <v>0</v>
      </c>
      <c r="L4" s="246">
        <f>ROUND(('Hours Per Job'!L4*'Total Cost for Plan'!$B$36+'Parts Cost Per Job'!L4*((1+'Total Cost for Plan'!$B$37)*'Total Cost for Plan'!$B$38)),2)</f>
        <v>0</v>
      </c>
      <c r="M4" s="246">
        <f>ROUND(('Hours Per Job'!M4*'Total Cost for Plan'!$B$36+'Parts Cost Per Job'!M4*((1+'Total Cost for Plan'!$B$37)*'Total Cost for Plan'!$B$38)),2)</f>
        <v>0</v>
      </c>
      <c r="N4" s="246">
        <f>ROUND(('Hours Per Job'!N4*'Total Cost for Plan'!$B$36+'Parts Cost Per Job'!N4*((1+'Total Cost for Plan'!$B$37)*'Total Cost for Plan'!$B$38)),2)</f>
        <v>0</v>
      </c>
      <c r="O4" s="246">
        <f>ROUND(('Hours Per Job'!O4*'Total Cost for Plan'!$B$36+'Parts Cost Per Job'!O4*((1+'Total Cost for Plan'!$B$37)*'Total Cost for Plan'!$B$38)),2)</f>
        <v>0</v>
      </c>
      <c r="P4" s="246">
        <f>ROUND(('Hours Per Job'!P4*'Total Cost for Plan'!$B$36+'Parts Cost Per Job'!P4*((1+'Total Cost for Plan'!$B$37)*'Total Cost for Plan'!$B$38)),2)</f>
        <v>59.92</v>
      </c>
      <c r="Q4" s="246">
        <f>ROUND(('Hours Per Job'!Q4*'Total Cost for Plan'!$B$36+'Parts Cost Per Job'!Q4*((1+'Total Cost for Plan'!$B$37)*'Total Cost for Plan'!$B$38)),2)</f>
        <v>0</v>
      </c>
      <c r="R4" s="246">
        <f>ROUND(('Hours Per Job'!R4*'Total Cost for Plan'!$B$36+'Parts Cost Per Job'!R4*((1+'Total Cost for Plan'!$B$37)*'Total Cost for Plan'!$B$38)),2)</f>
        <v>0</v>
      </c>
      <c r="S4" s="246">
        <f>ROUND(('Hours Per Job'!S4*'Total Cost for Plan'!$B$36+'Parts Cost Per Job'!S4*((1+'Total Cost for Plan'!$B$37)*'Total Cost for Plan'!$B$38)),2)</f>
        <v>0</v>
      </c>
      <c r="T4" s="246">
        <f>ROUND(('Hours Per Job'!T4*'Total Cost for Plan'!$B$36+'Parts Cost Per Job'!T4*((1+'Total Cost for Plan'!$B$37)*'Total Cost for Plan'!$B$38)),2)</f>
        <v>0</v>
      </c>
      <c r="U4" s="246">
        <f>IF('Scheduled Intervals'!U4&gt;0,ROUND(('Hours Per Job'!U4*'Total Cost for Plan'!$B$36+'Parts Cost Per Job'!U4*((1+'Total Cost for Plan'!$B$37)*'Total Cost for Plan'!$B$38))*ROUNDDOWN($B$1/'Scheduled Intervals'!U4,0),2),0)</f>
        <v>89.63</v>
      </c>
      <c r="V4" s="246">
        <f>IF('Scheduled Intervals'!V4&gt;0,ROUND(('Hours Per Job'!V4*'Total Cost for Plan'!$B$36+'Parts Cost Per Job'!V4*((1+'Total Cost for Plan'!$B$37)*'Total Cost for Plan'!$B$38))*ROUNDDOWN($B$1/'Scheduled Intervals'!V4,0),2),0)</f>
        <v>0</v>
      </c>
      <c r="W4" s="246">
        <f>IF('Scheduled Intervals'!W4&gt;0,ROUND(('Hours Per Job'!W4*'Total Cost for Plan'!$B$36+'Parts Cost Per Job'!W4*((1+'Total Cost for Plan'!$B$37)*'Total Cost for Plan'!$B$38))*ROUNDDOWN($B$1/'Scheduled Intervals'!W4,0),2),0)</f>
        <v>0</v>
      </c>
      <c r="X4" s="246">
        <f>IF('Scheduled Intervals'!X4&gt;0,ROUND(('Hours Per Job'!X4*'Total Cost for Plan'!$B$36+'Parts Cost Per Job'!X4*((1+'Total Cost for Plan'!$B$37)*'Total Cost for Plan'!$B$38))*ROUNDDOWN($B$1/'Scheduled Intervals'!X4,0),2),0)</f>
        <v>0</v>
      </c>
      <c r="Y4" s="246">
        <f>IF('Scheduled Intervals'!Y4&gt;0,ROUND(('Hours Per Job'!Y4*'Total Cost for Plan'!$B$36+'Parts Cost Per Job'!Y4*((1+'Total Cost for Plan'!$B$37)*'Total Cost for Plan'!$B$38))*ROUNDDOWN($B$1/'Scheduled Intervals'!Y4,0),2),0)</f>
        <v>12</v>
      </c>
      <c r="Z4" s="246">
        <f>IF('Scheduled Intervals'!Z4&gt;0,ROUND(('Hours Per Job'!Z4*'Total Cost for Plan'!$B$36+'Parts Cost Per Job'!Z4*((1+'Total Cost for Plan'!$B$37)*'Total Cost for Plan'!$B$38))*ROUNDDOWN($B$1/'Scheduled Intervals'!Z4,0),2),0)</f>
        <v>0</v>
      </c>
      <c r="AA4" s="246">
        <f>IF('Scheduled Intervals'!AA4&gt;0,ROUND(('Hours Per Job'!AA4*'Total Cost for Plan'!$B$36+'Parts Cost Per Job'!AA4*((1+'Total Cost for Plan'!$B$37)*'Total Cost for Plan'!$B$38))*ROUNDDOWN($B$1/'Scheduled Intervals'!AA4,0),2),0)</f>
        <v>0</v>
      </c>
      <c r="AB4" s="246">
        <f>IF('Scheduled Intervals'!AB4&gt;0,ROUND(('Hours Per Job'!AB4*'Total Cost for Plan'!$B$36+'Parts Cost Per Job'!AB4*((1+'Total Cost for Plan'!$B$37)*'Total Cost for Plan'!$B$38))*ROUNDDOWN($B$1/'Scheduled Intervals'!AB4,0),2),0)</f>
        <v>0</v>
      </c>
      <c r="AC4" s="246">
        <f>IF('Scheduled Intervals'!AC4&gt;0,ROUND(('Hours Per Job'!AC4*'Total Cost for Plan'!$B$36+'Parts Cost Per Job'!AC4*((1+'Total Cost for Plan'!$B$37)*'Total Cost for Plan'!$B$38))*ROUNDDOWN($B$1/'Scheduled Intervals'!AC4,0),2),0)</f>
        <v>51.07</v>
      </c>
      <c r="AD4" s="246">
        <f>IF('Scheduled Intervals'!AD4&gt;0,ROUND(('Hours Per Job'!AD4*'Total Cost for Plan'!$B$36+'Parts Cost Per Job'!AD4*((1+'Total Cost for Plan'!$B$37)*'Total Cost for Plan'!$B$38))*ROUNDDOWN($B$1/'Scheduled Intervals'!AD4,0),2),0)</f>
        <v>0</v>
      </c>
      <c r="AE4" s="246">
        <f>IF('Scheduled Intervals'!AE4&gt;0,ROUND(('Hours Per Job'!AE4*'Total Cost for Plan'!$B$36+'Parts Cost Per Job'!AE4*((1+'Total Cost for Plan'!$B$37)*'Total Cost for Plan'!$B$38))*ROUNDDOWN($B$1/'Scheduled Intervals'!AE4,0),2),0)</f>
        <v>76.69</v>
      </c>
      <c r="AF4" s="246">
        <f>IF('Scheduled Intervals'!AF4&gt;0,ROUND(('Hours Per Job'!AF4*'Total Cost for Plan'!$B$36+'Parts Cost Per Job'!AF4*((1+'Total Cost for Plan'!$B$37)*'Total Cost for Plan'!$B$38))*ROUNDDOWN($B$1/'Scheduled Intervals'!AF4,0),2),0)</f>
        <v>0</v>
      </c>
      <c r="AG4" s="246">
        <f>IF('Scheduled Intervals'!AG4&gt;0,ROUND(('Hours Per Job'!AG4*'Total Cost for Plan'!$B$36+'Parts Cost Per Job'!AG4*((1+'Total Cost for Plan'!$B$37)*'Total Cost for Plan'!$B$38))*ROUNDDOWN($B$1/'Scheduled Intervals'!AG4,0),2),0)</f>
        <v>0</v>
      </c>
      <c r="AH4" s="246">
        <f>IF('Scheduled Intervals'!AH4&gt;0,ROUND(('Hours Per Job'!AH4*'Total Cost for Plan'!$B$36+'Parts Cost Per Job'!AH4*((1+'Total Cost for Plan'!$B$37)*'Total Cost for Plan'!$B$38))*ROUNDDOWN($B$1/'Scheduled Intervals'!AH4,0),2),0)</f>
        <v>0</v>
      </c>
      <c r="AI4" s="246">
        <f>IF('Scheduled Intervals'!AI4&gt;0,ROUND(('Hours Per Job'!AI4*'Total Cost for Plan'!$B$36+'Parts Cost Per Job'!AI4*((1+'Total Cost for Plan'!$B$37)*'Total Cost for Plan'!$B$38))*ROUNDDOWN($B$1/'Scheduled Intervals'!AI4,0),2),0)</f>
        <v>231.1</v>
      </c>
      <c r="AJ4" s="246">
        <f>IF('Scheduled Intervals'!AJ4&gt;0,ROUND(('Hours Per Job'!AJ4*'Total Cost for Plan'!$B$36+'Parts Cost Per Job'!AJ4*((1+'Total Cost for Plan'!$B$37)*'Total Cost for Plan'!$B$38))*ROUNDDOWN($B$1/'Scheduled Intervals'!AJ4,0),2),0)</f>
        <v>0</v>
      </c>
      <c r="AK4" s="246">
        <f>IF('Scheduled Intervals'!AK4&gt;0,ROUND(('Hours Per Job'!AK4*'Total Cost for Plan'!$B$36+'Parts Cost Per Job'!AK4*((1+'Total Cost for Plan'!$B$37)*'Total Cost for Plan'!$B$38))*ROUNDDOWN($B$1/'Scheduled Intervals'!AK4,0),2),0)</f>
        <v>0</v>
      </c>
      <c r="AL4" s="246">
        <f>IF('Scheduled Intervals'!AL4&gt;0,ROUND(('Hours Per Job'!AL4*'Total Cost for Plan'!$B$36+'Parts Cost Per Job'!AL4*((1+'Total Cost for Plan'!$B$37)*'Total Cost for Plan'!$B$38))*ROUNDDOWN($B$1/'Scheduled Intervals'!AL4,0),2),0)</f>
        <v>0</v>
      </c>
      <c r="AM4" s="246">
        <f>IF('Scheduled Intervals'!AM4&gt;0,ROUND(('Hours Per Job'!AM4*'Total Cost for Plan'!$B$36+'Parts Cost Per Job'!AM4*((1+'Total Cost for Plan'!$B$37)*'Total Cost for Plan'!$B$38))*ROUNDDOWN($B$1/'Scheduled Intervals'!AM4,0),2),0)</f>
        <v>0</v>
      </c>
      <c r="AN4" s="246">
        <f>IF('Scheduled Intervals'!AN4&gt;0,ROUND(('Hours Per Job'!AN4*'Total Cost for Plan'!$B$36+'Parts Cost Per Job'!AN4*((1+'Total Cost for Plan'!$B$37)*'Total Cost for Plan'!$B$38))*ROUNDDOWN($B$1/'Scheduled Intervals'!AN4,0),2),0)</f>
        <v>0</v>
      </c>
      <c r="AO4" s="246">
        <f>IF('Scheduled Intervals'!AO4&gt;0,ROUND(('Hours Per Job'!AO4*'Total Cost for Plan'!$B$36+'Parts Cost Per Job'!AO4*((1+'Total Cost for Plan'!$B$37)*'Total Cost for Plan'!$B$38))*ROUNDDOWN($B$1/'Scheduled Intervals'!AO4,0),2),0)</f>
        <v>0</v>
      </c>
      <c r="AP4" s="246">
        <f>IF('Scheduled Intervals'!AP4&gt;0,ROUND(('Hours Per Job'!AP4*'Total Cost for Plan'!$B$36+'Parts Cost Per Job'!AP4*((1+'Total Cost for Plan'!$B$37)*'Total Cost for Plan'!$B$38))*ROUNDDOWN($B$1/'Scheduled Intervals'!AP4,0),2),0)</f>
        <v>0</v>
      </c>
      <c r="AQ4" s="246">
        <f>IF('Scheduled Intervals'!AQ4&gt;0,ROUND(('Hours Per Job'!AQ4*'Total Cost for Plan'!$B$36+'Parts Cost Per Job'!AQ4*((1+'Total Cost for Plan'!$B$37)*'Total Cost for Plan'!$B$38))*ROUNDDOWN($B$1/'Scheduled Intervals'!AQ4,0),2),0)</f>
        <v>0</v>
      </c>
      <c r="AR4" s="246">
        <f>IF('Scheduled Intervals'!AR4&gt;0,ROUND(('Hours Per Job'!AR4*'Total Cost for Plan'!$B$36+'Parts Cost Per Job'!AR4*((1+'Total Cost for Plan'!$B$37)*'Total Cost for Plan'!$B$38))*ROUNDDOWN($B$1/'Scheduled Intervals'!AR4,0),2),0)</f>
        <v>0</v>
      </c>
      <c r="AS4" s="246">
        <f>IF('Scheduled Intervals'!AS4&gt;0,ROUND(('Hours Per Job'!AS4*'Total Cost for Plan'!$B$36+'Parts Cost Per Job'!AS4*((1+'Total Cost for Plan'!$B$37)*'Total Cost for Plan'!$B$38))*ROUNDDOWN($B$1/'Scheduled Intervals'!AS4,0),2),0)</f>
        <v>0</v>
      </c>
      <c r="AT4" s="246">
        <f>IF('Scheduled Intervals'!AT4&gt;0,ROUND(('Hours Per Job'!AT4*'Total Cost for Plan'!$B$36+'Parts Cost Per Job'!AT4*((1+'Total Cost for Plan'!$B$37)*'Total Cost for Plan'!$B$38))*ROUNDDOWN($B$1/'Scheduled Intervals'!AT4,0),2),0)</f>
        <v>23.07</v>
      </c>
      <c r="AU4" s="246">
        <f>IF('Scheduled Intervals'!AU4&gt;0,ROUND(('Hours Per Job'!AU4*'Total Cost for Plan'!$B$36+'Parts Cost Per Job'!AU4*((1+'Total Cost for Plan'!$B$37)*'Total Cost for Plan'!$B$38))*ROUNDDOWN($B$1/'Scheduled Intervals'!AU4,0),2),0)</f>
        <v>0</v>
      </c>
      <c r="AV4" s="246">
        <f>IF('Scheduled Intervals'!AV4&gt;0,ROUND(('Hours Per Job'!AV4*'Total Cost for Plan'!$B$36+'Parts Cost Per Job'!AV4*((1+'Total Cost for Plan'!$B$37)*'Total Cost for Plan'!$B$38))*ROUNDDOWN($B$1/'Scheduled Intervals'!AV4,0),2),0)</f>
        <v>0</v>
      </c>
      <c r="AW4" s="246">
        <f>IF('Scheduled Intervals'!AW4&gt;0,ROUND(('Hours Per Job'!AW4*'Total Cost for Plan'!$B$36+'Parts Cost Per Job'!AW4*((1+'Total Cost for Plan'!$B$37)*'Total Cost for Plan'!$B$38))*ROUNDDOWN($B$1/'Scheduled Intervals'!AW4,0),2),0)</f>
        <v>0</v>
      </c>
      <c r="AX4" s="246">
        <f>IF('Scheduled Intervals'!AX4&gt;0,ROUND(('Hours Per Job'!AX4*'Total Cost for Plan'!$B$36+'Parts Cost Per Job'!AX4*((1+'Total Cost for Plan'!$B$37)*'Total Cost for Plan'!$B$38))*ROUNDDOWN($B$1/'Scheduled Intervals'!AX4,0),2),0)</f>
        <v>0</v>
      </c>
      <c r="AY4" s="246">
        <f>IF('Scheduled Intervals'!AY4&gt;0,ROUND(('Hours Per Job'!AY4*'Total Cost for Plan'!$B$36+'Parts Cost Per Job'!AY4*((1+'Total Cost for Plan'!$B$37)*'Total Cost for Plan'!$B$38))*ROUNDDOWN($B$1/'Scheduled Intervals'!AY4,0),2),0)</f>
        <v>0</v>
      </c>
      <c r="AZ4" s="246">
        <f>IF('Scheduled Intervals'!AZ4&gt;0,ROUND(('Hours Per Job'!AZ4*'Total Cost for Plan'!$B$36+'Parts Cost Per Job'!AZ4*((1+'Total Cost for Plan'!$B$37)*'Total Cost for Plan'!$B$38))*ROUNDDOWN($B$1/'Scheduled Intervals'!AZ4,0),2),0)</f>
        <v>0</v>
      </c>
      <c r="BA4" s="246">
        <f>IF('Scheduled Intervals'!BA4&gt;0,ROUND(('Hours Per Job'!BA4*'Total Cost for Plan'!$B$36+'Parts Cost Per Job'!BA4*((1+'Total Cost for Plan'!$B$37)*'Total Cost for Plan'!$B$38))*ROUNDDOWN($B$1/'Scheduled Intervals'!BA4,0),2),0)</f>
        <v>0</v>
      </c>
      <c r="BB4" s="246">
        <f>IF('Scheduled Intervals'!BB4&gt;0,ROUND(('Hours Per Job'!BB4*'Total Cost for Plan'!$B$36+'Parts Cost Per Job'!BB4*((1+'Total Cost for Plan'!$B$37)*'Total Cost for Plan'!$B$38))*ROUNDDOWN($B$1/'Scheduled Intervals'!BB4,0),2),0)</f>
        <v>0</v>
      </c>
      <c r="BC4" s="246">
        <f>IF('Scheduled Intervals'!BC4&gt;0,ROUND(('Hours Per Job'!BC4*'Total Cost for Plan'!$B$36+'Parts Cost Per Job'!BC4*((1+'Total Cost for Plan'!$B$37)*'Total Cost for Plan'!$B$38))*ROUNDDOWN($B$1/'Scheduled Intervals'!BC4,0),2),0)</f>
        <v>0</v>
      </c>
      <c r="BD4" s="246">
        <f>IF('Scheduled Intervals'!BD4&gt;0,ROUND(('Hours Per Job'!BD4*'Total Cost for Plan'!$B$36+'Parts Cost Per Job'!BD4*((1+'Total Cost for Plan'!$B$37)*'Total Cost for Plan'!$B$38))*ROUNDDOWN($B$1/'Scheduled Intervals'!BD4,0),2),0)</f>
        <v>0</v>
      </c>
      <c r="BE4" s="246">
        <f>IF('Scheduled Intervals'!BE4&gt;0,ROUND(('Hours Per Job'!BE4*'Total Cost for Plan'!$B$36+'Parts Cost Per Job'!BE4*((1+'Total Cost for Plan'!$B$37)*'Total Cost for Plan'!$B$38))*ROUNDDOWN($B$1/'Scheduled Intervals'!BE4,0),2),0)</f>
        <v>0</v>
      </c>
      <c r="BF4" s="246">
        <f>IF('Scheduled Intervals'!BF4&gt;0,ROUND(('Hours Per Job'!BF4*'Total Cost for Plan'!$B$36+'Parts Cost Per Job'!BF4*((1+'Total Cost for Plan'!$B$37)*'Total Cost for Plan'!$B$38))*ROUNDDOWN($B$1/'Scheduled Intervals'!BF4,0),2),0)</f>
        <v>0</v>
      </c>
      <c r="BG4" s="246">
        <f>IF('Scheduled Intervals'!BG4&gt;0,ROUND(('Hours Per Job'!BG4*'Total Cost for Plan'!$B$36+'Parts Cost Per Job'!BG4*((1+'Total Cost for Plan'!$B$37)*'Total Cost for Plan'!$B$38))*ROUNDDOWN($B$1/'Scheduled Intervals'!BG4,0),2),0)</f>
        <v>0</v>
      </c>
      <c r="BH4" s="246">
        <f>IF('Scheduled Intervals'!BH4&gt;0,ROUND(('Hours Per Job'!BH4*'Total Cost for Plan'!$B$36+'Parts Cost Per Job'!BH4*((1+'Total Cost for Plan'!$B$37)*'Total Cost for Plan'!$B$38))*ROUNDDOWN($B$1/'Scheduled Intervals'!BH4,0),2),0)</f>
        <v>0</v>
      </c>
      <c r="BI4" s="246">
        <f>IF('Scheduled Intervals'!BI4&gt;0,ROUND(('Hours Per Job'!BI4*'Total Cost for Plan'!$B$36+'Parts Cost Per Job'!BI4*((1+'Total Cost for Plan'!$B$37)*'Total Cost for Plan'!$B$38))*ROUNDDOWN($B$1/'Scheduled Intervals'!BI4,0),2),0)</f>
        <v>0</v>
      </c>
      <c r="BJ4" s="246">
        <f>IF('Scheduled Intervals'!BJ4&gt;0,ROUND(('Hours Per Job'!BJ4*'Total Cost for Plan'!$B$36+'Parts Cost Per Job'!BJ4*((1+'Total Cost for Plan'!$B$37)*'Total Cost for Plan'!$B$38))*ROUNDDOWN($B$1/'Scheduled Intervals'!BJ4,0),2),0)</f>
        <v>30</v>
      </c>
      <c r="BK4" s="246">
        <f>IF('Scheduled Intervals'!BK4&gt;0,ROUND(('Hours Per Job'!BK4*'Total Cost for Plan'!$B$36+'Parts Cost Per Job'!BK4*((1+'Total Cost for Plan'!$B$37)*'Total Cost for Plan'!$B$38))*ROUNDDOWN($B$1/'Scheduled Intervals'!BK4,0),2),0)</f>
        <v>0</v>
      </c>
      <c r="BL4" s="246">
        <f>IF('Scheduled Intervals'!BL4&gt;0,ROUND(('Hours Per Job'!BL4*'Total Cost for Plan'!$B$36+'Parts Cost Per Job'!BL4*((1+'Total Cost for Plan'!$B$37)*'Total Cost for Plan'!$B$38))*ROUNDDOWN($B$1/'Scheduled Intervals'!BL4,0),2),0)</f>
        <v>0</v>
      </c>
      <c r="BM4" s="246">
        <f>IF('Scheduled Intervals'!BM4&gt;0,ROUND(('Hours Per Job'!BM4*'Total Cost for Plan'!$B$36+'Parts Cost Per Job'!BM4*((1+'Total Cost for Plan'!$B$37)*'Total Cost for Plan'!$B$38))*ROUNDDOWN($B$1/'Scheduled Intervals'!BM4,0),2),0)</f>
        <v>0</v>
      </c>
      <c r="BN4" s="246">
        <f>IF(AND('Scheduled Intervals'!BN$4="annual",'Plan Summary'!$C$5&lt;'Scheduled Intervals'!$U4*('Plan Summary'!$C$9/12)),ROUND(('Hours Per Job'!BN4*'Total Cost for Plan'!$B$36+'Parts Cost Per Job'!BN4*((1+'Total Cost for Plan'!$B$37)*'Total Cost for Plan'!$B$38))*ROUND('Plan Summary'!$C$9/12,0),2),0)</f>
        <v>448.14</v>
      </c>
      <c r="BO4" s="246">
        <f>IF(AND('Scheduled Intervals'!BO$4="annual",'Plan Summary'!$C$5&lt;'Scheduled Intervals'!$U4*('Plan Summary'!$C$9/12)),ROUND(('Hours Per Job'!BO4*'Total Cost for Plan'!$B$36+'Parts Cost Per Job'!BO4*((1+'Total Cost for Plan'!$B$37)*'Total Cost for Plan'!$B$38))*ROUND('Plan Summary'!$C$9/12,0),2),0)</f>
        <v>115.33</v>
      </c>
      <c r="BP4" s="246">
        <f>IF(AND('Scheduled Intervals'!BP$4="annual",'Plan Summary'!$C$5&lt;'Scheduled Intervals'!$U4*('Plan Summary'!$C$9/12)),ROUND(('Hours Per Job'!BP4*'Total Cost for Plan'!$B$36+'Parts Cost Per Job'!BP4*((1+'Total Cost for Plan'!$B$37)*'Total Cost for Plan'!$B$38))*ROUND('Plan Summary'!$C$9/12,0),2),0)</f>
        <v>630</v>
      </c>
      <c r="BQ4" s="246">
        <f t="shared" ref="BQ4:BQ34" si="0">SUM(B4:BP4)</f>
        <v>2058.34</v>
      </c>
      <c r="BR4" s="246"/>
    </row>
    <row r="5" spans="1:70" ht="16" x14ac:dyDescent="0.2">
      <c r="A5" s="18" t="str">
        <f>+'Scheduled Intervals'!A5</f>
        <v>Zero Turn Gas</v>
      </c>
      <c r="B5" s="246">
        <f>ROUND(('Hours Per Job'!B5*'Total Cost for Plan'!$B$36+'Parts Cost Per Job'!B5*((1+'Total Cost for Plan'!$B$37)*'Total Cost for Plan'!$B$38)),2)</f>
        <v>64.03</v>
      </c>
      <c r="C5" s="246">
        <f>ROUND(('Hours Per Job'!C5*'Total Cost for Plan'!$B$36+'Parts Cost Per Job'!C5*((1+'Total Cost for Plan'!$B$37)*'Total Cost for Plan'!$B$38)),2)</f>
        <v>0</v>
      </c>
      <c r="D5" s="246">
        <f>ROUND(('Hours Per Job'!D5*'Total Cost for Plan'!$B$36+'Parts Cost Per Job'!D5*((1+'Total Cost for Plan'!$B$37)*'Total Cost for Plan'!$B$38)),2)</f>
        <v>0</v>
      </c>
      <c r="E5" s="246">
        <f>ROUND(('Hours Per Job'!E5*'Total Cost for Plan'!$B$36+'Parts Cost Per Job'!E5*((1+'Total Cost for Plan'!$B$37)*'Total Cost for Plan'!$B$38)),2)</f>
        <v>0</v>
      </c>
      <c r="F5" s="246">
        <f>ROUND(('Hours Per Job'!F5*'Total Cost for Plan'!$B$36+'Parts Cost Per Job'!F5*((1+'Total Cost for Plan'!$B$37)*'Total Cost for Plan'!$B$38)),2)</f>
        <v>0</v>
      </c>
      <c r="G5" s="246">
        <f>ROUND(('Hours Per Job'!G5*'Total Cost for Plan'!$B$36+'Parts Cost Per Job'!G5*((1+'Total Cost for Plan'!$B$37)*'Total Cost for Plan'!$B$38)),2)</f>
        <v>0</v>
      </c>
      <c r="H5" s="246">
        <f>ROUND(('Hours Per Job'!H5*'Total Cost for Plan'!$B$36+'Parts Cost Per Job'!H5*((1+'Total Cost for Plan'!$B$37)*'Total Cost for Plan'!$B$38)),2)</f>
        <v>35.07</v>
      </c>
      <c r="I5" s="246">
        <f>ROUND(('Hours Per Job'!I5*'Total Cost for Plan'!$B$36+'Parts Cost Per Job'!I5*((1+'Total Cost for Plan'!$B$37)*'Total Cost for Plan'!$B$38)),2)</f>
        <v>30</v>
      </c>
      <c r="J5" s="246">
        <f>ROUND(('Hours Per Job'!J5*'Total Cost for Plan'!$B$36+'Parts Cost Per Job'!J5*((1+'Total Cost for Plan'!$B$37)*'Total Cost for Plan'!$B$38)),2)</f>
        <v>0</v>
      </c>
      <c r="K5" s="246">
        <f>ROUND(('Hours Per Job'!K5*'Total Cost for Plan'!$B$36+'Parts Cost Per Job'!K5*((1+'Total Cost for Plan'!$B$37)*'Total Cost for Plan'!$B$38)),2)</f>
        <v>0</v>
      </c>
      <c r="L5" s="246">
        <f>ROUND(('Hours Per Job'!L5*'Total Cost for Plan'!$B$36+'Parts Cost Per Job'!L5*((1+'Total Cost for Plan'!$B$37)*'Total Cost for Plan'!$B$38)),2)</f>
        <v>0</v>
      </c>
      <c r="M5" s="246">
        <f>ROUND(('Hours Per Job'!M5*'Total Cost for Plan'!$B$36+'Parts Cost Per Job'!M5*((1+'Total Cost for Plan'!$B$37)*'Total Cost for Plan'!$B$38)),2)</f>
        <v>0</v>
      </c>
      <c r="N5" s="246">
        <f>ROUND(('Hours Per Job'!N5*'Total Cost for Plan'!$B$36+'Parts Cost Per Job'!N5*((1+'Total Cost for Plan'!$B$37)*'Total Cost for Plan'!$B$38)),2)</f>
        <v>0</v>
      </c>
      <c r="O5" s="246">
        <f>ROUND(('Hours Per Job'!O5*'Total Cost for Plan'!$B$36+'Parts Cost Per Job'!O5*((1+'Total Cost for Plan'!$B$37)*'Total Cost for Plan'!$B$38)),2)</f>
        <v>0</v>
      </c>
      <c r="P5" s="246">
        <f>ROUND(('Hours Per Job'!P5*'Total Cost for Plan'!$B$36+'Parts Cost Per Job'!P5*((1+'Total Cost for Plan'!$B$37)*'Total Cost for Plan'!$B$38)),2)</f>
        <v>0</v>
      </c>
      <c r="Q5" s="246">
        <f>ROUND(('Hours Per Job'!Q5*'Total Cost for Plan'!$B$36+'Parts Cost Per Job'!Q5*((1+'Total Cost for Plan'!$B$37)*'Total Cost for Plan'!$B$38)),2)</f>
        <v>0</v>
      </c>
      <c r="R5" s="246">
        <f>ROUND(('Hours Per Job'!R5*'Total Cost for Plan'!$B$36+'Parts Cost Per Job'!R5*((1+'Total Cost for Plan'!$B$37)*'Total Cost for Plan'!$B$38)),2)</f>
        <v>0</v>
      </c>
      <c r="S5" s="246">
        <f>ROUND(('Hours Per Job'!S5*'Total Cost for Plan'!$B$36+'Parts Cost Per Job'!S5*((1+'Total Cost for Plan'!$B$37)*'Total Cost for Plan'!$B$38)),2)</f>
        <v>143.63999999999999</v>
      </c>
      <c r="T5" s="246">
        <f>ROUND(('Hours Per Job'!T5*'Total Cost for Plan'!$B$36+'Parts Cost Per Job'!T5*((1+'Total Cost for Plan'!$B$37)*'Total Cost for Plan'!$B$38)),2)</f>
        <v>0</v>
      </c>
      <c r="U5" s="246">
        <f>IF('Scheduled Intervals'!U5&gt;0,ROUND(('Hours Per Job'!U5*'Total Cost for Plan'!$B$36+'Parts Cost Per Job'!U5*((1+'Total Cost for Plan'!$B$37)*'Total Cost for Plan'!$B$38))*ROUNDDOWN($B$1/'Scheduled Intervals'!U5,0),2),0)</f>
        <v>192.08</v>
      </c>
      <c r="V5" s="246">
        <f>IF('Scheduled Intervals'!V5&gt;0,ROUND(('Hours Per Job'!V5*'Total Cost for Plan'!$B$36+'Parts Cost Per Job'!V5*((1+'Total Cost for Plan'!$B$37)*'Total Cost for Plan'!$B$38))*ROUNDDOWN($B$1/'Scheduled Intervals'!V5,0),2),0)</f>
        <v>0</v>
      </c>
      <c r="W5" s="246">
        <f>IF('Scheduled Intervals'!W5&gt;0,ROUND(('Hours Per Job'!W5*'Total Cost for Plan'!$B$36+'Parts Cost Per Job'!W5*((1+'Total Cost for Plan'!$B$37)*'Total Cost for Plan'!$B$38))*ROUNDDOWN($B$1/'Scheduled Intervals'!W5,0),2),0)</f>
        <v>0</v>
      </c>
      <c r="X5" s="246">
        <f>IF('Scheduled Intervals'!X5&gt;0,ROUND(('Hours Per Job'!X5*'Total Cost for Plan'!$B$36+'Parts Cost Per Job'!X5*((1+'Total Cost for Plan'!$B$37)*'Total Cost for Plan'!$B$38))*ROUNDDOWN($B$1/'Scheduled Intervals'!X5,0),2),0)</f>
        <v>0</v>
      </c>
      <c r="Y5" s="246">
        <f>IF('Scheduled Intervals'!Y5&gt;0,ROUND(('Hours Per Job'!Y5*'Total Cost for Plan'!$B$36+'Parts Cost Per Job'!Y5*((1+'Total Cost for Plan'!$B$37)*'Total Cost for Plan'!$B$38))*ROUNDDOWN($B$1/'Scheduled Intervals'!Y5,0),2),0)</f>
        <v>0</v>
      </c>
      <c r="Z5" s="246">
        <f>IF('Scheduled Intervals'!Z5&gt;0,ROUND(('Hours Per Job'!Z5*'Total Cost for Plan'!$B$36+'Parts Cost Per Job'!Z5*((1+'Total Cost for Plan'!$B$37)*'Total Cost for Plan'!$B$38))*ROUNDDOWN($B$1/'Scheduled Intervals'!Z5,0),2),0)</f>
        <v>117.43</v>
      </c>
      <c r="AA5" s="246">
        <f>IF('Scheduled Intervals'!AA5&gt;0,ROUND(('Hours Per Job'!AA5*'Total Cost for Plan'!$B$36+'Parts Cost Per Job'!AA5*((1+'Total Cost for Plan'!$B$37)*'Total Cost for Plan'!$B$38))*ROUNDDOWN($B$1/'Scheduled Intervals'!AA5,0),2),0)</f>
        <v>0</v>
      </c>
      <c r="AB5" s="246">
        <f>IF('Scheduled Intervals'!AB5&gt;0,ROUND(('Hours Per Job'!AB5*'Total Cost for Plan'!$B$36+'Parts Cost Per Job'!AB5*((1+'Total Cost for Plan'!$B$37)*'Total Cost for Plan'!$B$38))*ROUNDDOWN($B$1/'Scheduled Intervals'!AB5,0),2),0)</f>
        <v>0</v>
      </c>
      <c r="AC5" s="246">
        <f>IF('Scheduled Intervals'!AC5&gt;0,ROUND(('Hours Per Job'!AC5*'Total Cost for Plan'!$B$36+'Parts Cost Per Job'!AC5*((1+'Total Cost for Plan'!$B$37)*'Total Cost for Plan'!$B$38))*ROUNDDOWN($B$1/'Scheduled Intervals'!AC5,0),2),0)</f>
        <v>0</v>
      </c>
      <c r="AD5" s="246">
        <f>IF('Scheduled Intervals'!AD5&gt;0,ROUND(('Hours Per Job'!AD5*'Total Cost for Plan'!$B$36+'Parts Cost Per Job'!AD5*((1+'Total Cost for Plan'!$B$37)*'Total Cost for Plan'!$B$38))*ROUNDDOWN($B$1/'Scheduled Intervals'!AD5,0),2),0)</f>
        <v>0</v>
      </c>
      <c r="AE5" s="246">
        <f>IF('Scheduled Intervals'!AE5&gt;0,ROUND(('Hours Per Job'!AE5*'Total Cost for Plan'!$B$36+'Parts Cost Per Job'!AE5*((1+'Total Cost for Plan'!$B$37)*'Total Cost for Plan'!$B$38))*ROUNDDOWN($B$1/'Scheduled Intervals'!AE5,0),2),0)</f>
        <v>0</v>
      </c>
      <c r="AF5" s="246">
        <f>IF('Scheduled Intervals'!AF5&gt;0,ROUND(('Hours Per Job'!AF5*'Total Cost for Plan'!$B$36+'Parts Cost Per Job'!AF5*((1+'Total Cost for Plan'!$B$37)*'Total Cost for Plan'!$B$38))*ROUNDDOWN($B$1/'Scheduled Intervals'!AF5,0),2),0)</f>
        <v>0</v>
      </c>
      <c r="AG5" s="246">
        <f>IF('Scheduled Intervals'!AG5&gt;0,ROUND(('Hours Per Job'!AG5*'Total Cost for Plan'!$B$36+'Parts Cost Per Job'!AG5*((1+'Total Cost for Plan'!$B$37)*'Total Cost for Plan'!$B$38))*ROUNDDOWN($B$1/'Scheduled Intervals'!AG5,0),2),0)</f>
        <v>0</v>
      </c>
      <c r="AH5" s="246">
        <f>IF('Scheduled Intervals'!AH5&gt;0,ROUND(('Hours Per Job'!AH5*'Total Cost for Plan'!$B$36+'Parts Cost Per Job'!AH5*((1+'Total Cost for Plan'!$B$37)*'Total Cost for Plan'!$B$38))*ROUNDDOWN($B$1/'Scheduled Intervals'!AH5,0),2),0)</f>
        <v>0</v>
      </c>
      <c r="AI5" s="246">
        <f>IF('Scheduled Intervals'!AI5&gt;0,ROUND(('Hours Per Job'!AI5*'Total Cost for Plan'!$B$36+'Parts Cost Per Job'!AI5*((1+'Total Cost for Plan'!$B$37)*'Total Cost for Plan'!$B$38))*ROUNDDOWN($B$1/'Scheduled Intervals'!AI5,0),2),0)</f>
        <v>0</v>
      </c>
      <c r="AJ5" s="246">
        <f>IF('Scheduled Intervals'!AJ5&gt;0,ROUND(('Hours Per Job'!AJ5*'Total Cost for Plan'!$B$36+'Parts Cost Per Job'!AJ5*((1+'Total Cost for Plan'!$B$37)*'Total Cost for Plan'!$B$38))*ROUNDDOWN($B$1/'Scheduled Intervals'!AJ5,0),2),0)</f>
        <v>0</v>
      </c>
      <c r="AK5" s="246">
        <f>IF('Scheduled Intervals'!AK5&gt;0,ROUND(('Hours Per Job'!AK5*'Total Cost for Plan'!$B$36+'Parts Cost Per Job'!AK5*((1+'Total Cost for Plan'!$B$37)*'Total Cost for Plan'!$B$38))*ROUNDDOWN($B$1/'Scheduled Intervals'!AK5,0),2),0)</f>
        <v>0</v>
      </c>
      <c r="AL5" s="246">
        <f>IF('Scheduled Intervals'!AL5&gt;0,ROUND(('Hours Per Job'!AL5*'Total Cost for Plan'!$B$36+'Parts Cost Per Job'!AL5*((1+'Total Cost for Plan'!$B$37)*'Total Cost for Plan'!$B$38))*ROUNDDOWN($B$1/'Scheduled Intervals'!AL5,0),2),0)</f>
        <v>0</v>
      </c>
      <c r="AM5" s="246">
        <f>IF('Scheduled Intervals'!AM5&gt;0,ROUND(('Hours Per Job'!AM5*'Total Cost for Plan'!$B$36+'Parts Cost Per Job'!AM5*((1+'Total Cost for Plan'!$B$37)*'Total Cost for Plan'!$B$38))*ROUNDDOWN($B$1/'Scheduled Intervals'!AM5,0),2),0)</f>
        <v>0</v>
      </c>
      <c r="AN5" s="246">
        <f>IF('Scheduled Intervals'!AN5&gt;0,ROUND(('Hours Per Job'!AN5*'Total Cost for Plan'!$B$36+'Parts Cost Per Job'!AN5*((1+'Total Cost for Plan'!$B$37)*'Total Cost for Plan'!$B$38))*ROUNDDOWN($B$1/'Scheduled Intervals'!AN5,0),2),0)</f>
        <v>0</v>
      </c>
      <c r="AO5" s="246">
        <f>IF('Scheduled Intervals'!AO5&gt;0,ROUND(('Hours Per Job'!AO5*'Total Cost for Plan'!$B$36+'Parts Cost Per Job'!AO5*((1+'Total Cost for Plan'!$B$37)*'Total Cost for Plan'!$B$38))*ROUNDDOWN($B$1/'Scheduled Intervals'!AO5,0),2),0)</f>
        <v>0</v>
      </c>
      <c r="AP5" s="246">
        <f>IF('Scheduled Intervals'!AP5&gt;0,ROUND(('Hours Per Job'!AP5*'Total Cost for Plan'!$B$36+'Parts Cost Per Job'!AP5*((1+'Total Cost for Plan'!$B$37)*'Total Cost for Plan'!$B$38))*ROUNDDOWN($B$1/'Scheduled Intervals'!AP5,0),2),0)</f>
        <v>0</v>
      </c>
      <c r="AQ5" s="246">
        <f>IF('Scheduled Intervals'!AQ5&gt;0,ROUND(('Hours Per Job'!AQ5*'Total Cost for Plan'!$B$36+'Parts Cost Per Job'!AQ5*((1+'Total Cost for Plan'!$B$37)*'Total Cost for Plan'!$B$38))*ROUNDDOWN($B$1/'Scheduled Intervals'!AQ5,0),2),0)</f>
        <v>0</v>
      </c>
      <c r="AR5" s="246">
        <f>IF('Scheduled Intervals'!AR5&gt;0,ROUND(('Hours Per Job'!AR5*'Total Cost for Plan'!$B$36+'Parts Cost Per Job'!AR5*((1+'Total Cost for Plan'!$B$37)*'Total Cost for Plan'!$B$38))*ROUNDDOWN($B$1/'Scheduled Intervals'!AR5,0),2),0)</f>
        <v>0</v>
      </c>
      <c r="AS5" s="246">
        <f>IF('Scheduled Intervals'!AS5&gt;0,ROUND(('Hours Per Job'!AS5*'Total Cost for Plan'!$B$36+'Parts Cost Per Job'!AS5*((1+'Total Cost for Plan'!$B$37)*'Total Cost for Plan'!$B$38))*ROUNDDOWN($B$1/'Scheduled Intervals'!AS5,0),2),0)</f>
        <v>0</v>
      </c>
      <c r="AT5" s="246">
        <f>IF('Scheduled Intervals'!AT5&gt;0,ROUND(('Hours Per Job'!AT5*'Total Cost for Plan'!$B$36+'Parts Cost Per Job'!AT5*((1+'Total Cost for Plan'!$B$37)*'Total Cost for Plan'!$B$38))*ROUNDDOWN($B$1/'Scheduled Intervals'!AT5,0),2),0)</f>
        <v>105.2</v>
      </c>
      <c r="AU5" s="246">
        <f>IF('Scheduled Intervals'!AU5&gt;0,ROUND(('Hours Per Job'!AU5*'Total Cost for Plan'!$B$36+'Parts Cost Per Job'!AU5*((1+'Total Cost for Plan'!$B$37)*'Total Cost for Plan'!$B$38))*ROUNDDOWN($B$1/'Scheduled Intervals'!AU5,0),2),0)</f>
        <v>0</v>
      </c>
      <c r="AV5" s="246">
        <f>IF('Scheduled Intervals'!AV5&gt;0,ROUND(('Hours Per Job'!AV5*'Total Cost for Plan'!$B$36+'Parts Cost Per Job'!AV5*((1+'Total Cost for Plan'!$B$37)*'Total Cost for Plan'!$B$38))*ROUNDDOWN($B$1/'Scheduled Intervals'!AV5,0),2),0)</f>
        <v>0</v>
      </c>
      <c r="AW5" s="246">
        <f>IF('Scheduled Intervals'!AW5&gt;0,ROUND(('Hours Per Job'!AW5*'Total Cost for Plan'!$B$36+'Parts Cost Per Job'!AW5*((1+'Total Cost for Plan'!$B$37)*'Total Cost for Plan'!$B$38))*ROUNDDOWN($B$1/'Scheduled Intervals'!AW5,0),2),0)</f>
        <v>0</v>
      </c>
      <c r="AX5" s="246">
        <f>IF('Scheduled Intervals'!AX5&gt;0,ROUND(('Hours Per Job'!AX5*'Total Cost for Plan'!$B$36+'Parts Cost Per Job'!AX5*((1+'Total Cost for Plan'!$B$37)*'Total Cost for Plan'!$B$38))*ROUNDDOWN($B$1/'Scheduled Intervals'!AX5,0),2),0)</f>
        <v>0</v>
      </c>
      <c r="AY5" s="246">
        <f>IF('Scheduled Intervals'!AY5&gt;0,ROUND(('Hours Per Job'!AY5*'Total Cost for Plan'!$B$36+'Parts Cost Per Job'!AY5*((1+'Total Cost for Plan'!$B$37)*'Total Cost for Plan'!$B$38))*ROUNDDOWN($B$1/'Scheduled Intervals'!AY5,0),2),0)</f>
        <v>0</v>
      </c>
      <c r="AZ5" s="246">
        <f>IF('Scheduled Intervals'!AZ5&gt;0,ROUND(('Hours Per Job'!AZ5*'Total Cost for Plan'!$B$36+'Parts Cost Per Job'!AZ5*((1+'Total Cost for Plan'!$B$37)*'Total Cost for Plan'!$B$38))*ROUNDDOWN($B$1/'Scheduled Intervals'!AZ5,0),2),0)</f>
        <v>0</v>
      </c>
      <c r="BA5" s="246">
        <f>IF('Scheduled Intervals'!BA5&gt;0,ROUND(('Hours Per Job'!BA5*'Total Cost for Plan'!$B$36+'Parts Cost Per Job'!BA5*((1+'Total Cost for Plan'!$B$37)*'Total Cost for Plan'!$B$38))*ROUNDDOWN($B$1/'Scheduled Intervals'!BA5,0),2),0)</f>
        <v>0</v>
      </c>
      <c r="BB5" s="246">
        <f>IF('Scheduled Intervals'!BB5&gt;0,ROUND(('Hours Per Job'!BB5*'Total Cost for Plan'!$B$36+'Parts Cost Per Job'!BB5*((1+'Total Cost for Plan'!$B$37)*'Total Cost for Plan'!$B$38))*ROUNDDOWN($B$1/'Scheduled Intervals'!BB5,0),2),0)</f>
        <v>154.33000000000001</v>
      </c>
      <c r="BC5" s="246">
        <f>IF('Scheduled Intervals'!BC5&gt;0,ROUND(('Hours Per Job'!BC5*'Total Cost for Plan'!$B$36+'Parts Cost Per Job'!BC5*((1+'Total Cost for Plan'!$B$37)*'Total Cost for Plan'!$B$38))*ROUNDDOWN($B$1/'Scheduled Intervals'!BC5,0),2),0)</f>
        <v>0</v>
      </c>
      <c r="BD5" s="246">
        <f>IF('Scheduled Intervals'!BD5&gt;0,ROUND(('Hours Per Job'!BD5*'Total Cost for Plan'!$B$36+'Parts Cost Per Job'!BD5*((1+'Total Cost for Plan'!$B$37)*'Total Cost for Plan'!$B$38))*ROUNDDOWN($B$1/'Scheduled Intervals'!BD5,0),2),0)</f>
        <v>0</v>
      </c>
      <c r="BE5" s="246">
        <f>IF('Scheduled Intervals'!BE5&gt;0,ROUND(('Hours Per Job'!BE5*'Total Cost for Plan'!$B$36+'Parts Cost Per Job'!BE5*((1+'Total Cost for Plan'!$B$37)*'Total Cost for Plan'!$B$38))*ROUNDDOWN($B$1/'Scheduled Intervals'!BE5,0),2),0)</f>
        <v>0</v>
      </c>
      <c r="BF5" s="246">
        <f>IF('Scheduled Intervals'!BF5&gt;0,ROUND(('Hours Per Job'!BF5*'Total Cost for Plan'!$B$36+'Parts Cost Per Job'!BF5*((1+'Total Cost for Plan'!$B$37)*'Total Cost for Plan'!$B$38))*ROUNDDOWN($B$1/'Scheduled Intervals'!BF5,0),2),0)</f>
        <v>0</v>
      </c>
      <c r="BG5" s="246">
        <f>IF('Scheduled Intervals'!BG5&gt;0,ROUND(('Hours Per Job'!BG5*'Total Cost for Plan'!$B$36+'Parts Cost Per Job'!BG5*((1+'Total Cost for Plan'!$B$37)*'Total Cost for Plan'!$B$38))*ROUNDDOWN($B$1/'Scheduled Intervals'!BG5,0),2),0)</f>
        <v>0</v>
      </c>
      <c r="BH5" s="246">
        <f>IF('Scheduled Intervals'!BH5&gt;0,ROUND(('Hours Per Job'!BH5*'Total Cost for Plan'!$B$36+'Parts Cost Per Job'!BH5*((1+'Total Cost for Plan'!$B$37)*'Total Cost for Plan'!$B$38))*ROUNDDOWN($B$1/'Scheduled Intervals'!BH5,0),2),0)</f>
        <v>202.09</v>
      </c>
      <c r="BI5" s="246">
        <f>IF('Scheduled Intervals'!BI5&gt;0,ROUND(('Hours Per Job'!BI5*'Total Cost for Plan'!$B$36+'Parts Cost Per Job'!BI5*((1+'Total Cost for Plan'!$B$37)*'Total Cost for Plan'!$B$38))*ROUNDDOWN($B$1/'Scheduled Intervals'!BI5,0),2),0)</f>
        <v>36</v>
      </c>
      <c r="BJ5" s="246">
        <f>IF('Scheduled Intervals'!BJ5&gt;0,ROUND(('Hours Per Job'!BJ5*'Total Cost for Plan'!$B$36+'Parts Cost Per Job'!BJ5*((1+'Total Cost for Plan'!$B$37)*'Total Cost for Plan'!$B$38))*ROUNDDOWN($B$1/'Scheduled Intervals'!BJ5,0),2),0)</f>
        <v>90</v>
      </c>
      <c r="BK5" s="246">
        <f>IF('Scheduled Intervals'!BK5&gt;0,ROUND(('Hours Per Job'!BK5*'Total Cost for Plan'!$B$36+'Parts Cost Per Job'!BK5*((1+'Total Cost for Plan'!$B$37)*'Total Cost for Plan'!$B$38))*ROUNDDOWN($B$1/'Scheduled Intervals'!BK5,0),2),0)</f>
        <v>0</v>
      </c>
      <c r="BL5" s="246">
        <f>IF('Scheduled Intervals'!BL5&gt;0,ROUND(('Hours Per Job'!BL5*'Total Cost for Plan'!$B$36+'Parts Cost Per Job'!BL5*((1+'Total Cost for Plan'!$B$37)*'Total Cost for Plan'!$B$38))*ROUNDDOWN($B$1/'Scheduled Intervals'!BL5,0),2),0)</f>
        <v>0</v>
      </c>
      <c r="BM5" s="246">
        <f>IF('Scheduled Intervals'!BM5&gt;0,ROUND(('Hours Per Job'!BM5*'Total Cost for Plan'!$B$36+'Parts Cost Per Job'!BM5*((1+'Total Cost for Plan'!$B$37)*'Total Cost for Plan'!$B$38))*ROUNDDOWN($B$1/'Scheduled Intervals'!BM5,0),2),0)</f>
        <v>0</v>
      </c>
      <c r="BN5" s="246">
        <f>IF(AND('Scheduled Intervals'!BN$4="annual",'Plan Summary'!$C$5&lt;'Scheduled Intervals'!$U5*('Plan Summary'!$C$9/12)),ROUND(('Hours Per Job'!BN5*'Total Cost for Plan'!$B$36+'Parts Cost Per Job'!BN5*((1+'Total Cost for Plan'!$B$37)*'Total Cost for Plan'!$B$38))*ROUND('Plan Summary'!$C$9/12,0),2),0)</f>
        <v>320.14</v>
      </c>
      <c r="BO5" s="246">
        <f>IF(AND('Scheduled Intervals'!BO$4="annual",'Plan Summary'!$C$5&lt;'Scheduled Intervals'!$U5*('Plan Summary'!$C$9/12)),ROUND(('Hours Per Job'!BO5*'Total Cost for Plan'!$B$36+'Parts Cost Per Job'!BO5*((1+'Total Cost for Plan'!$B$37)*'Total Cost for Plan'!$B$38))*ROUND('Plan Summary'!$C$9/12,0),2),0)</f>
        <v>175.33</v>
      </c>
      <c r="BP5" s="246">
        <f>IF(AND('Scheduled Intervals'!BP$4="annual",'Plan Summary'!$C$5&lt;'Scheduled Intervals'!$U5*('Plan Summary'!$C$9/12)),ROUND(('Hours Per Job'!BP5*'Total Cost for Plan'!$B$36+'Parts Cost Per Job'!BP5*((1+'Total Cost for Plan'!$B$37)*'Total Cost for Plan'!$B$38))*ROUND('Plan Summary'!$C$9/12,0),2),0)</f>
        <v>630</v>
      </c>
      <c r="BQ5" s="246">
        <f t="shared" si="0"/>
        <v>2295.34</v>
      </c>
      <c r="BR5" s="246"/>
    </row>
    <row r="6" spans="1:70" ht="16" x14ac:dyDescent="0.2">
      <c r="A6" s="18" t="str">
        <f>+'Scheduled Intervals'!A6</f>
        <v>Zero Turn Diesel</v>
      </c>
      <c r="B6" s="246">
        <f>ROUND(('Hours Per Job'!B6*'Total Cost for Plan'!$B$36+'Parts Cost Per Job'!B6*((1+'Total Cost for Plan'!$B$37)*'Total Cost for Plan'!$B$38)),2)</f>
        <v>80.92</v>
      </c>
      <c r="C6" s="246">
        <f>ROUND(('Hours Per Job'!C6*'Total Cost for Plan'!$B$36+'Parts Cost Per Job'!C6*((1+'Total Cost for Plan'!$B$37)*'Total Cost for Plan'!$B$38)),2)</f>
        <v>0</v>
      </c>
      <c r="D6" s="246">
        <f>ROUND(('Hours Per Job'!D6*'Total Cost for Plan'!$B$36+'Parts Cost Per Job'!D6*((1+'Total Cost for Plan'!$B$37)*'Total Cost for Plan'!$B$38)),2)</f>
        <v>0</v>
      </c>
      <c r="E6" s="246">
        <f>ROUND(('Hours Per Job'!E6*'Total Cost for Plan'!$B$36+'Parts Cost Per Job'!E6*((1+'Total Cost for Plan'!$B$37)*'Total Cost for Plan'!$B$38)),2)</f>
        <v>0</v>
      </c>
      <c r="F6" s="246">
        <f>ROUND(('Hours Per Job'!F6*'Total Cost for Plan'!$B$36+'Parts Cost Per Job'!F6*((1+'Total Cost for Plan'!$B$37)*'Total Cost for Plan'!$B$38)),2)</f>
        <v>75.069999999999993</v>
      </c>
      <c r="G6" s="246">
        <f>ROUND(('Hours Per Job'!G6*'Total Cost for Plan'!$B$36+'Parts Cost Per Job'!G6*((1+'Total Cost for Plan'!$B$37)*'Total Cost for Plan'!$B$38)),2)</f>
        <v>0</v>
      </c>
      <c r="H6" s="246">
        <f>ROUND(('Hours Per Job'!H6*'Total Cost for Plan'!$B$36+'Parts Cost Per Job'!H6*((1+'Total Cost for Plan'!$B$37)*'Total Cost for Plan'!$B$38)),2)</f>
        <v>35.07</v>
      </c>
      <c r="I6" s="246">
        <f>ROUND(('Hours Per Job'!I6*'Total Cost for Plan'!$B$36+'Parts Cost Per Job'!I6*((1+'Total Cost for Plan'!$B$37)*'Total Cost for Plan'!$B$38)),2)</f>
        <v>30</v>
      </c>
      <c r="J6" s="246">
        <f>ROUND(('Hours Per Job'!J6*'Total Cost for Plan'!$B$36+'Parts Cost Per Job'!J6*((1+'Total Cost for Plan'!$B$37)*'Total Cost for Plan'!$B$38)),2)</f>
        <v>0</v>
      </c>
      <c r="K6" s="246">
        <f>ROUND(('Hours Per Job'!K6*'Total Cost for Plan'!$B$36+'Parts Cost Per Job'!K6*((1+'Total Cost for Plan'!$B$37)*'Total Cost for Plan'!$B$38)),2)</f>
        <v>0</v>
      </c>
      <c r="L6" s="246">
        <f>ROUND(('Hours Per Job'!L6*'Total Cost for Plan'!$B$36+'Parts Cost Per Job'!L6*((1+'Total Cost for Plan'!$B$37)*'Total Cost for Plan'!$B$38)),2)</f>
        <v>0</v>
      </c>
      <c r="M6" s="246">
        <f>ROUND(('Hours Per Job'!M6*'Total Cost for Plan'!$B$36+'Parts Cost Per Job'!M6*((1+'Total Cost for Plan'!$B$37)*'Total Cost for Plan'!$B$38)),2)</f>
        <v>0</v>
      </c>
      <c r="N6" s="246">
        <f>ROUND(('Hours Per Job'!N6*'Total Cost for Plan'!$B$36+'Parts Cost Per Job'!N6*((1+'Total Cost for Plan'!$B$37)*'Total Cost for Plan'!$B$38)),2)</f>
        <v>0</v>
      </c>
      <c r="O6" s="246">
        <f>ROUND(('Hours Per Job'!O6*'Total Cost for Plan'!$B$36+'Parts Cost Per Job'!O6*((1+'Total Cost for Plan'!$B$37)*'Total Cost for Plan'!$B$38)),2)</f>
        <v>0</v>
      </c>
      <c r="P6" s="246">
        <f>ROUND(('Hours Per Job'!P6*'Total Cost for Plan'!$B$36+'Parts Cost Per Job'!P6*((1+'Total Cost for Plan'!$B$37)*'Total Cost for Plan'!$B$38)),2)</f>
        <v>0</v>
      </c>
      <c r="Q6" s="246">
        <f>ROUND(('Hours Per Job'!Q6*'Total Cost for Plan'!$B$36+'Parts Cost Per Job'!Q6*((1+'Total Cost for Plan'!$B$37)*'Total Cost for Plan'!$B$38)),2)</f>
        <v>0</v>
      </c>
      <c r="R6" s="246">
        <f>ROUND(('Hours Per Job'!R6*'Total Cost for Plan'!$B$36+'Parts Cost Per Job'!R6*((1+'Total Cost for Plan'!$B$37)*'Total Cost for Plan'!$B$38)),2)</f>
        <v>0</v>
      </c>
      <c r="S6" s="246">
        <f>ROUND(('Hours Per Job'!S6*'Total Cost for Plan'!$B$36+'Parts Cost Per Job'!S6*((1+'Total Cost for Plan'!$B$37)*'Total Cost for Plan'!$B$38)),2)</f>
        <v>0</v>
      </c>
      <c r="T6" s="246">
        <f>ROUND(('Hours Per Job'!T6*'Total Cost for Plan'!$B$36+'Parts Cost Per Job'!T6*((1+'Total Cost for Plan'!$B$37)*'Total Cost for Plan'!$B$38)),2)</f>
        <v>0</v>
      </c>
      <c r="U6" s="246">
        <f>IF('Scheduled Intervals'!U6&gt;0,ROUND(('Hours Per Job'!U6*'Total Cost for Plan'!$B$36+'Parts Cost Per Job'!U6*((1+'Total Cost for Plan'!$B$37)*'Total Cost for Plan'!$B$38))*ROUNDDOWN($B$1/'Scheduled Intervals'!U6,0),2),0)</f>
        <v>80.92</v>
      </c>
      <c r="V6" s="246">
        <f>IF('Scheduled Intervals'!V6&gt;0,ROUND(('Hours Per Job'!V6*'Total Cost for Plan'!$B$36+'Parts Cost Per Job'!V6*((1+'Total Cost for Plan'!$B$37)*'Total Cost for Plan'!$B$38))*ROUNDDOWN($B$1/'Scheduled Intervals'!V6,0),2),0)</f>
        <v>0</v>
      </c>
      <c r="W6" s="246">
        <f>IF('Scheduled Intervals'!W6&gt;0,ROUND(('Hours Per Job'!W6*'Total Cost for Plan'!$B$36+'Parts Cost Per Job'!W6*((1+'Total Cost for Plan'!$B$37)*'Total Cost for Plan'!$B$38))*ROUNDDOWN($B$1/'Scheduled Intervals'!W6,0),2),0)</f>
        <v>0</v>
      </c>
      <c r="X6" s="246">
        <f>IF('Scheduled Intervals'!X6&gt;0,ROUND(('Hours Per Job'!X6*'Total Cost for Plan'!$B$36+'Parts Cost Per Job'!X6*((1+'Total Cost for Plan'!$B$37)*'Total Cost for Plan'!$B$38))*ROUNDDOWN($B$1/'Scheduled Intervals'!X6,0),2),0)</f>
        <v>0</v>
      </c>
      <c r="Y6" s="246">
        <f>IF('Scheduled Intervals'!Y6&gt;0,ROUND(('Hours Per Job'!Y6*'Total Cost for Plan'!$B$36+'Parts Cost Per Job'!Y6*((1+'Total Cost for Plan'!$B$37)*'Total Cost for Plan'!$B$38))*ROUNDDOWN($B$1/'Scheduled Intervals'!Y6,0),2),0)</f>
        <v>0</v>
      </c>
      <c r="Z6" s="246">
        <f>IF('Scheduled Intervals'!Z6&gt;0,ROUND(('Hours Per Job'!Z6*'Total Cost for Plan'!$B$36+'Parts Cost Per Job'!Z6*((1+'Total Cost for Plan'!$B$37)*'Total Cost for Plan'!$B$38))*ROUNDDOWN($B$1/'Scheduled Intervals'!Z6,0),2),0)</f>
        <v>0</v>
      </c>
      <c r="AA6" s="246">
        <f>IF('Scheduled Intervals'!AA6&gt;0,ROUND(('Hours Per Job'!AA6*'Total Cost for Plan'!$B$36+'Parts Cost Per Job'!AA6*((1+'Total Cost for Plan'!$B$37)*'Total Cost for Plan'!$B$38))*ROUNDDOWN($B$1/'Scheduled Intervals'!AA6,0),2),0)</f>
        <v>0</v>
      </c>
      <c r="AB6" s="246">
        <f>IF('Scheduled Intervals'!AB6&gt;0,ROUND(('Hours Per Job'!AB6*'Total Cost for Plan'!$B$36+'Parts Cost Per Job'!AB6*((1+'Total Cost for Plan'!$B$37)*'Total Cost for Plan'!$B$38))*ROUNDDOWN($B$1/'Scheduled Intervals'!AB6,0),2),0)</f>
        <v>0</v>
      </c>
      <c r="AC6" s="246">
        <f>IF('Scheduled Intervals'!AC6&gt;0,ROUND(('Hours Per Job'!AC6*'Total Cost for Plan'!$B$36+'Parts Cost Per Job'!AC6*((1+'Total Cost for Plan'!$B$37)*'Total Cost for Plan'!$B$38))*ROUNDDOWN($B$1/'Scheduled Intervals'!AC6,0),2),0)</f>
        <v>76.69</v>
      </c>
      <c r="AD6" s="246">
        <f>IF('Scheduled Intervals'!AD6&gt;0,ROUND(('Hours Per Job'!AD6*'Total Cost for Plan'!$B$36+'Parts Cost Per Job'!AD6*((1+'Total Cost for Plan'!$B$37)*'Total Cost for Plan'!$B$38))*ROUNDDOWN($B$1/'Scheduled Intervals'!AD6,0),2),0)</f>
        <v>0</v>
      </c>
      <c r="AE6" s="246">
        <f>IF('Scheduled Intervals'!AE6&gt;0,ROUND(('Hours Per Job'!AE6*'Total Cost for Plan'!$B$36+'Parts Cost Per Job'!AE6*((1+'Total Cost for Plan'!$B$37)*'Total Cost for Plan'!$B$38))*ROUNDDOWN($B$1/'Scheduled Intervals'!AE6,0),2),0)</f>
        <v>0</v>
      </c>
      <c r="AF6" s="246">
        <f>IF('Scheduled Intervals'!AF6&gt;0,ROUND(('Hours Per Job'!AF6*'Total Cost for Plan'!$B$36+'Parts Cost Per Job'!AF6*((1+'Total Cost for Plan'!$B$37)*'Total Cost for Plan'!$B$38))*ROUNDDOWN($B$1/'Scheduled Intervals'!AF6,0),2),0)</f>
        <v>0</v>
      </c>
      <c r="AG6" s="246">
        <f>IF('Scheduled Intervals'!AG6&gt;0,ROUND(('Hours Per Job'!AG6*'Total Cost for Plan'!$B$36+'Parts Cost Per Job'!AG6*((1+'Total Cost for Plan'!$B$37)*'Total Cost for Plan'!$B$38))*ROUNDDOWN($B$1/'Scheduled Intervals'!AG6,0),2),0)</f>
        <v>0</v>
      </c>
      <c r="AH6" s="246">
        <f>IF('Scheduled Intervals'!AH6&gt;0,ROUND(('Hours Per Job'!AH6*'Total Cost for Plan'!$B$36+'Parts Cost Per Job'!AH6*((1+'Total Cost for Plan'!$B$37)*'Total Cost for Plan'!$B$38))*ROUNDDOWN($B$1/'Scheduled Intervals'!AH6,0),2),0)</f>
        <v>0</v>
      </c>
      <c r="AI6" s="246">
        <f>IF('Scheduled Intervals'!AI6&gt;0,ROUND(('Hours Per Job'!AI6*'Total Cost for Plan'!$B$36+'Parts Cost Per Job'!AI6*((1+'Total Cost for Plan'!$B$37)*'Total Cost for Plan'!$B$38))*ROUNDDOWN($B$1/'Scheduled Intervals'!AI6,0),2),0)</f>
        <v>0</v>
      </c>
      <c r="AJ6" s="246">
        <f>IF('Scheduled Intervals'!AJ6&gt;0,ROUND(('Hours Per Job'!AJ6*'Total Cost for Plan'!$B$36+'Parts Cost Per Job'!AJ6*((1+'Total Cost for Plan'!$B$37)*'Total Cost for Plan'!$B$38))*ROUNDDOWN($B$1/'Scheduled Intervals'!AJ6,0),2),0)</f>
        <v>0</v>
      </c>
      <c r="AK6" s="246">
        <f>IF('Scheduled Intervals'!AK6&gt;0,ROUND(('Hours Per Job'!AK6*'Total Cost for Plan'!$B$36+'Parts Cost Per Job'!AK6*((1+'Total Cost for Plan'!$B$37)*'Total Cost for Plan'!$B$38))*ROUNDDOWN($B$1/'Scheduled Intervals'!AK6,0),2),0)</f>
        <v>0</v>
      </c>
      <c r="AL6" s="246">
        <f>IF('Scheduled Intervals'!AL6&gt;0,ROUND(('Hours Per Job'!AL6*'Total Cost for Plan'!$B$36+'Parts Cost Per Job'!AL6*((1+'Total Cost for Plan'!$B$37)*'Total Cost for Plan'!$B$38))*ROUNDDOWN($B$1/'Scheduled Intervals'!AL6,0),2),0)</f>
        <v>0</v>
      </c>
      <c r="AM6" s="246">
        <f>IF('Scheduled Intervals'!AM6&gt;0,ROUND(('Hours Per Job'!AM6*'Total Cost for Plan'!$B$36+'Parts Cost Per Job'!AM6*((1+'Total Cost for Plan'!$B$37)*'Total Cost for Plan'!$B$38))*ROUNDDOWN($B$1/'Scheduled Intervals'!AM6,0),2),0)</f>
        <v>0</v>
      </c>
      <c r="AN6" s="246">
        <f>IF('Scheduled Intervals'!AN6&gt;0,ROUND(('Hours Per Job'!AN6*'Total Cost for Plan'!$B$36+'Parts Cost Per Job'!AN6*((1+'Total Cost for Plan'!$B$37)*'Total Cost for Plan'!$B$38))*ROUNDDOWN($B$1/'Scheduled Intervals'!AN6,0),2),0)</f>
        <v>0</v>
      </c>
      <c r="AO6" s="246">
        <f>IF('Scheduled Intervals'!AO6&gt;0,ROUND(('Hours Per Job'!AO6*'Total Cost for Plan'!$B$36+'Parts Cost Per Job'!AO6*((1+'Total Cost for Plan'!$B$37)*'Total Cost for Plan'!$B$38))*ROUNDDOWN($B$1/'Scheduled Intervals'!AO6,0),2),0)</f>
        <v>0</v>
      </c>
      <c r="AP6" s="246">
        <f>IF('Scheduled Intervals'!AP6&gt;0,ROUND(('Hours Per Job'!AP6*'Total Cost for Plan'!$B$36+'Parts Cost Per Job'!AP6*((1+'Total Cost for Plan'!$B$37)*'Total Cost for Plan'!$B$38))*ROUNDDOWN($B$1/'Scheduled Intervals'!AP6,0),2),0)</f>
        <v>0</v>
      </c>
      <c r="AQ6" s="246">
        <f>IF('Scheduled Intervals'!AQ6&gt;0,ROUND(('Hours Per Job'!AQ6*'Total Cost for Plan'!$B$36+'Parts Cost Per Job'!AQ6*((1+'Total Cost for Plan'!$B$37)*'Total Cost for Plan'!$B$38))*ROUNDDOWN($B$1/'Scheduled Intervals'!AQ6,0),2),0)</f>
        <v>0</v>
      </c>
      <c r="AR6" s="246">
        <f>IF('Scheduled Intervals'!AR6&gt;0,ROUND(('Hours Per Job'!AR6*'Total Cost for Plan'!$B$36+'Parts Cost Per Job'!AR6*((1+'Total Cost for Plan'!$B$37)*'Total Cost for Plan'!$B$38))*ROUNDDOWN($B$1/'Scheduled Intervals'!AR6,0),2),0)</f>
        <v>0</v>
      </c>
      <c r="AS6" s="246">
        <f>IF('Scheduled Intervals'!AS6&gt;0,ROUND(('Hours Per Job'!AS6*'Total Cost for Plan'!$B$36+'Parts Cost Per Job'!AS6*((1+'Total Cost for Plan'!$B$37)*'Total Cost for Plan'!$B$38))*ROUNDDOWN($B$1/'Scheduled Intervals'!AS6,0),2),0)</f>
        <v>0</v>
      </c>
      <c r="AT6" s="246">
        <f>IF('Scheduled Intervals'!AT6&gt;0,ROUND(('Hours Per Job'!AT6*'Total Cost for Plan'!$B$36+'Parts Cost Per Job'!AT6*((1+'Total Cost for Plan'!$B$37)*'Total Cost for Plan'!$B$38))*ROUNDDOWN($B$1/'Scheduled Intervals'!AT6,0),2),0)</f>
        <v>35.07</v>
      </c>
      <c r="AU6" s="246">
        <f>IF('Scheduled Intervals'!AU6&gt;0,ROUND(('Hours Per Job'!AU6*'Total Cost for Plan'!$B$36+'Parts Cost Per Job'!AU6*((1+'Total Cost for Plan'!$B$37)*'Total Cost for Plan'!$B$38))*ROUNDDOWN($B$1/'Scheduled Intervals'!AU6,0),2),0)</f>
        <v>0</v>
      </c>
      <c r="AV6" s="246">
        <f>IF('Scheduled Intervals'!AV6&gt;0,ROUND(('Hours Per Job'!AV6*'Total Cost for Plan'!$B$36+'Parts Cost Per Job'!AV6*((1+'Total Cost for Plan'!$B$37)*'Total Cost for Plan'!$B$38))*ROUNDDOWN($B$1/'Scheduled Intervals'!AV6,0),2),0)</f>
        <v>0</v>
      </c>
      <c r="AW6" s="246">
        <f>IF('Scheduled Intervals'!AW6&gt;0,ROUND(('Hours Per Job'!AW6*'Total Cost for Plan'!$B$36+'Parts Cost Per Job'!AW6*((1+'Total Cost for Plan'!$B$37)*'Total Cost for Plan'!$B$38))*ROUNDDOWN($B$1/'Scheduled Intervals'!AW6,0),2),0)</f>
        <v>0</v>
      </c>
      <c r="AX6" s="246">
        <f>IF('Scheduled Intervals'!AX6&gt;0,ROUND(('Hours Per Job'!AX6*'Total Cost for Plan'!$B$36+'Parts Cost Per Job'!AX6*((1+'Total Cost for Plan'!$B$37)*'Total Cost for Plan'!$B$38))*ROUNDDOWN($B$1/'Scheduled Intervals'!AX6,0),2),0)</f>
        <v>0</v>
      </c>
      <c r="AY6" s="246">
        <f>IF('Scheduled Intervals'!AY6&gt;0,ROUND(('Hours Per Job'!AY6*'Total Cost for Plan'!$B$36+'Parts Cost Per Job'!AY6*((1+'Total Cost for Plan'!$B$37)*'Total Cost for Plan'!$B$38))*ROUNDDOWN($B$1/'Scheduled Intervals'!AY6,0),2),0)</f>
        <v>0</v>
      </c>
      <c r="AZ6" s="246">
        <f>IF('Scheduled Intervals'!AZ6&gt;0,ROUND(('Hours Per Job'!AZ6*'Total Cost for Plan'!$B$36+'Parts Cost Per Job'!AZ6*((1+'Total Cost for Plan'!$B$37)*'Total Cost for Plan'!$B$38))*ROUNDDOWN($B$1/'Scheduled Intervals'!AZ6,0),2),0)</f>
        <v>0</v>
      </c>
      <c r="BA6" s="246">
        <f>IF('Scheduled Intervals'!BA6&gt;0,ROUND(('Hours Per Job'!BA6*'Total Cost for Plan'!$B$36+'Parts Cost Per Job'!BA6*((1+'Total Cost for Plan'!$B$37)*'Total Cost for Plan'!$B$38))*ROUNDDOWN($B$1/'Scheduled Intervals'!BA6,0),2),0)</f>
        <v>0</v>
      </c>
      <c r="BB6" s="246">
        <f>IF('Scheduled Intervals'!BB6&gt;0,ROUND(('Hours Per Job'!BB6*'Total Cost for Plan'!$B$36+'Parts Cost Per Job'!BB6*((1+'Total Cost for Plan'!$B$37)*'Total Cost for Plan'!$B$38))*ROUNDDOWN($B$1/'Scheduled Intervals'!BB6,0),2),0)</f>
        <v>0</v>
      </c>
      <c r="BC6" s="246">
        <f>IF('Scheduled Intervals'!BC6&gt;0,ROUND(('Hours Per Job'!BC6*'Total Cost for Plan'!$B$36+'Parts Cost Per Job'!BC6*((1+'Total Cost for Plan'!$B$37)*'Total Cost for Plan'!$B$38))*ROUNDDOWN($B$1/'Scheduled Intervals'!BC6,0),2),0)</f>
        <v>0</v>
      </c>
      <c r="BD6" s="246">
        <f>IF('Scheduled Intervals'!BD6&gt;0,ROUND(('Hours Per Job'!BD6*'Total Cost for Plan'!$B$36+'Parts Cost Per Job'!BD6*((1+'Total Cost for Plan'!$B$37)*'Total Cost for Plan'!$B$38))*ROUNDDOWN($B$1/'Scheduled Intervals'!BD6,0),2),0)</f>
        <v>0</v>
      </c>
      <c r="BE6" s="246">
        <f>IF('Scheduled Intervals'!BE6&gt;0,ROUND(('Hours Per Job'!BE6*'Total Cost for Plan'!$B$36+'Parts Cost Per Job'!BE6*((1+'Total Cost for Plan'!$B$37)*'Total Cost for Plan'!$B$38))*ROUNDDOWN($B$1/'Scheduled Intervals'!BE6,0),2),0)</f>
        <v>0</v>
      </c>
      <c r="BF6" s="246">
        <f>IF('Scheduled Intervals'!BF6&gt;0,ROUND(('Hours Per Job'!BF6*'Total Cost for Plan'!$B$36+'Parts Cost Per Job'!BF6*((1+'Total Cost for Plan'!$B$37)*'Total Cost for Plan'!$B$38))*ROUNDDOWN($B$1/'Scheduled Intervals'!BF6,0),2),0)</f>
        <v>0</v>
      </c>
      <c r="BG6" s="246">
        <f>IF('Scheduled Intervals'!BG6&gt;0,ROUND(('Hours Per Job'!BG6*'Total Cost for Plan'!$B$36+'Parts Cost Per Job'!BG6*((1+'Total Cost for Plan'!$B$37)*'Total Cost for Plan'!$B$38))*ROUNDDOWN($B$1/'Scheduled Intervals'!BG6,0),2),0)</f>
        <v>0</v>
      </c>
      <c r="BH6" s="246">
        <f>IF('Scheduled Intervals'!BH6&gt;0,ROUND(('Hours Per Job'!BH6*'Total Cost for Plan'!$B$36+'Parts Cost Per Job'!BH6*((1+'Total Cost for Plan'!$B$37)*'Total Cost for Plan'!$B$38))*ROUNDDOWN($B$1/'Scheduled Intervals'!BH6,0),2),0)</f>
        <v>0</v>
      </c>
      <c r="BI6" s="246">
        <f>IF('Scheduled Intervals'!BI6&gt;0,ROUND(('Hours Per Job'!BI6*'Total Cost for Plan'!$B$36+'Parts Cost Per Job'!BI6*((1+'Total Cost for Plan'!$B$37)*'Total Cost for Plan'!$B$38))*ROUNDDOWN($B$1/'Scheduled Intervals'!BI6,0),2),0)</f>
        <v>12</v>
      </c>
      <c r="BJ6" s="246">
        <f>IF('Scheduled Intervals'!BJ6&gt;0,ROUND(('Hours Per Job'!BJ6*'Total Cost for Plan'!$B$36+'Parts Cost Per Job'!BJ6*((1+'Total Cost for Plan'!$B$37)*'Total Cost for Plan'!$B$38))*ROUNDDOWN($B$1/'Scheduled Intervals'!BJ6,0),2),0)</f>
        <v>30</v>
      </c>
      <c r="BK6" s="246">
        <f>IF('Scheduled Intervals'!BK6&gt;0,ROUND(('Hours Per Job'!BK6*'Total Cost for Plan'!$B$36+'Parts Cost Per Job'!BK6*((1+'Total Cost for Plan'!$B$37)*'Total Cost for Plan'!$B$38))*ROUNDDOWN($B$1/'Scheduled Intervals'!BK6,0),2),0)</f>
        <v>0</v>
      </c>
      <c r="BL6" s="246">
        <f>IF('Scheduled Intervals'!BL6&gt;0,ROUND(('Hours Per Job'!BL6*'Total Cost for Plan'!$B$36+'Parts Cost Per Job'!BL6*((1+'Total Cost for Plan'!$B$37)*'Total Cost for Plan'!$B$38))*ROUNDDOWN($B$1/'Scheduled Intervals'!BL6,0),2),0)</f>
        <v>0</v>
      </c>
      <c r="BM6" s="246">
        <f>IF('Scheduled Intervals'!BM6&gt;0,ROUND(('Hours Per Job'!BM6*'Total Cost for Plan'!$B$36+'Parts Cost Per Job'!BM6*((1+'Total Cost for Plan'!$B$37)*'Total Cost for Plan'!$B$38))*ROUNDDOWN($B$1/'Scheduled Intervals'!BM6,0),2),0)</f>
        <v>0</v>
      </c>
      <c r="BN6" s="246">
        <f>IF(AND('Scheduled Intervals'!BN$4="annual",'Plan Summary'!$C$5&lt;'Scheduled Intervals'!$U6*('Plan Summary'!$C$9/12)),ROUND(('Hours Per Job'!BN6*'Total Cost for Plan'!$B$36+'Parts Cost Per Job'!BN6*((1+'Total Cost for Plan'!$B$37)*'Total Cost for Plan'!$B$38))*ROUND('Plan Summary'!$C$9/12,0),2),0)</f>
        <v>404.59</v>
      </c>
      <c r="BO6" s="246">
        <f>IF(AND('Scheduled Intervals'!BO$4="annual",'Plan Summary'!$C$5&lt;'Scheduled Intervals'!$U6*('Plan Summary'!$C$9/12)),ROUND(('Hours Per Job'!BO6*'Total Cost for Plan'!$B$36+'Parts Cost Per Job'!BO6*((1+'Total Cost for Plan'!$B$37)*'Total Cost for Plan'!$B$38))*ROUND('Plan Summary'!$C$9/12,0),2),0)</f>
        <v>175.33</v>
      </c>
      <c r="BP6" s="246">
        <f>IF(AND('Scheduled Intervals'!BP$4="annual",'Plan Summary'!$C$5&lt;'Scheduled Intervals'!$U6*('Plan Summary'!$C$9/12)),ROUND(('Hours Per Job'!BP6*'Total Cost for Plan'!$B$36+'Parts Cost Per Job'!BP6*((1+'Total Cost for Plan'!$B$37)*'Total Cost for Plan'!$B$38))*ROUND('Plan Summary'!$C$9/12,0),2),0)</f>
        <v>630</v>
      </c>
      <c r="BQ6" s="246">
        <f t="shared" si="0"/>
        <v>1665.6599999999999</v>
      </c>
      <c r="BR6" s="246"/>
    </row>
    <row r="7" spans="1:70" ht="16" x14ac:dyDescent="0.2">
      <c r="A7" s="18" t="str">
        <f>+'Scheduled Intervals'!A7</f>
        <v>Compact L series</v>
      </c>
      <c r="B7" s="246">
        <f>ROUND(('Hours Per Job'!B7*'Total Cost for Plan'!$B$36+'Parts Cost Per Job'!B7*((1+'Total Cost for Plan'!$B$37)*'Total Cost for Plan'!$B$38)),2)</f>
        <v>93.92</v>
      </c>
      <c r="C7" s="246">
        <f>ROUND(('Hours Per Job'!C7*'Total Cost for Plan'!$B$36+'Parts Cost Per Job'!C7*((1+'Total Cost for Plan'!$B$37)*'Total Cost for Plan'!$B$38)),2)</f>
        <v>0</v>
      </c>
      <c r="D7" s="246">
        <f>ROUND(('Hours Per Job'!D7*'Total Cost for Plan'!$B$36+'Parts Cost Per Job'!D7*((1+'Total Cost for Plan'!$B$37)*'Total Cost for Plan'!$B$38)),2)</f>
        <v>0</v>
      </c>
      <c r="E7" s="246">
        <f>ROUND(('Hours Per Job'!E7*'Total Cost for Plan'!$B$36+'Parts Cost Per Job'!E7*((1+'Total Cost for Plan'!$B$37)*'Total Cost for Plan'!$B$38)),2)</f>
        <v>0</v>
      </c>
      <c r="F7" s="246">
        <f>ROUND(('Hours Per Job'!F7*'Total Cost for Plan'!$B$36+'Parts Cost Per Job'!F7*((1+'Total Cost for Plan'!$B$37)*'Total Cost for Plan'!$B$38)),2)</f>
        <v>87.07</v>
      </c>
      <c r="G7" s="246">
        <f>ROUND(('Hours Per Job'!G7*'Total Cost for Plan'!$B$36+'Parts Cost Per Job'!G7*((1+'Total Cost for Plan'!$B$37)*'Total Cost for Plan'!$B$38)),2)</f>
        <v>0</v>
      </c>
      <c r="H7" s="246">
        <f>ROUND(('Hours Per Job'!H7*'Total Cost for Plan'!$B$36+'Parts Cost Per Job'!H7*((1+'Total Cost for Plan'!$B$37)*'Total Cost for Plan'!$B$38)),2)</f>
        <v>35.07</v>
      </c>
      <c r="I7" s="246">
        <f>ROUND(('Hours Per Job'!I7*'Total Cost for Plan'!$B$36+'Parts Cost Per Job'!I7*((1+'Total Cost for Plan'!$B$37)*'Total Cost for Plan'!$B$38)),2)</f>
        <v>30</v>
      </c>
      <c r="J7" s="246">
        <f>ROUND(('Hours Per Job'!J7*'Total Cost for Plan'!$B$36+'Parts Cost Per Job'!J7*((1+'Total Cost for Plan'!$B$37)*'Total Cost for Plan'!$B$38)),2)</f>
        <v>0</v>
      </c>
      <c r="K7" s="246">
        <f>ROUND(('Hours Per Job'!K7*'Total Cost for Plan'!$B$36+'Parts Cost Per Job'!K7*((1+'Total Cost for Plan'!$B$37)*'Total Cost for Plan'!$B$38)),2)</f>
        <v>0</v>
      </c>
      <c r="L7" s="246">
        <f>ROUND(('Hours Per Job'!L7*'Total Cost for Plan'!$B$36+'Parts Cost Per Job'!L7*((1+'Total Cost for Plan'!$B$37)*'Total Cost for Plan'!$B$38)),2)</f>
        <v>0</v>
      </c>
      <c r="M7" s="246">
        <f>ROUND(('Hours Per Job'!M7*'Total Cost for Plan'!$B$36+'Parts Cost Per Job'!M7*((1+'Total Cost for Plan'!$B$37)*'Total Cost for Plan'!$B$38)),2)</f>
        <v>99.07</v>
      </c>
      <c r="N7" s="246">
        <f>ROUND(('Hours Per Job'!N7*'Total Cost for Plan'!$B$36+'Parts Cost Per Job'!N7*((1+'Total Cost for Plan'!$B$37)*'Total Cost for Plan'!$B$38)),2)</f>
        <v>0</v>
      </c>
      <c r="O7" s="246">
        <f>ROUND(('Hours Per Job'!O7*'Total Cost for Plan'!$B$36+'Parts Cost Per Job'!O7*((1+'Total Cost for Plan'!$B$37)*'Total Cost for Plan'!$B$38)),2)</f>
        <v>0</v>
      </c>
      <c r="P7" s="246">
        <f>ROUND(('Hours Per Job'!P7*'Total Cost for Plan'!$B$36+'Parts Cost Per Job'!P7*((1+'Total Cost for Plan'!$B$37)*'Total Cost for Plan'!$B$38)),2)</f>
        <v>0</v>
      </c>
      <c r="Q7" s="246">
        <f>ROUND(('Hours Per Job'!Q7*'Total Cost for Plan'!$B$36+'Parts Cost Per Job'!Q7*((1+'Total Cost for Plan'!$B$37)*'Total Cost for Plan'!$B$38)),2)</f>
        <v>0</v>
      </c>
      <c r="R7" s="246">
        <f>ROUND(('Hours Per Job'!R7*'Total Cost for Plan'!$B$36+'Parts Cost Per Job'!R7*((1+'Total Cost for Plan'!$B$37)*'Total Cost for Plan'!$B$38)),2)</f>
        <v>0</v>
      </c>
      <c r="S7" s="246">
        <f>ROUND(('Hours Per Job'!S7*'Total Cost for Plan'!$B$36+'Parts Cost Per Job'!S7*((1+'Total Cost for Plan'!$B$37)*'Total Cost for Plan'!$B$38)),2)</f>
        <v>0</v>
      </c>
      <c r="T7" s="246">
        <f>ROUND(('Hours Per Job'!T7*'Total Cost for Plan'!$B$36+'Parts Cost Per Job'!T7*((1+'Total Cost for Plan'!$B$37)*'Total Cost for Plan'!$B$38)),2)</f>
        <v>0</v>
      </c>
      <c r="U7" s="246">
        <f>IF('Scheduled Intervals'!U7&gt;0,ROUND(('Hours Per Job'!U7*'Total Cost for Plan'!$B$36+'Parts Cost Per Job'!U7*((1+'Total Cost for Plan'!$B$37)*'Total Cost for Plan'!$B$38))*ROUNDDOWN($B$1/'Scheduled Intervals'!U7,0),2),0)</f>
        <v>93.92</v>
      </c>
      <c r="V7" s="246">
        <f>IF('Scheduled Intervals'!V7&gt;0,ROUND(('Hours Per Job'!V7*'Total Cost for Plan'!$B$36+'Parts Cost Per Job'!V7*((1+'Total Cost for Plan'!$B$37)*'Total Cost for Plan'!$B$38))*ROUNDDOWN($B$1/'Scheduled Intervals'!V7,0),2),0)</f>
        <v>0</v>
      </c>
      <c r="W7" s="246">
        <f>IF('Scheduled Intervals'!W7&gt;0,ROUND(('Hours Per Job'!W7*'Total Cost for Plan'!$B$36+'Parts Cost Per Job'!W7*((1+'Total Cost for Plan'!$B$37)*'Total Cost for Plan'!$B$38))*ROUNDDOWN($B$1/'Scheduled Intervals'!W7,0),2),0)</f>
        <v>0</v>
      </c>
      <c r="X7" s="246">
        <f>IF('Scheduled Intervals'!X7&gt;0,ROUND(('Hours Per Job'!X7*'Total Cost for Plan'!$B$36+'Parts Cost Per Job'!X7*((1+'Total Cost for Plan'!$B$37)*'Total Cost for Plan'!$B$38))*ROUNDDOWN($B$1/'Scheduled Intervals'!X7,0),2),0)</f>
        <v>0</v>
      </c>
      <c r="Y7" s="246">
        <f>IF('Scheduled Intervals'!Y7&gt;0,ROUND(('Hours Per Job'!Y7*'Total Cost for Plan'!$B$36+'Parts Cost Per Job'!Y7*((1+'Total Cost for Plan'!$B$37)*'Total Cost for Plan'!$B$38))*ROUNDDOWN($B$1/'Scheduled Intervals'!Y7,0),2),0)</f>
        <v>0</v>
      </c>
      <c r="Z7" s="246">
        <f>IF('Scheduled Intervals'!Z7&gt;0,ROUND(('Hours Per Job'!Z7*'Total Cost for Plan'!$B$36+'Parts Cost Per Job'!Z7*((1+'Total Cost for Plan'!$B$37)*'Total Cost for Plan'!$B$38))*ROUNDDOWN($B$1/'Scheduled Intervals'!Z7,0),2),0)</f>
        <v>0</v>
      </c>
      <c r="AA7" s="246">
        <f>IF('Scheduled Intervals'!AA7&gt;0,ROUND(('Hours Per Job'!AA7*'Total Cost for Plan'!$B$36+'Parts Cost Per Job'!AA7*((1+'Total Cost for Plan'!$B$37)*'Total Cost for Plan'!$B$38))*ROUNDDOWN($B$1/'Scheduled Intervals'!AA7,0),2),0)</f>
        <v>0</v>
      </c>
      <c r="AB7" s="246">
        <f>IF('Scheduled Intervals'!AB7&gt;0,ROUND(('Hours Per Job'!AB7*'Total Cost for Plan'!$B$36+'Parts Cost Per Job'!AB7*((1+'Total Cost for Plan'!$B$37)*'Total Cost for Plan'!$B$38))*ROUNDDOWN($B$1/'Scheduled Intervals'!AB7,0),2),0)</f>
        <v>0</v>
      </c>
      <c r="AC7" s="246">
        <f>IF('Scheduled Intervals'!AC7&gt;0,ROUND(('Hours Per Job'!AC7*'Total Cost for Plan'!$B$36+'Parts Cost Per Job'!AC7*((1+'Total Cost for Plan'!$B$37)*'Total Cost for Plan'!$B$38))*ROUNDDOWN($B$1/'Scheduled Intervals'!AC7,0),2),0)</f>
        <v>51.07</v>
      </c>
      <c r="AD7" s="246">
        <f>IF('Scheduled Intervals'!AD7&gt;0,ROUND(('Hours Per Job'!AD7*'Total Cost for Plan'!$B$36+'Parts Cost Per Job'!AD7*((1+'Total Cost for Plan'!$B$37)*'Total Cost for Plan'!$B$38))*ROUNDDOWN($B$1/'Scheduled Intervals'!AD7,0),2),0)</f>
        <v>0</v>
      </c>
      <c r="AE7" s="246">
        <f>IF('Scheduled Intervals'!AE7&gt;0,ROUND(('Hours Per Job'!AE7*'Total Cost for Plan'!$B$36+'Parts Cost Per Job'!AE7*((1+'Total Cost for Plan'!$B$37)*'Total Cost for Plan'!$B$38))*ROUNDDOWN($B$1/'Scheduled Intervals'!AE7,0),2),0)</f>
        <v>0</v>
      </c>
      <c r="AF7" s="246">
        <f>IF('Scheduled Intervals'!AF7&gt;0,ROUND(('Hours Per Job'!AF7*'Total Cost for Plan'!$B$36+'Parts Cost Per Job'!AF7*((1+'Total Cost for Plan'!$B$37)*'Total Cost for Plan'!$B$38))*ROUNDDOWN($B$1/'Scheduled Intervals'!AF7,0),2),0)</f>
        <v>0</v>
      </c>
      <c r="AG7" s="246">
        <f>IF('Scheduled Intervals'!AG7&gt;0,ROUND(('Hours Per Job'!AG7*'Total Cost for Plan'!$B$36+'Parts Cost Per Job'!AG7*((1+'Total Cost for Plan'!$B$37)*'Total Cost for Plan'!$B$38))*ROUNDDOWN($B$1/'Scheduled Intervals'!AG7,0),2),0)</f>
        <v>0</v>
      </c>
      <c r="AH7" s="246">
        <f>IF('Scheduled Intervals'!AH7&gt;0,ROUND(('Hours Per Job'!AH7*'Total Cost for Plan'!$B$36+'Parts Cost Per Job'!AH7*((1+'Total Cost for Plan'!$B$37)*'Total Cost for Plan'!$B$38))*ROUNDDOWN($B$1/'Scheduled Intervals'!AH7,0),2),0)</f>
        <v>0</v>
      </c>
      <c r="AI7" s="246">
        <f>IF('Scheduled Intervals'!AI7&gt;0,ROUND(('Hours Per Job'!AI7*'Total Cost for Plan'!$B$36+'Parts Cost Per Job'!AI7*((1+'Total Cost for Plan'!$B$37)*'Total Cost for Plan'!$B$38))*ROUNDDOWN($B$1/'Scheduled Intervals'!AI7,0),2),0)</f>
        <v>0</v>
      </c>
      <c r="AJ7" s="246">
        <f>IF('Scheduled Intervals'!AJ7&gt;0,ROUND(('Hours Per Job'!AJ7*'Total Cost for Plan'!$B$36+'Parts Cost Per Job'!AJ7*((1+'Total Cost for Plan'!$B$37)*'Total Cost for Plan'!$B$38))*ROUNDDOWN($B$1/'Scheduled Intervals'!AJ7,0),2),0)</f>
        <v>0</v>
      </c>
      <c r="AK7" s="246">
        <f>IF('Scheduled Intervals'!AK7&gt;0,ROUND(('Hours Per Job'!AK7*'Total Cost for Plan'!$B$36+'Parts Cost Per Job'!AK7*((1+'Total Cost for Plan'!$B$37)*'Total Cost for Plan'!$B$38))*ROUNDDOWN($B$1/'Scheduled Intervals'!AK7,0),2),0)</f>
        <v>0</v>
      </c>
      <c r="AL7" s="246">
        <f>IF('Scheduled Intervals'!AL7&gt;0,ROUND(('Hours Per Job'!AL7*'Total Cost for Plan'!$B$36+'Parts Cost Per Job'!AL7*((1+'Total Cost for Plan'!$B$37)*'Total Cost for Plan'!$B$38))*ROUNDDOWN($B$1/'Scheduled Intervals'!AL7,0),2),0)</f>
        <v>0</v>
      </c>
      <c r="AM7" s="246">
        <f>IF('Scheduled Intervals'!AM7&gt;0,ROUND(('Hours Per Job'!AM7*'Total Cost for Plan'!$B$36+'Parts Cost Per Job'!AM7*((1+'Total Cost for Plan'!$B$37)*'Total Cost for Plan'!$B$38))*ROUNDDOWN($B$1/'Scheduled Intervals'!AM7,0),2),0)</f>
        <v>0</v>
      </c>
      <c r="AN7" s="246">
        <f>IF('Scheduled Intervals'!AN7&gt;0,ROUND(('Hours Per Job'!AN7*'Total Cost for Plan'!$B$36+'Parts Cost Per Job'!AN7*((1+'Total Cost for Plan'!$B$37)*'Total Cost for Plan'!$B$38))*ROUNDDOWN($B$1/'Scheduled Intervals'!AN7,0),2),0)</f>
        <v>0</v>
      </c>
      <c r="AO7" s="246">
        <f>IF('Scheduled Intervals'!AO7&gt;0,ROUND(('Hours Per Job'!AO7*'Total Cost for Plan'!$B$36+'Parts Cost Per Job'!AO7*((1+'Total Cost for Plan'!$B$37)*'Total Cost for Plan'!$B$38))*ROUNDDOWN($B$1/'Scheduled Intervals'!AO7,0),2),0)</f>
        <v>0</v>
      </c>
      <c r="AP7" s="246">
        <f>IF('Scheduled Intervals'!AP7&gt;0,ROUND(('Hours Per Job'!AP7*'Total Cost for Plan'!$B$36+'Parts Cost Per Job'!AP7*((1+'Total Cost for Plan'!$B$37)*'Total Cost for Plan'!$B$38))*ROUNDDOWN($B$1/'Scheduled Intervals'!AP7,0),2),0)</f>
        <v>36</v>
      </c>
      <c r="AQ7" s="246">
        <f>IF('Scheduled Intervals'!AQ7&gt;0,ROUND(('Hours Per Job'!AQ7*'Total Cost for Plan'!$B$36+'Parts Cost Per Job'!AQ7*((1+'Total Cost for Plan'!$B$37)*'Total Cost for Plan'!$B$38))*ROUNDDOWN($B$1/'Scheduled Intervals'!AQ7,0),2),0)</f>
        <v>24</v>
      </c>
      <c r="AR7" s="246">
        <f>IF('Scheduled Intervals'!AR7&gt;0,ROUND(('Hours Per Job'!AR7*'Total Cost for Plan'!$B$36+'Parts Cost Per Job'!AR7*((1+'Total Cost for Plan'!$B$37)*'Total Cost for Plan'!$B$38))*ROUNDDOWN($B$1/'Scheduled Intervals'!AR7,0),2),0)</f>
        <v>0</v>
      </c>
      <c r="AS7" s="246">
        <f>IF('Scheduled Intervals'!AS7&gt;0,ROUND(('Hours Per Job'!AS7*'Total Cost for Plan'!$B$36+'Parts Cost Per Job'!AS7*((1+'Total Cost for Plan'!$B$37)*'Total Cost for Plan'!$B$38))*ROUNDDOWN($B$1/'Scheduled Intervals'!AS7,0),2),0)</f>
        <v>0</v>
      </c>
      <c r="AT7" s="246">
        <f>IF('Scheduled Intervals'!AT7&gt;0,ROUND(('Hours Per Job'!AT7*'Total Cost for Plan'!$B$36+'Parts Cost Per Job'!AT7*((1+'Total Cost for Plan'!$B$37)*'Total Cost for Plan'!$B$38))*ROUNDDOWN($B$1/'Scheduled Intervals'!AT7,0),2),0)</f>
        <v>35.07</v>
      </c>
      <c r="AU7" s="246">
        <f>IF('Scheduled Intervals'!AU7&gt;0,ROUND(('Hours Per Job'!AU7*'Total Cost for Plan'!$B$36+'Parts Cost Per Job'!AU7*((1+'Total Cost for Plan'!$B$37)*'Total Cost for Plan'!$B$38))*ROUNDDOWN($B$1/'Scheduled Intervals'!AU7,0),2),0)</f>
        <v>0</v>
      </c>
      <c r="AV7" s="246">
        <f>IF('Scheduled Intervals'!AV7&gt;0,ROUND(('Hours Per Job'!AV7*'Total Cost for Plan'!$B$36+'Parts Cost Per Job'!AV7*((1+'Total Cost for Plan'!$B$37)*'Total Cost for Plan'!$B$38))*ROUNDDOWN($B$1/'Scheduled Intervals'!AV7,0),2),0)</f>
        <v>0</v>
      </c>
      <c r="AW7" s="246">
        <f>IF('Scheduled Intervals'!AW7&gt;0,ROUND(('Hours Per Job'!AW7*'Total Cost for Plan'!$B$36+'Parts Cost Per Job'!AW7*((1+'Total Cost for Plan'!$B$37)*'Total Cost for Plan'!$B$38))*ROUNDDOWN($B$1/'Scheduled Intervals'!AW7,0),2),0)</f>
        <v>0</v>
      </c>
      <c r="AX7" s="246">
        <f>IF('Scheduled Intervals'!AX7&gt;0,ROUND(('Hours Per Job'!AX7*'Total Cost for Plan'!$B$36+'Parts Cost Per Job'!AX7*((1+'Total Cost for Plan'!$B$37)*'Total Cost for Plan'!$B$38))*ROUNDDOWN($B$1/'Scheduled Intervals'!AX7,0),2),0)</f>
        <v>0</v>
      </c>
      <c r="AY7" s="246">
        <f>IF('Scheduled Intervals'!AY7&gt;0,ROUND(('Hours Per Job'!AY7*'Total Cost for Plan'!$B$36+'Parts Cost Per Job'!AY7*((1+'Total Cost for Plan'!$B$37)*'Total Cost for Plan'!$B$38))*ROUNDDOWN($B$1/'Scheduled Intervals'!AY7,0),2),0)</f>
        <v>0</v>
      </c>
      <c r="AZ7" s="246">
        <f>IF('Scheduled Intervals'!AZ7&gt;0,ROUND(('Hours Per Job'!AZ7*'Total Cost for Plan'!$B$36+'Parts Cost Per Job'!AZ7*((1+'Total Cost for Plan'!$B$37)*'Total Cost for Plan'!$B$38))*ROUNDDOWN($B$1/'Scheduled Intervals'!AZ7,0),2),0)</f>
        <v>0</v>
      </c>
      <c r="BA7" s="246">
        <f>IF('Scheduled Intervals'!BA7&gt;0,ROUND(('Hours Per Job'!BA7*'Total Cost for Plan'!$B$36+'Parts Cost Per Job'!BA7*((1+'Total Cost for Plan'!$B$37)*'Total Cost for Plan'!$B$38))*ROUNDDOWN($B$1/'Scheduled Intervals'!BA7,0),2),0)</f>
        <v>0</v>
      </c>
      <c r="BB7" s="246">
        <f>IF('Scheduled Intervals'!BB7&gt;0,ROUND(('Hours Per Job'!BB7*'Total Cost for Plan'!$B$36+'Parts Cost Per Job'!BB7*((1+'Total Cost for Plan'!$B$37)*'Total Cost for Plan'!$B$38))*ROUNDDOWN($B$1/'Scheduled Intervals'!BB7,0),2),0)</f>
        <v>0</v>
      </c>
      <c r="BC7" s="246">
        <f>IF('Scheduled Intervals'!BC7&gt;0,ROUND(('Hours Per Job'!BC7*'Total Cost for Plan'!$B$36+'Parts Cost Per Job'!BC7*((1+'Total Cost for Plan'!$B$37)*'Total Cost for Plan'!$B$38))*ROUNDDOWN($B$1/'Scheduled Intervals'!BC7,0),2),0)</f>
        <v>0</v>
      </c>
      <c r="BD7" s="246">
        <f>IF('Scheduled Intervals'!BD7&gt;0,ROUND(('Hours Per Job'!BD7*'Total Cost for Plan'!$B$36+'Parts Cost Per Job'!BD7*((1+'Total Cost for Plan'!$B$37)*'Total Cost for Plan'!$B$38))*ROUNDDOWN($B$1/'Scheduled Intervals'!BD7,0),2),0)</f>
        <v>0</v>
      </c>
      <c r="BE7" s="246">
        <f>IF('Scheduled Intervals'!BE7&gt;0,ROUND(('Hours Per Job'!BE7*'Total Cost for Plan'!$B$36+'Parts Cost Per Job'!BE7*((1+'Total Cost for Plan'!$B$37)*'Total Cost for Plan'!$B$38))*ROUNDDOWN($B$1/'Scheduled Intervals'!BE7,0),2),0)</f>
        <v>0</v>
      </c>
      <c r="BF7" s="246">
        <f>IF('Scheduled Intervals'!BF7&gt;0,ROUND(('Hours Per Job'!BF7*'Total Cost for Plan'!$B$36+'Parts Cost Per Job'!BF7*((1+'Total Cost for Plan'!$B$37)*'Total Cost for Plan'!$B$38))*ROUNDDOWN($B$1/'Scheduled Intervals'!BF7,0),2),0)</f>
        <v>0</v>
      </c>
      <c r="BG7" s="246">
        <f>IF('Scheduled Intervals'!BG7&gt;0,ROUND(('Hours Per Job'!BG7*'Total Cost for Plan'!$B$36+'Parts Cost Per Job'!BG7*((1+'Total Cost for Plan'!$B$37)*'Total Cost for Plan'!$B$38))*ROUNDDOWN($B$1/'Scheduled Intervals'!BG7,0),2),0)</f>
        <v>0</v>
      </c>
      <c r="BH7" s="246">
        <f>IF('Scheduled Intervals'!BH7&gt;0,ROUND(('Hours Per Job'!BH7*'Total Cost for Plan'!$B$36+'Parts Cost Per Job'!BH7*((1+'Total Cost for Plan'!$B$37)*'Total Cost for Plan'!$B$38))*ROUNDDOWN($B$1/'Scheduled Intervals'!BH7,0),2),0)</f>
        <v>0</v>
      </c>
      <c r="BI7" s="246">
        <f>IF('Scheduled Intervals'!BI7&gt;0,ROUND(('Hours Per Job'!BI7*'Total Cost for Plan'!$B$36+'Parts Cost Per Job'!BI7*((1+'Total Cost for Plan'!$B$37)*'Total Cost for Plan'!$B$38))*ROUNDDOWN($B$1/'Scheduled Intervals'!BI7,0),2),0)</f>
        <v>0</v>
      </c>
      <c r="BJ7" s="246">
        <f>IF('Scheduled Intervals'!BJ7&gt;0,ROUND(('Hours Per Job'!BJ7*'Total Cost for Plan'!$B$36+'Parts Cost Per Job'!BJ7*((1+'Total Cost for Plan'!$B$37)*'Total Cost for Plan'!$B$38))*ROUNDDOWN($B$1/'Scheduled Intervals'!BJ7,0),2),0)</f>
        <v>30</v>
      </c>
      <c r="BK7" s="246">
        <f>IF('Scheduled Intervals'!BK7&gt;0,ROUND(('Hours Per Job'!BK7*'Total Cost for Plan'!$B$36+'Parts Cost Per Job'!BK7*((1+'Total Cost for Plan'!$B$37)*'Total Cost for Plan'!$B$38))*ROUNDDOWN($B$1/'Scheduled Intervals'!BK7,0),2),0)</f>
        <v>0</v>
      </c>
      <c r="BL7" s="246">
        <f>IF('Scheduled Intervals'!BL7&gt;0,ROUND(('Hours Per Job'!BL7*'Total Cost for Plan'!$B$36+'Parts Cost Per Job'!BL7*((1+'Total Cost for Plan'!$B$37)*'Total Cost for Plan'!$B$38))*ROUNDDOWN($B$1/'Scheduled Intervals'!BL7,0),2),0)</f>
        <v>0</v>
      </c>
      <c r="BM7" s="246">
        <f>IF('Scheduled Intervals'!BM7&gt;0,ROUND(('Hours Per Job'!BM7*'Total Cost for Plan'!$B$36+'Parts Cost Per Job'!BM7*((1+'Total Cost for Plan'!$B$37)*'Total Cost for Plan'!$B$38))*ROUNDDOWN($B$1/'Scheduled Intervals'!BM7,0),2),0)</f>
        <v>0</v>
      </c>
      <c r="BN7" s="246">
        <f>IF(AND('Scheduled Intervals'!BN$4="annual",'Plan Summary'!$C$5&lt;'Scheduled Intervals'!$U7*('Plan Summary'!$C$9/12)),ROUND(('Hours Per Job'!BN7*'Total Cost for Plan'!$B$36+'Parts Cost Per Job'!BN7*((1+'Total Cost for Plan'!$B$37)*'Total Cost for Plan'!$B$38))*ROUND('Plan Summary'!$C$9/12,0),2),0)</f>
        <v>469.61</v>
      </c>
      <c r="BO7" s="246">
        <f>IF(AND('Scheduled Intervals'!BO$4="annual",'Plan Summary'!$C$5&lt;'Scheduled Intervals'!$U7*('Plan Summary'!$C$9/12)),ROUND(('Hours Per Job'!BO7*'Total Cost for Plan'!$B$36+'Parts Cost Per Job'!BO7*((1+'Total Cost for Plan'!$B$37)*'Total Cost for Plan'!$B$38))*ROUND('Plan Summary'!$C$9/12,0),2),0)</f>
        <v>175.33</v>
      </c>
      <c r="BP7" s="246">
        <f>IF(AND('Scheduled Intervals'!BP$4="annual",'Plan Summary'!$C$5&lt;'Scheduled Intervals'!$U7*('Plan Summary'!$C$9/12)),ROUND(('Hours Per Job'!BP7*'Total Cost for Plan'!$B$36+'Parts Cost Per Job'!BP7*((1+'Total Cost for Plan'!$B$37)*'Total Cost for Plan'!$B$38))*ROUND('Plan Summary'!$C$9/12,0),2),0)</f>
        <v>630</v>
      </c>
      <c r="BQ7" s="246">
        <f t="shared" si="0"/>
        <v>1890.13</v>
      </c>
      <c r="BR7" s="246"/>
    </row>
    <row r="8" spans="1:70" ht="16" x14ac:dyDescent="0.2">
      <c r="A8" s="18" t="str">
        <f>+'Scheduled Intervals'!A8</f>
        <v>Utility under 75 MX&amp;M</v>
      </c>
      <c r="B8" s="246">
        <f>ROUND(('Hours Per Job'!B8*'Total Cost for Plan'!$B$36+'Parts Cost Per Job'!B8*((1+'Total Cost for Plan'!$B$37)*'Total Cost for Plan'!$B$38)),2)</f>
        <v>106.01</v>
      </c>
      <c r="C8" s="246">
        <f>ROUND(('Hours Per Job'!C8*'Total Cost for Plan'!$B$36+'Parts Cost Per Job'!C8*((1+'Total Cost for Plan'!$B$37)*'Total Cost for Plan'!$B$38)),2)</f>
        <v>0</v>
      </c>
      <c r="D8" s="246">
        <f>ROUND(('Hours Per Job'!D8*'Total Cost for Plan'!$B$36+'Parts Cost Per Job'!D8*((1+'Total Cost for Plan'!$B$37)*'Total Cost for Plan'!$B$38)),2)</f>
        <v>0</v>
      </c>
      <c r="E8" s="246">
        <f>ROUND(('Hours Per Job'!E8*'Total Cost for Plan'!$B$36+'Parts Cost Per Job'!E8*((1+'Total Cost for Plan'!$B$37)*'Total Cost for Plan'!$B$38)),2)</f>
        <v>0</v>
      </c>
      <c r="F8" s="246">
        <f>ROUND(('Hours Per Job'!F8*'Total Cost for Plan'!$B$36+'Parts Cost Per Job'!F8*((1+'Total Cost for Plan'!$B$37)*'Total Cost for Plan'!$B$38)),2)</f>
        <v>161.44</v>
      </c>
      <c r="G8" s="246">
        <f>ROUND(('Hours Per Job'!G8*'Total Cost for Plan'!$B$36+'Parts Cost Per Job'!G8*((1+'Total Cost for Plan'!$B$37)*'Total Cost for Plan'!$B$38)),2)</f>
        <v>0</v>
      </c>
      <c r="H8" s="246">
        <f>ROUND(('Hours Per Job'!H8*'Total Cost for Plan'!$B$36+'Parts Cost Per Job'!H8*((1+'Total Cost for Plan'!$B$37)*'Total Cost for Plan'!$B$38)),2)</f>
        <v>35.07</v>
      </c>
      <c r="I8" s="246">
        <f>ROUND(('Hours Per Job'!I8*'Total Cost for Plan'!$B$36+'Parts Cost Per Job'!I8*((1+'Total Cost for Plan'!$B$37)*'Total Cost for Plan'!$B$38)),2)</f>
        <v>30</v>
      </c>
      <c r="J8" s="246">
        <f>ROUND(('Hours Per Job'!J8*'Total Cost for Plan'!$B$36+'Parts Cost Per Job'!J8*((1+'Total Cost for Plan'!$B$37)*'Total Cost for Plan'!$B$38)),2)</f>
        <v>0</v>
      </c>
      <c r="K8" s="246">
        <f>ROUND(('Hours Per Job'!K8*'Total Cost for Plan'!$B$36+'Parts Cost Per Job'!K8*((1+'Total Cost for Plan'!$B$37)*'Total Cost for Plan'!$B$38)),2)</f>
        <v>0</v>
      </c>
      <c r="L8" s="246">
        <f>ROUND(('Hours Per Job'!L8*'Total Cost for Plan'!$B$36+'Parts Cost Per Job'!L8*((1+'Total Cost for Plan'!$B$37)*'Total Cost for Plan'!$B$38)),2)</f>
        <v>0</v>
      </c>
      <c r="M8" s="246">
        <f>ROUND(('Hours Per Job'!M8*'Total Cost for Plan'!$B$36+'Parts Cost Per Job'!M8*((1+'Total Cost for Plan'!$B$37)*'Total Cost for Plan'!$B$38)),2)</f>
        <v>0</v>
      </c>
      <c r="N8" s="246">
        <f>ROUND(('Hours Per Job'!N8*'Total Cost for Plan'!$B$36+'Parts Cost Per Job'!N8*((1+'Total Cost for Plan'!$B$37)*'Total Cost for Plan'!$B$38)),2)</f>
        <v>0</v>
      </c>
      <c r="O8" s="246">
        <f>ROUND(('Hours Per Job'!O8*'Total Cost for Plan'!$B$36+'Parts Cost Per Job'!O8*((1+'Total Cost for Plan'!$B$37)*'Total Cost for Plan'!$B$38)),2)</f>
        <v>0</v>
      </c>
      <c r="P8" s="246">
        <f>ROUND(('Hours Per Job'!P8*'Total Cost for Plan'!$B$36+'Parts Cost Per Job'!P8*((1+'Total Cost for Plan'!$B$37)*'Total Cost for Plan'!$B$38)),2)</f>
        <v>0</v>
      </c>
      <c r="Q8" s="246">
        <f>ROUND(('Hours Per Job'!Q8*'Total Cost for Plan'!$B$36+'Parts Cost Per Job'!Q8*((1+'Total Cost for Plan'!$B$37)*'Total Cost for Plan'!$B$38)),2)</f>
        <v>0</v>
      </c>
      <c r="R8" s="246">
        <f>ROUND(('Hours Per Job'!R8*'Total Cost for Plan'!$B$36+'Parts Cost Per Job'!R8*((1+'Total Cost for Plan'!$B$37)*'Total Cost for Plan'!$B$38)),2)</f>
        <v>0</v>
      </c>
      <c r="S8" s="246">
        <f>ROUND(('Hours Per Job'!S8*'Total Cost for Plan'!$B$36+'Parts Cost Per Job'!S8*((1+'Total Cost for Plan'!$B$37)*'Total Cost for Plan'!$B$38)),2)</f>
        <v>0</v>
      </c>
      <c r="T8" s="246">
        <f>ROUND(('Hours Per Job'!T8*'Total Cost for Plan'!$B$36+'Parts Cost Per Job'!T8*((1+'Total Cost for Plan'!$B$37)*'Total Cost for Plan'!$B$38)),2)</f>
        <v>0</v>
      </c>
      <c r="U8" s="246">
        <f>IF('Scheduled Intervals'!U8&gt;0,ROUND(('Hours Per Job'!U8*'Total Cost for Plan'!$B$36+'Parts Cost Per Job'!U8*((1+'Total Cost for Plan'!$B$37)*'Total Cost for Plan'!$B$38))*ROUNDDOWN($B$1/'Scheduled Intervals'!U8,0),2),0)</f>
        <v>0</v>
      </c>
      <c r="V8" s="246">
        <f>IF('Scheduled Intervals'!V8&gt;0,ROUND(('Hours Per Job'!V8*'Total Cost for Plan'!$B$36+'Parts Cost Per Job'!V8*((1+'Total Cost for Plan'!$B$37)*'Total Cost for Plan'!$B$38))*ROUNDDOWN($B$1/'Scheduled Intervals'!V8,0),2),0)</f>
        <v>0</v>
      </c>
      <c r="W8" s="246">
        <f>IF('Scheduled Intervals'!W8&gt;0,ROUND(('Hours Per Job'!W8*'Total Cost for Plan'!$B$36+'Parts Cost Per Job'!W8*((1+'Total Cost for Plan'!$B$37)*'Total Cost for Plan'!$B$38))*ROUNDDOWN($B$1/'Scheduled Intervals'!W8,0),2),0)</f>
        <v>0</v>
      </c>
      <c r="X8" s="246">
        <f>IF('Scheduled Intervals'!X8&gt;0,ROUND(('Hours Per Job'!X8*'Total Cost for Plan'!$B$36+'Parts Cost Per Job'!X8*((1+'Total Cost for Plan'!$B$37)*'Total Cost for Plan'!$B$38))*ROUNDDOWN($B$1/'Scheduled Intervals'!X8,0),2),0)</f>
        <v>0</v>
      </c>
      <c r="Y8" s="246">
        <f>IF('Scheduled Intervals'!Y8&gt;0,ROUND(('Hours Per Job'!Y8*'Total Cost for Plan'!$B$36+'Parts Cost Per Job'!Y8*((1+'Total Cost for Plan'!$B$37)*'Total Cost for Plan'!$B$38))*ROUNDDOWN($B$1/'Scheduled Intervals'!Y8,0),2),0)</f>
        <v>0</v>
      </c>
      <c r="Z8" s="246">
        <f>IF('Scheduled Intervals'!Z8&gt;0,ROUND(('Hours Per Job'!Z8*'Total Cost for Plan'!$B$36+'Parts Cost Per Job'!Z8*((1+'Total Cost for Plan'!$B$37)*'Total Cost for Plan'!$B$38))*ROUNDDOWN($B$1/'Scheduled Intervals'!Z8,0),2),0)</f>
        <v>0</v>
      </c>
      <c r="AA8" s="246">
        <f>IF('Scheduled Intervals'!AA8&gt;0,ROUND(('Hours Per Job'!AA8*'Total Cost for Plan'!$B$36+'Parts Cost Per Job'!AA8*((1+'Total Cost for Plan'!$B$37)*'Total Cost for Plan'!$B$38))*ROUNDDOWN($B$1/'Scheduled Intervals'!AA8,0),2),0)</f>
        <v>0</v>
      </c>
      <c r="AB8" s="246">
        <f>IF('Scheduled Intervals'!AB8&gt;0,ROUND(('Hours Per Job'!AB8*'Total Cost for Plan'!$B$36+'Parts Cost Per Job'!AB8*((1+'Total Cost for Plan'!$B$37)*'Total Cost for Plan'!$B$38))*ROUNDDOWN($B$1/'Scheduled Intervals'!AB8,0),2),0)</f>
        <v>0</v>
      </c>
      <c r="AC8" s="246">
        <f>IF('Scheduled Intervals'!AC8&gt;0,ROUND(('Hours Per Job'!AC8*'Total Cost for Plan'!$B$36+'Parts Cost Per Job'!AC8*((1+'Total Cost for Plan'!$B$37)*'Total Cost for Plan'!$B$38))*ROUNDDOWN($B$1/'Scheduled Intervals'!AC8,0),2),0)</f>
        <v>0</v>
      </c>
      <c r="AD8" s="246">
        <f>IF('Scheduled Intervals'!AD8&gt;0,ROUND(('Hours Per Job'!AD8*'Total Cost for Plan'!$B$36+'Parts Cost Per Job'!AD8*((1+'Total Cost for Plan'!$B$37)*'Total Cost for Plan'!$B$38))*ROUNDDOWN($B$1/'Scheduled Intervals'!AD8,0),2),0)</f>
        <v>0</v>
      </c>
      <c r="AE8" s="246">
        <f>IF('Scheduled Intervals'!AE8&gt;0,ROUND(('Hours Per Job'!AE8*'Total Cost for Plan'!$B$36+'Parts Cost Per Job'!AE8*((1+'Total Cost for Plan'!$B$37)*'Total Cost for Plan'!$B$38))*ROUNDDOWN($B$1/'Scheduled Intervals'!AE8,0),2),0)</f>
        <v>0</v>
      </c>
      <c r="AF8" s="246">
        <f>IF('Scheduled Intervals'!AF8&gt;0,ROUND(('Hours Per Job'!AF8*'Total Cost for Plan'!$B$36+'Parts Cost Per Job'!AF8*((1+'Total Cost for Plan'!$B$37)*'Total Cost for Plan'!$B$38))*ROUNDDOWN($B$1/'Scheduled Intervals'!AF8,0),2),0)</f>
        <v>0</v>
      </c>
      <c r="AG8" s="246">
        <f>IF('Scheduled Intervals'!AG8&gt;0,ROUND(('Hours Per Job'!AG8*'Total Cost for Plan'!$B$36+'Parts Cost Per Job'!AG8*((1+'Total Cost for Plan'!$B$37)*'Total Cost for Plan'!$B$38))*ROUNDDOWN($B$1/'Scheduled Intervals'!AG8,0),2),0)</f>
        <v>0</v>
      </c>
      <c r="AH8" s="246">
        <f>IF('Scheduled Intervals'!AH8&gt;0,ROUND(('Hours Per Job'!AH8*'Total Cost for Plan'!$B$36+'Parts Cost Per Job'!AH8*((1+'Total Cost for Plan'!$B$37)*'Total Cost for Plan'!$B$38))*ROUNDDOWN($B$1/'Scheduled Intervals'!AH8,0),2),0)</f>
        <v>0</v>
      </c>
      <c r="AI8" s="246">
        <f>IF('Scheduled Intervals'!AI8&gt;0,ROUND(('Hours Per Job'!AI8*'Total Cost for Plan'!$B$36+'Parts Cost Per Job'!AI8*((1+'Total Cost for Plan'!$B$37)*'Total Cost for Plan'!$B$38))*ROUNDDOWN($B$1/'Scheduled Intervals'!AI8,0),2),0)</f>
        <v>0</v>
      </c>
      <c r="AJ8" s="246">
        <f>IF('Scheduled Intervals'!AJ8&gt;0,ROUND(('Hours Per Job'!AJ8*'Total Cost for Plan'!$B$36+'Parts Cost Per Job'!AJ8*((1+'Total Cost for Plan'!$B$37)*'Total Cost for Plan'!$B$38))*ROUNDDOWN($B$1/'Scheduled Intervals'!AJ8,0),2),0)</f>
        <v>0</v>
      </c>
      <c r="AK8" s="246">
        <f>IF('Scheduled Intervals'!AK8&gt;0,ROUND(('Hours Per Job'!AK8*'Total Cost for Plan'!$B$36+'Parts Cost Per Job'!AK8*((1+'Total Cost for Plan'!$B$37)*'Total Cost for Plan'!$B$38))*ROUNDDOWN($B$1/'Scheduled Intervals'!AK8,0),2),0)</f>
        <v>0</v>
      </c>
      <c r="AL8" s="246">
        <f>IF('Scheduled Intervals'!AL8&gt;0,ROUND(('Hours Per Job'!AL8*'Total Cost for Plan'!$B$36+'Parts Cost Per Job'!AL8*((1+'Total Cost for Plan'!$B$37)*'Total Cost for Plan'!$B$38))*ROUNDDOWN($B$1/'Scheduled Intervals'!AL8,0),2),0)</f>
        <v>0</v>
      </c>
      <c r="AM8" s="246">
        <f>IF('Scheduled Intervals'!AM8&gt;0,ROUND(('Hours Per Job'!AM8*'Total Cost for Plan'!$B$36+'Parts Cost Per Job'!AM8*((1+'Total Cost for Plan'!$B$37)*'Total Cost for Plan'!$B$38))*ROUNDDOWN($B$1/'Scheduled Intervals'!AM8,0),2),0)</f>
        <v>0</v>
      </c>
      <c r="AN8" s="246">
        <f>IF('Scheduled Intervals'!AN8&gt;0,ROUND(('Hours Per Job'!AN8*'Total Cost for Plan'!$B$36+'Parts Cost Per Job'!AN8*((1+'Total Cost for Plan'!$B$37)*'Total Cost for Plan'!$B$38))*ROUNDDOWN($B$1/'Scheduled Intervals'!AN8,0),2),0)</f>
        <v>0</v>
      </c>
      <c r="AO8" s="246">
        <f>IF('Scheduled Intervals'!AO8&gt;0,ROUND(('Hours Per Job'!AO8*'Total Cost for Plan'!$B$36+'Parts Cost Per Job'!AO8*((1+'Total Cost for Plan'!$B$37)*'Total Cost for Plan'!$B$38))*ROUNDDOWN($B$1/'Scheduled Intervals'!AO8,0),2),0)</f>
        <v>0</v>
      </c>
      <c r="AP8" s="246">
        <f>IF('Scheduled Intervals'!AP8&gt;0,ROUND(('Hours Per Job'!AP8*'Total Cost for Plan'!$B$36+'Parts Cost Per Job'!AP8*((1+'Total Cost for Plan'!$B$37)*'Total Cost for Plan'!$B$38))*ROUNDDOWN($B$1/'Scheduled Intervals'!AP8,0),2),0)</f>
        <v>0</v>
      </c>
      <c r="AQ8" s="246">
        <f>IF('Scheduled Intervals'!AQ8&gt;0,ROUND(('Hours Per Job'!AQ8*'Total Cost for Plan'!$B$36+'Parts Cost Per Job'!AQ8*((1+'Total Cost for Plan'!$B$37)*'Total Cost for Plan'!$B$38))*ROUNDDOWN($B$1/'Scheduled Intervals'!AQ8,0),2),0)</f>
        <v>0</v>
      </c>
      <c r="AR8" s="246">
        <f>IF('Scheduled Intervals'!AR8&gt;0,ROUND(('Hours Per Job'!AR8*'Total Cost for Plan'!$B$36+'Parts Cost Per Job'!AR8*((1+'Total Cost for Plan'!$B$37)*'Total Cost for Plan'!$B$38))*ROUNDDOWN($B$1/'Scheduled Intervals'!AR8,0),2),0)</f>
        <v>0</v>
      </c>
      <c r="AS8" s="246">
        <f>IF('Scheduled Intervals'!AS8&gt;0,ROUND(('Hours Per Job'!AS8*'Total Cost for Plan'!$B$36+'Parts Cost Per Job'!AS8*((1+'Total Cost for Plan'!$B$37)*'Total Cost for Plan'!$B$38))*ROUNDDOWN($B$1/'Scheduled Intervals'!AS8,0),2),0)</f>
        <v>0</v>
      </c>
      <c r="AT8" s="246">
        <f>IF('Scheduled Intervals'!AT8&gt;0,ROUND(('Hours Per Job'!AT8*'Total Cost for Plan'!$B$36+'Parts Cost Per Job'!AT8*((1+'Total Cost for Plan'!$B$37)*'Total Cost for Plan'!$B$38))*ROUNDDOWN($B$1/'Scheduled Intervals'!AT8,0),2),0)</f>
        <v>0</v>
      </c>
      <c r="AU8" s="246">
        <f>IF('Scheduled Intervals'!AU8&gt;0,ROUND(('Hours Per Job'!AU8*'Total Cost for Plan'!$B$36+'Parts Cost Per Job'!AU8*((1+'Total Cost for Plan'!$B$37)*'Total Cost for Plan'!$B$38))*ROUNDDOWN($B$1/'Scheduled Intervals'!AU8,0),2),0)</f>
        <v>0</v>
      </c>
      <c r="AV8" s="246">
        <f>IF('Scheduled Intervals'!AV8&gt;0,ROUND(('Hours Per Job'!AV8*'Total Cost for Plan'!$B$36+'Parts Cost Per Job'!AV8*((1+'Total Cost for Plan'!$B$37)*'Total Cost for Plan'!$B$38))*ROUNDDOWN($B$1/'Scheduled Intervals'!AV8,0),2),0)</f>
        <v>0</v>
      </c>
      <c r="AW8" s="246">
        <f>IF('Scheduled Intervals'!AW8&gt;0,ROUND(('Hours Per Job'!AW8*'Total Cost for Plan'!$B$36+'Parts Cost Per Job'!AW8*((1+'Total Cost for Plan'!$B$37)*'Total Cost for Plan'!$B$38))*ROUNDDOWN($B$1/'Scheduled Intervals'!AW8,0),2),0)</f>
        <v>0</v>
      </c>
      <c r="AX8" s="246">
        <f>IF('Scheduled Intervals'!AX8&gt;0,ROUND(('Hours Per Job'!AX8*'Total Cost for Plan'!$B$36+'Parts Cost Per Job'!AX8*((1+'Total Cost for Plan'!$B$37)*'Total Cost for Plan'!$B$38))*ROUNDDOWN($B$1/'Scheduled Intervals'!AX8,0),2),0)</f>
        <v>0</v>
      </c>
      <c r="AY8" s="246">
        <f>IF('Scheduled Intervals'!AY8&gt;0,ROUND(('Hours Per Job'!AY8*'Total Cost for Plan'!$B$36+'Parts Cost Per Job'!AY8*((1+'Total Cost for Plan'!$B$37)*'Total Cost for Plan'!$B$38))*ROUNDDOWN($B$1/'Scheduled Intervals'!AY8,0),2),0)</f>
        <v>0</v>
      </c>
      <c r="AZ8" s="246">
        <f>IF('Scheduled Intervals'!AZ8&gt;0,ROUND(('Hours Per Job'!AZ8*'Total Cost for Plan'!$B$36+'Parts Cost Per Job'!AZ8*((1+'Total Cost for Plan'!$B$37)*'Total Cost for Plan'!$B$38))*ROUNDDOWN($B$1/'Scheduled Intervals'!AZ8,0),2),0)</f>
        <v>0</v>
      </c>
      <c r="BA8" s="246">
        <f>IF('Scheduled Intervals'!BA8&gt;0,ROUND(('Hours Per Job'!BA8*'Total Cost for Plan'!$B$36+'Parts Cost Per Job'!BA8*((1+'Total Cost for Plan'!$B$37)*'Total Cost for Plan'!$B$38))*ROUNDDOWN($B$1/'Scheduled Intervals'!BA8,0),2),0)</f>
        <v>0</v>
      </c>
      <c r="BB8" s="246">
        <f>IF('Scheduled Intervals'!BB8&gt;0,ROUND(('Hours Per Job'!BB8*'Total Cost for Plan'!$B$36+'Parts Cost Per Job'!BB8*((1+'Total Cost for Plan'!$B$37)*'Total Cost for Plan'!$B$38))*ROUNDDOWN($B$1/'Scheduled Intervals'!BB8,0),2),0)</f>
        <v>0</v>
      </c>
      <c r="BC8" s="246">
        <f>IF('Scheduled Intervals'!BC8&gt;0,ROUND(('Hours Per Job'!BC8*'Total Cost for Plan'!$B$36+'Parts Cost Per Job'!BC8*((1+'Total Cost for Plan'!$B$37)*'Total Cost for Plan'!$B$38))*ROUNDDOWN($B$1/'Scheduled Intervals'!BC8,0),2),0)</f>
        <v>0</v>
      </c>
      <c r="BD8" s="246">
        <f>IF('Scheduled Intervals'!BD8&gt;0,ROUND(('Hours Per Job'!BD8*'Total Cost for Plan'!$B$36+'Parts Cost Per Job'!BD8*((1+'Total Cost for Plan'!$B$37)*'Total Cost for Plan'!$B$38))*ROUNDDOWN($B$1/'Scheduled Intervals'!BD8,0),2),0)</f>
        <v>0</v>
      </c>
      <c r="BE8" s="246">
        <f>IF('Scheduled Intervals'!BE8&gt;0,ROUND(('Hours Per Job'!BE8*'Total Cost for Plan'!$B$36+'Parts Cost Per Job'!BE8*((1+'Total Cost for Plan'!$B$37)*'Total Cost for Plan'!$B$38))*ROUNDDOWN($B$1/'Scheduled Intervals'!BE8,0),2),0)</f>
        <v>0</v>
      </c>
      <c r="BF8" s="246">
        <f>IF('Scheduled Intervals'!BF8&gt;0,ROUND(('Hours Per Job'!BF8*'Total Cost for Plan'!$B$36+'Parts Cost Per Job'!BF8*((1+'Total Cost for Plan'!$B$37)*'Total Cost for Plan'!$B$38))*ROUNDDOWN($B$1/'Scheduled Intervals'!BF8,0),2),0)</f>
        <v>0</v>
      </c>
      <c r="BG8" s="246">
        <f>IF('Scheduled Intervals'!BG8&gt;0,ROUND(('Hours Per Job'!BG8*'Total Cost for Plan'!$B$36+'Parts Cost Per Job'!BG8*((1+'Total Cost for Plan'!$B$37)*'Total Cost for Plan'!$B$38))*ROUNDDOWN($B$1/'Scheduled Intervals'!BG8,0),2),0)</f>
        <v>0</v>
      </c>
      <c r="BH8" s="246">
        <f>IF('Scheduled Intervals'!BH8&gt;0,ROUND(('Hours Per Job'!BH8*'Total Cost for Plan'!$B$36+'Parts Cost Per Job'!BH8*((1+'Total Cost for Plan'!$B$37)*'Total Cost for Plan'!$B$38))*ROUNDDOWN($B$1/'Scheduled Intervals'!BH8,0),2),0)</f>
        <v>0</v>
      </c>
      <c r="BI8" s="246">
        <f>IF('Scheduled Intervals'!BI8&gt;0,ROUND(('Hours Per Job'!BI8*'Total Cost for Plan'!$B$36+'Parts Cost Per Job'!BI8*((1+'Total Cost for Plan'!$B$37)*'Total Cost for Plan'!$B$38))*ROUNDDOWN($B$1/'Scheduled Intervals'!BI8,0),2),0)</f>
        <v>0</v>
      </c>
      <c r="BJ8" s="246">
        <f>IF('Scheduled Intervals'!BJ8&gt;0,ROUND(('Hours Per Job'!BJ8*'Total Cost for Plan'!$B$36+'Parts Cost Per Job'!BJ8*((1+'Total Cost for Plan'!$B$37)*'Total Cost for Plan'!$B$38))*ROUNDDOWN($B$1/'Scheduled Intervals'!BJ8,0),2),0)</f>
        <v>0</v>
      </c>
      <c r="BK8" s="246">
        <f>IF('Scheduled Intervals'!BK8&gt;0,ROUND(('Hours Per Job'!BK8*'Total Cost for Plan'!$B$36+'Parts Cost Per Job'!BK8*((1+'Total Cost for Plan'!$B$37)*'Total Cost for Plan'!$B$38))*ROUNDDOWN($B$1/'Scheduled Intervals'!BK8,0),2),0)</f>
        <v>0</v>
      </c>
      <c r="BL8" s="246">
        <f>IF('Scheduled Intervals'!BL8&gt;0,ROUND(('Hours Per Job'!BL8*'Total Cost for Plan'!$B$36+'Parts Cost Per Job'!BL8*((1+'Total Cost for Plan'!$B$37)*'Total Cost for Plan'!$B$38))*ROUNDDOWN($B$1/'Scheduled Intervals'!BL8,0),2),0)</f>
        <v>0</v>
      </c>
      <c r="BM8" s="246">
        <f>IF('Scheduled Intervals'!BM8&gt;0,ROUND(('Hours Per Job'!BM8*'Total Cost for Plan'!$B$36+'Parts Cost Per Job'!BM8*((1+'Total Cost for Plan'!$B$37)*'Total Cost for Plan'!$B$38))*ROUNDDOWN($B$1/'Scheduled Intervals'!BM8,0),2),0)</f>
        <v>0</v>
      </c>
      <c r="BN8" s="246">
        <f>IF(AND('Scheduled Intervals'!BN$4="annual",'Plan Summary'!$C$5&lt;'Scheduled Intervals'!$U8*('Plan Summary'!$C$9/12)),ROUND(('Hours Per Job'!BN8*'Total Cost for Plan'!$B$36+'Parts Cost Per Job'!BN8*((1+'Total Cost for Plan'!$B$37)*'Total Cost for Plan'!$B$38))*ROUND('Plan Summary'!$C$9/12,0),2),0)</f>
        <v>530.04</v>
      </c>
      <c r="BO8" s="246">
        <f>IF(AND('Scheduled Intervals'!BO$4="annual",'Plan Summary'!$C$5&lt;'Scheduled Intervals'!$U8*('Plan Summary'!$C$9/12)),ROUND(('Hours Per Job'!BO8*'Total Cost for Plan'!$B$36+'Parts Cost Per Job'!BO8*((1+'Total Cost for Plan'!$B$37)*'Total Cost for Plan'!$B$38))*ROUND('Plan Summary'!$C$9/12,0),2),0)</f>
        <v>175.33</v>
      </c>
      <c r="BP8" s="246">
        <f>IF(AND('Scheduled Intervals'!BP$4="annual",'Plan Summary'!$C$5&lt;'Scheduled Intervals'!$U8*('Plan Summary'!$C$9/12)),ROUND(('Hours Per Job'!BP8*'Total Cost for Plan'!$B$36+'Parts Cost Per Job'!BP8*((1+'Total Cost for Plan'!$B$37)*'Total Cost for Plan'!$B$38))*ROUND('Plan Summary'!$C$9/12,0),2),0)</f>
        <v>630</v>
      </c>
      <c r="BQ8" s="246">
        <f t="shared" si="0"/>
        <v>1667.8899999999999</v>
      </c>
      <c r="BR8" s="246"/>
    </row>
    <row r="9" spans="1:70" ht="16" x14ac:dyDescent="0.2">
      <c r="A9" s="18" t="str">
        <f>+'Scheduled Intervals'!A9</f>
        <v>Utility over 75 M4 class</v>
      </c>
      <c r="B9" s="246">
        <f>ROUND(('Hours Per Job'!B9*'Total Cost for Plan'!$B$36+'Parts Cost Per Job'!B9*((1+'Total Cost for Plan'!$B$37)*'Total Cost for Plan'!$B$38)),2)</f>
        <v>143.66</v>
      </c>
      <c r="C9" s="246">
        <f>ROUND(('Hours Per Job'!C9*'Total Cost for Plan'!$B$36+'Parts Cost Per Job'!C9*((1+'Total Cost for Plan'!$B$37)*'Total Cost for Plan'!$B$38)),2)</f>
        <v>0</v>
      </c>
      <c r="D9" s="246">
        <f>ROUND(('Hours Per Job'!D9*'Total Cost for Plan'!$B$36+'Parts Cost Per Job'!D9*((1+'Total Cost for Plan'!$B$37)*'Total Cost for Plan'!$B$38)),2)</f>
        <v>0</v>
      </c>
      <c r="E9" s="246">
        <f>ROUND(('Hours Per Job'!E9*'Total Cost for Plan'!$B$36+'Parts Cost Per Job'!E9*((1+'Total Cost for Plan'!$B$37)*'Total Cost for Plan'!$B$38)),2)</f>
        <v>0</v>
      </c>
      <c r="F9" s="246">
        <f>ROUND(('Hours Per Job'!F9*'Total Cost for Plan'!$B$36+'Parts Cost Per Job'!F9*((1+'Total Cost for Plan'!$B$37)*'Total Cost for Plan'!$B$38)),2)</f>
        <v>0</v>
      </c>
      <c r="G9" s="246">
        <f>ROUND(('Hours Per Job'!G9*'Total Cost for Plan'!$B$36+'Parts Cost Per Job'!G9*((1+'Total Cost for Plan'!$B$37)*'Total Cost for Plan'!$B$38)),2)</f>
        <v>0</v>
      </c>
      <c r="H9" s="246">
        <f>ROUND(('Hours Per Job'!H9*'Total Cost for Plan'!$B$36+'Parts Cost Per Job'!H9*((1+'Total Cost for Plan'!$B$37)*'Total Cost for Plan'!$B$38)),2)</f>
        <v>35.07</v>
      </c>
      <c r="I9" s="246">
        <f>ROUND(('Hours Per Job'!I9*'Total Cost for Plan'!$B$36+'Parts Cost Per Job'!I9*((1+'Total Cost for Plan'!$B$37)*'Total Cost for Plan'!$B$38)),2)</f>
        <v>30</v>
      </c>
      <c r="J9" s="246">
        <f>ROUND(('Hours Per Job'!J9*'Total Cost for Plan'!$B$36+'Parts Cost Per Job'!J9*((1+'Total Cost for Plan'!$B$37)*'Total Cost for Plan'!$B$38)),2)</f>
        <v>0</v>
      </c>
      <c r="K9" s="246">
        <f>ROUND(('Hours Per Job'!K9*'Total Cost for Plan'!$B$36+'Parts Cost Per Job'!K9*((1+'Total Cost for Plan'!$B$37)*'Total Cost for Plan'!$B$38)),2)</f>
        <v>0</v>
      </c>
      <c r="L9" s="246">
        <f>ROUND(('Hours Per Job'!L9*'Total Cost for Plan'!$B$36+'Parts Cost Per Job'!L9*((1+'Total Cost for Plan'!$B$37)*'Total Cost for Plan'!$B$38)),2)</f>
        <v>0</v>
      </c>
      <c r="M9" s="246">
        <f>ROUND(('Hours Per Job'!M9*'Total Cost for Plan'!$B$36+'Parts Cost Per Job'!M9*((1+'Total Cost for Plan'!$B$37)*'Total Cost for Plan'!$B$38)),2)</f>
        <v>0</v>
      </c>
      <c r="N9" s="246">
        <f>ROUND(('Hours Per Job'!N9*'Total Cost for Plan'!$B$36+'Parts Cost Per Job'!N9*((1+'Total Cost for Plan'!$B$37)*'Total Cost for Plan'!$B$38)),2)</f>
        <v>0</v>
      </c>
      <c r="O9" s="246">
        <f>ROUND(('Hours Per Job'!O9*'Total Cost for Plan'!$B$36+'Parts Cost Per Job'!O9*((1+'Total Cost for Plan'!$B$37)*'Total Cost for Plan'!$B$38)),2)</f>
        <v>0</v>
      </c>
      <c r="P9" s="246">
        <f>ROUND(('Hours Per Job'!P9*'Total Cost for Plan'!$B$36+'Parts Cost Per Job'!P9*((1+'Total Cost for Plan'!$B$37)*'Total Cost for Plan'!$B$38)),2)</f>
        <v>0</v>
      </c>
      <c r="Q9" s="246">
        <f>ROUND(('Hours Per Job'!Q9*'Total Cost for Plan'!$B$36+'Parts Cost Per Job'!Q9*((1+'Total Cost for Plan'!$B$37)*'Total Cost for Plan'!$B$38)),2)</f>
        <v>0</v>
      </c>
      <c r="R9" s="246">
        <f>ROUND(('Hours Per Job'!R9*'Total Cost for Plan'!$B$36+'Parts Cost Per Job'!R9*((1+'Total Cost for Plan'!$B$37)*'Total Cost for Plan'!$B$38)),2)</f>
        <v>0</v>
      </c>
      <c r="S9" s="246">
        <f>ROUND(('Hours Per Job'!S9*'Total Cost for Plan'!$B$36+'Parts Cost Per Job'!S9*((1+'Total Cost for Plan'!$B$37)*'Total Cost for Plan'!$B$38)),2)</f>
        <v>0</v>
      </c>
      <c r="T9" s="246">
        <f>ROUND(('Hours Per Job'!T9*'Total Cost for Plan'!$B$36+'Parts Cost Per Job'!T9*((1+'Total Cost for Plan'!$B$37)*'Total Cost for Plan'!$B$38)),2)</f>
        <v>0</v>
      </c>
      <c r="U9" s="246">
        <f>IF('Scheduled Intervals'!U9&gt;0,ROUND(('Hours Per Job'!U9*'Total Cost for Plan'!$B$36+'Parts Cost Per Job'!U9*((1+'Total Cost for Plan'!$B$37)*'Total Cost for Plan'!$B$38))*ROUNDDOWN($B$1/'Scheduled Intervals'!U9,0),2),0)</f>
        <v>0</v>
      </c>
      <c r="V9" s="246">
        <f>IF('Scheduled Intervals'!V9&gt;0,ROUND(('Hours Per Job'!V9*'Total Cost for Plan'!$B$36+'Parts Cost Per Job'!V9*((1+'Total Cost for Plan'!$B$37)*'Total Cost for Plan'!$B$38))*ROUNDDOWN($B$1/'Scheduled Intervals'!V9,0),2),0)</f>
        <v>0</v>
      </c>
      <c r="W9" s="246">
        <f>IF('Scheduled Intervals'!W9&gt;0,ROUND(('Hours Per Job'!W9*'Total Cost for Plan'!$B$36+'Parts Cost Per Job'!W9*((1+'Total Cost for Plan'!$B$37)*'Total Cost for Plan'!$B$38))*ROUNDDOWN($B$1/'Scheduled Intervals'!W9,0),2),0)</f>
        <v>0</v>
      </c>
      <c r="X9" s="246">
        <f>IF('Scheduled Intervals'!X9&gt;0,ROUND(('Hours Per Job'!X9*'Total Cost for Plan'!$B$36+'Parts Cost Per Job'!X9*((1+'Total Cost for Plan'!$B$37)*'Total Cost for Plan'!$B$38))*ROUNDDOWN($B$1/'Scheduled Intervals'!X9,0),2),0)</f>
        <v>0</v>
      </c>
      <c r="Y9" s="246">
        <f>IF('Scheduled Intervals'!Y9&gt;0,ROUND(('Hours Per Job'!Y9*'Total Cost for Plan'!$B$36+'Parts Cost Per Job'!Y9*((1+'Total Cost for Plan'!$B$37)*'Total Cost for Plan'!$B$38))*ROUNDDOWN($B$1/'Scheduled Intervals'!Y9,0),2),0)</f>
        <v>0</v>
      </c>
      <c r="Z9" s="246">
        <f>IF('Scheduled Intervals'!Z9&gt;0,ROUND(('Hours Per Job'!Z9*'Total Cost for Plan'!$B$36+'Parts Cost Per Job'!Z9*((1+'Total Cost for Plan'!$B$37)*'Total Cost for Plan'!$B$38))*ROUNDDOWN($B$1/'Scheduled Intervals'!Z9,0),2),0)</f>
        <v>0</v>
      </c>
      <c r="AA9" s="246">
        <f>IF('Scheduled Intervals'!AA9&gt;0,ROUND(('Hours Per Job'!AA9*'Total Cost for Plan'!$B$36+'Parts Cost Per Job'!AA9*((1+'Total Cost for Plan'!$B$37)*'Total Cost for Plan'!$B$38))*ROUNDDOWN($B$1/'Scheduled Intervals'!AA9,0),2),0)</f>
        <v>0</v>
      </c>
      <c r="AB9" s="246">
        <f>IF('Scheduled Intervals'!AB9&gt;0,ROUND(('Hours Per Job'!AB9*'Total Cost for Plan'!$B$36+'Parts Cost Per Job'!AB9*((1+'Total Cost for Plan'!$B$37)*'Total Cost for Plan'!$B$38))*ROUNDDOWN($B$1/'Scheduled Intervals'!AB9,0),2),0)</f>
        <v>0</v>
      </c>
      <c r="AC9" s="246">
        <f>IF('Scheduled Intervals'!AC9&gt;0,ROUND(('Hours Per Job'!AC9*'Total Cost for Plan'!$B$36+'Parts Cost Per Job'!AC9*((1+'Total Cost for Plan'!$B$37)*'Total Cost for Plan'!$B$38))*ROUNDDOWN($B$1/'Scheduled Intervals'!AC9,0),2),0)</f>
        <v>0</v>
      </c>
      <c r="AD9" s="246">
        <f>IF('Scheduled Intervals'!AD9&gt;0,ROUND(('Hours Per Job'!AD9*'Total Cost for Plan'!$B$36+'Parts Cost Per Job'!AD9*((1+'Total Cost for Plan'!$B$37)*'Total Cost for Plan'!$B$38))*ROUNDDOWN($B$1/'Scheduled Intervals'!AD9,0),2),0)</f>
        <v>0</v>
      </c>
      <c r="AE9" s="246">
        <f>IF('Scheduled Intervals'!AE9&gt;0,ROUND(('Hours Per Job'!AE9*'Total Cost for Plan'!$B$36+'Parts Cost Per Job'!AE9*((1+'Total Cost for Plan'!$B$37)*'Total Cost for Plan'!$B$38))*ROUNDDOWN($B$1/'Scheduled Intervals'!AE9,0),2),0)</f>
        <v>0</v>
      </c>
      <c r="AF9" s="246">
        <f>IF('Scheduled Intervals'!AF9&gt;0,ROUND(('Hours Per Job'!AF9*'Total Cost for Plan'!$B$36+'Parts Cost Per Job'!AF9*((1+'Total Cost for Plan'!$B$37)*'Total Cost for Plan'!$B$38))*ROUNDDOWN($B$1/'Scheduled Intervals'!AF9,0),2),0)</f>
        <v>0</v>
      </c>
      <c r="AG9" s="246">
        <f>IF('Scheduled Intervals'!AG9&gt;0,ROUND(('Hours Per Job'!AG9*'Total Cost for Plan'!$B$36+'Parts Cost Per Job'!AG9*((1+'Total Cost for Plan'!$B$37)*'Total Cost for Plan'!$B$38))*ROUNDDOWN($B$1/'Scheduled Intervals'!AG9,0),2),0)</f>
        <v>0</v>
      </c>
      <c r="AH9" s="246">
        <f>IF('Scheduled Intervals'!AH9&gt;0,ROUND(('Hours Per Job'!AH9*'Total Cost for Plan'!$B$36+'Parts Cost Per Job'!AH9*((1+'Total Cost for Plan'!$B$37)*'Total Cost for Plan'!$B$38))*ROUNDDOWN($B$1/'Scheduled Intervals'!AH9,0),2),0)</f>
        <v>0</v>
      </c>
      <c r="AI9" s="246">
        <f>IF('Scheduled Intervals'!AI9&gt;0,ROUND(('Hours Per Job'!AI9*'Total Cost for Plan'!$B$36+'Parts Cost Per Job'!AI9*((1+'Total Cost for Plan'!$B$37)*'Total Cost for Plan'!$B$38))*ROUNDDOWN($B$1/'Scheduled Intervals'!AI9,0),2),0)</f>
        <v>0</v>
      </c>
      <c r="AJ9" s="246">
        <f>IF('Scheduled Intervals'!AJ9&gt;0,ROUND(('Hours Per Job'!AJ9*'Total Cost for Plan'!$B$36+'Parts Cost Per Job'!AJ9*((1+'Total Cost for Plan'!$B$37)*'Total Cost for Plan'!$B$38))*ROUNDDOWN($B$1/'Scheduled Intervals'!AJ9,0),2),0)</f>
        <v>0</v>
      </c>
      <c r="AK9" s="246">
        <f>IF('Scheduled Intervals'!AK9&gt;0,ROUND(('Hours Per Job'!AK9*'Total Cost for Plan'!$B$36+'Parts Cost Per Job'!AK9*((1+'Total Cost for Plan'!$B$37)*'Total Cost for Plan'!$B$38))*ROUNDDOWN($B$1/'Scheduled Intervals'!AK9,0),2),0)</f>
        <v>0</v>
      </c>
      <c r="AL9" s="246">
        <f>IF('Scheduled Intervals'!AL9&gt;0,ROUND(('Hours Per Job'!AL9*'Total Cost for Plan'!$B$36+'Parts Cost Per Job'!AL9*((1+'Total Cost for Plan'!$B$37)*'Total Cost for Plan'!$B$38))*ROUNDDOWN($B$1/'Scheduled Intervals'!AL9,0),2),0)</f>
        <v>0</v>
      </c>
      <c r="AM9" s="246">
        <f>IF('Scheduled Intervals'!AM9&gt;0,ROUND(('Hours Per Job'!AM9*'Total Cost for Plan'!$B$36+'Parts Cost Per Job'!AM9*((1+'Total Cost for Plan'!$B$37)*'Total Cost for Plan'!$B$38))*ROUNDDOWN($B$1/'Scheduled Intervals'!AM9,0),2),0)</f>
        <v>0</v>
      </c>
      <c r="AN9" s="246">
        <f>IF('Scheduled Intervals'!AN9&gt;0,ROUND(('Hours Per Job'!AN9*'Total Cost for Plan'!$B$36+'Parts Cost Per Job'!AN9*((1+'Total Cost for Plan'!$B$37)*'Total Cost for Plan'!$B$38))*ROUNDDOWN($B$1/'Scheduled Intervals'!AN9,0),2),0)</f>
        <v>0</v>
      </c>
      <c r="AO9" s="246">
        <f>IF('Scheduled Intervals'!AO9&gt;0,ROUND(('Hours Per Job'!AO9*'Total Cost for Plan'!$B$36+'Parts Cost Per Job'!AO9*((1+'Total Cost for Plan'!$B$37)*'Total Cost for Plan'!$B$38))*ROUNDDOWN($B$1/'Scheduled Intervals'!AO9,0),2),0)</f>
        <v>0</v>
      </c>
      <c r="AP9" s="246">
        <f>IF('Scheduled Intervals'!AP9&gt;0,ROUND(('Hours Per Job'!AP9*'Total Cost for Plan'!$B$36+'Parts Cost Per Job'!AP9*((1+'Total Cost for Plan'!$B$37)*'Total Cost for Plan'!$B$38))*ROUNDDOWN($B$1/'Scheduled Intervals'!AP9,0),2),0)</f>
        <v>0</v>
      </c>
      <c r="AQ9" s="246">
        <f>IF('Scheduled Intervals'!AQ9&gt;0,ROUND(('Hours Per Job'!AQ9*'Total Cost for Plan'!$B$36+'Parts Cost Per Job'!AQ9*((1+'Total Cost for Plan'!$B$37)*'Total Cost for Plan'!$B$38))*ROUNDDOWN($B$1/'Scheduled Intervals'!AQ9,0),2),0)</f>
        <v>0</v>
      </c>
      <c r="AR9" s="246">
        <f>IF('Scheduled Intervals'!AR9&gt;0,ROUND(('Hours Per Job'!AR9*'Total Cost for Plan'!$B$36+'Parts Cost Per Job'!AR9*((1+'Total Cost for Plan'!$B$37)*'Total Cost for Plan'!$B$38))*ROUNDDOWN($B$1/'Scheduled Intervals'!AR9,0),2),0)</f>
        <v>0</v>
      </c>
      <c r="AS9" s="246">
        <f>IF('Scheduled Intervals'!AS9&gt;0,ROUND(('Hours Per Job'!AS9*'Total Cost for Plan'!$B$36+'Parts Cost Per Job'!AS9*((1+'Total Cost for Plan'!$B$37)*'Total Cost for Plan'!$B$38))*ROUNDDOWN($B$1/'Scheduled Intervals'!AS9,0),2),0)</f>
        <v>0</v>
      </c>
      <c r="AT9" s="246">
        <f>IF('Scheduled Intervals'!AT9&gt;0,ROUND(('Hours Per Job'!AT9*'Total Cost for Plan'!$B$36+'Parts Cost Per Job'!AT9*((1+'Total Cost for Plan'!$B$37)*'Total Cost for Plan'!$B$38))*ROUNDDOWN($B$1/'Scheduled Intervals'!AT9,0),2),0)</f>
        <v>0</v>
      </c>
      <c r="AU9" s="246">
        <f>IF('Scheduled Intervals'!AU9&gt;0,ROUND(('Hours Per Job'!AU9*'Total Cost for Plan'!$B$36+'Parts Cost Per Job'!AU9*((1+'Total Cost for Plan'!$B$37)*'Total Cost for Plan'!$B$38))*ROUNDDOWN($B$1/'Scheduled Intervals'!AU9,0),2),0)</f>
        <v>0</v>
      </c>
      <c r="AV9" s="246">
        <f>IF('Scheduled Intervals'!AV9&gt;0,ROUND(('Hours Per Job'!AV9*'Total Cost for Plan'!$B$36+'Parts Cost Per Job'!AV9*((1+'Total Cost for Plan'!$B$37)*'Total Cost for Plan'!$B$38))*ROUNDDOWN($B$1/'Scheduled Intervals'!AV9,0),2),0)</f>
        <v>0</v>
      </c>
      <c r="AW9" s="246">
        <f>IF('Scheduled Intervals'!AW9&gt;0,ROUND(('Hours Per Job'!AW9*'Total Cost for Plan'!$B$36+'Parts Cost Per Job'!AW9*((1+'Total Cost for Plan'!$B$37)*'Total Cost for Plan'!$B$38))*ROUNDDOWN($B$1/'Scheduled Intervals'!AW9,0),2),0)</f>
        <v>0</v>
      </c>
      <c r="AX9" s="246">
        <f>IF('Scheduled Intervals'!AX9&gt;0,ROUND(('Hours Per Job'!AX9*'Total Cost for Plan'!$B$36+'Parts Cost Per Job'!AX9*((1+'Total Cost for Plan'!$B$37)*'Total Cost for Plan'!$B$38))*ROUNDDOWN($B$1/'Scheduled Intervals'!AX9,0),2),0)</f>
        <v>0</v>
      </c>
      <c r="AY9" s="246">
        <f>IF('Scheduled Intervals'!AY9&gt;0,ROUND(('Hours Per Job'!AY9*'Total Cost for Plan'!$B$36+'Parts Cost Per Job'!AY9*((1+'Total Cost for Plan'!$B$37)*'Total Cost for Plan'!$B$38))*ROUNDDOWN($B$1/'Scheduled Intervals'!AY9,0),2),0)</f>
        <v>0</v>
      </c>
      <c r="AZ9" s="246">
        <f>IF('Scheduled Intervals'!AZ9&gt;0,ROUND(('Hours Per Job'!AZ9*'Total Cost for Plan'!$B$36+'Parts Cost Per Job'!AZ9*((1+'Total Cost for Plan'!$B$37)*'Total Cost for Plan'!$B$38))*ROUNDDOWN($B$1/'Scheduled Intervals'!AZ9,0),2),0)</f>
        <v>0</v>
      </c>
      <c r="BA9" s="246">
        <f>IF('Scheduled Intervals'!BA9&gt;0,ROUND(('Hours Per Job'!BA9*'Total Cost for Plan'!$B$36+'Parts Cost Per Job'!BA9*((1+'Total Cost for Plan'!$B$37)*'Total Cost for Plan'!$B$38))*ROUNDDOWN($B$1/'Scheduled Intervals'!BA9,0),2),0)</f>
        <v>0</v>
      </c>
      <c r="BB9" s="246">
        <f>IF('Scheduled Intervals'!BB9&gt;0,ROUND(('Hours Per Job'!BB9*'Total Cost for Plan'!$B$36+'Parts Cost Per Job'!BB9*((1+'Total Cost for Plan'!$B$37)*'Total Cost for Plan'!$B$38))*ROUNDDOWN($B$1/'Scheduled Intervals'!BB9,0),2),0)</f>
        <v>0</v>
      </c>
      <c r="BC9" s="246">
        <f>IF('Scheduled Intervals'!BC9&gt;0,ROUND(('Hours Per Job'!BC9*'Total Cost for Plan'!$B$36+'Parts Cost Per Job'!BC9*((1+'Total Cost for Plan'!$B$37)*'Total Cost for Plan'!$B$38))*ROUNDDOWN($B$1/'Scheduled Intervals'!BC9,0),2),0)</f>
        <v>0</v>
      </c>
      <c r="BD9" s="246">
        <f>IF('Scheduled Intervals'!BD9&gt;0,ROUND(('Hours Per Job'!BD9*'Total Cost for Plan'!$B$36+'Parts Cost Per Job'!BD9*((1+'Total Cost for Plan'!$B$37)*'Total Cost for Plan'!$B$38))*ROUNDDOWN($B$1/'Scheduled Intervals'!BD9,0),2),0)</f>
        <v>0</v>
      </c>
      <c r="BE9" s="246">
        <f>IF('Scheduled Intervals'!BE9&gt;0,ROUND(('Hours Per Job'!BE9*'Total Cost for Plan'!$B$36+'Parts Cost Per Job'!BE9*((1+'Total Cost for Plan'!$B$37)*'Total Cost for Plan'!$B$38))*ROUNDDOWN($B$1/'Scheduled Intervals'!BE9,0),2),0)</f>
        <v>0</v>
      </c>
      <c r="BF9" s="246">
        <f>IF('Scheduled Intervals'!BF9&gt;0,ROUND(('Hours Per Job'!BF9*'Total Cost for Plan'!$B$36+'Parts Cost Per Job'!BF9*((1+'Total Cost for Plan'!$B$37)*'Total Cost for Plan'!$B$38))*ROUNDDOWN($B$1/'Scheduled Intervals'!BF9,0),2),0)</f>
        <v>0</v>
      </c>
      <c r="BG9" s="246">
        <f>IF('Scheduled Intervals'!BG9&gt;0,ROUND(('Hours Per Job'!BG9*'Total Cost for Plan'!$B$36+'Parts Cost Per Job'!BG9*((1+'Total Cost for Plan'!$B$37)*'Total Cost for Plan'!$B$38))*ROUNDDOWN($B$1/'Scheduled Intervals'!BG9,0),2),0)</f>
        <v>0</v>
      </c>
      <c r="BH9" s="246">
        <f>IF('Scheduled Intervals'!BH9&gt;0,ROUND(('Hours Per Job'!BH9*'Total Cost for Plan'!$B$36+'Parts Cost Per Job'!BH9*((1+'Total Cost for Plan'!$B$37)*'Total Cost for Plan'!$B$38))*ROUNDDOWN($B$1/'Scheduled Intervals'!BH9,0),2),0)</f>
        <v>0</v>
      </c>
      <c r="BI9" s="246">
        <f>IF('Scheduled Intervals'!BI9&gt;0,ROUND(('Hours Per Job'!BI9*'Total Cost for Plan'!$B$36+'Parts Cost Per Job'!BI9*((1+'Total Cost for Plan'!$B$37)*'Total Cost for Plan'!$B$38))*ROUNDDOWN($B$1/'Scheduled Intervals'!BI9,0),2),0)</f>
        <v>0</v>
      </c>
      <c r="BJ9" s="246">
        <f>IF('Scheduled Intervals'!BJ9&gt;0,ROUND(('Hours Per Job'!BJ9*'Total Cost for Plan'!$B$36+'Parts Cost Per Job'!BJ9*((1+'Total Cost for Plan'!$B$37)*'Total Cost for Plan'!$B$38))*ROUNDDOWN($B$1/'Scheduled Intervals'!BJ9,0),2),0)</f>
        <v>0</v>
      </c>
      <c r="BK9" s="246">
        <f>IF('Scheduled Intervals'!BK9&gt;0,ROUND(('Hours Per Job'!BK9*'Total Cost for Plan'!$B$36+'Parts Cost Per Job'!BK9*((1+'Total Cost for Plan'!$B$37)*'Total Cost for Plan'!$B$38))*ROUNDDOWN($B$1/'Scheduled Intervals'!BK9,0),2),0)</f>
        <v>0</v>
      </c>
      <c r="BL9" s="246">
        <f>IF('Scheduled Intervals'!BL9&gt;0,ROUND(('Hours Per Job'!BL9*'Total Cost for Plan'!$B$36+'Parts Cost Per Job'!BL9*((1+'Total Cost for Plan'!$B$37)*'Total Cost for Plan'!$B$38))*ROUNDDOWN($B$1/'Scheduled Intervals'!BL9,0),2),0)</f>
        <v>0</v>
      </c>
      <c r="BM9" s="246">
        <f>IF('Scheduled Intervals'!BM9&gt;0,ROUND(('Hours Per Job'!BM9*'Total Cost for Plan'!$B$36+'Parts Cost Per Job'!BM9*((1+'Total Cost for Plan'!$B$37)*'Total Cost for Plan'!$B$38))*ROUNDDOWN($B$1/'Scheduled Intervals'!BM9,0),2),0)</f>
        <v>0</v>
      </c>
      <c r="BN9" s="246">
        <f>IF(AND('Scheduled Intervals'!BN$4="annual",'Plan Summary'!$C$5&lt;'Scheduled Intervals'!$U9*('Plan Summary'!$C$9/12)),ROUND(('Hours Per Job'!BN9*'Total Cost for Plan'!$B$36+'Parts Cost Per Job'!BN9*((1+'Total Cost for Plan'!$B$37)*'Total Cost for Plan'!$B$38))*ROUND('Plan Summary'!$C$9/12,0),2),0)</f>
        <v>718.3</v>
      </c>
      <c r="BO9" s="246">
        <f>IF(AND('Scheduled Intervals'!BO$4="annual",'Plan Summary'!$C$5&lt;'Scheduled Intervals'!$U9*('Plan Summary'!$C$9/12)),ROUND(('Hours Per Job'!BO9*'Total Cost for Plan'!$B$36+'Parts Cost Per Job'!BO9*((1+'Total Cost for Plan'!$B$37)*'Total Cost for Plan'!$B$38))*ROUND('Plan Summary'!$C$9/12,0),2),0)</f>
        <v>175.33</v>
      </c>
      <c r="BP9" s="246">
        <f>IF(AND('Scheduled Intervals'!BP$4="annual",'Plan Summary'!$C$5&lt;'Scheduled Intervals'!$U9*('Plan Summary'!$C$9/12)),ROUND(('Hours Per Job'!BP9*'Total Cost for Plan'!$B$36+'Parts Cost Per Job'!BP9*((1+'Total Cost for Plan'!$B$37)*'Total Cost for Plan'!$B$38))*ROUND('Plan Summary'!$C$9/12,0),2),0)</f>
        <v>630</v>
      </c>
      <c r="BQ9" s="246">
        <f t="shared" si="0"/>
        <v>1732.36</v>
      </c>
      <c r="BR9" s="246"/>
    </row>
    <row r="10" spans="1:70" ht="16" x14ac:dyDescent="0.2">
      <c r="A10" s="18" t="str">
        <f>+'Scheduled Intervals'!A10</f>
        <v>Large Ag M6</v>
      </c>
      <c r="B10" s="246">
        <f>ROUND(('Hours Per Job'!B10*'Total Cost for Plan'!$B$36+'Parts Cost Per Job'!B10*((1+'Total Cost for Plan'!$B$37)*'Total Cost for Plan'!$B$38)),2)</f>
        <v>238.46</v>
      </c>
      <c r="C10" s="246">
        <f>ROUND(('Hours Per Job'!C10*'Total Cost for Plan'!$B$36+'Parts Cost Per Job'!C10*((1+'Total Cost for Plan'!$B$37)*'Total Cost for Plan'!$B$38)),2)</f>
        <v>48</v>
      </c>
      <c r="D10" s="246">
        <f>ROUND(('Hours Per Job'!D10*'Total Cost for Plan'!$B$36+'Parts Cost Per Job'!D10*((1+'Total Cost for Plan'!$B$37)*'Total Cost for Plan'!$B$38)),2)</f>
        <v>0</v>
      </c>
      <c r="E10" s="246">
        <f>ROUND(('Hours Per Job'!E10*'Total Cost for Plan'!$B$36+'Parts Cost Per Job'!E10*((1+'Total Cost for Plan'!$B$37)*'Total Cost for Plan'!$B$38)),2)</f>
        <v>0</v>
      </c>
      <c r="F10" s="246">
        <f>ROUND(('Hours Per Job'!F10*'Total Cost for Plan'!$B$36+'Parts Cost Per Job'!F10*((1+'Total Cost for Plan'!$B$37)*'Total Cost for Plan'!$B$38)),2)</f>
        <v>160.49</v>
      </c>
      <c r="G10" s="246">
        <f>ROUND(('Hours Per Job'!G10*'Total Cost for Plan'!$B$36+'Parts Cost Per Job'!G10*((1+'Total Cost for Plan'!$B$37)*'Total Cost for Plan'!$B$38)),2)</f>
        <v>0</v>
      </c>
      <c r="H10" s="246">
        <f>ROUND(('Hours Per Job'!H10*'Total Cost for Plan'!$B$36+'Parts Cost Per Job'!H10*((1+'Total Cost for Plan'!$B$37)*'Total Cost for Plan'!$B$38)),2)</f>
        <v>71.069999999999993</v>
      </c>
      <c r="I10" s="246">
        <f>ROUND(('Hours Per Job'!I10*'Total Cost for Plan'!$B$36+'Parts Cost Per Job'!I10*((1+'Total Cost for Plan'!$B$37)*'Total Cost for Plan'!$B$38)),2)</f>
        <v>30</v>
      </c>
      <c r="J10" s="246">
        <f>ROUND(('Hours Per Job'!J10*'Total Cost for Plan'!$B$36+'Parts Cost Per Job'!J10*((1+'Total Cost for Plan'!$B$37)*'Total Cost for Plan'!$B$38)),2)</f>
        <v>0</v>
      </c>
      <c r="K10" s="246">
        <f>ROUND(('Hours Per Job'!K10*'Total Cost for Plan'!$B$36+'Parts Cost Per Job'!K10*((1+'Total Cost for Plan'!$B$37)*'Total Cost for Plan'!$B$38)),2)</f>
        <v>0</v>
      </c>
      <c r="L10" s="246">
        <f>ROUND(('Hours Per Job'!L10*'Total Cost for Plan'!$B$36+'Parts Cost Per Job'!L10*((1+'Total Cost for Plan'!$B$37)*'Total Cost for Plan'!$B$38)),2)</f>
        <v>0</v>
      </c>
      <c r="M10" s="246">
        <f>ROUND(('Hours Per Job'!M10*'Total Cost for Plan'!$B$36+'Parts Cost Per Job'!M10*((1+'Total Cost for Plan'!$B$37)*'Total Cost for Plan'!$B$38)),2)</f>
        <v>0</v>
      </c>
      <c r="N10" s="246">
        <f>ROUND(('Hours Per Job'!N10*'Total Cost for Plan'!$B$36+'Parts Cost Per Job'!N10*((1+'Total Cost for Plan'!$B$37)*'Total Cost for Plan'!$B$38)),2)</f>
        <v>0</v>
      </c>
      <c r="O10" s="246">
        <f>ROUND(('Hours Per Job'!O10*'Total Cost for Plan'!$B$36+'Parts Cost Per Job'!O10*((1+'Total Cost for Plan'!$B$37)*'Total Cost for Plan'!$B$38)),2)</f>
        <v>0</v>
      </c>
      <c r="P10" s="246">
        <f>ROUND(('Hours Per Job'!P10*'Total Cost for Plan'!$B$36+'Parts Cost Per Job'!P10*((1+'Total Cost for Plan'!$B$37)*'Total Cost for Plan'!$B$38)),2)</f>
        <v>0</v>
      </c>
      <c r="Q10" s="246">
        <f>ROUND(('Hours Per Job'!Q10*'Total Cost for Plan'!$B$36+'Parts Cost Per Job'!Q10*((1+'Total Cost for Plan'!$B$37)*'Total Cost for Plan'!$B$38)),2)</f>
        <v>0</v>
      </c>
      <c r="R10" s="246">
        <f>ROUND(('Hours Per Job'!R10*'Total Cost for Plan'!$B$36+'Parts Cost Per Job'!R10*((1+'Total Cost for Plan'!$B$37)*'Total Cost for Plan'!$B$38)),2)</f>
        <v>0</v>
      </c>
      <c r="S10" s="246">
        <f>ROUND(('Hours Per Job'!S10*'Total Cost for Plan'!$B$36+'Parts Cost Per Job'!S10*((1+'Total Cost for Plan'!$B$37)*'Total Cost for Plan'!$B$38)),2)</f>
        <v>0</v>
      </c>
      <c r="T10" s="246">
        <f>ROUND(('Hours Per Job'!T10*'Total Cost for Plan'!$B$36+'Parts Cost Per Job'!T10*((1+'Total Cost for Plan'!$B$37)*'Total Cost for Plan'!$B$38)),2)</f>
        <v>0</v>
      </c>
      <c r="U10" s="246">
        <f>IF('Scheduled Intervals'!U10&gt;0,ROUND(('Hours Per Job'!U10*'Total Cost for Plan'!$B$36+'Parts Cost Per Job'!U10*((1+'Total Cost for Plan'!$B$37)*'Total Cost for Plan'!$B$38))*ROUNDDOWN($B$1/'Scheduled Intervals'!U10,0),2),0)</f>
        <v>0</v>
      </c>
      <c r="V10" s="246">
        <f>IF('Scheduled Intervals'!V10&gt;0,ROUND(('Hours Per Job'!V10*'Total Cost for Plan'!$B$36+'Parts Cost Per Job'!V10*((1+'Total Cost for Plan'!$B$37)*'Total Cost for Plan'!$B$38))*ROUNDDOWN($B$1/'Scheduled Intervals'!V10,0),2),0)</f>
        <v>0</v>
      </c>
      <c r="W10" s="246">
        <f>IF('Scheduled Intervals'!W10&gt;0,ROUND(('Hours Per Job'!W10*'Total Cost for Plan'!$B$36+'Parts Cost Per Job'!W10*((1+'Total Cost for Plan'!$B$37)*'Total Cost for Plan'!$B$38))*ROUNDDOWN($B$1/'Scheduled Intervals'!W10,0),2),0)</f>
        <v>0</v>
      </c>
      <c r="X10" s="246">
        <f>IF('Scheduled Intervals'!X10&gt;0,ROUND(('Hours Per Job'!X10*'Total Cost for Plan'!$B$36+'Parts Cost Per Job'!X10*((1+'Total Cost for Plan'!$B$37)*'Total Cost for Plan'!$B$38))*ROUNDDOWN($B$1/'Scheduled Intervals'!X10,0),2),0)</f>
        <v>0</v>
      </c>
      <c r="Y10" s="246">
        <f>IF('Scheduled Intervals'!Y10&gt;0,ROUND(('Hours Per Job'!Y10*'Total Cost for Plan'!$B$36+'Parts Cost Per Job'!Y10*((1+'Total Cost for Plan'!$B$37)*'Total Cost for Plan'!$B$38))*ROUNDDOWN($B$1/'Scheduled Intervals'!Y10,0),2),0)</f>
        <v>0</v>
      </c>
      <c r="Z10" s="246">
        <f>IF('Scheduled Intervals'!Z10&gt;0,ROUND(('Hours Per Job'!Z10*'Total Cost for Plan'!$B$36+'Parts Cost Per Job'!Z10*((1+'Total Cost for Plan'!$B$37)*'Total Cost for Plan'!$B$38))*ROUNDDOWN($B$1/'Scheduled Intervals'!Z10,0),2),0)</f>
        <v>0</v>
      </c>
      <c r="AA10" s="246">
        <f>IF('Scheduled Intervals'!AA10&gt;0,ROUND(('Hours Per Job'!AA10*'Total Cost for Plan'!$B$36+'Parts Cost Per Job'!AA10*((1+'Total Cost for Plan'!$B$37)*'Total Cost for Plan'!$B$38))*ROUNDDOWN($B$1/'Scheduled Intervals'!AA10,0),2),0)</f>
        <v>0</v>
      </c>
      <c r="AB10" s="246">
        <f>IF('Scheduled Intervals'!AB10&gt;0,ROUND(('Hours Per Job'!AB10*'Total Cost for Plan'!$B$36+'Parts Cost Per Job'!AB10*((1+'Total Cost for Plan'!$B$37)*'Total Cost for Plan'!$B$38))*ROUNDDOWN($B$1/'Scheduled Intervals'!AB10,0),2),0)</f>
        <v>0</v>
      </c>
      <c r="AC10" s="246">
        <f>IF('Scheduled Intervals'!AC10&gt;0,ROUND(('Hours Per Job'!AC10*'Total Cost for Plan'!$B$36+'Parts Cost Per Job'!AC10*((1+'Total Cost for Plan'!$B$37)*'Total Cost for Plan'!$B$38))*ROUNDDOWN($B$1/'Scheduled Intervals'!AC10,0),2),0)</f>
        <v>0</v>
      </c>
      <c r="AD10" s="246">
        <f>IF('Scheduled Intervals'!AD10&gt;0,ROUND(('Hours Per Job'!AD10*'Total Cost for Plan'!$B$36+'Parts Cost Per Job'!AD10*((1+'Total Cost for Plan'!$B$37)*'Total Cost for Plan'!$B$38))*ROUNDDOWN($B$1/'Scheduled Intervals'!AD10,0),2),0)</f>
        <v>0</v>
      </c>
      <c r="AE10" s="246">
        <f>IF('Scheduled Intervals'!AE10&gt;0,ROUND(('Hours Per Job'!AE10*'Total Cost for Plan'!$B$36+'Parts Cost Per Job'!AE10*((1+'Total Cost for Plan'!$B$37)*'Total Cost for Plan'!$B$38))*ROUNDDOWN($B$1/'Scheduled Intervals'!AE10,0),2),0)</f>
        <v>0</v>
      </c>
      <c r="AF10" s="246">
        <f>IF('Scheduled Intervals'!AF10&gt;0,ROUND(('Hours Per Job'!AF10*'Total Cost for Plan'!$B$36+'Parts Cost Per Job'!AF10*((1+'Total Cost for Plan'!$B$37)*'Total Cost for Plan'!$B$38))*ROUNDDOWN($B$1/'Scheduled Intervals'!AF10,0),2),0)</f>
        <v>0</v>
      </c>
      <c r="AG10" s="246">
        <f>IF('Scheduled Intervals'!AG10&gt;0,ROUND(('Hours Per Job'!AG10*'Total Cost for Plan'!$B$36+'Parts Cost Per Job'!AG10*((1+'Total Cost for Plan'!$B$37)*'Total Cost for Plan'!$B$38))*ROUNDDOWN($B$1/'Scheduled Intervals'!AG10,0),2),0)</f>
        <v>0</v>
      </c>
      <c r="AH10" s="246">
        <f>IF('Scheduled Intervals'!AH10&gt;0,ROUND(('Hours Per Job'!AH10*'Total Cost for Plan'!$B$36+'Parts Cost Per Job'!AH10*((1+'Total Cost for Plan'!$B$37)*'Total Cost for Plan'!$B$38))*ROUNDDOWN($B$1/'Scheduled Intervals'!AH10,0),2),0)</f>
        <v>0</v>
      </c>
      <c r="AI10" s="246">
        <f>IF('Scheduled Intervals'!AI10&gt;0,ROUND(('Hours Per Job'!AI10*'Total Cost for Plan'!$B$36+'Parts Cost Per Job'!AI10*((1+'Total Cost for Plan'!$B$37)*'Total Cost for Plan'!$B$38))*ROUNDDOWN($B$1/'Scheduled Intervals'!AI10,0),2),0)</f>
        <v>0</v>
      </c>
      <c r="AJ10" s="246">
        <f>IF('Scheduled Intervals'!AJ10&gt;0,ROUND(('Hours Per Job'!AJ10*'Total Cost for Plan'!$B$36+'Parts Cost Per Job'!AJ10*((1+'Total Cost for Plan'!$B$37)*'Total Cost for Plan'!$B$38))*ROUNDDOWN($B$1/'Scheduled Intervals'!AJ10,0),2),0)</f>
        <v>0</v>
      </c>
      <c r="AK10" s="246">
        <f>IF('Scheduled Intervals'!AK10&gt;0,ROUND(('Hours Per Job'!AK10*'Total Cost for Plan'!$B$36+'Parts Cost Per Job'!AK10*((1+'Total Cost for Plan'!$B$37)*'Total Cost for Plan'!$B$38))*ROUNDDOWN($B$1/'Scheduled Intervals'!AK10,0),2),0)</f>
        <v>0</v>
      </c>
      <c r="AL10" s="246">
        <f>IF('Scheduled Intervals'!AL10&gt;0,ROUND(('Hours Per Job'!AL10*'Total Cost for Plan'!$B$36+'Parts Cost Per Job'!AL10*((1+'Total Cost for Plan'!$B$37)*'Total Cost for Plan'!$B$38))*ROUNDDOWN($B$1/'Scheduled Intervals'!AL10,0),2),0)</f>
        <v>0</v>
      </c>
      <c r="AM10" s="246">
        <f>IF('Scheduled Intervals'!AM10&gt;0,ROUND(('Hours Per Job'!AM10*'Total Cost for Plan'!$B$36+'Parts Cost Per Job'!AM10*((1+'Total Cost for Plan'!$B$37)*'Total Cost for Plan'!$B$38))*ROUNDDOWN($B$1/'Scheduled Intervals'!AM10,0),2),0)</f>
        <v>0</v>
      </c>
      <c r="AN10" s="246">
        <f>IF('Scheduled Intervals'!AN10&gt;0,ROUND(('Hours Per Job'!AN10*'Total Cost for Plan'!$B$36+'Parts Cost Per Job'!AN10*((1+'Total Cost for Plan'!$B$37)*'Total Cost for Plan'!$B$38))*ROUNDDOWN($B$1/'Scheduled Intervals'!AN10,0),2),0)</f>
        <v>0</v>
      </c>
      <c r="AO10" s="246">
        <f>IF('Scheduled Intervals'!AO10&gt;0,ROUND(('Hours Per Job'!AO10*'Total Cost for Plan'!$B$36+'Parts Cost Per Job'!AO10*((1+'Total Cost for Plan'!$B$37)*'Total Cost for Plan'!$B$38))*ROUNDDOWN($B$1/'Scheduled Intervals'!AO10,0),2),0)</f>
        <v>0</v>
      </c>
      <c r="AP10" s="246">
        <f>IF('Scheduled Intervals'!AP10&gt;0,ROUND(('Hours Per Job'!AP10*'Total Cost for Plan'!$B$36+'Parts Cost Per Job'!AP10*((1+'Total Cost for Plan'!$B$37)*'Total Cost for Plan'!$B$38))*ROUNDDOWN($B$1/'Scheduled Intervals'!AP10,0),2),0)</f>
        <v>0</v>
      </c>
      <c r="AQ10" s="246">
        <f>IF('Scheduled Intervals'!AQ10&gt;0,ROUND(('Hours Per Job'!AQ10*'Total Cost for Plan'!$B$36+'Parts Cost Per Job'!AQ10*((1+'Total Cost for Plan'!$B$37)*'Total Cost for Plan'!$B$38))*ROUNDDOWN($B$1/'Scheduled Intervals'!AQ10,0),2),0)</f>
        <v>0</v>
      </c>
      <c r="AR10" s="246">
        <f>IF('Scheduled Intervals'!AR10&gt;0,ROUND(('Hours Per Job'!AR10*'Total Cost for Plan'!$B$36+'Parts Cost Per Job'!AR10*((1+'Total Cost for Plan'!$B$37)*'Total Cost for Plan'!$B$38))*ROUNDDOWN($B$1/'Scheduled Intervals'!AR10,0),2),0)</f>
        <v>0</v>
      </c>
      <c r="AS10" s="246">
        <f>IF('Scheduled Intervals'!AS10&gt;0,ROUND(('Hours Per Job'!AS10*'Total Cost for Plan'!$B$36+'Parts Cost Per Job'!AS10*((1+'Total Cost for Plan'!$B$37)*'Total Cost for Plan'!$B$38))*ROUNDDOWN($B$1/'Scheduled Intervals'!AS10,0),2),0)</f>
        <v>0</v>
      </c>
      <c r="AT10" s="246">
        <f>IF('Scheduled Intervals'!AT10&gt;0,ROUND(('Hours Per Job'!AT10*'Total Cost for Plan'!$B$36+'Parts Cost Per Job'!AT10*((1+'Total Cost for Plan'!$B$37)*'Total Cost for Plan'!$B$38))*ROUNDDOWN($B$1/'Scheduled Intervals'!AT10,0),2),0)</f>
        <v>0</v>
      </c>
      <c r="AU10" s="246">
        <f>IF('Scheduled Intervals'!AU10&gt;0,ROUND(('Hours Per Job'!AU10*'Total Cost for Plan'!$B$36+'Parts Cost Per Job'!AU10*((1+'Total Cost for Plan'!$B$37)*'Total Cost for Plan'!$B$38))*ROUNDDOWN($B$1/'Scheduled Intervals'!AU10,0),2),0)</f>
        <v>0</v>
      </c>
      <c r="AV10" s="246">
        <f>IF('Scheduled Intervals'!AV10&gt;0,ROUND(('Hours Per Job'!AV10*'Total Cost for Plan'!$B$36+'Parts Cost Per Job'!AV10*((1+'Total Cost for Plan'!$B$37)*'Total Cost for Plan'!$B$38))*ROUNDDOWN($B$1/'Scheduled Intervals'!AV10,0),2),0)</f>
        <v>0</v>
      </c>
      <c r="AW10" s="246">
        <f>IF('Scheduled Intervals'!AW10&gt;0,ROUND(('Hours Per Job'!AW10*'Total Cost for Plan'!$B$36+'Parts Cost Per Job'!AW10*((1+'Total Cost for Plan'!$B$37)*'Total Cost for Plan'!$B$38))*ROUNDDOWN($B$1/'Scheduled Intervals'!AW10,0),2),0)</f>
        <v>0</v>
      </c>
      <c r="AX10" s="246">
        <f>IF('Scheduled Intervals'!AX10&gt;0,ROUND(('Hours Per Job'!AX10*'Total Cost for Plan'!$B$36+'Parts Cost Per Job'!AX10*((1+'Total Cost for Plan'!$B$37)*'Total Cost for Plan'!$B$38))*ROUNDDOWN($B$1/'Scheduled Intervals'!AX10,0),2),0)</f>
        <v>0</v>
      </c>
      <c r="AY10" s="246">
        <f>IF('Scheduled Intervals'!AY10&gt;0,ROUND(('Hours Per Job'!AY10*'Total Cost for Plan'!$B$36+'Parts Cost Per Job'!AY10*((1+'Total Cost for Plan'!$B$37)*'Total Cost for Plan'!$B$38))*ROUNDDOWN($B$1/'Scheduled Intervals'!AY10,0),2),0)</f>
        <v>0</v>
      </c>
      <c r="AZ10" s="246">
        <f>IF('Scheduled Intervals'!AZ10&gt;0,ROUND(('Hours Per Job'!AZ10*'Total Cost for Plan'!$B$36+'Parts Cost Per Job'!AZ10*((1+'Total Cost for Plan'!$B$37)*'Total Cost for Plan'!$B$38))*ROUNDDOWN($B$1/'Scheduled Intervals'!AZ10,0),2),0)</f>
        <v>0</v>
      </c>
      <c r="BA10" s="246">
        <f>IF('Scheduled Intervals'!BA10&gt;0,ROUND(('Hours Per Job'!BA10*'Total Cost for Plan'!$B$36+'Parts Cost Per Job'!BA10*((1+'Total Cost for Plan'!$B$37)*'Total Cost for Plan'!$B$38))*ROUNDDOWN($B$1/'Scheduled Intervals'!BA10,0),2),0)</f>
        <v>0</v>
      </c>
      <c r="BB10" s="246">
        <f>IF('Scheduled Intervals'!BB10&gt;0,ROUND(('Hours Per Job'!BB10*'Total Cost for Plan'!$B$36+'Parts Cost Per Job'!BB10*((1+'Total Cost for Plan'!$B$37)*'Total Cost for Plan'!$B$38))*ROUNDDOWN($B$1/'Scheduled Intervals'!BB10,0),2),0)</f>
        <v>0</v>
      </c>
      <c r="BC10" s="246">
        <f>IF('Scheduled Intervals'!BC10&gt;0,ROUND(('Hours Per Job'!BC10*'Total Cost for Plan'!$B$36+'Parts Cost Per Job'!BC10*((1+'Total Cost for Plan'!$B$37)*'Total Cost for Plan'!$B$38))*ROUNDDOWN($B$1/'Scheduled Intervals'!BC10,0),2),0)</f>
        <v>0</v>
      </c>
      <c r="BD10" s="246">
        <f>IF('Scheduled Intervals'!BD10&gt;0,ROUND(('Hours Per Job'!BD10*'Total Cost for Plan'!$B$36+'Parts Cost Per Job'!BD10*((1+'Total Cost for Plan'!$B$37)*'Total Cost for Plan'!$B$38))*ROUNDDOWN($B$1/'Scheduled Intervals'!BD10,0),2),0)</f>
        <v>0</v>
      </c>
      <c r="BE10" s="246">
        <f>IF('Scheduled Intervals'!BE10&gt;0,ROUND(('Hours Per Job'!BE10*'Total Cost for Plan'!$B$36+'Parts Cost Per Job'!BE10*((1+'Total Cost for Plan'!$B$37)*'Total Cost for Plan'!$B$38))*ROUNDDOWN($B$1/'Scheduled Intervals'!BE10,0),2),0)</f>
        <v>0</v>
      </c>
      <c r="BF10" s="246">
        <f>IF('Scheduled Intervals'!BF10&gt;0,ROUND(('Hours Per Job'!BF10*'Total Cost for Plan'!$B$36+'Parts Cost Per Job'!BF10*((1+'Total Cost for Plan'!$B$37)*'Total Cost for Plan'!$B$38))*ROUNDDOWN($B$1/'Scheduled Intervals'!BF10,0),2),0)</f>
        <v>0</v>
      </c>
      <c r="BG10" s="246">
        <f>IF('Scheduled Intervals'!BG10&gt;0,ROUND(('Hours Per Job'!BG10*'Total Cost for Plan'!$B$36+'Parts Cost Per Job'!BG10*((1+'Total Cost for Plan'!$B$37)*'Total Cost for Plan'!$B$38))*ROUNDDOWN($B$1/'Scheduled Intervals'!BG10,0),2),0)</f>
        <v>0</v>
      </c>
      <c r="BH10" s="246">
        <f>IF('Scheduled Intervals'!BH10&gt;0,ROUND(('Hours Per Job'!BH10*'Total Cost for Plan'!$B$36+'Parts Cost Per Job'!BH10*((1+'Total Cost for Plan'!$B$37)*'Total Cost for Plan'!$B$38))*ROUNDDOWN($B$1/'Scheduled Intervals'!BH10,0),2),0)</f>
        <v>0</v>
      </c>
      <c r="BI10" s="246">
        <f>IF('Scheduled Intervals'!BI10&gt;0,ROUND(('Hours Per Job'!BI10*'Total Cost for Plan'!$B$36+'Parts Cost Per Job'!BI10*((1+'Total Cost for Plan'!$B$37)*'Total Cost for Plan'!$B$38))*ROUNDDOWN($B$1/'Scheduled Intervals'!BI10,0),2),0)</f>
        <v>0</v>
      </c>
      <c r="BJ10" s="246">
        <f>IF('Scheduled Intervals'!BJ10&gt;0,ROUND(('Hours Per Job'!BJ10*'Total Cost for Plan'!$B$36+'Parts Cost Per Job'!BJ10*((1+'Total Cost for Plan'!$B$37)*'Total Cost for Plan'!$B$38))*ROUNDDOWN($B$1/'Scheduled Intervals'!BJ10,0),2),0)</f>
        <v>0</v>
      </c>
      <c r="BK10" s="246">
        <f>IF('Scheduled Intervals'!BK10&gt;0,ROUND(('Hours Per Job'!BK10*'Total Cost for Plan'!$B$36+'Parts Cost Per Job'!BK10*((1+'Total Cost for Plan'!$B$37)*'Total Cost for Plan'!$B$38))*ROUNDDOWN($B$1/'Scheduled Intervals'!BK10,0),2),0)</f>
        <v>0</v>
      </c>
      <c r="BL10" s="246">
        <f>IF('Scheduled Intervals'!BL10&gt;0,ROUND(('Hours Per Job'!BL10*'Total Cost for Plan'!$B$36+'Parts Cost Per Job'!BL10*((1+'Total Cost for Plan'!$B$37)*'Total Cost for Plan'!$B$38))*ROUNDDOWN($B$1/'Scheduled Intervals'!BL10,0),2),0)</f>
        <v>0</v>
      </c>
      <c r="BM10" s="246">
        <f>IF('Scheduled Intervals'!BM10&gt;0,ROUND(('Hours Per Job'!BM10*'Total Cost for Plan'!$B$36+'Parts Cost Per Job'!BM10*((1+'Total Cost for Plan'!$B$37)*'Total Cost for Plan'!$B$38))*ROUNDDOWN($B$1/'Scheduled Intervals'!BM10,0),2),0)</f>
        <v>0</v>
      </c>
      <c r="BN10" s="246">
        <f>IF(AND('Scheduled Intervals'!BN$4="annual",'Plan Summary'!$C$5&lt;'Scheduled Intervals'!$U10*('Plan Summary'!$C$9/12)),ROUND(('Hours Per Job'!BN10*'Total Cost for Plan'!$B$36+'Parts Cost Per Job'!BN10*((1+'Total Cost for Plan'!$B$37)*'Total Cost for Plan'!$B$38))*ROUND('Plan Summary'!$C$9/12,0),2),0)</f>
        <v>1192.32</v>
      </c>
      <c r="BO10" s="246">
        <f>IF(AND('Scheduled Intervals'!BO$4="annual",'Plan Summary'!$C$5&lt;'Scheduled Intervals'!$U10*('Plan Summary'!$C$9/12)),ROUND(('Hours Per Job'!BO10*'Total Cost for Plan'!$B$36+'Parts Cost Per Job'!BO10*((1+'Total Cost for Plan'!$B$37)*'Total Cost for Plan'!$B$38))*ROUND('Plan Summary'!$C$9/12,0),2),0)</f>
        <v>355.33</v>
      </c>
      <c r="BP10" s="246">
        <f>IF(AND('Scheduled Intervals'!BP$4="annual",'Plan Summary'!$C$5&lt;'Scheduled Intervals'!$U10*('Plan Summary'!$C$9/12)),ROUND(('Hours Per Job'!BP10*'Total Cost for Plan'!$B$36+'Parts Cost Per Job'!BP10*((1+'Total Cost for Plan'!$B$37)*'Total Cost for Plan'!$B$38))*ROUND('Plan Summary'!$C$9/12,0),2),0)</f>
        <v>630</v>
      </c>
      <c r="BQ10" s="246">
        <f t="shared" si="0"/>
        <v>2725.67</v>
      </c>
      <c r="BR10" s="246"/>
    </row>
    <row r="11" spans="1:70" ht="16" x14ac:dyDescent="0.2">
      <c r="A11" s="18" t="str">
        <f>+'Scheduled Intervals'!A11</f>
        <v>Skid Steer</v>
      </c>
      <c r="B11" s="246">
        <f>ROUND(('Hours Per Job'!B11*'Total Cost for Plan'!$B$36+'Parts Cost Per Job'!B11*((1+'Total Cost for Plan'!$B$37)*'Total Cost for Plan'!$B$38)),2)</f>
        <v>182.54</v>
      </c>
      <c r="C11" s="246">
        <f>ROUND(('Hours Per Job'!C11*'Total Cost for Plan'!$B$36+'Parts Cost Per Job'!C11*((1+'Total Cost for Plan'!$B$37)*'Total Cost for Plan'!$B$38)),2)</f>
        <v>0</v>
      </c>
      <c r="D11" s="246">
        <f>ROUND(('Hours Per Job'!D11*'Total Cost for Plan'!$B$36+'Parts Cost Per Job'!D11*((1+'Total Cost for Plan'!$B$37)*'Total Cost for Plan'!$B$38)),2)</f>
        <v>36</v>
      </c>
      <c r="E11" s="246">
        <f>ROUND(('Hours Per Job'!E11*'Total Cost for Plan'!$B$36+'Parts Cost Per Job'!E11*((1+'Total Cost for Plan'!$B$37)*'Total Cost for Plan'!$B$38)),2)</f>
        <v>0</v>
      </c>
      <c r="F11" s="246">
        <f>ROUND(('Hours Per Job'!F11*'Total Cost for Plan'!$B$36+'Parts Cost Per Job'!F11*((1+'Total Cost for Plan'!$B$37)*'Total Cost for Plan'!$B$38)),2)</f>
        <v>137.44</v>
      </c>
      <c r="G11" s="246">
        <f>ROUND(('Hours Per Job'!G11*'Total Cost for Plan'!$B$36+'Parts Cost Per Job'!G11*((1+'Total Cost for Plan'!$B$37)*'Total Cost for Plan'!$B$38)),2)</f>
        <v>0</v>
      </c>
      <c r="H11" s="246">
        <f>ROUND(('Hours Per Job'!H11*'Total Cost for Plan'!$B$36+'Parts Cost Per Job'!H11*((1+'Total Cost for Plan'!$B$37)*'Total Cost for Plan'!$B$38)),2)</f>
        <v>71.069999999999993</v>
      </c>
      <c r="I11" s="246">
        <f>ROUND(('Hours Per Job'!I11*'Total Cost for Plan'!$B$36+'Parts Cost Per Job'!I11*((1+'Total Cost for Plan'!$B$37)*'Total Cost for Plan'!$B$38)),2)</f>
        <v>30</v>
      </c>
      <c r="J11" s="246">
        <f>ROUND(('Hours Per Job'!J11*'Total Cost for Plan'!$B$36+'Parts Cost Per Job'!J11*((1+'Total Cost for Plan'!$B$37)*'Total Cost for Plan'!$B$38)),2)</f>
        <v>60</v>
      </c>
      <c r="K11" s="246">
        <f>ROUND(('Hours Per Job'!K11*'Total Cost for Plan'!$B$36+'Parts Cost Per Job'!K11*((1+'Total Cost for Plan'!$B$37)*'Total Cost for Plan'!$B$38)),2)</f>
        <v>0</v>
      </c>
      <c r="L11" s="246">
        <f>ROUND(('Hours Per Job'!L11*'Total Cost for Plan'!$B$36+'Parts Cost Per Job'!L11*((1+'Total Cost for Plan'!$B$37)*'Total Cost for Plan'!$B$38)),2)</f>
        <v>0</v>
      </c>
      <c r="M11" s="246">
        <f>ROUND(('Hours Per Job'!M11*'Total Cost for Plan'!$B$36+'Parts Cost Per Job'!M11*((1+'Total Cost for Plan'!$B$37)*'Total Cost for Plan'!$B$38)),2)</f>
        <v>0</v>
      </c>
      <c r="N11" s="246">
        <f>ROUND(('Hours Per Job'!N11*'Total Cost for Plan'!$B$36+'Parts Cost Per Job'!N11*((1+'Total Cost for Plan'!$B$37)*'Total Cost for Plan'!$B$38)),2)</f>
        <v>0</v>
      </c>
      <c r="O11" s="246">
        <f>ROUND(('Hours Per Job'!O11*'Total Cost for Plan'!$B$36+'Parts Cost Per Job'!O11*((1+'Total Cost for Plan'!$B$37)*'Total Cost for Plan'!$B$38)),2)</f>
        <v>0</v>
      </c>
      <c r="P11" s="246">
        <f>ROUND(('Hours Per Job'!P11*'Total Cost for Plan'!$B$36+'Parts Cost Per Job'!P11*((1+'Total Cost for Plan'!$B$37)*'Total Cost for Plan'!$B$38)),2)</f>
        <v>0</v>
      </c>
      <c r="Q11" s="246">
        <f>ROUND(('Hours Per Job'!Q11*'Total Cost for Plan'!$B$36+'Parts Cost Per Job'!Q11*((1+'Total Cost for Plan'!$B$37)*'Total Cost for Plan'!$B$38)),2)</f>
        <v>238.3</v>
      </c>
      <c r="R11" s="246">
        <f>ROUND(('Hours Per Job'!R11*'Total Cost for Plan'!$B$36+'Parts Cost Per Job'!R11*((1+'Total Cost for Plan'!$B$37)*'Total Cost for Plan'!$B$38)),2)</f>
        <v>0</v>
      </c>
      <c r="S11" s="246">
        <f>ROUND(('Hours Per Job'!S11*'Total Cost for Plan'!$B$36+'Parts Cost Per Job'!S11*((1+'Total Cost for Plan'!$B$37)*'Total Cost for Plan'!$B$38)),2)</f>
        <v>0</v>
      </c>
      <c r="T11" s="246">
        <f>ROUND(('Hours Per Job'!T11*'Total Cost for Plan'!$B$36+'Parts Cost Per Job'!T11*((1+'Total Cost for Plan'!$B$37)*'Total Cost for Plan'!$B$38)),2)</f>
        <v>0</v>
      </c>
      <c r="U11" s="246">
        <f>IF('Scheduled Intervals'!U11&gt;0,ROUND(('Hours Per Job'!U11*'Total Cost for Plan'!$B$36+'Parts Cost Per Job'!U11*((1+'Total Cost for Plan'!$B$37)*'Total Cost for Plan'!$B$38))*ROUNDDOWN($B$1/'Scheduled Intervals'!U11,0),2),0)</f>
        <v>0</v>
      </c>
      <c r="V11" s="246">
        <f>IF('Scheduled Intervals'!V11&gt;0,ROUND(('Hours Per Job'!V11*'Total Cost for Plan'!$B$36+'Parts Cost Per Job'!V11*((1+'Total Cost for Plan'!$B$37)*'Total Cost for Plan'!$B$38))*ROUNDDOWN($B$1/'Scheduled Intervals'!V11,0),2),0)</f>
        <v>0</v>
      </c>
      <c r="W11" s="246">
        <f>IF('Scheduled Intervals'!W11&gt;0,ROUND(('Hours Per Job'!W11*'Total Cost for Plan'!$B$36+'Parts Cost Per Job'!W11*((1+'Total Cost for Plan'!$B$37)*'Total Cost for Plan'!$B$38))*ROUNDDOWN($B$1/'Scheduled Intervals'!W11,0),2),0)</f>
        <v>0</v>
      </c>
      <c r="X11" s="246">
        <f>IF('Scheduled Intervals'!X11&gt;0,ROUND(('Hours Per Job'!X11*'Total Cost for Plan'!$B$36+'Parts Cost Per Job'!X11*((1+'Total Cost for Plan'!$B$37)*'Total Cost for Plan'!$B$38))*ROUNDDOWN($B$1/'Scheduled Intervals'!X11,0),2),0)</f>
        <v>0</v>
      </c>
      <c r="Y11" s="246">
        <f>IF('Scheduled Intervals'!Y11&gt;0,ROUND(('Hours Per Job'!Y11*'Total Cost for Plan'!$B$36+'Parts Cost Per Job'!Y11*((1+'Total Cost for Plan'!$B$37)*'Total Cost for Plan'!$B$38))*ROUNDDOWN($B$1/'Scheduled Intervals'!Y11,0),2),0)</f>
        <v>0</v>
      </c>
      <c r="Z11" s="246">
        <f>IF('Scheduled Intervals'!Z11&gt;0,ROUND(('Hours Per Job'!Z11*'Total Cost for Plan'!$B$36+'Parts Cost Per Job'!Z11*((1+'Total Cost for Plan'!$B$37)*'Total Cost for Plan'!$B$38))*ROUNDDOWN($B$1/'Scheduled Intervals'!Z11,0),2),0)</f>
        <v>0</v>
      </c>
      <c r="AA11" s="246">
        <f>IF('Scheduled Intervals'!AA11&gt;0,ROUND(('Hours Per Job'!AA11*'Total Cost for Plan'!$B$36+'Parts Cost Per Job'!AA11*((1+'Total Cost for Plan'!$B$37)*'Total Cost for Plan'!$B$38))*ROUNDDOWN($B$1/'Scheduled Intervals'!AA11,0),2),0)</f>
        <v>0</v>
      </c>
      <c r="AB11" s="246">
        <f>IF('Scheduled Intervals'!AB11&gt;0,ROUND(('Hours Per Job'!AB11*'Total Cost for Plan'!$B$36+'Parts Cost Per Job'!AB11*((1+'Total Cost for Plan'!$B$37)*'Total Cost for Plan'!$B$38))*ROUNDDOWN($B$1/'Scheduled Intervals'!AB11,0),2),0)</f>
        <v>0</v>
      </c>
      <c r="AC11" s="246">
        <f>IF('Scheduled Intervals'!AC11&gt;0,ROUND(('Hours Per Job'!AC11*'Total Cost for Plan'!$B$36+'Parts Cost Per Job'!AC11*((1+'Total Cost for Plan'!$B$37)*'Total Cost for Plan'!$B$38))*ROUNDDOWN($B$1/'Scheduled Intervals'!AC11,0),2),0)</f>
        <v>0</v>
      </c>
      <c r="AD11" s="246">
        <f>IF('Scheduled Intervals'!AD11&gt;0,ROUND(('Hours Per Job'!AD11*'Total Cost for Plan'!$B$36+'Parts Cost Per Job'!AD11*((1+'Total Cost for Plan'!$B$37)*'Total Cost for Plan'!$B$38))*ROUNDDOWN($B$1/'Scheduled Intervals'!AD11,0),2),0)</f>
        <v>0</v>
      </c>
      <c r="AE11" s="246">
        <f>IF('Scheduled Intervals'!AE11&gt;0,ROUND(('Hours Per Job'!AE11*'Total Cost for Plan'!$B$36+'Parts Cost Per Job'!AE11*((1+'Total Cost for Plan'!$B$37)*'Total Cost for Plan'!$B$38))*ROUNDDOWN($B$1/'Scheduled Intervals'!AE11,0),2),0)</f>
        <v>0</v>
      </c>
      <c r="AF11" s="246">
        <f>IF('Scheduled Intervals'!AF11&gt;0,ROUND(('Hours Per Job'!AF11*'Total Cost for Plan'!$B$36+'Parts Cost Per Job'!AF11*((1+'Total Cost for Plan'!$B$37)*'Total Cost for Plan'!$B$38))*ROUNDDOWN($B$1/'Scheduled Intervals'!AF11,0),2),0)</f>
        <v>0</v>
      </c>
      <c r="AG11" s="246">
        <f>IF('Scheduled Intervals'!AG11&gt;0,ROUND(('Hours Per Job'!AG11*'Total Cost for Plan'!$B$36+'Parts Cost Per Job'!AG11*((1+'Total Cost for Plan'!$B$37)*'Total Cost for Plan'!$B$38))*ROUNDDOWN($B$1/'Scheduled Intervals'!AG11,0),2),0)</f>
        <v>0</v>
      </c>
      <c r="AH11" s="246">
        <f>IF('Scheduled Intervals'!AH11&gt;0,ROUND(('Hours Per Job'!AH11*'Total Cost for Plan'!$B$36+'Parts Cost Per Job'!AH11*((1+'Total Cost for Plan'!$B$37)*'Total Cost for Plan'!$B$38))*ROUNDDOWN($B$1/'Scheduled Intervals'!AH11,0),2),0)</f>
        <v>0</v>
      </c>
      <c r="AI11" s="246">
        <f>IF('Scheduled Intervals'!AI11&gt;0,ROUND(('Hours Per Job'!AI11*'Total Cost for Plan'!$B$36+'Parts Cost Per Job'!AI11*((1+'Total Cost for Plan'!$B$37)*'Total Cost for Plan'!$B$38))*ROUNDDOWN($B$1/'Scheduled Intervals'!AI11,0),2),0)</f>
        <v>0</v>
      </c>
      <c r="AJ11" s="246">
        <f>IF('Scheduled Intervals'!AJ11&gt;0,ROUND(('Hours Per Job'!AJ11*'Total Cost for Plan'!$B$36+'Parts Cost Per Job'!AJ11*((1+'Total Cost for Plan'!$B$37)*'Total Cost for Plan'!$B$38))*ROUNDDOWN($B$1/'Scheduled Intervals'!AJ11,0),2),0)</f>
        <v>0</v>
      </c>
      <c r="AK11" s="246">
        <f>IF('Scheduled Intervals'!AK11&gt;0,ROUND(('Hours Per Job'!AK11*'Total Cost for Plan'!$B$36+'Parts Cost Per Job'!AK11*((1+'Total Cost for Plan'!$B$37)*'Total Cost for Plan'!$B$38))*ROUNDDOWN($B$1/'Scheduled Intervals'!AK11,0),2),0)</f>
        <v>0</v>
      </c>
      <c r="AL11" s="246">
        <f>IF('Scheduled Intervals'!AL11&gt;0,ROUND(('Hours Per Job'!AL11*'Total Cost for Plan'!$B$36+'Parts Cost Per Job'!AL11*((1+'Total Cost for Plan'!$B$37)*'Total Cost for Plan'!$B$38))*ROUNDDOWN($B$1/'Scheduled Intervals'!AL11,0),2),0)</f>
        <v>0</v>
      </c>
      <c r="AM11" s="246">
        <f>IF('Scheduled Intervals'!AM11&gt;0,ROUND(('Hours Per Job'!AM11*'Total Cost for Plan'!$B$36+'Parts Cost Per Job'!AM11*((1+'Total Cost for Plan'!$B$37)*'Total Cost for Plan'!$B$38))*ROUNDDOWN($B$1/'Scheduled Intervals'!AM11,0),2),0)</f>
        <v>0</v>
      </c>
      <c r="AN11" s="246">
        <f>IF('Scheduled Intervals'!AN11&gt;0,ROUND(('Hours Per Job'!AN11*'Total Cost for Plan'!$B$36+'Parts Cost Per Job'!AN11*((1+'Total Cost for Plan'!$B$37)*'Total Cost for Plan'!$B$38))*ROUNDDOWN($B$1/'Scheduled Intervals'!AN11,0),2),0)</f>
        <v>0</v>
      </c>
      <c r="AO11" s="246">
        <f>IF('Scheduled Intervals'!AO11&gt;0,ROUND(('Hours Per Job'!AO11*'Total Cost for Plan'!$B$36+'Parts Cost Per Job'!AO11*((1+'Total Cost for Plan'!$B$37)*'Total Cost for Plan'!$B$38))*ROUNDDOWN($B$1/'Scheduled Intervals'!AO11,0),2),0)</f>
        <v>0</v>
      </c>
      <c r="AP11" s="246">
        <f>IF('Scheduled Intervals'!AP11&gt;0,ROUND(('Hours Per Job'!AP11*'Total Cost for Plan'!$B$36+'Parts Cost Per Job'!AP11*((1+'Total Cost for Plan'!$B$37)*'Total Cost for Plan'!$B$38))*ROUNDDOWN($B$1/'Scheduled Intervals'!AP11,0),2),0)</f>
        <v>0</v>
      </c>
      <c r="AQ11" s="246">
        <f>IF('Scheduled Intervals'!AQ11&gt;0,ROUND(('Hours Per Job'!AQ11*'Total Cost for Plan'!$B$36+'Parts Cost Per Job'!AQ11*((1+'Total Cost for Plan'!$B$37)*'Total Cost for Plan'!$B$38))*ROUNDDOWN($B$1/'Scheduled Intervals'!AQ11,0),2),0)</f>
        <v>0</v>
      </c>
      <c r="AR11" s="246">
        <f>IF('Scheduled Intervals'!AR11&gt;0,ROUND(('Hours Per Job'!AR11*'Total Cost for Plan'!$B$36+'Parts Cost Per Job'!AR11*((1+'Total Cost for Plan'!$B$37)*'Total Cost for Plan'!$B$38))*ROUNDDOWN($B$1/'Scheduled Intervals'!AR11,0),2),0)</f>
        <v>0</v>
      </c>
      <c r="AS11" s="246">
        <f>IF('Scheduled Intervals'!AS11&gt;0,ROUND(('Hours Per Job'!AS11*'Total Cost for Plan'!$B$36+'Parts Cost Per Job'!AS11*((1+'Total Cost for Plan'!$B$37)*'Total Cost for Plan'!$B$38))*ROUNDDOWN($B$1/'Scheduled Intervals'!AS11,0),2),0)</f>
        <v>0</v>
      </c>
      <c r="AT11" s="246">
        <f>IF('Scheduled Intervals'!AT11&gt;0,ROUND(('Hours Per Job'!AT11*'Total Cost for Plan'!$B$36+'Parts Cost Per Job'!AT11*((1+'Total Cost for Plan'!$B$37)*'Total Cost for Plan'!$B$38))*ROUNDDOWN($B$1/'Scheduled Intervals'!AT11,0),2),0)</f>
        <v>0</v>
      </c>
      <c r="AU11" s="246">
        <f>IF('Scheduled Intervals'!AU11&gt;0,ROUND(('Hours Per Job'!AU11*'Total Cost for Plan'!$B$36+'Parts Cost Per Job'!AU11*((1+'Total Cost for Plan'!$B$37)*'Total Cost for Plan'!$B$38))*ROUNDDOWN($B$1/'Scheduled Intervals'!AU11,0),2),0)</f>
        <v>0</v>
      </c>
      <c r="AV11" s="246">
        <f>IF('Scheduled Intervals'!AV11&gt;0,ROUND(('Hours Per Job'!AV11*'Total Cost for Plan'!$B$36+'Parts Cost Per Job'!AV11*((1+'Total Cost for Plan'!$B$37)*'Total Cost for Plan'!$B$38))*ROUNDDOWN($B$1/'Scheduled Intervals'!AV11,0),2),0)</f>
        <v>0</v>
      </c>
      <c r="AW11" s="246">
        <f>IF('Scheduled Intervals'!AW11&gt;0,ROUND(('Hours Per Job'!AW11*'Total Cost for Plan'!$B$36+'Parts Cost Per Job'!AW11*((1+'Total Cost for Plan'!$B$37)*'Total Cost for Plan'!$B$38))*ROUNDDOWN($B$1/'Scheduled Intervals'!AW11,0),2),0)</f>
        <v>0</v>
      </c>
      <c r="AX11" s="246">
        <f>IF('Scheduled Intervals'!AX11&gt;0,ROUND(('Hours Per Job'!AX11*'Total Cost for Plan'!$B$36+'Parts Cost Per Job'!AX11*((1+'Total Cost for Plan'!$B$37)*'Total Cost for Plan'!$B$38))*ROUNDDOWN($B$1/'Scheduled Intervals'!AX11,0),2),0)</f>
        <v>0</v>
      </c>
      <c r="AY11" s="246">
        <f>IF('Scheduled Intervals'!AY11&gt;0,ROUND(('Hours Per Job'!AY11*'Total Cost for Plan'!$B$36+'Parts Cost Per Job'!AY11*((1+'Total Cost for Plan'!$B$37)*'Total Cost for Plan'!$B$38))*ROUNDDOWN($B$1/'Scheduled Intervals'!AY11,0),2),0)</f>
        <v>0</v>
      </c>
      <c r="AZ11" s="246">
        <f>IF('Scheduled Intervals'!AZ11&gt;0,ROUND(('Hours Per Job'!AZ11*'Total Cost for Plan'!$B$36+'Parts Cost Per Job'!AZ11*((1+'Total Cost for Plan'!$B$37)*'Total Cost for Plan'!$B$38))*ROUNDDOWN($B$1/'Scheduled Intervals'!AZ11,0),2),0)</f>
        <v>0</v>
      </c>
      <c r="BA11" s="246">
        <f>IF('Scheduled Intervals'!BA11&gt;0,ROUND(('Hours Per Job'!BA11*'Total Cost for Plan'!$B$36+'Parts Cost Per Job'!BA11*((1+'Total Cost for Plan'!$B$37)*'Total Cost for Plan'!$B$38))*ROUNDDOWN($B$1/'Scheduled Intervals'!BA11,0),2),0)</f>
        <v>0</v>
      </c>
      <c r="BB11" s="246">
        <f>IF('Scheduled Intervals'!BB11&gt;0,ROUND(('Hours Per Job'!BB11*'Total Cost for Plan'!$B$36+'Parts Cost Per Job'!BB11*((1+'Total Cost for Plan'!$B$37)*'Total Cost for Plan'!$B$38))*ROUNDDOWN($B$1/'Scheduled Intervals'!BB11,0),2),0)</f>
        <v>0</v>
      </c>
      <c r="BC11" s="246">
        <f>IF('Scheduled Intervals'!BC11&gt;0,ROUND(('Hours Per Job'!BC11*'Total Cost for Plan'!$B$36+'Parts Cost Per Job'!BC11*((1+'Total Cost for Plan'!$B$37)*'Total Cost for Plan'!$B$38))*ROUNDDOWN($B$1/'Scheduled Intervals'!BC11,0),2),0)</f>
        <v>0</v>
      </c>
      <c r="BD11" s="246">
        <f>IF('Scheduled Intervals'!BD11&gt;0,ROUND(('Hours Per Job'!BD11*'Total Cost for Plan'!$B$36+'Parts Cost Per Job'!BD11*((1+'Total Cost for Plan'!$B$37)*'Total Cost for Plan'!$B$38))*ROUNDDOWN($B$1/'Scheduled Intervals'!BD11,0),2),0)</f>
        <v>0</v>
      </c>
      <c r="BE11" s="246">
        <f>IF('Scheduled Intervals'!BE11&gt;0,ROUND(('Hours Per Job'!BE11*'Total Cost for Plan'!$B$36+'Parts Cost Per Job'!BE11*((1+'Total Cost for Plan'!$B$37)*'Total Cost for Plan'!$B$38))*ROUNDDOWN($B$1/'Scheduled Intervals'!BE11,0),2),0)</f>
        <v>0</v>
      </c>
      <c r="BF11" s="246">
        <f>IF('Scheduled Intervals'!BF11&gt;0,ROUND(('Hours Per Job'!BF11*'Total Cost for Plan'!$B$36+'Parts Cost Per Job'!BF11*((1+'Total Cost for Plan'!$B$37)*'Total Cost for Plan'!$B$38))*ROUNDDOWN($B$1/'Scheduled Intervals'!BF11,0),2),0)</f>
        <v>0</v>
      </c>
      <c r="BG11" s="246">
        <f>IF('Scheduled Intervals'!BG11&gt;0,ROUND(('Hours Per Job'!BG11*'Total Cost for Plan'!$B$36+'Parts Cost Per Job'!BG11*((1+'Total Cost for Plan'!$B$37)*'Total Cost for Plan'!$B$38))*ROUNDDOWN($B$1/'Scheduled Intervals'!BG11,0),2),0)</f>
        <v>0</v>
      </c>
      <c r="BH11" s="246">
        <f>IF('Scheduled Intervals'!BH11&gt;0,ROUND(('Hours Per Job'!BH11*'Total Cost for Plan'!$B$36+'Parts Cost Per Job'!BH11*((1+'Total Cost for Plan'!$B$37)*'Total Cost for Plan'!$B$38))*ROUNDDOWN($B$1/'Scheduled Intervals'!BH11,0),2),0)</f>
        <v>0</v>
      </c>
      <c r="BI11" s="246">
        <f>IF('Scheduled Intervals'!BI11&gt;0,ROUND(('Hours Per Job'!BI11*'Total Cost for Plan'!$B$36+'Parts Cost Per Job'!BI11*((1+'Total Cost for Plan'!$B$37)*'Total Cost for Plan'!$B$38))*ROUNDDOWN($B$1/'Scheduled Intervals'!BI11,0),2),0)</f>
        <v>0</v>
      </c>
      <c r="BJ11" s="246">
        <f>IF('Scheduled Intervals'!BJ11&gt;0,ROUND(('Hours Per Job'!BJ11*'Total Cost for Plan'!$B$36+'Parts Cost Per Job'!BJ11*((1+'Total Cost for Plan'!$B$37)*'Total Cost for Plan'!$B$38))*ROUNDDOWN($B$1/'Scheduled Intervals'!BJ11,0),2),0)</f>
        <v>0</v>
      </c>
      <c r="BK11" s="246">
        <f>IF('Scheduled Intervals'!BK11&gt;0,ROUND(('Hours Per Job'!BK11*'Total Cost for Plan'!$B$36+'Parts Cost Per Job'!BK11*((1+'Total Cost for Plan'!$B$37)*'Total Cost for Plan'!$B$38))*ROUNDDOWN($B$1/'Scheduled Intervals'!BK11,0),2),0)</f>
        <v>0</v>
      </c>
      <c r="BL11" s="246">
        <f>IF('Scheduled Intervals'!BL11&gt;0,ROUND(('Hours Per Job'!BL11*'Total Cost for Plan'!$B$36+'Parts Cost Per Job'!BL11*((1+'Total Cost for Plan'!$B$37)*'Total Cost for Plan'!$B$38))*ROUNDDOWN($B$1/'Scheduled Intervals'!BL11,0),2),0)</f>
        <v>0</v>
      </c>
      <c r="BM11" s="246">
        <f>IF('Scheduled Intervals'!BM11&gt;0,ROUND(('Hours Per Job'!BM11*'Total Cost for Plan'!$B$36+'Parts Cost Per Job'!BM11*((1+'Total Cost for Plan'!$B$37)*'Total Cost for Plan'!$B$38))*ROUNDDOWN($B$1/'Scheduled Intervals'!BM11,0),2),0)</f>
        <v>0</v>
      </c>
      <c r="BN11" s="246">
        <f>IF(AND('Scheduled Intervals'!BN$4="annual",'Plan Summary'!$C$5&lt;'Scheduled Intervals'!$U11*('Plan Summary'!$C$9/12)),ROUND(('Hours Per Job'!BN11*'Total Cost for Plan'!$B$36+'Parts Cost Per Job'!BN11*((1+'Total Cost for Plan'!$B$37)*'Total Cost for Plan'!$B$38))*ROUND('Plan Summary'!$C$9/12,0),2),0)</f>
        <v>912.8</v>
      </c>
      <c r="BO11" s="246">
        <f>IF(AND('Scheduled Intervals'!BO$4="annual",'Plan Summary'!$C$5&lt;'Scheduled Intervals'!$U11*('Plan Summary'!$C$9/12)),ROUND(('Hours Per Job'!BO11*'Total Cost for Plan'!$B$36+'Parts Cost Per Job'!BO11*((1+'Total Cost for Plan'!$B$37)*'Total Cost for Plan'!$B$38))*ROUND('Plan Summary'!$C$9/12,0),2),0)</f>
        <v>355.33</v>
      </c>
      <c r="BP11" s="246">
        <f>IF(AND('Scheduled Intervals'!BP$4="annual",'Plan Summary'!$C$5&lt;'Scheduled Intervals'!$U11*('Plan Summary'!$C$9/12)),ROUND(('Hours Per Job'!BP11*'Total Cost for Plan'!$B$36+'Parts Cost Per Job'!BP11*((1+'Total Cost for Plan'!$B$37)*'Total Cost for Plan'!$B$38))*ROUND('Plan Summary'!$C$9/12,0),2),0)</f>
        <v>630</v>
      </c>
      <c r="BQ11" s="246">
        <f t="shared" si="0"/>
        <v>2653.4799999999996</v>
      </c>
      <c r="BR11" s="246"/>
    </row>
    <row r="12" spans="1:70" ht="16" x14ac:dyDescent="0.2">
      <c r="A12" s="18" t="str">
        <f>+'Scheduled Intervals'!A12</f>
        <v>Excavator - under 3.5 ton</v>
      </c>
      <c r="B12" s="246">
        <f>ROUND(('Hours Per Job'!B12*'Total Cost for Plan'!$B$36+'Parts Cost Per Job'!B12*((1+'Total Cost for Plan'!$B$37)*'Total Cost for Plan'!$B$38)),2)</f>
        <v>166.18</v>
      </c>
      <c r="C12" s="246">
        <f>ROUND(('Hours Per Job'!C12*'Total Cost for Plan'!$B$36+'Parts Cost Per Job'!C12*((1+'Total Cost for Plan'!$B$37)*'Total Cost for Plan'!$B$38)),2)</f>
        <v>36</v>
      </c>
      <c r="D12" s="246">
        <f>ROUND(('Hours Per Job'!D12*'Total Cost for Plan'!$B$36+'Parts Cost Per Job'!D12*((1+'Total Cost for Plan'!$B$37)*'Total Cost for Plan'!$B$38)),2)</f>
        <v>12</v>
      </c>
      <c r="E12" s="246">
        <f>ROUND(('Hours Per Job'!E12*'Total Cost for Plan'!$B$36+'Parts Cost Per Job'!E12*((1+'Total Cost for Plan'!$B$37)*'Total Cost for Plan'!$B$38)),2)</f>
        <v>0</v>
      </c>
      <c r="F12" s="246">
        <f>ROUND(('Hours Per Job'!F12*'Total Cost for Plan'!$B$36+'Parts Cost Per Job'!F12*((1+'Total Cost for Plan'!$B$37)*'Total Cost for Plan'!$B$38)),2)</f>
        <v>0</v>
      </c>
      <c r="G12" s="246">
        <f>ROUND(('Hours Per Job'!G12*'Total Cost for Plan'!$B$36+'Parts Cost Per Job'!G12*((1+'Total Cost for Plan'!$B$37)*'Total Cost for Plan'!$B$38)),2)</f>
        <v>0</v>
      </c>
      <c r="H12" s="246">
        <f>ROUND(('Hours Per Job'!H12*'Total Cost for Plan'!$B$36+'Parts Cost Per Job'!H12*((1+'Total Cost for Plan'!$B$37)*'Total Cost for Plan'!$B$38)),2)</f>
        <v>71.069999999999993</v>
      </c>
      <c r="I12" s="246">
        <f>ROUND(('Hours Per Job'!I12*'Total Cost for Plan'!$B$36+'Parts Cost Per Job'!I12*((1+'Total Cost for Plan'!$B$37)*'Total Cost for Plan'!$B$38)),2)</f>
        <v>30</v>
      </c>
      <c r="J12" s="246">
        <f>ROUND(('Hours Per Job'!J12*'Total Cost for Plan'!$B$36+'Parts Cost Per Job'!J12*((1+'Total Cost for Plan'!$B$37)*'Total Cost for Plan'!$B$38)),2)</f>
        <v>0</v>
      </c>
      <c r="K12" s="246">
        <f>ROUND(('Hours Per Job'!K12*'Total Cost for Plan'!$B$36+'Parts Cost Per Job'!K12*((1+'Total Cost for Plan'!$B$37)*'Total Cost for Plan'!$B$38)),2)</f>
        <v>0</v>
      </c>
      <c r="L12" s="246">
        <f>ROUND(('Hours Per Job'!L12*'Total Cost for Plan'!$B$36+'Parts Cost Per Job'!L12*((1+'Total Cost for Plan'!$B$37)*'Total Cost for Plan'!$B$38)),2)</f>
        <v>0</v>
      </c>
      <c r="M12" s="246">
        <f>ROUND(('Hours Per Job'!M12*'Total Cost for Plan'!$B$36+'Parts Cost Per Job'!M12*((1+'Total Cost for Plan'!$B$37)*'Total Cost for Plan'!$B$38)),2)</f>
        <v>0</v>
      </c>
      <c r="N12" s="246">
        <f>ROUND(('Hours Per Job'!N12*'Total Cost for Plan'!$B$36+'Parts Cost Per Job'!N12*((1+'Total Cost for Plan'!$B$37)*'Total Cost for Plan'!$B$38)),2)</f>
        <v>0</v>
      </c>
      <c r="O12" s="246">
        <f>ROUND(('Hours Per Job'!O12*'Total Cost for Plan'!$B$36+'Parts Cost Per Job'!O12*((1+'Total Cost for Plan'!$B$37)*'Total Cost for Plan'!$B$38)),2)</f>
        <v>0</v>
      </c>
      <c r="P12" s="246">
        <f>ROUND(('Hours Per Job'!P12*'Total Cost for Plan'!$B$36+'Parts Cost Per Job'!P12*((1+'Total Cost for Plan'!$B$37)*'Total Cost for Plan'!$B$38)),2)</f>
        <v>0</v>
      </c>
      <c r="Q12" s="246">
        <f>ROUND(('Hours Per Job'!Q12*'Total Cost for Plan'!$B$36+'Parts Cost Per Job'!Q12*((1+'Total Cost for Plan'!$B$37)*'Total Cost for Plan'!$B$38)),2)</f>
        <v>236.73</v>
      </c>
      <c r="R12" s="246">
        <f>ROUND(('Hours Per Job'!R12*'Total Cost for Plan'!$B$36+'Parts Cost Per Job'!R12*((1+'Total Cost for Plan'!$B$37)*'Total Cost for Plan'!$B$38)),2)</f>
        <v>0</v>
      </c>
      <c r="S12" s="246">
        <f>ROUND(('Hours Per Job'!S12*'Total Cost for Plan'!$B$36+'Parts Cost Per Job'!S12*((1+'Total Cost for Plan'!$B$37)*'Total Cost for Plan'!$B$38)),2)</f>
        <v>0</v>
      </c>
      <c r="T12" s="246">
        <f>ROUND(('Hours Per Job'!T12*'Total Cost for Plan'!$B$36+'Parts Cost Per Job'!T12*((1+'Total Cost for Plan'!$B$37)*'Total Cost for Plan'!$B$38)),2)</f>
        <v>0</v>
      </c>
      <c r="U12" s="246">
        <f>IF('Scheduled Intervals'!U12&gt;0,ROUND(('Hours Per Job'!U12*'Total Cost for Plan'!$B$36+'Parts Cost Per Job'!U12*((1+'Total Cost for Plan'!$B$37)*'Total Cost for Plan'!$B$38))*ROUNDDOWN($B$1/'Scheduled Intervals'!U12,0),2),0)</f>
        <v>0</v>
      </c>
      <c r="V12" s="246">
        <f>IF('Scheduled Intervals'!V12&gt;0,ROUND(('Hours Per Job'!V12*'Total Cost for Plan'!$B$36+'Parts Cost Per Job'!V12*((1+'Total Cost for Plan'!$B$37)*'Total Cost for Plan'!$B$38))*ROUNDDOWN($B$1/'Scheduled Intervals'!V12,0),2),0)</f>
        <v>0</v>
      </c>
      <c r="W12" s="246">
        <f>IF('Scheduled Intervals'!W12&gt;0,ROUND(('Hours Per Job'!W12*'Total Cost for Plan'!$B$36+'Parts Cost Per Job'!W12*((1+'Total Cost for Plan'!$B$37)*'Total Cost for Plan'!$B$38))*ROUNDDOWN($B$1/'Scheduled Intervals'!W12,0),2),0)</f>
        <v>0</v>
      </c>
      <c r="X12" s="246">
        <f>IF('Scheduled Intervals'!X12&gt;0,ROUND(('Hours Per Job'!X12*'Total Cost for Plan'!$B$36+'Parts Cost Per Job'!X12*((1+'Total Cost for Plan'!$B$37)*'Total Cost for Plan'!$B$38))*ROUNDDOWN($B$1/'Scheduled Intervals'!X12,0),2),0)</f>
        <v>0</v>
      </c>
      <c r="Y12" s="246">
        <f>IF('Scheduled Intervals'!Y12&gt;0,ROUND(('Hours Per Job'!Y12*'Total Cost for Plan'!$B$36+'Parts Cost Per Job'!Y12*((1+'Total Cost for Plan'!$B$37)*'Total Cost for Plan'!$B$38))*ROUNDDOWN($B$1/'Scheduled Intervals'!Y12,0),2),0)</f>
        <v>0</v>
      </c>
      <c r="Z12" s="246">
        <f>IF('Scheduled Intervals'!Z12&gt;0,ROUND(('Hours Per Job'!Z12*'Total Cost for Plan'!$B$36+'Parts Cost Per Job'!Z12*((1+'Total Cost for Plan'!$B$37)*'Total Cost for Plan'!$B$38))*ROUNDDOWN($B$1/'Scheduled Intervals'!Z12,0),2),0)</f>
        <v>0</v>
      </c>
      <c r="AA12" s="246">
        <f>IF('Scheduled Intervals'!AA12&gt;0,ROUND(('Hours Per Job'!AA12*'Total Cost for Plan'!$B$36+'Parts Cost Per Job'!AA12*((1+'Total Cost for Plan'!$B$37)*'Total Cost for Plan'!$B$38))*ROUNDDOWN($B$1/'Scheduled Intervals'!AA12,0),2),0)</f>
        <v>0</v>
      </c>
      <c r="AB12" s="246">
        <f>IF('Scheduled Intervals'!AB12&gt;0,ROUND(('Hours Per Job'!AB12*'Total Cost for Plan'!$B$36+'Parts Cost Per Job'!AB12*((1+'Total Cost for Plan'!$B$37)*'Total Cost for Plan'!$B$38))*ROUNDDOWN($B$1/'Scheduled Intervals'!AB12,0),2),0)</f>
        <v>0</v>
      </c>
      <c r="AC12" s="246">
        <f>IF('Scheduled Intervals'!AC12&gt;0,ROUND(('Hours Per Job'!AC12*'Total Cost for Plan'!$B$36+'Parts Cost Per Job'!AC12*((1+'Total Cost for Plan'!$B$37)*'Total Cost for Plan'!$B$38))*ROUNDDOWN($B$1/'Scheduled Intervals'!AC12,0),2),0)</f>
        <v>0</v>
      </c>
      <c r="AD12" s="246">
        <f>IF('Scheduled Intervals'!AD12&gt;0,ROUND(('Hours Per Job'!AD12*'Total Cost for Plan'!$B$36+'Parts Cost Per Job'!AD12*((1+'Total Cost for Plan'!$B$37)*'Total Cost for Plan'!$B$38))*ROUNDDOWN($B$1/'Scheduled Intervals'!AD12,0),2),0)</f>
        <v>0</v>
      </c>
      <c r="AE12" s="246">
        <f>IF('Scheduled Intervals'!AE12&gt;0,ROUND(('Hours Per Job'!AE12*'Total Cost for Plan'!$B$36+'Parts Cost Per Job'!AE12*((1+'Total Cost for Plan'!$B$37)*'Total Cost for Plan'!$B$38))*ROUNDDOWN($B$1/'Scheduled Intervals'!AE12,0),2),0)</f>
        <v>0</v>
      </c>
      <c r="AF12" s="246">
        <f>IF('Scheduled Intervals'!AF12&gt;0,ROUND(('Hours Per Job'!AF12*'Total Cost for Plan'!$B$36+'Parts Cost Per Job'!AF12*((1+'Total Cost for Plan'!$B$37)*'Total Cost for Plan'!$B$38))*ROUNDDOWN($B$1/'Scheduled Intervals'!AF12,0),2),0)</f>
        <v>0</v>
      </c>
      <c r="AG12" s="246">
        <f>IF('Scheduled Intervals'!AG12&gt;0,ROUND(('Hours Per Job'!AG12*'Total Cost for Plan'!$B$36+'Parts Cost Per Job'!AG12*((1+'Total Cost for Plan'!$B$37)*'Total Cost for Plan'!$B$38))*ROUNDDOWN($B$1/'Scheduled Intervals'!AG12,0),2),0)</f>
        <v>0</v>
      </c>
      <c r="AH12" s="246">
        <f>IF('Scheduled Intervals'!AH12&gt;0,ROUND(('Hours Per Job'!AH12*'Total Cost for Plan'!$B$36+'Parts Cost Per Job'!AH12*((1+'Total Cost for Plan'!$B$37)*'Total Cost for Plan'!$B$38))*ROUNDDOWN($B$1/'Scheduled Intervals'!AH12,0),2),0)</f>
        <v>0</v>
      </c>
      <c r="AI12" s="246">
        <f>IF('Scheduled Intervals'!AI12&gt;0,ROUND(('Hours Per Job'!AI12*'Total Cost for Plan'!$B$36+'Parts Cost Per Job'!AI12*((1+'Total Cost for Plan'!$B$37)*'Total Cost for Plan'!$B$38))*ROUNDDOWN($B$1/'Scheduled Intervals'!AI12,0),2),0)</f>
        <v>0</v>
      </c>
      <c r="AJ12" s="246">
        <f>IF('Scheduled Intervals'!AJ12&gt;0,ROUND(('Hours Per Job'!AJ12*'Total Cost for Plan'!$B$36+'Parts Cost Per Job'!AJ12*((1+'Total Cost for Plan'!$B$37)*'Total Cost for Plan'!$B$38))*ROUNDDOWN($B$1/'Scheduled Intervals'!AJ12,0),2),0)</f>
        <v>0</v>
      </c>
      <c r="AK12" s="246">
        <f>IF('Scheduled Intervals'!AK12&gt;0,ROUND(('Hours Per Job'!AK12*'Total Cost for Plan'!$B$36+'Parts Cost Per Job'!AK12*((1+'Total Cost for Plan'!$B$37)*'Total Cost for Plan'!$B$38))*ROUNDDOWN($B$1/'Scheduled Intervals'!AK12,0),2),0)</f>
        <v>0</v>
      </c>
      <c r="AL12" s="246">
        <f>IF('Scheduled Intervals'!AL12&gt;0,ROUND(('Hours Per Job'!AL12*'Total Cost for Plan'!$B$36+'Parts Cost Per Job'!AL12*((1+'Total Cost for Plan'!$B$37)*'Total Cost for Plan'!$B$38))*ROUNDDOWN($B$1/'Scheduled Intervals'!AL12,0),2),0)</f>
        <v>0</v>
      </c>
      <c r="AM12" s="246">
        <f>IF('Scheduled Intervals'!AM12&gt;0,ROUND(('Hours Per Job'!AM12*'Total Cost for Plan'!$B$36+'Parts Cost Per Job'!AM12*((1+'Total Cost for Plan'!$B$37)*'Total Cost for Plan'!$B$38))*ROUNDDOWN($B$1/'Scheduled Intervals'!AM12,0),2),0)</f>
        <v>0</v>
      </c>
      <c r="AN12" s="246">
        <f>IF('Scheduled Intervals'!AN12&gt;0,ROUND(('Hours Per Job'!AN12*'Total Cost for Plan'!$B$36+'Parts Cost Per Job'!AN12*((1+'Total Cost for Plan'!$B$37)*'Total Cost for Plan'!$B$38))*ROUNDDOWN($B$1/'Scheduled Intervals'!AN12,0),2),0)</f>
        <v>0</v>
      </c>
      <c r="AO12" s="246">
        <f>IF('Scheduled Intervals'!AO12&gt;0,ROUND(('Hours Per Job'!AO12*'Total Cost for Plan'!$B$36+'Parts Cost Per Job'!AO12*((1+'Total Cost for Plan'!$B$37)*'Total Cost for Plan'!$B$38))*ROUNDDOWN($B$1/'Scheduled Intervals'!AO12,0),2),0)</f>
        <v>0</v>
      </c>
      <c r="AP12" s="246">
        <f>IF('Scheduled Intervals'!AP12&gt;0,ROUND(('Hours Per Job'!AP12*'Total Cost for Plan'!$B$36+'Parts Cost Per Job'!AP12*((1+'Total Cost for Plan'!$B$37)*'Total Cost for Plan'!$B$38))*ROUNDDOWN($B$1/'Scheduled Intervals'!AP12,0),2),0)</f>
        <v>0</v>
      </c>
      <c r="AQ12" s="246">
        <f>IF('Scheduled Intervals'!AQ12&gt;0,ROUND(('Hours Per Job'!AQ12*'Total Cost for Plan'!$B$36+'Parts Cost Per Job'!AQ12*((1+'Total Cost for Plan'!$B$37)*'Total Cost for Plan'!$B$38))*ROUNDDOWN($B$1/'Scheduled Intervals'!AQ12,0),2),0)</f>
        <v>0</v>
      </c>
      <c r="AR12" s="246">
        <f>IF('Scheduled Intervals'!AR12&gt;0,ROUND(('Hours Per Job'!AR12*'Total Cost for Plan'!$B$36+'Parts Cost Per Job'!AR12*((1+'Total Cost for Plan'!$B$37)*'Total Cost for Plan'!$B$38))*ROUNDDOWN($B$1/'Scheduled Intervals'!AR12,0),2),0)</f>
        <v>0</v>
      </c>
      <c r="AS12" s="246">
        <f>IF('Scheduled Intervals'!AS12&gt;0,ROUND(('Hours Per Job'!AS12*'Total Cost for Plan'!$B$36+'Parts Cost Per Job'!AS12*((1+'Total Cost for Plan'!$B$37)*'Total Cost for Plan'!$B$38))*ROUNDDOWN($B$1/'Scheduled Intervals'!AS12,0),2),0)</f>
        <v>0</v>
      </c>
      <c r="AT12" s="246">
        <f>IF('Scheduled Intervals'!AT12&gt;0,ROUND(('Hours Per Job'!AT12*'Total Cost for Plan'!$B$36+'Parts Cost Per Job'!AT12*((1+'Total Cost for Plan'!$B$37)*'Total Cost for Plan'!$B$38))*ROUNDDOWN($B$1/'Scheduled Intervals'!AT12,0),2),0)</f>
        <v>0</v>
      </c>
      <c r="AU12" s="246">
        <f>IF('Scheduled Intervals'!AU12&gt;0,ROUND(('Hours Per Job'!AU12*'Total Cost for Plan'!$B$36+'Parts Cost Per Job'!AU12*((1+'Total Cost for Plan'!$B$37)*'Total Cost for Plan'!$B$38))*ROUNDDOWN($B$1/'Scheduled Intervals'!AU12,0),2),0)</f>
        <v>0</v>
      </c>
      <c r="AV12" s="246">
        <f>IF('Scheduled Intervals'!AV12&gt;0,ROUND(('Hours Per Job'!AV12*'Total Cost for Plan'!$B$36+'Parts Cost Per Job'!AV12*((1+'Total Cost for Plan'!$B$37)*'Total Cost for Plan'!$B$38))*ROUNDDOWN($B$1/'Scheduled Intervals'!AV12,0),2),0)</f>
        <v>0</v>
      </c>
      <c r="AW12" s="246">
        <f>IF('Scheduled Intervals'!AW12&gt;0,ROUND(('Hours Per Job'!AW12*'Total Cost for Plan'!$B$36+'Parts Cost Per Job'!AW12*((1+'Total Cost for Plan'!$B$37)*'Total Cost for Plan'!$B$38))*ROUNDDOWN($B$1/'Scheduled Intervals'!AW12,0),2),0)</f>
        <v>0</v>
      </c>
      <c r="AX12" s="246">
        <f>IF('Scheduled Intervals'!AX12&gt;0,ROUND(('Hours Per Job'!AX12*'Total Cost for Plan'!$B$36+'Parts Cost Per Job'!AX12*((1+'Total Cost for Plan'!$B$37)*'Total Cost for Plan'!$B$38))*ROUNDDOWN($B$1/'Scheduled Intervals'!AX12,0),2),0)</f>
        <v>0</v>
      </c>
      <c r="AY12" s="246">
        <f>IF('Scheduled Intervals'!AY12&gt;0,ROUND(('Hours Per Job'!AY12*'Total Cost for Plan'!$B$36+'Parts Cost Per Job'!AY12*((1+'Total Cost for Plan'!$B$37)*'Total Cost for Plan'!$B$38))*ROUNDDOWN($B$1/'Scheduled Intervals'!AY12,0),2),0)</f>
        <v>0</v>
      </c>
      <c r="AZ12" s="246">
        <f>IF('Scheduled Intervals'!AZ12&gt;0,ROUND(('Hours Per Job'!AZ12*'Total Cost for Plan'!$B$36+'Parts Cost Per Job'!AZ12*((1+'Total Cost for Plan'!$B$37)*'Total Cost for Plan'!$B$38))*ROUNDDOWN($B$1/'Scheduled Intervals'!AZ12,0),2),0)</f>
        <v>0</v>
      </c>
      <c r="BA12" s="246">
        <f>IF('Scheduled Intervals'!BA12&gt;0,ROUND(('Hours Per Job'!BA12*'Total Cost for Plan'!$B$36+'Parts Cost Per Job'!BA12*((1+'Total Cost for Plan'!$B$37)*'Total Cost for Plan'!$B$38))*ROUNDDOWN($B$1/'Scheduled Intervals'!BA12,0),2),0)</f>
        <v>0</v>
      </c>
      <c r="BB12" s="246">
        <f>IF('Scheduled Intervals'!BB12&gt;0,ROUND(('Hours Per Job'!BB12*'Total Cost for Plan'!$B$36+'Parts Cost Per Job'!BB12*((1+'Total Cost for Plan'!$B$37)*'Total Cost for Plan'!$B$38))*ROUNDDOWN($B$1/'Scheduled Intervals'!BB12,0),2),0)</f>
        <v>0</v>
      </c>
      <c r="BC12" s="246">
        <f>IF('Scheduled Intervals'!BC12&gt;0,ROUND(('Hours Per Job'!BC12*'Total Cost for Plan'!$B$36+'Parts Cost Per Job'!BC12*((1+'Total Cost for Plan'!$B$37)*'Total Cost for Plan'!$B$38))*ROUNDDOWN($B$1/'Scheduled Intervals'!BC12,0),2),0)</f>
        <v>0</v>
      </c>
      <c r="BD12" s="246">
        <f>IF('Scheduled Intervals'!BD12&gt;0,ROUND(('Hours Per Job'!BD12*'Total Cost for Plan'!$B$36+'Parts Cost Per Job'!BD12*((1+'Total Cost for Plan'!$B$37)*'Total Cost for Plan'!$B$38))*ROUNDDOWN($B$1/'Scheduled Intervals'!BD12,0),2),0)</f>
        <v>0</v>
      </c>
      <c r="BE12" s="246">
        <f>IF('Scheduled Intervals'!BE12&gt;0,ROUND(('Hours Per Job'!BE12*'Total Cost for Plan'!$B$36+'Parts Cost Per Job'!BE12*((1+'Total Cost for Plan'!$B$37)*'Total Cost for Plan'!$B$38))*ROUNDDOWN($B$1/'Scheduled Intervals'!BE12,0),2),0)</f>
        <v>0</v>
      </c>
      <c r="BF12" s="246">
        <f>IF('Scheduled Intervals'!BF12&gt;0,ROUND(('Hours Per Job'!BF12*'Total Cost for Plan'!$B$36+'Parts Cost Per Job'!BF12*((1+'Total Cost for Plan'!$B$37)*'Total Cost for Plan'!$B$38))*ROUNDDOWN($B$1/'Scheduled Intervals'!BF12,0),2),0)</f>
        <v>0</v>
      </c>
      <c r="BG12" s="246">
        <f>IF('Scheduled Intervals'!BG12&gt;0,ROUND(('Hours Per Job'!BG12*'Total Cost for Plan'!$B$36+'Parts Cost Per Job'!BG12*((1+'Total Cost for Plan'!$B$37)*'Total Cost for Plan'!$B$38))*ROUNDDOWN($B$1/'Scheduled Intervals'!BG12,0),2),0)</f>
        <v>0</v>
      </c>
      <c r="BH12" s="246">
        <f>IF('Scheduled Intervals'!BH12&gt;0,ROUND(('Hours Per Job'!BH12*'Total Cost for Plan'!$B$36+'Parts Cost Per Job'!BH12*((1+'Total Cost for Plan'!$B$37)*'Total Cost for Plan'!$B$38))*ROUNDDOWN($B$1/'Scheduled Intervals'!BH12,0),2),0)</f>
        <v>0</v>
      </c>
      <c r="BI12" s="246">
        <f>IF('Scheduled Intervals'!BI12&gt;0,ROUND(('Hours Per Job'!BI12*'Total Cost for Plan'!$B$36+'Parts Cost Per Job'!BI12*((1+'Total Cost for Plan'!$B$37)*'Total Cost for Plan'!$B$38))*ROUNDDOWN($B$1/'Scheduled Intervals'!BI12,0),2),0)</f>
        <v>0</v>
      </c>
      <c r="BJ12" s="246">
        <f>IF('Scheduled Intervals'!BJ12&gt;0,ROUND(('Hours Per Job'!BJ12*'Total Cost for Plan'!$B$36+'Parts Cost Per Job'!BJ12*((1+'Total Cost for Plan'!$B$37)*'Total Cost for Plan'!$B$38))*ROUNDDOWN($B$1/'Scheduled Intervals'!BJ12,0),2),0)</f>
        <v>0</v>
      </c>
      <c r="BK12" s="246">
        <f>IF('Scheduled Intervals'!BK12&gt;0,ROUND(('Hours Per Job'!BK12*'Total Cost for Plan'!$B$36+'Parts Cost Per Job'!BK12*((1+'Total Cost for Plan'!$B$37)*'Total Cost for Plan'!$B$38))*ROUNDDOWN($B$1/'Scheduled Intervals'!BK12,0),2),0)</f>
        <v>0</v>
      </c>
      <c r="BL12" s="246">
        <f>IF('Scheduled Intervals'!BL12&gt;0,ROUND(('Hours Per Job'!BL12*'Total Cost for Plan'!$B$36+'Parts Cost Per Job'!BL12*((1+'Total Cost for Plan'!$B$37)*'Total Cost for Plan'!$B$38))*ROUNDDOWN($B$1/'Scheduled Intervals'!BL12,0),2),0)</f>
        <v>0</v>
      </c>
      <c r="BM12" s="246">
        <f>IF('Scheduled Intervals'!BM12&gt;0,ROUND(('Hours Per Job'!BM12*'Total Cost for Plan'!$B$36+'Parts Cost Per Job'!BM12*((1+'Total Cost for Plan'!$B$37)*'Total Cost for Plan'!$B$38))*ROUNDDOWN($B$1/'Scheduled Intervals'!BM12,0),2),0)</f>
        <v>0</v>
      </c>
      <c r="BN12" s="246">
        <f>IF(AND('Scheduled Intervals'!BN$4="annual",'Plan Summary'!$C$5&lt;'Scheduled Intervals'!$U12*('Plan Summary'!$C$9/12)),ROUND(('Hours Per Job'!BN12*'Total Cost for Plan'!$B$36+'Parts Cost Per Job'!BN12*((1+'Total Cost for Plan'!$B$37)*'Total Cost for Plan'!$B$38))*ROUND('Plan Summary'!$C$9/12,0),2),0)</f>
        <v>830.88</v>
      </c>
      <c r="BO12" s="246">
        <f>IF(AND('Scheduled Intervals'!BO$4="annual",'Plan Summary'!$C$5&lt;'Scheduled Intervals'!$U12*('Plan Summary'!$C$9/12)),ROUND(('Hours Per Job'!BO12*'Total Cost for Plan'!$B$36+'Parts Cost Per Job'!BO12*((1+'Total Cost for Plan'!$B$37)*'Total Cost for Plan'!$B$38))*ROUND('Plan Summary'!$C$9/12,0),2),0)</f>
        <v>355.33</v>
      </c>
      <c r="BP12" s="246">
        <f>IF(AND('Scheduled Intervals'!BP$4="annual",'Plan Summary'!$C$5&lt;'Scheduled Intervals'!$U12*('Plan Summary'!$C$9/12)),ROUND(('Hours Per Job'!BP12*'Total Cost for Plan'!$B$36+'Parts Cost Per Job'!BP12*((1+'Total Cost for Plan'!$B$37)*'Total Cost for Plan'!$B$38))*ROUND('Plan Summary'!$C$9/12,0),2),0)</f>
        <v>630</v>
      </c>
      <c r="BQ12" s="246">
        <f t="shared" si="0"/>
        <v>2368.19</v>
      </c>
      <c r="BR12" s="246"/>
    </row>
    <row r="13" spans="1:70" ht="16" x14ac:dyDescent="0.2">
      <c r="A13" s="18" t="str">
        <f>+'Scheduled Intervals'!A13</f>
        <v>Excavator - over 3.5 ton</v>
      </c>
      <c r="B13" s="246">
        <f>ROUND(('Hours Per Job'!B13*'Total Cost for Plan'!$B$36+'Parts Cost Per Job'!B13*((1+'Total Cost for Plan'!$B$37)*'Total Cost for Plan'!$B$38)),2)</f>
        <v>202.18</v>
      </c>
      <c r="C13" s="246">
        <f>ROUND(('Hours Per Job'!C13*'Total Cost for Plan'!$B$36+'Parts Cost Per Job'!C13*((1+'Total Cost for Plan'!$B$37)*'Total Cost for Plan'!$B$38)),2)</f>
        <v>36</v>
      </c>
      <c r="D13" s="246">
        <f>ROUND(('Hours Per Job'!D13*'Total Cost for Plan'!$B$36+'Parts Cost Per Job'!D13*((1+'Total Cost for Plan'!$B$37)*'Total Cost for Plan'!$B$38)),2)</f>
        <v>12</v>
      </c>
      <c r="E13" s="246">
        <f>ROUND(('Hours Per Job'!E13*'Total Cost for Plan'!$B$36+'Parts Cost Per Job'!E13*((1+'Total Cost for Plan'!$B$37)*'Total Cost for Plan'!$B$38)),2)</f>
        <v>0</v>
      </c>
      <c r="F13" s="246">
        <f>ROUND(('Hours Per Job'!F13*'Total Cost for Plan'!$B$36+'Parts Cost Per Job'!F13*((1+'Total Cost for Plan'!$B$37)*'Total Cost for Plan'!$B$38)),2)</f>
        <v>0</v>
      </c>
      <c r="G13" s="246">
        <f>ROUND(('Hours Per Job'!G13*'Total Cost for Plan'!$B$36+'Parts Cost Per Job'!G13*((1+'Total Cost for Plan'!$B$37)*'Total Cost for Plan'!$B$38)),2)</f>
        <v>0</v>
      </c>
      <c r="H13" s="246">
        <f>ROUND(('Hours Per Job'!H13*'Total Cost for Plan'!$B$36+'Parts Cost Per Job'!H13*((1+'Total Cost for Plan'!$B$37)*'Total Cost for Plan'!$B$38)),2)</f>
        <v>71.069999999999993</v>
      </c>
      <c r="I13" s="246">
        <f>ROUND(('Hours Per Job'!I13*'Total Cost for Plan'!$B$36+'Parts Cost Per Job'!I13*((1+'Total Cost for Plan'!$B$37)*'Total Cost for Plan'!$B$38)),2)</f>
        <v>30</v>
      </c>
      <c r="J13" s="246">
        <f>ROUND(('Hours Per Job'!J13*'Total Cost for Plan'!$B$36+'Parts Cost Per Job'!J13*((1+'Total Cost for Plan'!$B$37)*'Total Cost for Plan'!$B$38)),2)</f>
        <v>0</v>
      </c>
      <c r="K13" s="246">
        <f>ROUND(('Hours Per Job'!K13*'Total Cost for Plan'!$B$36+'Parts Cost Per Job'!K13*((1+'Total Cost for Plan'!$B$37)*'Total Cost for Plan'!$B$38)),2)</f>
        <v>0</v>
      </c>
      <c r="L13" s="246">
        <f>ROUND(('Hours Per Job'!L13*'Total Cost for Plan'!$B$36+'Parts Cost Per Job'!L13*((1+'Total Cost for Plan'!$B$37)*'Total Cost for Plan'!$B$38)),2)</f>
        <v>0</v>
      </c>
      <c r="M13" s="246">
        <f>ROUND(('Hours Per Job'!M13*'Total Cost for Plan'!$B$36+'Parts Cost Per Job'!M13*((1+'Total Cost for Plan'!$B$37)*'Total Cost for Plan'!$B$38)),2)</f>
        <v>0</v>
      </c>
      <c r="N13" s="246">
        <f>ROUND(('Hours Per Job'!N13*'Total Cost for Plan'!$B$36+'Parts Cost Per Job'!N13*((1+'Total Cost for Plan'!$B$37)*'Total Cost for Plan'!$B$38)),2)</f>
        <v>0</v>
      </c>
      <c r="O13" s="246">
        <f>ROUND(('Hours Per Job'!O13*'Total Cost for Plan'!$B$36+'Parts Cost Per Job'!O13*((1+'Total Cost for Plan'!$B$37)*'Total Cost for Plan'!$B$38)),2)</f>
        <v>0</v>
      </c>
      <c r="P13" s="246">
        <f>ROUND(('Hours Per Job'!P13*'Total Cost for Plan'!$B$36+'Parts Cost Per Job'!P13*((1+'Total Cost for Plan'!$B$37)*'Total Cost for Plan'!$B$38)),2)</f>
        <v>0</v>
      </c>
      <c r="Q13" s="246">
        <f>ROUND(('Hours Per Job'!Q13*'Total Cost for Plan'!$B$36+'Parts Cost Per Job'!Q13*((1+'Total Cost for Plan'!$B$37)*'Total Cost for Plan'!$B$38)),2)</f>
        <v>236.73</v>
      </c>
      <c r="R13" s="246">
        <f>ROUND(('Hours Per Job'!R13*'Total Cost for Plan'!$B$36+'Parts Cost Per Job'!R13*((1+'Total Cost for Plan'!$B$37)*'Total Cost for Plan'!$B$38)),2)</f>
        <v>0</v>
      </c>
      <c r="S13" s="246">
        <f>ROUND(('Hours Per Job'!S13*'Total Cost for Plan'!$B$36+'Parts Cost Per Job'!S13*((1+'Total Cost for Plan'!$B$37)*'Total Cost for Plan'!$B$38)),2)</f>
        <v>0</v>
      </c>
      <c r="T13" s="246">
        <f>ROUND(('Hours Per Job'!T13*'Total Cost for Plan'!$B$36+'Parts Cost Per Job'!T13*((1+'Total Cost for Plan'!$B$37)*'Total Cost for Plan'!$B$38)),2)</f>
        <v>0</v>
      </c>
      <c r="U13" s="246">
        <f>IF('Scheduled Intervals'!U13&gt;0,ROUND(('Hours Per Job'!U13*'Total Cost for Plan'!$B$36+'Parts Cost Per Job'!U13*((1+'Total Cost for Plan'!$B$37)*'Total Cost for Plan'!$B$38))*ROUNDDOWN($B$1/'Scheduled Intervals'!U13,0),2),0)</f>
        <v>0</v>
      </c>
      <c r="V13" s="246">
        <f>IF('Scheduled Intervals'!V13&gt;0,ROUND(('Hours Per Job'!V13*'Total Cost for Plan'!$B$36+'Parts Cost Per Job'!V13*((1+'Total Cost for Plan'!$B$37)*'Total Cost for Plan'!$B$38))*ROUNDDOWN($B$1/'Scheduled Intervals'!V13,0),2),0)</f>
        <v>0</v>
      </c>
      <c r="W13" s="246">
        <f>IF('Scheduled Intervals'!W13&gt;0,ROUND(('Hours Per Job'!W13*'Total Cost for Plan'!$B$36+'Parts Cost Per Job'!W13*((1+'Total Cost for Plan'!$B$37)*'Total Cost for Plan'!$B$38))*ROUNDDOWN($B$1/'Scheduled Intervals'!W13,0),2),0)</f>
        <v>0</v>
      </c>
      <c r="X13" s="246">
        <f>IF('Scheduled Intervals'!X13&gt;0,ROUND(('Hours Per Job'!X13*'Total Cost for Plan'!$B$36+'Parts Cost Per Job'!X13*((1+'Total Cost for Plan'!$B$37)*'Total Cost for Plan'!$B$38))*ROUNDDOWN($B$1/'Scheduled Intervals'!X13,0),2),0)</f>
        <v>0</v>
      </c>
      <c r="Y13" s="246">
        <f>IF('Scheduled Intervals'!Y13&gt;0,ROUND(('Hours Per Job'!Y13*'Total Cost for Plan'!$B$36+'Parts Cost Per Job'!Y13*((1+'Total Cost for Plan'!$B$37)*'Total Cost for Plan'!$B$38))*ROUNDDOWN($B$1/'Scheduled Intervals'!Y13,0),2),0)</f>
        <v>0</v>
      </c>
      <c r="Z13" s="246">
        <f>IF('Scheduled Intervals'!Z13&gt;0,ROUND(('Hours Per Job'!Z13*'Total Cost for Plan'!$B$36+'Parts Cost Per Job'!Z13*((1+'Total Cost for Plan'!$B$37)*'Total Cost for Plan'!$B$38))*ROUNDDOWN($B$1/'Scheduled Intervals'!Z13,0),2),0)</f>
        <v>0</v>
      </c>
      <c r="AA13" s="246">
        <f>IF('Scheduled Intervals'!AA13&gt;0,ROUND(('Hours Per Job'!AA13*'Total Cost for Plan'!$B$36+'Parts Cost Per Job'!AA13*((1+'Total Cost for Plan'!$B$37)*'Total Cost for Plan'!$B$38))*ROUNDDOWN($B$1/'Scheduled Intervals'!AA13,0),2),0)</f>
        <v>0</v>
      </c>
      <c r="AB13" s="246">
        <f>IF('Scheduled Intervals'!AB13&gt;0,ROUND(('Hours Per Job'!AB13*'Total Cost for Plan'!$B$36+'Parts Cost Per Job'!AB13*((1+'Total Cost for Plan'!$B$37)*'Total Cost for Plan'!$B$38))*ROUNDDOWN($B$1/'Scheduled Intervals'!AB13,0),2),0)</f>
        <v>0</v>
      </c>
      <c r="AC13" s="246">
        <f>IF('Scheduled Intervals'!AC13&gt;0,ROUND(('Hours Per Job'!AC13*'Total Cost for Plan'!$B$36+'Parts Cost Per Job'!AC13*((1+'Total Cost for Plan'!$B$37)*'Total Cost for Plan'!$B$38))*ROUNDDOWN($B$1/'Scheduled Intervals'!AC13,0),2),0)</f>
        <v>0</v>
      </c>
      <c r="AD13" s="246">
        <f>IF('Scheduled Intervals'!AD13&gt;0,ROUND(('Hours Per Job'!AD13*'Total Cost for Plan'!$B$36+'Parts Cost Per Job'!AD13*((1+'Total Cost for Plan'!$B$37)*'Total Cost for Plan'!$B$38))*ROUNDDOWN($B$1/'Scheduled Intervals'!AD13,0),2),0)</f>
        <v>0</v>
      </c>
      <c r="AE13" s="246">
        <f>IF('Scheduled Intervals'!AE13&gt;0,ROUND(('Hours Per Job'!AE13*'Total Cost for Plan'!$B$36+'Parts Cost Per Job'!AE13*((1+'Total Cost for Plan'!$B$37)*'Total Cost for Plan'!$B$38))*ROUNDDOWN($B$1/'Scheduled Intervals'!AE13,0),2),0)</f>
        <v>0</v>
      </c>
      <c r="AF13" s="246">
        <f>IF('Scheduled Intervals'!AF13&gt;0,ROUND(('Hours Per Job'!AF13*'Total Cost for Plan'!$B$36+'Parts Cost Per Job'!AF13*((1+'Total Cost for Plan'!$B$37)*'Total Cost for Plan'!$B$38))*ROUNDDOWN($B$1/'Scheduled Intervals'!AF13,0),2),0)</f>
        <v>0</v>
      </c>
      <c r="AG13" s="246">
        <f>IF('Scheduled Intervals'!AG13&gt;0,ROUND(('Hours Per Job'!AG13*'Total Cost for Plan'!$B$36+'Parts Cost Per Job'!AG13*((1+'Total Cost for Plan'!$B$37)*'Total Cost for Plan'!$B$38))*ROUNDDOWN($B$1/'Scheduled Intervals'!AG13,0),2),0)</f>
        <v>0</v>
      </c>
      <c r="AH13" s="246">
        <f>IF('Scheduled Intervals'!AH13&gt;0,ROUND(('Hours Per Job'!AH13*'Total Cost for Plan'!$B$36+'Parts Cost Per Job'!AH13*((1+'Total Cost for Plan'!$B$37)*'Total Cost for Plan'!$B$38))*ROUNDDOWN($B$1/'Scheduled Intervals'!AH13,0),2),0)</f>
        <v>0</v>
      </c>
      <c r="AI13" s="246">
        <f>IF('Scheduled Intervals'!AI13&gt;0,ROUND(('Hours Per Job'!AI13*'Total Cost for Plan'!$B$36+'Parts Cost Per Job'!AI13*((1+'Total Cost for Plan'!$B$37)*'Total Cost for Plan'!$B$38))*ROUNDDOWN($B$1/'Scheduled Intervals'!AI13,0),2),0)</f>
        <v>0</v>
      </c>
      <c r="AJ13" s="246">
        <f>IF('Scheduled Intervals'!AJ13&gt;0,ROUND(('Hours Per Job'!AJ13*'Total Cost for Plan'!$B$36+'Parts Cost Per Job'!AJ13*((1+'Total Cost for Plan'!$B$37)*'Total Cost for Plan'!$B$38))*ROUNDDOWN($B$1/'Scheduled Intervals'!AJ13,0),2),0)</f>
        <v>0</v>
      </c>
      <c r="AK13" s="246">
        <f>IF('Scheduled Intervals'!AK13&gt;0,ROUND(('Hours Per Job'!AK13*'Total Cost for Plan'!$B$36+'Parts Cost Per Job'!AK13*((1+'Total Cost for Plan'!$B$37)*'Total Cost for Plan'!$B$38))*ROUNDDOWN($B$1/'Scheduled Intervals'!AK13,0),2),0)</f>
        <v>0</v>
      </c>
      <c r="AL13" s="246">
        <f>IF('Scheduled Intervals'!AL13&gt;0,ROUND(('Hours Per Job'!AL13*'Total Cost for Plan'!$B$36+'Parts Cost Per Job'!AL13*((1+'Total Cost for Plan'!$B$37)*'Total Cost for Plan'!$B$38))*ROUNDDOWN($B$1/'Scheduled Intervals'!AL13,0),2),0)</f>
        <v>0</v>
      </c>
      <c r="AM13" s="246">
        <f>IF('Scheduled Intervals'!AM13&gt;0,ROUND(('Hours Per Job'!AM13*'Total Cost for Plan'!$B$36+'Parts Cost Per Job'!AM13*((1+'Total Cost for Plan'!$B$37)*'Total Cost for Plan'!$B$38))*ROUNDDOWN($B$1/'Scheduled Intervals'!AM13,0),2),0)</f>
        <v>0</v>
      </c>
      <c r="AN13" s="246">
        <f>IF('Scheduled Intervals'!AN13&gt;0,ROUND(('Hours Per Job'!AN13*'Total Cost for Plan'!$B$36+'Parts Cost Per Job'!AN13*((1+'Total Cost for Plan'!$B$37)*'Total Cost for Plan'!$B$38))*ROUNDDOWN($B$1/'Scheduled Intervals'!AN13,0),2),0)</f>
        <v>0</v>
      </c>
      <c r="AO13" s="246">
        <f>IF('Scheduled Intervals'!AO13&gt;0,ROUND(('Hours Per Job'!AO13*'Total Cost for Plan'!$B$36+'Parts Cost Per Job'!AO13*((1+'Total Cost for Plan'!$B$37)*'Total Cost for Plan'!$B$38))*ROUNDDOWN($B$1/'Scheduled Intervals'!AO13,0),2),0)</f>
        <v>0</v>
      </c>
      <c r="AP13" s="246">
        <f>IF('Scheduled Intervals'!AP13&gt;0,ROUND(('Hours Per Job'!AP13*'Total Cost for Plan'!$B$36+'Parts Cost Per Job'!AP13*((1+'Total Cost for Plan'!$B$37)*'Total Cost for Plan'!$B$38))*ROUNDDOWN($B$1/'Scheduled Intervals'!AP13,0),2),0)</f>
        <v>0</v>
      </c>
      <c r="AQ13" s="246">
        <f>IF('Scheduled Intervals'!AQ13&gt;0,ROUND(('Hours Per Job'!AQ13*'Total Cost for Plan'!$B$36+'Parts Cost Per Job'!AQ13*((1+'Total Cost for Plan'!$B$37)*'Total Cost for Plan'!$B$38))*ROUNDDOWN($B$1/'Scheduled Intervals'!AQ13,0),2),0)</f>
        <v>0</v>
      </c>
      <c r="AR13" s="246">
        <f>IF('Scheduled Intervals'!AR13&gt;0,ROUND(('Hours Per Job'!AR13*'Total Cost for Plan'!$B$36+'Parts Cost Per Job'!AR13*((1+'Total Cost for Plan'!$B$37)*'Total Cost for Plan'!$B$38))*ROUNDDOWN($B$1/'Scheduled Intervals'!AR13,0),2),0)</f>
        <v>0</v>
      </c>
      <c r="AS13" s="246">
        <f>IF('Scheduled Intervals'!AS13&gt;0,ROUND(('Hours Per Job'!AS13*'Total Cost for Plan'!$B$36+'Parts Cost Per Job'!AS13*((1+'Total Cost for Plan'!$B$37)*'Total Cost for Plan'!$B$38))*ROUNDDOWN($B$1/'Scheduled Intervals'!AS13,0),2),0)</f>
        <v>0</v>
      </c>
      <c r="AT13" s="246">
        <f>IF('Scheduled Intervals'!AT13&gt;0,ROUND(('Hours Per Job'!AT13*'Total Cost for Plan'!$B$36+'Parts Cost Per Job'!AT13*((1+'Total Cost for Plan'!$B$37)*'Total Cost for Plan'!$B$38))*ROUNDDOWN($B$1/'Scheduled Intervals'!AT13,0),2),0)</f>
        <v>0</v>
      </c>
      <c r="AU13" s="246">
        <f>IF('Scheduled Intervals'!AU13&gt;0,ROUND(('Hours Per Job'!AU13*'Total Cost for Plan'!$B$36+'Parts Cost Per Job'!AU13*((1+'Total Cost for Plan'!$B$37)*'Total Cost for Plan'!$B$38))*ROUNDDOWN($B$1/'Scheduled Intervals'!AU13,0),2),0)</f>
        <v>0</v>
      </c>
      <c r="AV13" s="246">
        <f>IF('Scheduled Intervals'!AV13&gt;0,ROUND(('Hours Per Job'!AV13*'Total Cost for Plan'!$B$36+'Parts Cost Per Job'!AV13*((1+'Total Cost for Plan'!$B$37)*'Total Cost for Plan'!$B$38))*ROUNDDOWN($B$1/'Scheduled Intervals'!AV13,0),2),0)</f>
        <v>0</v>
      </c>
      <c r="AW13" s="246">
        <f>IF('Scheduled Intervals'!AW13&gt;0,ROUND(('Hours Per Job'!AW13*'Total Cost for Plan'!$B$36+'Parts Cost Per Job'!AW13*((1+'Total Cost for Plan'!$B$37)*'Total Cost for Plan'!$B$38))*ROUNDDOWN($B$1/'Scheduled Intervals'!AW13,0),2),0)</f>
        <v>0</v>
      </c>
      <c r="AX13" s="246">
        <f>IF('Scheduled Intervals'!AX13&gt;0,ROUND(('Hours Per Job'!AX13*'Total Cost for Plan'!$B$36+'Parts Cost Per Job'!AX13*((1+'Total Cost for Plan'!$B$37)*'Total Cost for Plan'!$B$38))*ROUNDDOWN($B$1/'Scheduled Intervals'!AX13,0),2),0)</f>
        <v>0</v>
      </c>
      <c r="AY13" s="246">
        <f>IF('Scheduled Intervals'!AY13&gt;0,ROUND(('Hours Per Job'!AY13*'Total Cost for Plan'!$B$36+'Parts Cost Per Job'!AY13*((1+'Total Cost for Plan'!$B$37)*'Total Cost for Plan'!$B$38))*ROUNDDOWN($B$1/'Scheduled Intervals'!AY13,0),2),0)</f>
        <v>0</v>
      </c>
      <c r="AZ13" s="246">
        <f>IF('Scheduled Intervals'!AZ13&gt;0,ROUND(('Hours Per Job'!AZ13*'Total Cost for Plan'!$B$36+'Parts Cost Per Job'!AZ13*((1+'Total Cost for Plan'!$B$37)*'Total Cost for Plan'!$B$38))*ROUNDDOWN($B$1/'Scheduled Intervals'!AZ13,0),2),0)</f>
        <v>0</v>
      </c>
      <c r="BA13" s="246">
        <f>IF('Scheduled Intervals'!BA13&gt;0,ROUND(('Hours Per Job'!BA13*'Total Cost for Plan'!$B$36+'Parts Cost Per Job'!BA13*((1+'Total Cost for Plan'!$B$37)*'Total Cost for Plan'!$B$38))*ROUNDDOWN($B$1/'Scheduled Intervals'!BA13,0),2),0)</f>
        <v>0</v>
      </c>
      <c r="BB13" s="246">
        <f>IF('Scheduled Intervals'!BB13&gt;0,ROUND(('Hours Per Job'!BB13*'Total Cost for Plan'!$B$36+'Parts Cost Per Job'!BB13*((1+'Total Cost for Plan'!$B$37)*'Total Cost for Plan'!$B$38))*ROUNDDOWN($B$1/'Scheduled Intervals'!BB13,0),2),0)</f>
        <v>0</v>
      </c>
      <c r="BC13" s="246">
        <f>IF('Scheduled Intervals'!BC13&gt;0,ROUND(('Hours Per Job'!BC13*'Total Cost for Plan'!$B$36+'Parts Cost Per Job'!BC13*((1+'Total Cost for Plan'!$B$37)*'Total Cost for Plan'!$B$38))*ROUNDDOWN($B$1/'Scheduled Intervals'!BC13,0),2),0)</f>
        <v>0</v>
      </c>
      <c r="BD13" s="246">
        <f>IF('Scheduled Intervals'!BD13&gt;0,ROUND(('Hours Per Job'!BD13*'Total Cost for Plan'!$B$36+'Parts Cost Per Job'!BD13*((1+'Total Cost for Plan'!$B$37)*'Total Cost for Plan'!$B$38))*ROUNDDOWN($B$1/'Scheduled Intervals'!BD13,0),2),0)</f>
        <v>0</v>
      </c>
      <c r="BE13" s="246">
        <f>IF('Scheduled Intervals'!BE13&gt;0,ROUND(('Hours Per Job'!BE13*'Total Cost for Plan'!$B$36+'Parts Cost Per Job'!BE13*((1+'Total Cost for Plan'!$B$37)*'Total Cost for Plan'!$B$38))*ROUNDDOWN($B$1/'Scheduled Intervals'!BE13,0),2),0)</f>
        <v>0</v>
      </c>
      <c r="BF13" s="246">
        <f>IF('Scheduled Intervals'!BF13&gt;0,ROUND(('Hours Per Job'!BF13*'Total Cost for Plan'!$B$36+'Parts Cost Per Job'!BF13*((1+'Total Cost for Plan'!$B$37)*'Total Cost for Plan'!$B$38))*ROUNDDOWN($B$1/'Scheduled Intervals'!BF13,0),2),0)</f>
        <v>0</v>
      </c>
      <c r="BG13" s="246">
        <f>IF('Scheduled Intervals'!BG13&gt;0,ROUND(('Hours Per Job'!BG13*'Total Cost for Plan'!$B$36+'Parts Cost Per Job'!BG13*((1+'Total Cost for Plan'!$B$37)*'Total Cost for Plan'!$B$38))*ROUNDDOWN($B$1/'Scheduled Intervals'!BG13,0),2),0)</f>
        <v>0</v>
      </c>
      <c r="BH13" s="246">
        <f>IF('Scheduled Intervals'!BH13&gt;0,ROUND(('Hours Per Job'!BH13*'Total Cost for Plan'!$B$36+'Parts Cost Per Job'!BH13*((1+'Total Cost for Plan'!$B$37)*'Total Cost for Plan'!$B$38))*ROUNDDOWN($B$1/'Scheduled Intervals'!BH13,0),2),0)</f>
        <v>0</v>
      </c>
      <c r="BI13" s="246">
        <f>IF('Scheduled Intervals'!BI13&gt;0,ROUND(('Hours Per Job'!BI13*'Total Cost for Plan'!$B$36+'Parts Cost Per Job'!BI13*((1+'Total Cost for Plan'!$B$37)*'Total Cost for Plan'!$B$38))*ROUNDDOWN($B$1/'Scheduled Intervals'!BI13,0),2),0)</f>
        <v>0</v>
      </c>
      <c r="BJ13" s="246">
        <f>IF('Scheduled Intervals'!BJ13&gt;0,ROUND(('Hours Per Job'!BJ13*'Total Cost for Plan'!$B$36+'Parts Cost Per Job'!BJ13*((1+'Total Cost for Plan'!$B$37)*'Total Cost for Plan'!$B$38))*ROUNDDOWN($B$1/'Scheduled Intervals'!BJ13,0),2),0)</f>
        <v>0</v>
      </c>
      <c r="BK13" s="246">
        <f>IF('Scheduled Intervals'!BK13&gt;0,ROUND(('Hours Per Job'!BK13*'Total Cost for Plan'!$B$36+'Parts Cost Per Job'!BK13*((1+'Total Cost for Plan'!$B$37)*'Total Cost for Plan'!$B$38))*ROUNDDOWN($B$1/'Scheduled Intervals'!BK13,0),2),0)</f>
        <v>0</v>
      </c>
      <c r="BL13" s="246">
        <f>IF('Scheduled Intervals'!BL13&gt;0,ROUND(('Hours Per Job'!BL13*'Total Cost for Plan'!$B$36+'Parts Cost Per Job'!BL13*((1+'Total Cost for Plan'!$B$37)*'Total Cost for Plan'!$B$38))*ROUNDDOWN($B$1/'Scheduled Intervals'!BL13,0),2),0)</f>
        <v>0</v>
      </c>
      <c r="BM13" s="246">
        <f>IF('Scheduled Intervals'!BM13&gt;0,ROUND(('Hours Per Job'!BM13*'Total Cost for Plan'!$B$36+'Parts Cost Per Job'!BM13*((1+'Total Cost for Plan'!$B$37)*'Total Cost for Plan'!$B$38))*ROUNDDOWN($B$1/'Scheduled Intervals'!BM13,0),2),0)</f>
        <v>0</v>
      </c>
      <c r="BN13" s="246">
        <f>IF(AND('Scheduled Intervals'!BN$4="annual",'Plan Summary'!$C$5&lt;'Scheduled Intervals'!$U13*('Plan Summary'!$C$9/12)),ROUND(('Hours Per Job'!BN13*'Total Cost for Plan'!$B$36+'Parts Cost Per Job'!BN13*((1+'Total Cost for Plan'!$B$37)*'Total Cost for Plan'!$B$38))*ROUND('Plan Summary'!$C$9/12,0),2),0)</f>
        <v>1010.88</v>
      </c>
      <c r="BO13" s="246">
        <f>IF(AND('Scheduled Intervals'!BO$4="annual",'Plan Summary'!$C$5&lt;'Scheduled Intervals'!$U13*('Plan Summary'!$C$9/12)),ROUND(('Hours Per Job'!BO13*'Total Cost for Plan'!$B$36+'Parts Cost Per Job'!BO13*((1+'Total Cost for Plan'!$B$37)*'Total Cost for Plan'!$B$38))*ROUND('Plan Summary'!$C$9/12,0),2),0)</f>
        <v>355.33</v>
      </c>
      <c r="BP13" s="246">
        <f>IF(AND('Scheduled Intervals'!BP$4="annual",'Plan Summary'!$C$5&lt;'Scheduled Intervals'!$U13*('Plan Summary'!$C$9/12)),ROUND(('Hours Per Job'!BP13*'Total Cost for Plan'!$B$36+'Parts Cost Per Job'!BP13*((1+'Total Cost for Plan'!$B$37)*'Total Cost for Plan'!$B$38))*ROUND('Plan Summary'!$C$9/12,0),2),0)</f>
        <v>630</v>
      </c>
      <c r="BQ13" s="246">
        <f t="shared" si="0"/>
        <v>2584.19</v>
      </c>
      <c r="BR13" s="246"/>
    </row>
    <row r="14" spans="1:70" ht="16" x14ac:dyDescent="0.2">
      <c r="A14" s="18" t="str">
        <f>+'Scheduled Intervals'!A14</f>
        <v>Wheel Loader</v>
      </c>
      <c r="B14" s="246">
        <f>ROUND(('Hours Per Job'!B14*'Total Cost for Plan'!$B$36+'Parts Cost Per Job'!B14*((1+'Total Cost for Plan'!$B$37)*'Total Cost for Plan'!$B$38)),2)</f>
        <v>200.52</v>
      </c>
      <c r="C14" s="246">
        <f>ROUND(('Hours Per Job'!C14*'Total Cost for Plan'!$B$36+'Parts Cost Per Job'!C14*((1+'Total Cost for Plan'!$B$37)*'Total Cost for Plan'!$B$38)),2)</f>
        <v>36</v>
      </c>
      <c r="D14" s="246">
        <f>ROUND(('Hours Per Job'!D14*'Total Cost for Plan'!$B$36+'Parts Cost Per Job'!D14*((1+'Total Cost for Plan'!$B$37)*'Total Cost for Plan'!$B$38)),2)</f>
        <v>12</v>
      </c>
      <c r="E14" s="246">
        <f>ROUND(('Hours Per Job'!E14*'Total Cost for Plan'!$B$36+'Parts Cost Per Job'!E14*((1+'Total Cost for Plan'!$B$37)*'Total Cost for Plan'!$B$38)),2)</f>
        <v>0</v>
      </c>
      <c r="F14" s="246">
        <f>ROUND(('Hours Per Job'!F14*'Total Cost for Plan'!$B$36+'Parts Cost Per Job'!F14*((1+'Total Cost for Plan'!$B$37)*'Total Cost for Plan'!$B$38)),2)</f>
        <v>0</v>
      </c>
      <c r="G14" s="246">
        <f>ROUND(('Hours Per Job'!G14*'Total Cost for Plan'!$B$36+'Parts Cost Per Job'!G14*((1+'Total Cost for Plan'!$B$37)*'Total Cost for Plan'!$B$38)),2)</f>
        <v>0</v>
      </c>
      <c r="H14" s="246">
        <f>ROUND(('Hours Per Job'!H14*'Total Cost for Plan'!$B$36+'Parts Cost Per Job'!H14*((1+'Total Cost for Plan'!$B$37)*'Total Cost for Plan'!$B$38)),2)</f>
        <v>59.07</v>
      </c>
      <c r="I14" s="246">
        <f>ROUND(('Hours Per Job'!I14*'Total Cost for Plan'!$B$36+'Parts Cost Per Job'!I14*((1+'Total Cost for Plan'!$B$37)*'Total Cost for Plan'!$B$38)),2)</f>
        <v>30</v>
      </c>
      <c r="J14" s="246">
        <f>ROUND(('Hours Per Job'!J14*'Total Cost for Plan'!$B$36+'Parts Cost Per Job'!J14*((1+'Total Cost for Plan'!$B$37)*'Total Cost for Plan'!$B$38)),2)</f>
        <v>0</v>
      </c>
      <c r="K14" s="246">
        <f>ROUND(('Hours Per Job'!K14*'Total Cost for Plan'!$B$36+'Parts Cost Per Job'!K14*((1+'Total Cost for Plan'!$B$37)*'Total Cost for Plan'!$B$38)),2)</f>
        <v>0</v>
      </c>
      <c r="L14" s="246">
        <f>ROUND(('Hours Per Job'!L14*'Total Cost for Plan'!$B$36+'Parts Cost Per Job'!L14*((1+'Total Cost for Plan'!$B$37)*'Total Cost for Plan'!$B$38)),2)</f>
        <v>0</v>
      </c>
      <c r="M14" s="246">
        <f>ROUND(('Hours Per Job'!M14*'Total Cost for Plan'!$B$36+'Parts Cost Per Job'!M14*((1+'Total Cost for Plan'!$B$37)*'Total Cost for Plan'!$B$38)),2)</f>
        <v>0</v>
      </c>
      <c r="N14" s="246">
        <f>ROUND(('Hours Per Job'!N14*'Total Cost for Plan'!$B$36+'Parts Cost Per Job'!N14*((1+'Total Cost for Plan'!$B$37)*'Total Cost for Plan'!$B$38)),2)</f>
        <v>0</v>
      </c>
      <c r="O14" s="246">
        <f>ROUND(('Hours Per Job'!O14*'Total Cost for Plan'!$B$36+'Parts Cost Per Job'!O14*((1+'Total Cost for Plan'!$B$37)*'Total Cost for Plan'!$B$38)),2)</f>
        <v>0</v>
      </c>
      <c r="P14" s="246">
        <f>ROUND(('Hours Per Job'!P14*'Total Cost for Plan'!$B$36+'Parts Cost Per Job'!P14*((1+'Total Cost for Plan'!$B$37)*'Total Cost for Plan'!$B$38)),2)</f>
        <v>0</v>
      </c>
      <c r="Q14" s="246">
        <f>ROUND(('Hours Per Job'!Q14*'Total Cost for Plan'!$B$36+'Parts Cost Per Job'!Q14*((1+'Total Cost for Plan'!$B$37)*'Total Cost for Plan'!$B$38)),2)</f>
        <v>0</v>
      </c>
      <c r="R14" s="246">
        <f>ROUND(('Hours Per Job'!R14*'Total Cost for Plan'!$B$36+'Parts Cost Per Job'!R14*((1+'Total Cost for Plan'!$B$37)*'Total Cost for Plan'!$B$38)),2)</f>
        <v>312.33</v>
      </c>
      <c r="S14" s="246">
        <f>ROUND(('Hours Per Job'!S14*'Total Cost for Plan'!$B$36+'Parts Cost Per Job'!S14*((1+'Total Cost for Plan'!$B$37)*'Total Cost for Plan'!$B$38)),2)</f>
        <v>0</v>
      </c>
      <c r="T14" s="246">
        <f>ROUND(('Hours Per Job'!T14*'Total Cost for Plan'!$B$36+'Parts Cost Per Job'!T14*((1+'Total Cost for Plan'!$B$37)*'Total Cost for Plan'!$B$38)),2)</f>
        <v>0</v>
      </c>
      <c r="U14" s="246">
        <f>IF('Scheduled Intervals'!U14&gt;0,ROUND(('Hours Per Job'!U14*'Total Cost for Plan'!$B$36+'Parts Cost Per Job'!U14*((1+'Total Cost for Plan'!$B$37)*'Total Cost for Plan'!$B$38))*ROUNDDOWN($B$1/'Scheduled Intervals'!U14,0),2),0)</f>
        <v>0</v>
      </c>
      <c r="V14" s="246">
        <f>IF('Scheduled Intervals'!V14&gt;0,ROUND(('Hours Per Job'!V14*'Total Cost for Plan'!$B$36+'Parts Cost Per Job'!V14*((1+'Total Cost for Plan'!$B$37)*'Total Cost for Plan'!$B$38))*ROUNDDOWN($B$1/'Scheduled Intervals'!V14,0),2),0)</f>
        <v>0</v>
      </c>
      <c r="W14" s="246">
        <f>IF('Scheduled Intervals'!W14&gt;0,ROUND(('Hours Per Job'!W14*'Total Cost for Plan'!$B$36+'Parts Cost Per Job'!W14*((1+'Total Cost for Plan'!$B$37)*'Total Cost for Plan'!$B$38))*ROUNDDOWN($B$1/'Scheduled Intervals'!W14,0),2),0)</f>
        <v>0</v>
      </c>
      <c r="X14" s="246">
        <f>IF('Scheduled Intervals'!X14&gt;0,ROUND(('Hours Per Job'!X14*'Total Cost for Plan'!$B$36+'Parts Cost Per Job'!X14*((1+'Total Cost for Plan'!$B$37)*'Total Cost for Plan'!$B$38))*ROUNDDOWN($B$1/'Scheduled Intervals'!X14,0),2),0)</f>
        <v>0</v>
      </c>
      <c r="Y14" s="246">
        <f>IF('Scheduled Intervals'!Y14&gt;0,ROUND(('Hours Per Job'!Y14*'Total Cost for Plan'!$B$36+'Parts Cost Per Job'!Y14*((1+'Total Cost for Plan'!$B$37)*'Total Cost for Plan'!$B$38))*ROUNDDOWN($B$1/'Scheduled Intervals'!Y14,0),2),0)</f>
        <v>0</v>
      </c>
      <c r="Z14" s="246">
        <f>IF('Scheduled Intervals'!Z14&gt;0,ROUND(('Hours Per Job'!Z14*'Total Cost for Plan'!$B$36+'Parts Cost Per Job'!Z14*((1+'Total Cost for Plan'!$B$37)*'Total Cost for Plan'!$B$38))*ROUNDDOWN($B$1/'Scheduled Intervals'!Z14,0),2),0)</f>
        <v>0</v>
      </c>
      <c r="AA14" s="246">
        <f>IF('Scheduled Intervals'!AA14&gt;0,ROUND(('Hours Per Job'!AA14*'Total Cost for Plan'!$B$36+'Parts Cost Per Job'!AA14*((1+'Total Cost for Plan'!$B$37)*'Total Cost for Plan'!$B$38))*ROUNDDOWN($B$1/'Scheduled Intervals'!AA14,0),2),0)</f>
        <v>0</v>
      </c>
      <c r="AB14" s="246">
        <f>IF('Scheduled Intervals'!AB14&gt;0,ROUND(('Hours Per Job'!AB14*'Total Cost for Plan'!$B$36+'Parts Cost Per Job'!AB14*((1+'Total Cost for Plan'!$B$37)*'Total Cost for Plan'!$B$38))*ROUNDDOWN($B$1/'Scheduled Intervals'!AB14,0),2),0)</f>
        <v>0</v>
      </c>
      <c r="AC14" s="246">
        <f>IF('Scheduled Intervals'!AC14&gt;0,ROUND(('Hours Per Job'!AC14*'Total Cost for Plan'!$B$36+'Parts Cost Per Job'!AC14*((1+'Total Cost for Plan'!$B$37)*'Total Cost for Plan'!$B$38))*ROUNDDOWN($B$1/'Scheduled Intervals'!AC14,0),2),0)</f>
        <v>0</v>
      </c>
      <c r="AD14" s="246">
        <f>IF('Scheduled Intervals'!AD14&gt;0,ROUND(('Hours Per Job'!AD14*'Total Cost for Plan'!$B$36+'Parts Cost Per Job'!AD14*((1+'Total Cost for Plan'!$B$37)*'Total Cost for Plan'!$B$38))*ROUNDDOWN($B$1/'Scheduled Intervals'!AD14,0),2),0)</f>
        <v>0</v>
      </c>
      <c r="AE14" s="246">
        <f>IF('Scheduled Intervals'!AE14&gt;0,ROUND(('Hours Per Job'!AE14*'Total Cost for Plan'!$B$36+'Parts Cost Per Job'!AE14*((1+'Total Cost for Plan'!$B$37)*'Total Cost for Plan'!$B$38))*ROUNDDOWN($B$1/'Scheduled Intervals'!AE14,0),2),0)</f>
        <v>0</v>
      </c>
      <c r="AF14" s="246">
        <f>IF('Scheduled Intervals'!AF14&gt;0,ROUND(('Hours Per Job'!AF14*'Total Cost for Plan'!$B$36+'Parts Cost Per Job'!AF14*((1+'Total Cost for Plan'!$B$37)*'Total Cost for Plan'!$B$38))*ROUNDDOWN($B$1/'Scheduled Intervals'!AF14,0),2),0)</f>
        <v>0</v>
      </c>
      <c r="AG14" s="246">
        <f>IF('Scheduled Intervals'!AG14&gt;0,ROUND(('Hours Per Job'!AG14*'Total Cost for Plan'!$B$36+'Parts Cost Per Job'!AG14*((1+'Total Cost for Plan'!$B$37)*'Total Cost for Plan'!$B$38))*ROUNDDOWN($B$1/'Scheduled Intervals'!AG14,0),2),0)</f>
        <v>0</v>
      </c>
      <c r="AH14" s="246">
        <f>IF('Scheduled Intervals'!AH14&gt;0,ROUND(('Hours Per Job'!AH14*'Total Cost for Plan'!$B$36+'Parts Cost Per Job'!AH14*((1+'Total Cost for Plan'!$B$37)*'Total Cost for Plan'!$B$38))*ROUNDDOWN($B$1/'Scheduled Intervals'!AH14,0),2),0)</f>
        <v>0</v>
      </c>
      <c r="AI14" s="246">
        <f>IF('Scheduled Intervals'!AI14&gt;0,ROUND(('Hours Per Job'!AI14*'Total Cost for Plan'!$B$36+'Parts Cost Per Job'!AI14*((1+'Total Cost for Plan'!$B$37)*'Total Cost for Plan'!$B$38))*ROUNDDOWN($B$1/'Scheduled Intervals'!AI14,0),2),0)</f>
        <v>0</v>
      </c>
      <c r="AJ14" s="246">
        <f>IF('Scheduled Intervals'!AJ14&gt;0,ROUND(('Hours Per Job'!AJ14*'Total Cost for Plan'!$B$36+'Parts Cost Per Job'!AJ14*((1+'Total Cost for Plan'!$B$37)*'Total Cost for Plan'!$B$38))*ROUNDDOWN($B$1/'Scheduled Intervals'!AJ14,0),2),0)</f>
        <v>0</v>
      </c>
      <c r="AK14" s="246">
        <f>IF('Scheduled Intervals'!AK14&gt;0,ROUND(('Hours Per Job'!AK14*'Total Cost for Plan'!$B$36+'Parts Cost Per Job'!AK14*((1+'Total Cost for Plan'!$B$37)*'Total Cost for Plan'!$B$38))*ROUNDDOWN($B$1/'Scheduled Intervals'!AK14,0),2),0)</f>
        <v>0</v>
      </c>
      <c r="AL14" s="246">
        <f>IF('Scheduled Intervals'!AL14&gt;0,ROUND(('Hours Per Job'!AL14*'Total Cost for Plan'!$B$36+'Parts Cost Per Job'!AL14*((1+'Total Cost for Plan'!$B$37)*'Total Cost for Plan'!$B$38))*ROUNDDOWN($B$1/'Scheduled Intervals'!AL14,0),2),0)</f>
        <v>0</v>
      </c>
      <c r="AM14" s="246">
        <f>IF('Scheduled Intervals'!AM14&gt;0,ROUND(('Hours Per Job'!AM14*'Total Cost for Plan'!$B$36+'Parts Cost Per Job'!AM14*((1+'Total Cost for Plan'!$B$37)*'Total Cost for Plan'!$B$38))*ROUNDDOWN($B$1/'Scheduled Intervals'!AM14,0),2),0)</f>
        <v>0</v>
      </c>
      <c r="AN14" s="246">
        <f>IF('Scheduled Intervals'!AN14&gt;0,ROUND(('Hours Per Job'!AN14*'Total Cost for Plan'!$B$36+'Parts Cost Per Job'!AN14*((1+'Total Cost for Plan'!$B$37)*'Total Cost for Plan'!$B$38))*ROUNDDOWN($B$1/'Scheduled Intervals'!AN14,0),2),0)</f>
        <v>0</v>
      </c>
      <c r="AO14" s="246">
        <f>IF('Scheduled Intervals'!AO14&gt;0,ROUND(('Hours Per Job'!AO14*'Total Cost for Plan'!$B$36+'Parts Cost Per Job'!AO14*((1+'Total Cost for Plan'!$B$37)*'Total Cost for Plan'!$B$38))*ROUNDDOWN($B$1/'Scheduled Intervals'!AO14,0),2),0)</f>
        <v>0</v>
      </c>
      <c r="AP14" s="246">
        <f>IF('Scheduled Intervals'!AP14&gt;0,ROUND(('Hours Per Job'!AP14*'Total Cost for Plan'!$B$36+'Parts Cost Per Job'!AP14*((1+'Total Cost for Plan'!$B$37)*'Total Cost for Plan'!$B$38))*ROUNDDOWN($B$1/'Scheduled Intervals'!AP14,0),2),0)</f>
        <v>0</v>
      </c>
      <c r="AQ14" s="246">
        <f>IF('Scheduled Intervals'!AQ14&gt;0,ROUND(('Hours Per Job'!AQ14*'Total Cost for Plan'!$B$36+'Parts Cost Per Job'!AQ14*((1+'Total Cost for Plan'!$B$37)*'Total Cost for Plan'!$B$38))*ROUNDDOWN($B$1/'Scheduled Intervals'!AQ14,0),2),0)</f>
        <v>0</v>
      </c>
      <c r="AR14" s="246">
        <f>IF('Scheduled Intervals'!AR14&gt;0,ROUND(('Hours Per Job'!AR14*'Total Cost for Plan'!$B$36+'Parts Cost Per Job'!AR14*((1+'Total Cost for Plan'!$B$37)*'Total Cost for Plan'!$B$38))*ROUNDDOWN($B$1/'Scheduled Intervals'!AR14,0),2),0)</f>
        <v>0</v>
      </c>
      <c r="AS14" s="246">
        <f>IF('Scheduled Intervals'!AS14&gt;0,ROUND(('Hours Per Job'!AS14*'Total Cost for Plan'!$B$36+'Parts Cost Per Job'!AS14*((1+'Total Cost for Plan'!$B$37)*'Total Cost for Plan'!$B$38))*ROUNDDOWN($B$1/'Scheduled Intervals'!AS14,0),2),0)</f>
        <v>0</v>
      </c>
      <c r="AT14" s="246">
        <f>IF('Scheduled Intervals'!AT14&gt;0,ROUND(('Hours Per Job'!AT14*'Total Cost for Plan'!$B$36+'Parts Cost Per Job'!AT14*((1+'Total Cost for Plan'!$B$37)*'Total Cost for Plan'!$B$38))*ROUNDDOWN($B$1/'Scheduled Intervals'!AT14,0),2),0)</f>
        <v>0</v>
      </c>
      <c r="AU14" s="246">
        <f>IF('Scheduled Intervals'!AU14&gt;0,ROUND(('Hours Per Job'!AU14*'Total Cost for Plan'!$B$36+'Parts Cost Per Job'!AU14*((1+'Total Cost for Plan'!$B$37)*'Total Cost for Plan'!$B$38))*ROUNDDOWN($B$1/'Scheduled Intervals'!AU14,0),2),0)</f>
        <v>0</v>
      </c>
      <c r="AV14" s="246">
        <f>IF('Scheduled Intervals'!AV14&gt;0,ROUND(('Hours Per Job'!AV14*'Total Cost for Plan'!$B$36+'Parts Cost Per Job'!AV14*((1+'Total Cost for Plan'!$B$37)*'Total Cost for Plan'!$B$38))*ROUNDDOWN($B$1/'Scheduled Intervals'!AV14,0),2),0)</f>
        <v>0</v>
      </c>
      <c r="AW14" s="246">
        <f>IF('Scheduled Intervals'!AW14&gt;0,ROUND(('Hours Per Job'!AW14*'Total Cost for Plan'!$B$36+'Parts Cost Per Job'!AW14*((1+'Total Cost for Plan'!$B$37)*'Total Cost for Plan'!$B$38))*ROUNDDOWN($B$1/'Scheduled Intervals'!AW14,0),2),0)</f>
        <v>0</v>
      </c>
      <c r="AX14" s="246">
        <f>IF('Scheduled Intervals'!AX14&gt;0,ROUND(('Hours Per Job'!AX14*'Total Cost for Plan'!$B$36+'Parts Cost Per Job'!AX14*((1+'Total Cost for Plan'!$B$37)*'Total Cost for Plan'!$B$38))*ROUNDDOWN($B$1/'Scheduled Intervals'!AX14,0),2),0)</f>
        <v>0</v>
      </c>
      <c r="AY14" s="246">
        <f>IF('Scheduled Intervals'!AY14&gt;0,ROUND(('Hours Per Job'!AY14*'Total Cost for Plan'!$B$36+'Parts Cost Per Job'!AY14*((1+'Total Cost for Plan'!$B$37)*'Total Cost for Plan'!$B$38))*ROUNDDOWN($B$1/'Scheduled Intervals'!AY14,0),2),0)</f>
        <v>0</v>
      </c>
      <c r="AZ14" s="246">
        <f>IF('Scheduled Intervals'!AZ14&gt;0,ROUND(('Hours Per Job'!AZ14*'Total Cost for Plan'!$B$36+'Parts Cost Per Job'!AZ14*((1+'Total Cost for Plan'!$B$37)*'Total Cost for Plan'!$B$38))*ROUNDDOWN($B$1/'Scheduled Intervals'!AZ14,0),2),0)</f>
        <v>0</v>
      </c>
      <c r="BA14" s="246">
        <f>IF('Scheduled Intervals'!BA14&gt;0,ROUND(('Hours Per Job'!BA14*'Total Cost for Plan'!$B$36+'Parts Cost Per Job'!BA14*((1+'Total Cost for Plan'!$B$37)*'Total Cost for Plan'!$B$38))*ROUNDDOWN($B$1/'Scheduled Intervals'!BA14,0),2),0)</f>
        <v>0</v>
      </c>
      <c r="BB14" s="246">
        <f>IF('Scheduled Intervals'!BB14&gt;0,ROUND(('Hours Per Job'!BB14*'Total Cost for Plan'!$B$36+'Parts Cost Per Job'!BB14*((1+'Total Cost for Plan'!$B$37)*'Total Cost for Plan'!$B$38))*ROUNDDOWN($B$1/'Scheduled Intervals'!BB14,0),2),0)</f>
        <v>0</v>
      </c>
      <c r="BC14" s="246">
        <f>IF('Scheduled Intervals'!BC14&gt;0,ROUND(('Hours Per Job'!BC14*'Total Cost for Plan'!$B$36+'Parts Cost Per Job'!BC14*((1+'Total Cost for Plan'!$B$37)*'Total Cost for Plan'!$B$38))*ROUNDDOWN($B$1/'Scheduled Intervals'!BC14,0),2),0)</f>
        <v>0</v>
      </c>
      <c r="BD14" s="246">
        <f>IF('Scheduled Intervals'!BD14&gt;0,ROUND(('Hours Per Job'!BD14*'Total Cost for Plan'!$B$36+'Parts Cost Per Job'!BD14*((1+'Total Cost for Plan'!$B$37)*'Total Cost for Plan'!$B$38))*ROUNDDOWN($B$1/'Scheduled Intervals'!BD14,0),2),0)</f>
        <v>0</v>
      </c>
      <c r="BE14" s="246">
        <f>IF('Scheduled Intervals'!BE14&gt;0,ROUND(('Hours Per Job'!BE14*'Total Cost for Plan'!$B$36+'Parts Cost Per Job'!BE14*((1+'Total Cost for Plan'!$B$37)*'Total Cost for Plan'!$B$38))*ROUNDDOWN($B$1/'Scheduled Intervals'!BE14,0),2),0)</f>
        <v>0</v>
      </c>
      <c r="BF14" s="246">
        <f>IF('Scheduled Intervals'!BF14&gt;0,ROUND(('Hours Per Job'!BF14*'Total Cost for Plan'!$B$36+'Parts Cost Per Job'!BF14*((1+'Total Cost for Plan'!$B$37)*'Total Cost for Plan'!$B$38))*ROUNDDOWN($B$1/'Scheduled Intervals'!BF14,0),2),0)</f>
        <v>0</v>
      </c>
      <c r="BG14" s="246">
        <f>IF('Scheduled Intervals'!BG14&gt;0,ROUND(('Hours Per Job'!BG14*'Total Cost for Plan'!$B$36+'Parts Cost Per Job'!BG14*((1+'Total Cost for Plan'!$B$37)*'Total Cost for Plan'!$B$38))*ROUNDDOWN($B$1/'Scheduled Intervals'!BG14,0),2),0)</f>
        <v>0</v>
      </c>
      <c r="BH14" s="246">
        <f>IF('Scheduled Intervals'!BH14&gt;0,ROUND(('Hours Per Job'!BH14*'Total Cost for Plan'!$B$36+'Parts Cost Per Job'!BH14*((1+'Total Cost for Plan'!$B$37)*'Total Cost for Plan'!$B$38))*ROUNDDOWN($B$1/'Scheduled Intervals'!BH14,0),2),0)</f>
        <v>0</v>
      </c>
      <c r="BI14" s="246">
        <f>IF('Scheduled Intervals'!BI14&gt;0,ROUND(('Hours Per Job'!BI14*'Total Cost for Plan'!$B$36+'Parts Cost Per Job'!BI14*((1+'Total Cost for Plan'!$B$37)*'Total Cost for Plan'!$B$38))*ROUNDDOWN($B$1/'Scheduled Intervals'!BI14,0),2),0)</f>
        <v>0</v>
      </c>
      <c r="BJ14" s="246">
        <f>IF('Scheduled Intervals'!BJ14&gt;0,ROUND(('Hours Per Job'!BJ14*'Total Cost for Plan'!$B$36+'Parts Cost Per Job'!BJ14*((1+'Total Cost for Plan'!$B$37)*'Total Cost for Plan'!$B$38))*ROUNDDOWN($B$1/'Scheduled Intervals'!BJ14,0),2),0)</f>
        <v>0</v>
      </c>
      <c r="BK14" s="246">
        <f>IF('Scheduled Intervals'!BK14&gt;0,ROUND(('Hours Per Job'!BK14*'Total Cost for Plan'!$B$36+'Parts Cost Per Job'!BK14*((1+'Total Cost for Plan'!$B$37)*'Total Cost for Plan'!$B$38))*ROUNDDOWN($B$1/'Scheduled Intervals'!BK14,0),2),0)</f>
        <v>0</v>
      </c>
      <c r="BL14" s="246">
        <f>IF('Scheduled Intervals'!BL14&gt;0,ROUND(('Hours Per Job'!BL14*'Total Cost for Plan'!$B$36+'Parts Cost Per Job'!BL14*((1+'Total Cost for Plan'!$B$37)*'Total Cost for Plan'!$B$38))*ROUNDDOWN($B$1/'Scheduled Intervals'!BL14,0),2),0)</f>
        <v>0</v>
      </c>
      <c r="BM14" s="246">
        <f>IF('Scheduled Intervals'!BM14&gt;0,ROUND(('Hours Per Job'!BM14*'Total Cost for Plan'!$B$36+'Parts Cost Per Job'!BM14*((1+'Total Cost for Plan'!$B$37)*'Total Cost for Plan'!$B$38))*ROUNDDOWN($B$1/'Scheduled Intervals'!BM14,0),2),0)</f>
        <v>0</v>
      </c>
      <c r="BN14" s="246">
        <f>IF(AND('Scheduled Intervals'!BN$4="annual",'Plan Summary'!$C$5&lt;'Scheduled Intervals'!$U14*('Plan Summary'!$C$9/12)),ROUND(('Hours Per Job'!BN14*'Total Cost for Plan'!$B$36+'Parts Cost Per Job'!BN14*((1+'Total Cost for Plan'!$B$37)*'Total Cost for Plan'!$B$38))*ROUND('Plan Summary'!$C$9/12,0),2),0)</f>
        <v>1002.58</v>
      </c>
      <c r="BO14" s="246">
        <f>IF(AND('Scheduled Intervals'!BO$4="annual",'Plan Summary'!$C$5&lt;'Scheduled Intervals'!$U14*('Plan Summary'!$C$9/12)),ROUND(('Hours Per Job'!BO14*'Total Cost for Plan'!$B$36+'Parts Cost Per Job'!BO14*((1+'Total Cost for Plan'!$B$37)*'Total Cost for Plan'!$B$38))*ROUND('Plan Summary'!$C$9/12,0),2),0)</f>
        <v>295.33</v>
      </c>
      <c r="BP14" s="246">
        <f>IF(AND('Scheduled Intervals'!BP$4="annual",'Plan Summary'!$C$5&lt;'Scheduled Intervals'!$U14*('Plan Summary'!$C$9/12)),ROUND(('Hours Per Job'!BP14*'Total Cost for Plan'!$B$36+'Parts Cost Per Job'!BP14*((1+'Total Cost for Plan'!$B$37)*'Total Cost for Plan'!$B$38))*ROUND('Plan Summary'!$C$9/12,0),2),0)</f>
        <v>630</v>
      </c>
      <c r="BQ14" s="246">
        <f t="shared" si="0"/>
        <v>2577.83</v>
      </c>
      <c r="BR14" s="246"/>
    </row>
    <row r="15" spans="1:70" ht="16" x14ac:dyDescent="0.2">
      <c r="A15" s="18" t="str">
        <f>+'Scheduled Intervals'!A15</f>
        <v>Telehandler</v>
      </c>
      <c r="B15" s="246">
        <f>ROUND(('Hours Per Job'!B15*'Total Cost for Plan'!$B$36+'Parts Cost Per Job'!B15*((1+'Total Cost for Plan'!$B$37)*'Total Cost for Plan'!$B$38)),2)</f>
        <v>279.43</v>
      </c>
      <c r="C15" s="246">
        <f>ROUND(('Hours Per Job'!C15*'Total Cost for Plan'!$B$36+'Parts Cost Per Job'!C15*((1+'Total Cost for Plan'!$B$37)*'Total Cost for Plan'!$B$38)),2)</f>
        <v>36</v>
      </c>
      <c r="D15" s="246">
        <f>ROUND(('Hours Per Job'!D15*'Total Cost for Plan'!$B$36+'Parts Cost Per Job'!D15*((1+'Total Cost for Plan'!$B$37)*'Total Cost for Plan'!$B$38)),2)</f>
        <v>12</v>
      </c>
      <c r="E15" s="246">
        <f>ROUND(('Hours Per Job'!E15*'Total Cost for Plan'!$B$36+'Parts Cost Per Job'!E15*((1+'Total Cost for Plan'!$B$37)*'Total Cost for Plan'!$B$38)),2)</f>
        <v>0</v>
      </c>
      <c r="F15" s="246">
        <f>ROUND(('Hours Per Job'!F15*'Total Cost for Plan'!$B$36+'Parts Cost Per Job'!F15*((1+'Total Cost for Plan'!$B$37)*'Total Cost for Plan'!$B$38)),2)</f>
        <v>0</v>
      </c>
      <c r="G15" s="246">
        <f>ROUND(('Hours Per Job'!G15*'Total Cost for Plan'!$B$36+'Parts Cost Per Job'!G15*((1+'Total Cost for Plan'!$B$37)*'Total Cost for Plan'!$B$38)),2)</f>
        <v>0</v>
      </c>
      <c r="H15" s="246">
        <f>ROUND(('Hours Per Job'!H15*'Total Cost for Plan'!$B$36+'Parts Cost Per Job'!H15*((1+'Total Cost for Plan'!$B$37)*'Total Cost for Plan'!$B$38)),2)</f>
        <v>59.07</v>
      </c>
      <c r="I15" s="246">
        <f>ROUND(('Hours Per Job'!I15*'Total Cost for Plan'!$B$36+'Parts Cost Per Job'!I15*((1+'Total Cost for Plan'!$B$37)*'Total Cost for Plan'!$B$38)),2)</f>
        <v>30</v>
      </c>
      <c r="J15" s="246">
        <f>ROUND(('Hours Per Job'!J15*'Total Cost for Plan'!$B$36+'Parts Cost Per Job'!J15*((1+'Total Cost for Plan'!$B$37)*'Total Cost for Plan'!$B$38)),2)</f>
        <v>0</v>
      </c>
      <c r="K15" s="246">
        <f>ROUND(('Hours Per Job'!K15*'Total Cost for Plan'!$B$36+'Parts Cost Per Job'!K15*((1+'Total Cost for Plan'!$B$37)*'Total Cost for Plan'!$B$38)),2)</f>
        <v>0</v>
      </c>
      <c r="L15" s="246">
        <f>ROUND(('Hours Per Job'!L15*'Total Cost for Plan'!$B$36+'Parts Cost Per Job'!L15*((1+'Total Cost for Plan'!$B$37)*'Total Cost for Plan'!$B$38)),2)</f>
        <v>0</v>
      </c>
      <c r="M15" s="246">
        <f>ROUND(('Hours Per Job'!M15*'Total Cost for Plan'!$B$36+'Parts Cost Per Job'!M15*((1+'Total Cost for Plan'!$B$37)*'Total Cost for Plan'!$B$38)),2)</f>
        <v>0</v>
      </c>
      <c r="N15" s="246">
        <f>ROUND(('Hours Per Job'!N15*'Total Cost for Plan'!$B$36+'Parts Cost Per Job'!N15*((1+'Total Cost for Plan'!$B$37)*'Total Cost for Plan'!$B$38)),2)</f>
        <v>0</v>
      </c>
      <c r="O15" s="246">
        <f>ROUND(('Hours Per Job'!O15*'Total Cost for Plan'!$B$36+'Parts Cost Per Job'!O15*((1+'Total Cost for Plan'!$B$37)*'Total Cost for Plan'!$B$38)),2)</f>
        <v>0</v>
      </c>
      <c r="P15" s="246">
        <f>ROUND(('Hours Per Job'!P15*'Total Cost for Plan'!$B$36+'Parts Cost Per Job'!P15*((1+'Total Cost for Plan'!$B$37)*'Total Cost for Plan'!$B$38)),2)</f>
        <v>0</v>
      </c>
      <c r="Q15" s="246">
        <f>ROUND(('Hours Per Job'!Q15*'Total Cost for Plan'!$B$36+'Parts Cost Per Job'!Q15*((1+'Total Cost for Plan'!$B$37)*'Total Cost for Plan'!$B$38)),2)</f>
        <v>0</v>
      </c>
      <c r="R15" s="246">
        <f>ROUND(('Hours Per Job'!R15*'Total Cost for Plan'!$B$36+'Parts Cost Per Job'!R15*((1+'Total Cost for Plan'!$B$37)*'Total Cost for Plan'!$B$38)),2)</f>
        <v>196.51</v>
      </c>
      <c r="S15" s="246">
        <f>ROUND(('Hours Per Job'!S15*'Total Cost for Plan'!$B$36+'Parts Cost Per Job'!S15*((1+'Total Cost for Plan'!$B$37)*'Total Cost for Plan'!$B$38)),2)</f>
        <v>0</v>
      </c>
      <c r="T15" s="246">
        <f>ROUND(('Hours Per Job'!T15*'Total Cost for Plan'!$B$36+'Parts Cost Per Job'!T15*((1+'Total Cost for Plan'!$B$37)*'Total Cost for Plan'!$B$38)),2)</f>
        <v>0</v>
      </c>
      <c r="U15" s="246">
        <f>IF('Scheduled Intervals'!U15&gt;0,ROUND(('Hours Per Job'!U15*'Total Cost for Plan'!$B$36+'Parts Cost Per Job'!U15*((1+'Total Cost for Plan'!$B$37)*'Total Cost for Plan'!$B$38))*ROUNDDOWN($B$1/'Scheduled Intervals'!U15,0),2),0)</f>
        <v>0</v>
      </c>
      <c r="V15" s="246">
        <f>IF('Scheduled Intervals'!V15&gt;0,ROUND(('Hours Per Job'!V15*'Total Cost for Plan'!$B$36+'Parts Cost Per Job'!V15*((1+'Total Cost for Plan'!$B$37)*'Total Cost for Plan'!$B$38))*ROUNDDOWN($B$1/'Scheduled Intervals'!V15,0),2),0)</f>
        <v>0</v>
      </c>
      <c r="W15" s="246">
        <f>IF('Scheduled Intervals'!W15&gt;0,ROUND(('Hours Per Job'!W15*'Total Cost for Plan'!$B$36+'Parts Cost Per Job'!W15*((1+'Total Cost for Plan'!$B$37)*'Total Cost for Plan'!$B$38))*ROUNDDOWN($B$1/'Scheduled Intervals'!W15,0),2),0)</f>
        <v>0</v>
      </c>
      <c r="X15" s="246">
        <f>IF('Scheduled Intervals'!X15&gt;0,ROUND(('Hours Per Job'!X15*'Total Cost for Plan'!$B$36+'Parts Cost Per Job'!X15*((1+'Total Cost for Plan'!$B$37)*'Total Cost for Plan'!$B$38))*ROUNDDOWN($B$1/'Scheduled Intervals'!X15,0),2),0)</f>
        <v>0</v>
      </c>
      <c r="Y15" s="246">
        <f>IF('Scheduled Intervals'!Y15&gt;0,ROUND(('Hours Per Job'!Y15*'Total Cost for Plan'!$B$36+'Parts Cost Per Job'!Y15*((1+'Total Cost for Plan'!$B$37)*'Total Cost for Plan'!$B$38))*ROUNDDOWN($B$1/'Scheduled Intervals'!Y15,0),2),0)</f>
        <v>0</v>
      </c>
      <c r="Z15" s="246">
        <f>IF('Scheduled Intervals'!Z15&gt;0,ROUND(('Hours Per Job'!Z15*'Total Cost for Plan'!$B$36+'Parts Cost Per Job'!Z15*((1+'Total Cost for Plan'!$B$37)*'Total Cost for Plan'!$B$38))*ROUNDDOWN($B$1/'Scheduled Intervals'!Z15,0),2),0)</f>
        <v>0</v>
      </c>
      <c r="AA15" s="246">
        <f>IF('Scheduled Intervals'!AA15&gt;0,ROUND(('Hours Per Job'!AA15*'Total Cost for Plan'!$B$36+'Parts Cost Per Job'!AA15*((1+'Total Cost for Plan'!$B$37)*'Total Cost for Plan'!$B$38))*ROUNDDOWN($B$1/'Scheduled Intervals'!AA15,0),2),0)</f>
        <v>0</v>
      </c>
      <c r="AB15" s="246">
        <f>IF('Scheduled Intervals'!AB15&gt;0,ROUND(('Hours Per Job'!AB15*'Total Cost for Plan'!$B$36+'Parts Cost Per Job'!AB15*((1+'Total Cost for Plan'!$B$37)*'Total Cost for Plan'!$B$38))*ROUNDDOWN($B$1/'Scheduled Intervals'!AB15,0),2),0)</f>
        <v>0</v>
      </c>
      <c r="AC15" s="246">
        <f>IF('Scheduled Intervals'!AC15&gt;0,ROUND(('Hours Per Job'!AC15*'Total Cost for Plan'!$B$36+'Parts Cost Per Job'!AC15*((1+'Total Cost for Plan'!$B$37)*'Total Cost for Plan'!$B$38))*ROUNDDOWN($B$1/'Scheduled Intervals'!AC15,0),2),0)</f>
        <v>0</v>
      </c>
      <c r="AD15" s="246">
        <f>IF('Scheduled Intervals'!AD15&gt;0,ROUND(('Hours Per Job'!AD15*'Total Cost for Plan'!$B$36+'Parts Cost Per Job'!AD15*((1+'Total Cost for Plan'!$B$37)*'Total Cost for Plan'!$B$38))*ROUNDDOWN($B$1/'Scheduled Intervals'!AD15,0),2),0)</f>
        <v>0</v>
      </c>
      <c r="AE15" s="246">
        <f>IF('Scheduled Intervals'!AE15&gt;0,ROUND(('Hours Per Job'!AE15*'Total Cost for Plan'!$B$36+'Parts Cost Per Job'!AE15*((1+'Total Cost for Plan'!$B$37)*'Total Cost for Plan'!$B$38))*ROUNDDOWN($B$1/'Scheduled Intervals'!AE15,0),2),0)</f>
        <v>0</v>
      </c>
      <c r="AF15" s="246">
        <f>IF('Scheduled Intervals'!AF15&gt;0,ROUND(('Hours Per Job'!AF15*'Total Cost for Plan'!$B$36+'Parts Cost Per Job'!AF15*((1+'Total Cost for Plan'!$B$37)*'Total Cost for Plan'!$B$38))*ROUNDDOWN($B$1/'Scheduled Intervals'!AF15,0),2),0)</f>
        <v>0</v>
      </c>
      <c r="AG15" s="246">
        <f>IF('Scheduled Intervals'!AG15&gt;0,ROUND(('Hours Per Job'!AG15*'Total Cost for Plan'!$B$36+'Parts Cost Per Job'!AG15*((1+'Total Cost for Plan'!$B$37)*'Total Cost for Plan'!$B$38))*ROUNDDOWN($B$1/'Scheduled Intervals'!AG15,0),2),0)</f>
        <v>0</v>
      </c>
      <c r="AH15" s="246">
        <f>IF('Scheduled Intervals'!AH15&gt;0,ROUND(('Hours Per Job'!AH15*'Total Cost for Plan'!$B$36+'Parts Cost Per Job'!AH15*((1+'Total Cost for Plan'!$B$37)*'Total Cost for Plan'!$B$38))*ROUNDDOWN($B$1/'Scheduled Intervals'!AH15,0),2),0)</f>
        <v>0</v>
      </c>
      <c r="AI15" s="246">
        <f>IF('Scheduled Intervals'!AI15&gt;0,ROUND(('Hours Per Job'!AI15*'Total Cost for Plan'!$B$36+'Parts Cost Per Job'!AI15*((1+'Total Cost for Plan'!$B$37)*'Total Cost for Plan'!$B$38))*ROUNDDOWN($B$1/'Scheduled Intervals'!AI15,0),2),0)</f>
        <v>0</v>
      </c>
      <c r="AJ15" s="246">
        <f>IF('Scheduled Intervals'!AJ15&gt;0,ROUND(('Hours Per Job'!AJ15*'Total Cost for Plan'!$B$36+'Parts Cost Per Job'!AJ15*((1+'Total Cost for Plan'!$B$37)*'Total Cost for Plan'!$B$38))*ROUNDDOWN($B$1/'Scheduled Intervals'!AJ15,0),2),0)</f>
        <v>0</v>
      </c>
      <c r="AK15" s="246">
        <f>IF('Scheduled Intervals'!AK15&gt;0,ROUND(('Hours Per Job'!AK15*'Total Cost for Plan'!$B$36+'Parts Cost Per Job'!AK15*((1+'Total Cost for Plan'!$B$37)*'Total Cost for Plan'!$B$38))*ROUNDDOWN($B$1/'Scheduled Intervals'!AK15,0),2),0)</f>
        <v>0</v>
      </c>
      <c r="AL15" s="246">
        <f>IF('Scheduled Intervals'!AL15&gt;0,ROUND(('Hours Per Job'!AL15*'Total Cost for Plan'!$B$36+'Parts Cost Per Job'!AL15*((1+'Total Cost for Plan'!$B$37)*'Total Cost for Plan'!$B$38))*ROUNDDOWN($B$1/'Scheduled Intervals'!AL15,0),2),0)</f>
        <v>0</v>
      </c>
      <c r="AM15" s="246">
        <f>IF('Scheduled Intervals'!AM15&gt;0,ROUND(('Hours Per Job'!AM15*'Total Cost for Plan'!$B$36+'Parts Cost Per Job'!AM15*((1+'Total Cost for Plan'!$B$37)*'Total Cost for Plan'!$B$38))*ROUNDDOWN($B$1/'Scheduled Intervals'!AM15,0),2),0)</f>
        <v>0</v>
      </c>
      <c r="AN15" s="246">
        <f>IF('Scheduled Intervals'!AN15&gt;0,ROUND(('Hours Per Job'!AN15*'Total Cost for Plan'!$B$36+'Parts Cost Per Job'!AN15*((1+'Total Cost for Plan'!$B$37)*'Total Cost for Plan'!$B$38))*ROUNDDOWN($B$1/'Scheduled Intervals'!AN15,0),2),0)</f>
        <v>0</v>
      </c>
      <c r="AO15" s="246">
        <f>IF('Scheduled Intervals'!AO15&gt;0,ROUND(('Hours Per Job'!AO15*'Total Cost for Plan'!$B$36+'Parts Cost Per Job'!AO15*((1+'Total Cost for Plan'!$B$37)*'Total Cost for Plan'!$B$38))*ROUNDDOWN($B$1/'Scheduled Intervals'!AO15,0),2),0)</f>
        <v>0</v>
      </c>
      <c r="AP15" s="246">
        <f>IF('Scheduled Intervals'!AP15&gt;0,ROUND(('Hours Per Job'!AP15*'Total Cost for Plan'!$B$36+'Parts Cost Per Job'!AP15*((1+'Total Cost for Plan'!$B$37)*'Total Cost for Plan'!$B$38))*ROUNDDOWN($B$1/'Scheduled Intervals'!AP15,0),2),0)</f>
        <v>0</v>
      </c>
      <c r="AQ15" s="246">
        <f>IF('Scheduled Intervals'!AQ15&gt;0,ROUND(('Hours Per Job'!AQ15*'Total Cost for Plan'!$B$36+'Parts Cost Per Job'!AQ15*((1+'Total Cost for Plan'!$B$37)*'Total Cost for Plan'!$B$38))*ROUNDDOWN($B$1/'Scheduled Intervals'!AQ15,0),2),0)</f>
        <v>0</v>
      </c>
      <c r="AR15" s="246">
        <f>IF('Scheduled Intervals'!AR15&gt;0,ROUND(('Hours Per Job'!AR15*'Total Cost for Plan'!$B$36+'Parts Cost Per Job'!AR15*((1+'Total Cost for Plan'!$B$37)*'Total Cost for Plan'!$B$38))*ROUNDDOWN($B$1/'Scheduled Intervals'!AR15,0),2),0)</f>
        <v>0</v>
      </c>
      <c r="AS15" s="246">
        <f>IF('Scheduled Intervals'!AS15&gt;0,ROUND(('Hours Per Job'!AS15*'Total Cost for Plan'!$B$36+'Parts Cost Per Job'!AS15*((1+'Total Cost for Plan'!$B$37)*'Total Cost for Plan'!$B$38))*ROUNDDOWN($B$1/'Scheduled Intervals'!AS15,0),2),0)</f>
        <v>0</v>
      </c>
      <c r="AT15" s="246">
        <f>IF('Scheduled Intervals'!AT15&gt;0,ROUND(('Hours Per Job'!AT15*'Total Cost for Plan'!$B$36+'Parts Cost Per Job'!AT15*((1+'Total Cost for Plan'!$B$37)*'Total Cost for Plan'!$B$38))*ROUNDDOWN($B$1/'Scheduled Intervals'!AT15,0),2),0)</f>
        <v>0</v>
      </c>
      <c r="AU15" s="246">
        <f>IF('Scheduled Intervals'!AU15&gt;0,ROUND(('Hours Per Job'!AU15*'Total Cost for Plan'!$B$36+'Parts Cost Per Job'!AU15*((1+'Total Cost for Plan'!$B$37)*'Total Cost for Plan'!$B$38))*ROUNDDOWN($B$1/'Scheduled Intervals'!AU15,0),2),0)</f>
        <v>0</v>
      </c>
      <c r="AV15" s="246">
        <f>IF('Scheduled Intervals'!AV15&gt;0,ROUND(('Hours Per Job'!AV15*'Total Cost for Plan'!$B$36+'Parts Cost Per Job'!AV15*((1+'Total Cost for Plan'!$B$37)*'Total Cost for Plan'!$B$38))*ROUNDDOWN($B$1/'Scheduled Intervals'!AV15,0),2),0)</f>
        <v>0</v>
      </c>
      <c r="AW15" s="246">
        <f>IF('Scheduled Intervals'!AW15&gt;0,ROUND(('Hours Per Job'!AW15*'Total Cost for Plan'!$B$36+'Parts Cost Per Job'!AW15*((1+'Total Cost for Plan'!$B$37)*'Total Cost for Plan'!$B$38))*ROUNDDOWN($B$1/'Scheduled Intervals'!AW15,0),2),0)</f>
        <v>0</v>
      </c>
      <c r="AX15" s="246">
        <f>IF('Scheduled Intervals'!AX15&gt;0,ROUND(('Hours Per Job'!AX15*'Total Cost for Plan'!$B$36+'Parts Cost Per Job'!AX15*((1+'Total Cost for Plan'!$B$37)*'Total Cost for Plan'!$B$38))*ROUNDDOWN($B$1/'Scheduled Intervals'!AX15,0),2),0)</f>
        <v>0</v>
      </c>
      <c r="AY15" s="246">
        <f>IF('Scheduled Intervals'!AY15&gt;0,ROUND(('Hours Per Job'!AY15*'Total Cost for Plan'!$B$36+'Parts Cost Per Job'!AY15*((1+'Total Cost for Plan'!$B$37)*'Total Cost for Plan'!$B$38))*ROUNDDOWN($B$1/'Scheduled Intervals'!AY15,0),2),0)</f>
        <v>0</v>
      </c>
      <c r="AZ15" s="246">
        <f>IF('Scheduled Intervals'!AZ15&gt;0,ROUND(('Hours Per Job'!AZ15*'Total Cost for Plan'!$B$36+'Parts Cost Per Job'!AZ15*((1+'Total Cost for Plan'!$B$37)*'Total Cost for Plan'!$B$38))*ROUNDDOWN($B$1/'Scheduled Intervals'!AZ15,0),2),0)</f>
        <v>0</v>
      </c>
      <c r="BA15" s="246">
        <f>IF('Scheduled Intervals'!BA15&gt;0,ROUND(('Hours Per Job'!BA15*'Total Cost for Plan'!$B$36+'Parts Cost Per Job'!BA15*((1+'Total Cost for Plan'!$B$37)*'Total Cost for Plan'!$B$38))*ROUNDDOWN($B$1/'Scheduled Intervals'!BA15,0),2),0)</f>
        <v>0</v>
      </c>
      <c r="BB15" s="246">
        <f>IF('Scheduled Intervals'!BB15&gt;0,ROUND(('Hours Per Job'!BB15*'Total Cost for Plan'!$B$36+'Parts Cost Per Job'!BB15*((1+'Total Cost for Plan'!$B$37)*'Total Cost for Plan'!$B$38))*ROUNDDOWN($B$1/'Scheduled Intervals'!BB15,0),2),0)</f>
        <v>0</v>
      </c>
      <c r="BC15" s="246">
        <f>IF('Scheduled Intervals'!BC15&gt;0,ROUND(('Hours Per Job'!BC15*'Total Cost for Plan'!$B$36+'Parts Cost Per Job'!BC15*((1+'Total Cost for Plan'!$B$37)*'Total Cost for Plan'!$B$38))*ROUNDDOWN($B$1/'Scheduled Intervals'!BC15,0),2),0)</f>
        <v>0</v>
      </c>
      <c r="BD15" s="246">
        <f>IF('Scheduled Intervals'!BD15&gt;0,ROUND(('Hours Per Job'!BD15*'Total Cost for Plan'!$B$36+'Parts Cost Per Job'!BD15*((1+'Total Cost for Plan'!$B$37)*'Total Cost for Plan'!$B$38))*ROUNDDOWN($B$1/'Scheduled Intervals'!BD15,0),2),0)</f>
        <v>0</v>
      </c>
      <c r="BE15" s="246">
        <f>IF('Scheduled Intervals'!BE15&gt;0,ROUND(('Hours Per Job'!BE15*'Total Cost for Plan'!$B$36+'Parts Cost Per Job'!BE15*((1+'Total Cost for Plan'!$B$37)*'Total Cost for Plan'!$B$38))*ROUNDDOWN($B$1/'Scheduled Intervals'!BE15,0),2),0)</f>
        <v>0</v>
      </c>
      <c r="BF15" s="246">
        <f>IF('Scheduled Intervals'!BF15&gt;0,ROUND(('Hours Per Job'!BF15*'Total Cost for Plan'!$B$36+'Parts Cost Per Job'!BF15*((1+'Total Cost for Plan'!$B$37)*'Total Cost for Plan'!$B$38))*ROUNDDOWN($B$1/'Scheduled Intervals'!BF15,0),2),0)</f>
        <v>0</v>
      </c>
      <c r="BG15" s="246">
        <f>IF('Scheduled Intervals'!BG15&gt;0,ROUND(('Hours Per Job'!BG15*'Total Cost for Plan'!$B$36+'Parts Cost Per Job'!BG15*((1+'Total Cost for Plan'!$B$37)*'Total Cost for Plan'!$B$38))*ROUNDDOWN($B$1/'Scheduled Intervals'!BG15,0),2),0)</f>
        <v>0</v>
      </c>
      <c r="BH15" s="246">
        <f>IF('Scheduled Intervals'!BH15&gt;0,ROUND(('Hours Per Job'!BH15*'Total Cost for Plan'!$B$36+'Parts Cost Per Job'!BH15*((1+'Total Cost for Plan'!$B$37)*'Total Cost for Plan'!$B$38))*ROUNDDOWN($B$1/'Scheduled Intervals'!BH15,0),2),0)</f>
        <v>0</v>
      </c>
      <c r="BI15" s="246">
        <f>IF('Scheduled Intervals'!BI15&gt;0,ROUND(('Hours Per Job'!BI15*'Total Cost for Plan'!$B$36+'Parts Cost Per Job'!BI15*((1+'Total Cost for Plan'!$B$37)*'Total Cost for Plan'!$B$38))*ROUNDDOWN($B$1/'Scheduled Intervals'!BI15,0),2),0)</f>
        <v>0</v>
      </c>
      <c r="BJ15" s="246">
        <f>IF('Scheduled Intervals'!BJ15&gt;0,ROUND(('Hours Per Job'!BJ15*'Total Cost for Plan'!$B$36+'Parts Cost Per Job'!BJ15*((1+'Total Cost for Plan'!$B$37)*'Total Cost for Plan'!$B$38))*ROUNDDOWN($B$1/'Scheduled Intervals'!BJ15,0),2),0)</f>
        <v>0</v>
      </c>
      <c r="BK15" s="246">
        <f>IF('Scheduled Intervals'!BK15&gt;0,ROUND(('Hours Per Job'!BK15*'Total Cost for Plan'!$B$36+'Parts Cost Per Job'!BK15*((1+'Total Cost for Plan'!$B$37)*'Total Cost for Plan'!$B$38))*ROUNDDOWN($B$1/'Scheduled Intervals'!BK15,0),2),0)</f>
        <v>0</v>
      </c>
      <c r="BL15" s="246">
        <f>IF('Scheduled Intervals'!BL15&gt;0,ROUND(('Hours Per Job'!BL15*'Total Cost for Plan'!$B$36+'Parts Cost Per Job'!BL15*((1+'Total Cost for Plan'!$B$37)*'Total Cost for Plan'!$B$38))*ROUNDDOWN($B$1/'Scheduled Intervals'!BL15,0),2),0)</f>
        <v>0</v>
      </c>
      <c r="BM15" s="246">
        <f>IF('Scheduled Intervals'!BM15&gt;0,ROUND(('Hours Per Job'!BM15*'Total Cost for Plan'!$B$36+'Parts Cost Per Job'!BM15*((1+'Total Cost for Plan'!$B$37)*'Total Cost for Plan'!$B$38))*ROUNDDOWN($B$1/'Scheduled Intervals'!BM15,0),2),0)</f>
        <v>0</v>
      </c>
      <c r="BN15" s="246">
        <f>IF(AND('Scheduled Intervals'!BN$4="annual",'Plan Summary'!$C$5&lt;'Scheduled Intervals'!$U15*('Plan Summary'!$C$9/12)),ROUND(('Hours Per Job'!BN15*'Total Cost for Plan'!$B$36+'Parts Cost Per Job'!BN15*((1+'Total Cost for Plan'!$B$37)*'Total Cost for Plan'!$B$38))*ROUND('Plan Summary'!$C$9/12,0),2),0)</f>
        <v>1397.16</v>
      </c>
      <c r="BO15" s="246">
        <f>IF(AND('Scheduled Intervals'!BO$4="annual",'Plan Summary'!$C$5&lt;'Scheduled Intervals'!$U15*('Plan Summary'!$C$9/12)),ROUND(('Hours Per Job'!BO15*'Total Cost for Plan'!$B$36+'Parts Cost Per Job'!BO15*((1+'Total Cost for Plan'!$B$37)*'Total Cost for Plan'!$B$38))*ROUND('Plan Summary'!$C$9/12,0),2),0)</f>
        <v>295.33</v>
      </c>
      <c r="BP15" s="246">
        <f>IF(AND('Scheduled Intervals'!BP$4="annual",'Plan Summary'!$C$5&lt;'Scheduled Intervals'!$U15*('Plan Summary'!$C$9/12)),ROUND(('Hours Per Job'!BP15*'Total Cost for Plan'!$B$36+'Parts Cost Per Job'!BP15*((1+'Total Cost for Plan'!$B$37)*'Total Cost for Plan'!$B$38))*ROUND('Plan Summary'!$C$9/12,0),2),0)</f>
        <v>630</v>
      </c>
      <c r="BQ15" s="246">
        <f t="shared" si="0"/>
        <v>2935.5</v>
      </c>
      <c r="BR15" s="246"/>
    </row>
    <row r="16" spans="1:70" ht="16" x14ac:dyDescent="0.2">
      <c r="A16" s="18" t="str">
        <f>+'Scheduled Intervals'!A16</f>
        <v>Mahindra Emax</v>
      </c>
      <c r="B16" s="246">
        <f>ROUND(('Hours Per Job'!B16*'Total Cost for Plan'!$B$36+'Parts Cost Per Job'!B16*((1+'Total Cost for Plan'!$B$37)*'Total Cost for Plan'!$B$38)),2)</f>
        <v>85.46</v>
      </c>
      <c r="C16" s="246">
        <f>ROUND(('Hours Per Job'!C16*'Total Cost for Plan'!$B$36+'Parts Cost Per Job'!C16*((1+'Total Cost for Plan'!$B$37)*'Total Cost for Plan'!$B$38)),2)</f>
        <v>0</v>
      </c>
      <c r="D16" s="246">
        <f>ROUND(('Hours Per Job'!D16*'Total Cost for Plan'!$B$36+'Parts Cost Per Job'!D16*((1+'Total Cost for Plan'!$B$37)*'Total Cost for Plan'!$B$38)),2)</f>
        <v>0</v>
      </c>
      <c r="E16" s="246">
        <f>ROUND(('Hours Per Job'!E16*'Total Cost for Plan'!$B$36+'Parts Cost Per Job'!E16*((1+'Total Cost for Plan'!$B$37)*'Total Cost for Plan'!$B$38)),2)</f>
        <v>269.02</v>
      </c>
      <c r="F16" s="246">
        <f>ROUND(('Hours Per Job'!F16*'Total Cost for Plan'!$B$36+'Parts Cost Per Job'!F16*((1+'Total Cost for Plan'!$B$37)*'Total Cost for Plan'!$B$38)),2)</f>
        <v>90.98</v>
      </c>
      <c r="G16" s="246">
        <f>ROUND(('Hours Per Job'!G16*'Total Cost for Plan'!$B$36+'Parts Cost Per Job'!G16*((1+'Total Cost for Plan'!$B$37)*'Total Cost for Plan'!$B$38)),2)</f>
        <v>0</v>
      </c>
      <c r="H16" s="246">
        <f>ROUND(('Hours Per Job'!H16*'Total Cost for Plan'!$B$36+'Parts Cost Per Job'!H16*((1+'Total Cost for Plan'!$B$37)*'Total Cost for Plan'!$B$38)),2)</f>
        <v>35.07</v>
      </c>
      <c r="I16" s="246">
        <f>ROUND(('Hours Per Job'!I16*'Total Cost for Plan'!$B$36+'Parts Cost Per Job'!I16*((1+'Total Cost for Plan'!$B$37)*'Total Cost for Plan'!$B$38)),2)</f>
        <v>30</v>
      </c>
      <c r="J16" s="246">
        <f>ROUND(('Hours Per Job'!J16*'Total Cost for Plan'!$B$36+'Parts Cost Per Job'!J16*((1+'Total Cost for Plan'!$B$37)*'Total Cost for Plan'!$B$38)),2)</f>
        <v>0</v>
      </c>
      <c r="K16" s="246">
        <f>ROUND(('Hours Per Job'!K16*'Total Cost for Plan'!$B$36+'Parts Cost Per Job'!K16*((1+'Total Cost for Plan'!$B$37)*'Total Cost for Plan'!$B$38)),2)</f>
        <v>0</v>
      </c>
      <c r="L16" s="246">
        <f>ROUND(('Hours Per Job'!L16*'Total Cost for Plan'!$B$36+'Parts Cost Per Job'!L16*((1+'Total Cost for Plan'!$B$37)*'Total Cost for Plan'!$B$38)),2)</f>
        <v>156.16999999999999</v>
      </c>
      <c r="M16" s="246">
        <f>ROUND(('Hours Per Job'!M16*'Total Cost for Plan'!$B$36+'Parts Cost Per Job'!M16*((1+'Total Cost for Plan'!$B$37)*'Total Cost for Plan'!$B$38)),2)</f>
        <v>0</v>
      </c>
      <c r="N16" s="246">
        <f>ROUND(('Hours Per Job'!N16*'Total Cost for Plan'!$B$36+'Parts Cost Per Job'!N16*((1+'Total Cost for Plan'!$B$37)*'Total Cost for Plan'!$B$38)),2)</f>
        <v>0</v>
      </c>
      <c r="O16" s="246">
        <f>ROUND(('Hours Per Job'!O16*'Total Cost for Plan'!$B$36+'Parts Cost Per Job'!O16*((1+'Total Cost for Plan'!$B$37)*'Total Cost for Plan'!$B$38)),2)</f>
        <v>0</v>
      </c>
      <c r="P16" s="246">
        <f>ROUND(('Hours Per Job'!P16*'Total Cost for Plan'!$B$36+'Parts Cost Per Job'!P16*((1+'Total Cost for Plan'!$B$37)*'Total Cost for Plan'!$B$38)),2)</f>
        <v>0</v>
      </c>
      <c r="Q16" s="246">
        <f>ROUND(('Hours Per Job'!Q16*'Total Cost for Plan'!$B$36+'Parts Cost Per Job'!Q16*((1+'Total Cost for Plan'!$B$37)*'Total Cost for Plan'!$B$38)),2)</f>
        <v>0</v>
      </c>
      <c r="R16" s="246">
        <f>ROUND(('Hours Per Job'!R16*'Total Cost for Plan'!$B$36+'Parts Cost Per Job'!R16*((1+'Total Cost for Plan'!$B$37)*'Total Cost for Plan'!$B$38)),2)</f>
        <v>0</v>
      </c>
      <c r="S16" s="246">
        <f>ROUND(('Hours Per Job'!S16*'Total Cost for Plan'!$B$36+'Parts Cost Per Job'!S16*((1+'Total Cost for Plan'!$B$37)*'Total Cost for Plan'!$B$38)),2)</f>
        <v>0</v>
      </c>
      <c r="T16" s="246">
        <f>ROUND(('Hours Per Job'!T16*'Total Cost for Plan'!$B$36+'Parts Cost Per Job'!T16*((1+'Total Cost for Plan'!$B$37)*'Total Cost for Plan'!$B$38)),2)</f>
        <v>0</v>
      </c>
      <c r="U16" s="246">
        <f>IF('Scheduled Intervals'!U16&gt;0,ROUND(('Hours Per Job'!U16*'Total Cost for Plan'!$B$36+'Parts Cost Per Job'!U16*((1+'Total Cost for Plan'!$B$37)*'Total Cost for Plan'!$B$38))*ROUNDDOWN($B$1/'Scheduled Intervals'!U16,0),2),0)</f>
        <v>85.46</v>
      </c>
      <c r="V16" s="246">
        <f>IF('Scheduled Intervals'!V16&gt;0,ROUND(('Hours Per Job'!V16*'Total Cost for Plan'!$B$36+'Parts Cost Per Job'!V16*((1+'Total Cost for Plan'!$B$37)*'Total Cost for Plan'!$B$38))*ROUNDDOWN($B$1/'Scheduled Intervals'!V16,0),2),0)</f>
        <v>0</v>
      </c>
      <c r="W16" s="246">
        <f>IF('Scheduled Intervals'!W16&gt;0,ROUND(('Hours Per Job'!W16*'Total Cost for Plan'!$B$36+'Parts Cost Per Job'!W16*((1+'Total Cost for Plan'!$B$37)*'Total Cost for Plan'!$B$38))*ROUNDDOWN($B$1/'Scheduled Intervals'!W16,0),2),0)</f>
        <v>0</v>
      </c>
      <c r="X16" s="246">
        <f>IF('Scheduled Intervals'!X16&gt;0,ROUND(('Hours Per Job'!X16*'Total Cost for Plan'!$B$36+'Parts Cost Per Job'!X16*((1+'Total Cost for Plan'!$B$37)*'Total Cost for Plan'!$B$38))*ROUNDDOWN($B$1/'Scheduled Intervals'!X16,0),2),0)</f>
        <v>0</v>
      </c>
      <c r="Y16" s="246">
        <f>IF('Scheduled Intervals'!Y16&gt;0,ROUND(('Hours Per Job'!Y16*'Total Cost for Plan'!$B$36+'Parts Cost Per Job'!Y16*((1+'Total Cost for Plan'!$B$37)*'Total Cost for Plan'!$B$38))*ROUNDDOWN($B$1/'Scheduled Intervals'!Y16,0),2),0)</f>
        <v>0</v>
      </c>
      <c r="Z16" s="246">
        <f>IF('Scheduled Intervals'!Z16&gt;0,ROUND(('Hours Per Job'!Z16*'Total Cost for Plan'!$B$36+'Parts Cost Per Job'!Z16*((1+'Total Cost for Plan'!$B$37)*'Total Cost for Plan'!$B$38))*ROUNDDOWN($B$1/'Scheduled Intervals'!Z16,0),2),0)</f>
        <v>72.290000000000006</v>
      </c>
      <c r="AA16" s="246">
        <f>IF('Scheduled Intervals'!AA16&gt;0,ROUND(('Hours Per Job'!AA16*'Total Cost for Plan'!$B$36+'Parts Cost Per Job'!AA16*((1+'Total Cost for Plan'!$B$37)*'Total Cost for Plan'!$B$38))*ROUNDDOWN($B$1/'Scheduled Intervals'!AA16,0),2),0)</f>
        <v>0</v>
      </c>
      <c r="AB16" s="246">
        <f>IF('Scheduled Intervals'!AB16&gt;0,ROUND(('Hours Per Job'!AB16*'Total Cost for Plan'!$B$36+'Parts Cost Per Job'!AB16*((1+'Total Cost for Plan'!$B$37)*'Total Cost for Plan'!$B$38))*ROUNDDOWN($B$1/'Scheduled Intervals'!AB16,0),2),0)</f>
        <v>0</v>
      </c>
      <c r="AC16" s="246">
        <f>IF('Scheduled Intervals'!AC16&gt;0,ROUND(('Hours Per Job'!AC16*'Total Cost for Plan'!$B$36+'Parts Cost Per Job'!AC16*((1+'Total Cost for Plan'!$B$37)*'Total Cost for Plan'!$B$38))*ROUNDDOWN($B$1/'Scheduled Intervals'!AC16,0),2),0)</f>
        <v>0</v>
      </c>
      <c r="AD16" s="246">
        <f>IF('Scheduled Intervals'!AD16&gt;0,ROUND(('Hours Per Job'!AD16*'Total Cost for Plan'!$B$36+'Parts Cost Per Job'!AD16*((1+'Total Cost for Plan'!$B$37)*'Total Cost for Plan'!$B$38))*ROUNDDOWN($B$1/'Scheduled Intervals'!AD16,0),2),0)</f>
        <v>0</v>
      </c>
      <c r="AE16" s="246">
        <f>IF('Scheduled Intervals'!AE16&gt;0,ROUND(('Hours Per Job'!AE16*'Total Cost for Plan'!$B$36+'Parts Cost Per Job'!AE16*((1+'Total Cost for Plan'!$B$37)*'Total Cost for Plan'!$B$38))*ROUNDDOWN($B$1/'Scheduled Intervals'!AE16,0),2),0)</f>
        <v>90.98</v>
      </c>
      <c r="AF16" s="246">
        <f>IF('Scheduled Intervals'!AF16&gt;0,ROUND(('Hours Per Job'!AF16*'Total Cost for Plan'!$B$36+'Parts Cost Per Job'!AF16*((1+'Total Cost for Plan'!$B$37)*'Total Cost for Plan'!$B$38))*ROUNDDOWN($B$1/'Scheduled Intervals'!AF16,0),2),0)</f>
        <v>0</v>
      </c>
      <c r="AG16" s="246">
        <f>IF('Scheduled Intervals'!AG16&gt;0,ROUND(('Hours Per Job'!AG16*'Total Cost for Plan'!$B$36+'Parts Cost Per Job'!AG16*((1+'Total Cost for Plan'!$B$37)*'Total Cost for Plan'!$B$38))*ROUNDDOWN($B$1/'Scheduled Intervals'!AG16,0),2),0)</f>
        <v>0</v>
      </c>
      <c r="AH16" s="246">
        <f>IF('Scheduled Intervals'!AH16&gt;0,ROUND(('Hours Per Job'!AH16*'Total Cost for Plan'!$B$36+'Parts Cost Per Job'!AH16*((1+'Total Cost for Plan'!$B$37)*'Total Cost for Plan'!$B$38))*ROUNDDOWN($B$1/'Scheduled Intervals'!AH16,0),2),0)</f>
        <v>0</v>
      </c>
      <c r="AI16" s="246">
        <f>IF('Scheduled Intervals'!AI16&gt;0,ROUND(('Hours Per Job'!AI16*'Total Cost for Plan'!$B$36+'Parts Cost Per Job'!AI16*((1+'Total Cost for Plan'!$B$37)*'Total Cost for Plan'!$B$38))*ROUNDDOWN($B$1/'Scheduled Intervals'!AI16,0),2),0)</f>
        <v>0</v>
      </c>
      <c r="AJ16" s="246">
        <f>IF('Scheduled Intervals'!AJ16&gt;0,ROUND(('Hours Per Job'!AJ16*'Total Cost for Plan'!$B$36+'Parts Cost Per Job'!AJ16*((1+'Total Cost for Plan'!$B$37)*'Total Cost for Plan'!$B$38))*ROUNDDOWN($B$1/'Scheduled Intervals'!AJ16,0),2),0)</f>
        <v>0</v>
      </c>
      <c r="AK16" s="246">
        <f>IF('Scheduled Intervals'!AK16&gt;0,ROUND(('Hours Per Job'!AK16*'Total Cost for Plan'!$B$36+'Parts Cost Per Job'!AK16*((1+'Total Cost for Plan'!$B$37)*'Total Cost for Plan'!$B$38))*ROUNDDOWN($B$1/'Scheduled Intervals'!AK16,0),2),0)</f>
        <v>0</v>
      </c>
      <c r="AL16" s="246">
        <f>IF('Scheduled Intervals'!AL16&gt;0,ROUND(('Hours Per Job'!AL16*'Total Cost for Plan'!$B$36+'Parts Cost Per Job'!AL16*((1+'Total Cost for Plan'!$B$37)*'Total Cost for Plan'!$B$38))*ROUNDDOWN($B$1/'Scheduled Intervals'!AL16,0),2),0)</f>
        <v>0</v>
      </c>
      <c r="AM16" s="246">
        <f>IF('Scheduled Intervals'!AM16&gt;0,ROUND(('Hours Per Job'!AM16*'Total Cost for Plan'!$B$36+'Parts Cost Per Job'!AM16*((1+'Total Cost for Plan'!$B$37)*'Total Cost for Plan'!$B$38))*ROUNDDOWN($B$1/'Scheduled Intervals'!AM16,0),2),0)</f>
        <v>0</v>
      </c>
      <c r="AN16" s="246">
        <f>IF('Scheduled Intervals'!AN16&gt;0,ROUND(('Hours Per Job'!AN16*'Total Cost for Plan'!$B$36+'Parts Cost Per Job'!AN16*((1+'Total Cost for Plan'!$B$37)*'Total Cost for Plan'!$B$38))*ROUNDDOWN($B$1/'Scheduled Intervals'!AN16,0),2),0)</f>
        <v>0</v>
      </c>
      <c r="AO16" s="246">
        <f>IF('Scheduled Intervals'!AO16&gt;0,ROUND(('Hours Per Job'!AO16*'Total Cost for Plan'!$B$36+'Parts Cost Per Job'!AO16*((1+'Total Cost for Plan'!$B$37)*'Total Cost for Plan'!$B$38))*ROUNDDOWN($B$1/'Scheduled Intervals'!AO16,0),2),0)</f>
        <v>0</v>
      </c>
      <c r="AP16" s="246">
        <f>IF('Scheduled Intervals'!AP16&gt;0,ROUND(('Hours Per Job'!AP16*'Total Cost for Plan'!$B$36+'Parts Cost Per Job'!AP16*((1+'Total Cost for Plan'!$B$37)*'Total Cost for Plan'!$B$38))*ROUNDDOWN($B$1/'Scheduled Intervals'!AP16,0),2),0)</f>
        <v>0</v>
      </c>
      <c r="AQ16" s="246">
        <f>IF('Scheduled Intervals'!AQ16&gt;0,ROUND(('Hours Per Job'!AQ16*'Total Cost for Plan'!$B$36+'Parts Cost Per Job'!AQ16*((1+'Total Cost for Plan'!$B$37)*'Total Cost for Plan'!$B$38))*ROUNDDOWN($B$1/'Scheduled Intervals'!AQ16,0),2),0)</f>
        <v>0</v>
      </c>
      <c r="AR16" s="246">
        <f>IF('Scheduled Intervals'!AR16&gt;0,ROUND(('Hours Per Job'!AR16*'Total Cost for Plan'!$B$36+'Parts Cost Per Job'!AR16*((1+'Total Cost for Plan'!$B$37)*'Total Cost for Plan'!$B$38))*ROUNDDOWN($B$1/'Scheduled Intervals'!AR16,0),2),0)</f>
        <v>0</v>
      </c>
      <c r="AS16" s="246">
        <f>IF('Scheduled Intervals'!AS16&gt;0,ROUND(('Hours Per Job'!AS16*'Total Cost for Plan'!$B$36+'Parts Cost Per Job'!AS16*((1+'Total Cost for Plan'!$B$37)*'Total Cost for Plan'!$B$38))*ROUNDDOWN($B$1/'Scheduled Intervals'!AS16,0),2),0)</f>
        <v>0</v>
      </c>
      <c r="AT16" s="246">
        <f>IF('Scheduled Intervals'!AT16&gt;0,ROUND(('Hours Per Job'!AT16*'Total Cost for Plan'!$B$36+'Parts Cost Per Job'!AT16*((1+'Total Cost for Plan'!$B$37)*'Total Cost for Plan'!$B$38))*ROUNDDOWN($B$1/'Scheduled Intervals'!AT16,0),2),0)</f>
        <v>35.07</v>
      </c>
      <c r="AU16" s="246">
        <f>IF('Scheduled Intervals'!AU16&gt;0,ROUND(('Hours Per Job'!AU16*'Total Cost for Plan'!$B$36+'Parts Cost Per Job'!AU16*((1+'Total Cost for Plan'!$B$37)*'Total Cost for Plan'!$B$38))*ROUNDDOWN($B$1/'Scheduled Intervals'!AU16,0),2),0)</f>
        <v>0</v>
      </c>
      <c r="AV16" s="246">
        <f>IF('Scheduled Intervals'!AV16&gt;0,ROUND(('Hours Per Job'!AV16*'Total Cost for Plan'!$B$36+'Parts Cost Per Job'!AV16*((1+'Total Cost for Plan'!$B$37)*'Total Cost for Plan'!$B$38))*ROUNDDOWN($B$1/'Scheduled Intervals'!AV16,0),2),0)</f>
        <v>0</v>
      </c>
      <c r="AW16" s="246">
        <f>IF('Scheduled Intervals'!AW16&gt;0,ROUND(('Hours Per Job'!AW16*'Total Cost for Plan'!$B$36+'Parts Cost Per Job'!AW16*((1+'Total Cost for Plan'!$B$37)*'Total Cost for Plan'!$B$38))*ROUNDDOWN($B$1/'Scheduled Intervals'!AW16,0),2),0)</f>
        <v>0</v>
      </c>
      <c r="AX16" s="246">
        <f>IF('Scheduled Intervals'!AX16&gt;0,ROUND(('Hours Per Job'!AX16*'Total Cost for Plan'!$B$36+'Parts Cost Per Job'!AX16*((1+'Total Cost for Plan'!$B$37)*'Total Cost for Plan'!$B$38))*ROUNDDOWN($B$1/'Scheduled Intervals'!AX16,0),2),0)</f>
        <v>0</v>
      </c>
      <c r="AY16" s="246">
        <f>IF('Scheduled Intervals'!AY16&gt;0,ROUND(('Hours Per Job'!AY16*'Total Cost for Plan'!$B$36+'Parts Cost Per Job'!AY16*((1+'Total Cost for Plan'!$B$37)*'Total Cost for Plan'!$B$38))*ROUNDDOWN($B$1/'Scheduled Intervals'!AY16,0),2),0)</f>
        <v>0</v>
      </c>
      <c r="AZ16" s="246">
        <f>IF('Scheduled Intervals'!AZ16&gt;0,ROUND(('Hours Per Job'!AZ16*'Total Cost for Plan'!$B$36+'Parts Cost Per Job'!AZ16*((1+'Total Cost for Plan'!$B$37)*'Total Cost for Plan'!$B$38))*ROUNDDOWN($B$1/'Scheduled Intervals'!AZ16,0),2),0)</f>
        <v>0</v>
      </c>
      <c r="BA16" s="246">
        <f>IF('Scheduled Intervals'!BA16&gt;0,ROUND(('Hours Per Job'!BA16*'Total Cost for Plan'!$B$36+'Parts Cost Per Job'!BA16*((1+'Total Cost for Plan'!$B$37)*'Total Cost for Plan'!$B$38))*ROUNDDOWN($B$1/'Scheduled Intervals'!BA16,0),2),0)</f>
        <v>0</v>
      </c>
      <c r="BB16" s="246">
        <f>IF('Scheduled Intervals'!BB16&gt;0,ROUND(('Hours Per Job'!BB16*'Total Cost for Plan'!$B$36+'Parts Cost Per Job'!BB16*((1+'Total Cost for Plan'!$B$37)*'Total Cost for Plan'!$B$38))*ROUNDDOWN($B$1/'Scheduled Intervals'!BB16,0),2),0)</f>
        <v>0</v>
      </c>
      <c r="BC16" s="246">
        <f>IF('Scheduled Intervals'!BC16&gt;0,ROUND(('Hours Per Job'!BC16*'Total Cost for Plan'!$B$36+'Parts Cost Per Job'!BC16*((1+'Total Cost for Plan'!$B$37)*'Total Cost for Plan'!$B$38))*ROUNDDOWN($B$1/'Scheduled Intervals'!BC16,0),2),0)</f>
        <v>0</v>
      </c>
      <c r="BD16" s="246">
        <f>IF('Scheduled Intervals'!BD16&gt;0,ROUND(('Hours Per Job'!BD16*'Total Cost for Plan'!$B$36+'Parts Cost Per Job'!BD16*((1+'Total Cost for Plan'!$B$37)*'Total Cost for Plan'!$B$38))*ROUNDDOWN($B$1/'Scheduled Intervals'!BD16,0),2),0)</f>
        <v>0</v>
      </c>
      <c r="BE16" s="246">
        <f>IF('Scheduled Intervals'!BE16&gt;0,ROUND(('Hours Per Job'!BE16*'Total Cost for Plan'!$B$36+'Parts Cost Per Job'!BE16*((1+'Total Cost for Plan'!$B$37)*'Total Cost for Plan'!$B$38))*ROUNDDOWN($B$1/'Scheduled Intervals'!BE16,0),2),0)</f>
        <v>0</v>
      </c>
      <c r="BF16" s="246">
        <f>IF('Scheduled Intervals'!BF16&gt;0,ROUND(('Hours Per Job'!BF16*'Total Cost for Plan'!$B$36+'Parts Cost Per Job'!BF16*((1+'Total Cost for Plan'!$B$37)*'Total Cost for Plan'!$B$38))*ROUNDDOWN($B$1/'Scheduled Intervals'!BF16,0),2),0)</f>
        <v>0</v>
      </c>
      <c r="BG16" s="246">
        <f>IF('Scheduled Intervals'!BG16&gt;0,ROUND(('Hours Per Job'!BG16*'Total Cost for Plan'!$B$36+'Parts Cost Per Job'!BG16*((1+'Total Cost for Plan'!$B$37)*'Total Cost for Plan'!$B$38))*ROUNDDOWN($B$1/'Scheduled Intervals'!BG16,0),2),0)</f>
        <v>0</v>
      </c>
      <c r="BH16" s="246">
        <f>IF('Scheduled Intervals'!BH16&gt;0,ROUND(('Hours Per Job'!BH16*'Total Cost for Plan'!$B$36+'Parts Cost Per Job'!BH16*((1+'Total Cost for Plan'!$B$37)*'Total Cost for Plan'!$B$38))*ROUNDDOWN($B$1/'Scheduled Intervals'!BH16,0),2),0)</f>
        <v>0</v>
      </c>
      <c r="BI16" s="246">
        <f>IF('Scheduled Intervals'!BI16&gt;0,ROUND(('Hours Per Job'!BI16*'Total Cost for Plan'!$B$36+'Parts Cost Per Job'!BI16*((1+'Total Cost for Plan'!$B$37)*'Total Cost for Plan'!$B$38))*ROUNDDOWN($B$1/'Scheduled Intervals'!BI16,0),2),0)</f>
        <v>0</v>
      </c>
      <c r="BJ16" s="246">
        <f>IF('Scheduled Intervals'!BJ16&gt;0,ROUND(('Hours Per Job'!BJ16*'Total Cost for Plan'!$B$36+'Parts Cost Per Job'!BJ16*((1+'Total Cost for Plan'!$B$37)*'Total Cost for Plan'!$B$38))*ROUNDDOWN($B$1/'Scheduled Intervals'!BJ16,0),2),0)</f>
        <v>30</v>
      </c>
      <c r="BK16" s="246">
        <f>IF('Scheduled Intervals'!BK16&gt;0,ROUND(('Hours Per Job'!BK16*'Total Cost for Plan'!$B$36+'Parts Cost Per Job'!BK16*((1+'Total Cost for Plan'!$B$37)*'Total Cost for Plan'!$B$38))*ROUNDDOWN($B$1/'Scheduled Intervals'!BK16,0),2),0)</f>
        <v>0</v>
      </c>
      <c r="BL16" s="246">
        <f>IF('Scheduled Intervals'!BL16&gt;0,ROUND(('Hours Per Job'!BL16*'Total Cost for Plan'!$B$36+'Parts Cost Per Job'!BL16*((1+'Total Cost for Plan'!$B$37)*'Total Cost for Plan'!$B$38))*ROUNDDOWN($B$1/'Scheduled Intervals'!BL16,0),2),0)</f>
        <v>0</v>
      </c>
      <c r="BM16" s="246">
        <f>IF('Scheduled Intervals'!BM16&gt;0,ROUND(('Hours Per Job'!BM16*'Total Cost for Plan'!$B$36+'Parts Cost Per Job'!BM16*((1+'Total Cost for Plan'!$B$37)*'Total Cost for Plan'!$B$38))*ROUNDDOWN($B$1/'Scheduled Intervals'!BM16,0),2),0)</f>
        <v>0</v>
      </c>
      <c r="BN16" s="246">
        <f>IF(AND('Scheduled Intervals'!BN$4="annual",'Plan Summary'!$C$5&lt;'Scheduled Intervals'!$U16*('Plan Summary'!$C$9/12)),ROUND(('Hours Per Job'!BN16*'Total Cost for Plan'!$B$36+'Parts Cost Per Job'!BN16*((1+'Total Cost for Plan'!$B$37)*'Total Cost for Plan'!$B$38))*ROUND('Plan Summary'!$C$9/12,0),2),0)</f>
        <v>427.3</v>
      </c>
      <c r="BO16" s="246">
        <f>IF(AND('Scheduled Intervals'!BO$4="annual",'Plan Summary'!$C$5&lt;'Scheduled Intervals'!$U16*('Plan Summary'!$C$9/12)),ROUND(('Hours Per Job'!BO16*'Total Cost for Plan'!$B$36+'Parts Cost Per Job'!BO16*((1+'Total Cost for Plan'!$B$37)*'Total Cost for Plan'!$B$38))*ROUND('Plan Summary'!$C$9/12,0),2),0)</f>
        <v>175.33</v>
      </c>
      <c r="BP16" s="246">
        <f>IF(AND('Scheduled Intervals'!BP$4="annual",'Plan Summary'!$C$5&lt;'Scheduled Intervals'!$U16*('Plan Summary'!$C$9/12)),ROUND(('Hours Per Job'!BP16*'Total Cost for Plan'!$B$36+'Parts Cost Per Job'!BP16*((1+'Total Cost for Plan'!$B$37)*'Total Cost for Plan'!$B$38))*ROUND('Plan Summary'!$C$9/12,0),2),0)</f>
        <v>630</v>
      </c>
      <c r="BQ16" s="246">
        <f t="shared" si="0"/>
        <v>2213.13</v>
      </c>
      <c r="BR16" s="246"/>
    </row>
    <row r="17" spans="1:70" ht="16" x14ac:dyDescent="0.2">
      <c r="A17" s="18" t="str">
        <f>+'Scheduled Intervals'!A17</f>
        <v>Mahindra 1600 Series</v>
      </c>
      <c r="B17" s="246">
        <f>ROUND(('Hours Per Job'!B17*'Total Cost for Plan'!$B$36+'Parts Cost Per Job'!B17*((1+'Total Cost for Plan'!$B$37)*'Total Cost for Plan'!$B$38)),2)</f>
        <v>86.77</v>
      </c>
      <c r="C17" s="246">
        <f>ROUND(('Hours Per Job'!C17*'Total Cost for Plan'!$B$36+'Parts Cost Per Job'!C17*((1+'Total Cost for Plan'!$B$37)*'Total Cost for Plan'!$B$38)),2)</f>
        <v>12</v>
      </c>
      <c r="D17" s="246">
        <f>ROUND(('Hours Per Job'!D17*'Total Cost for Plan'!$B$36+'Parts Cost Per Job'!D17*((1+'Total Cost for Plan'!$B$37)*'Total Cost for Plan'!$B$38)),2)</f>
        <v>0</v>
      </c>
      <c r="E17" s="246">
        <f>ROUND(('Hours Per Job'!E17*'Total Cost for Plan'!$B$36+'Parts Cost Per Job'!E17*((1+'Total Cost for Plan'!$B$37)*'Total Cost for Plan'!$B$38)),2)</f>
        <v>400.37</v>
      </c>
      <c r="F17" s="246">
        <f>ROUND(('Hours Per Job'!F17*'Total Cost for Plan'!$B$36+'Parts Cost Per Job'!F17*((1+'Total Cost for Plan'!$B$37)*'Total Cost for Plan'!$B$38)),2)</f>
        <v>103.99</v>
      </c>
      <c r="G17" s="246">
        <f>ROUND(('Hours Per Job'!G17*'Total Cost for Plan'!$B$36+'Parts Cost Per Job'!G17*((1+'Total Cost for Plan'!$B$37)*'Total Cost for Plan'!$B$38)),2)</f>
        <v>0</v>
      </c>
      <c r="H17" s="246">
        <f>ROUND(('Hours Per Job'!H17*'Total Cost for Plan'!$B$36+'Parts Cost Per Job'!H17*((1+'Total Cost for Plan'!$B$37)*'Total Cost for Plan'!$B$38)),2)</f>
        <v>35.07</v>
      </c>
      <c r="I17" s="246">
        <f>ROUND(('Hours Per Job'!I17*'Total Cost for Plan'!$B$36+'Parts Cost Per Job'!I17*((1+'Total Cost for Plan'!$B$37)*'Total Cost for Plan'!$B$38)),2)</f>
        <v>30</v>
      </c>
      <c r="J17" s="246">
        <f>ROUND(('Hours Per Job'!J17*'Total Cost for Plan'!$B$36+'Parts Cost Per Job'!J17*((1+'Total Cost for Plan'!$B$37)*'Total Cost for Plan'!$B$38)),2)</f>
        <v>0</v>
      </c>
      <c r="K17" s="246">
        <f>ROUND(('Hours Per Job'!K17*'Total Cost for Plan'!$B$36+'Parts Cost Per Job'!K17*((1+'Total Cost for Plan'!$B$37)*'Total Cost for Plan'!$B$38)),2)</f>
        <v>109.93</v>
      </c>
      <c r="L17" s="246">
        <f>ROUND(('Hours Per Job'!L17*'Total Cost for Plan'!$B$36+'Parts Cost Per Job'!L17*((1+'Total Cost for Plan'!$B$37)*'Total Cost for Plan'!$B$38)),2)</f>
        <v>165.21</v>
      </c>
      <c r="M17" s="246">
        <f>ROUND(('Hours Per Job'!M17*'Total Cost for Plan'!$B$36+'Parts Cost Per Job'!M17*((1+'Total Cost for Plan'!$B$37)*'Total Cost for Plan'!$B$38)),2)</f>
        <v>0</v>
      </c>
      <c r="N17" s="246">
        <f>ROUND(('Hours Per Job'!N17*'Total Cost for Plan'!$B$36+'Parts Cost Per Job'!N17*((1+'Total Cost for Plan'!$B$37)*'Total Cost for Plan'!$B$38)),2)</f>
        <v>0</v>
      </c>
      <c r="O17" s="246">
        <f>ROUND(('Hours Per Job'!O17*'Total Cost for Plan'!$B$36+'Parts Cost Per Job'!O17*((1+'Total Cost for Plan'!$B$37)*'Total Cost for Plan'!$B$38)),2)</f>
        <v>0</v>
      </c>
      <c r="P17" s="246">
        <f>ROUND(('Hours Per Job'!P17*'Total Cost for Plan'!$B$36+'Parts Cost Per Job'!P17*((1+'Total Cost for Plan'!$B$37)*'Total Cost for Plan'!$B$38)),2)</f>
        <v>0</v>
      </c>
      <c r="Q17" s="246">
        <f>ROUND(('Hours Per Job'!Q17*'Total Cost for Plan'!$B$36+'Parts Cost Per Job'!Q17*((1+'Total Cost for Plan'!$B$37)*'Total Cost for Plan'!$B$38)),2)</f>
        <v>0</v>
      </c>
      <c r="R17" s="246">
        <f>ROUND(('Hours Per Job'!R17*'Total Cost for Plan'!$B$36+'Parts Cost Per Job'!R17*((1+'Total Cost for Plan'!$B$37)*'Total Cost for Plan'!$B$38)),2)</f>
        <v>0</v>
      </c>
      <c r="S17" s="246">
        <f>ROUND(('Hours Per Job'!S17*'Total Cost for Plan'!$B$36+'Parts Cost Per Job'!S17*((1+'Total Cost for Plan'!$B$37)*'Total Cost for Plan'!$B$38)),2)</f>
        <v>0</v>
      </c>
      <c r="T17" s="246">
        <f>ROUND(('Hours Per Job'!T17*'Total Cost for Plan'!$B$36+'Parts Cost Per Job'!T17*((1+'Total Cost for Plan'!$B$37)*'Total Cost for Plan'!$B$38)),2)</f>
        <v>0</v>
      </c>
      <c r="U17" s="246">
        <f>IF('Scheduled Intervals'!U17&gt;0,ROUND(('Hours Per Job'!U17*'Total Cost for Plan'!$B$36+'Parts Cost Per Job'!U17*((1+'Total Cost for Plan'!$B$37)*'Total Cost for Plan'!$B$38))*ROUNDDOWN($B$1/'Scheduled Intervals'!U17,0),2),0)</f>
        <v>260.32</v>
      </c>
      <c r="V17" s="246">
        <f>IF('Scheduled Intervals'!V17&gt;0,ROUND(('Hours Per Job'!V17*'Total Cost for Plan'!$B$36+'Parts Cost Per Job'!V17*((1+'Total Cost for Plan'!$B$37)*'Total Cost for Plan'!$B$38))*ROUNDDOWN($B$1/'Scheduled Intervals'!V17,0),2),0)</f>
        <v>0</v>
      </c>
      <c r="W17" s="246">
        <f>IF('Scheduled Intervals'!W17&gt;0,ROUND(('Hours Per Job'!W17*'Total Cost for Plan'!$B$36+'Parts Cost Per Job'!W17*((1+'Total Cost for Plan'!$B$37)*'Total Cost for Plan'!$B$38))*ROUNDDOWN($B$1/'Scheduled Intervals'!W17,0),2),0)</f>
        <v>36</v>
      </c>
      <c r="X17" s="246">
        <f>IF('Scheduled Intervals'!X17&gt;0,ROUND(('Hours Per Job'!X17*'Total Cost for Plan'!$B$36+'Parts Cost Per Job'!X17*((1+'Total Cost for Plan'!$B$37)*'Total Cost for Plan'!$B$38))*ROUNDDOWN($B$1/'Scheduled Intervals'!X17,0),2),0)</f>
        <v>0</v>
      </c>
      <c r="Y17" s="246">
        <f>IF('Scheduled Intervals'!Y17&gt;0,ROUND(('Hours Per Job'!Y17*'Total Cost for Plan'!$B$36+'Parts Cost Per Job'!Y17*((1+'Total Cost for Plan'!$B$37)*'Total Cost for Plan'!$B$38))*ROUNDDOWN($B$1/'Scheduled Intervals'!Y17,0),2),0)</f>
        <v>0</v>
      </c>
      <c r="Z17" s="246">
        <f>IF('Scheduled Intervals'!Z17&gt;0,ROUND(('Hours Per Job'!Z17*'Total Cost for Plan'!$B$36+'Parts Cost Per Job'!Z17*((1+'Total Cost for Plan'!$B$37)*'Total Cost for Plan'!$B$38))*ROUNDDOWN($B$1/'Scheduled Intervals'!Z17,0),2),0)</f>
        <v>329.8</v>
      </c>
      <c r="AA17" s="246">
        <f>IF('Scheduled Intervals'!AA17&gt;0,ROUND(('Hours Per Job'!AA17*'Total Cost for Plan'!$B$36+'Parts Cost Per Job'!AA17*((1+'Total Cost for Plan'!$B$37)*'Total Cost for Plan'!$B$38))*ROUNDDOWN($B$1/'Scheduled Intervals'!AA17,0),2),0)</f>
        <v>0</v>
      </c>
      <c r="AB17" s="246">
        <f>IF('Scheduled Intervals'!AB17&gt;0,ROUND(('Hours Per Job'!AB17*'Total Cost for Plan'!$B$36+'Parts Cost Per Job'!AB17*((1+'Total Cost for Plan'!$B$37)*'Total Cost for Plan'!$B$38))*ROUNDDOWN($B$1/'Scheduled Intervals'!AB17,0),2),0)</f>
        <v>400.37</v>
      </c>
      <c r="AC17" s="246">
        <f>IF('Scheduled Intervals'!AC17&gt;0,ROUND(('Hours Per Job'!AC17*'Total Cost for Plan'!$B$36+'Parts Cost Per Job'!AC17*((1+'Total Cost for Plan'!$B$37)*'Total Cost for Plan'!$B$38))*ROUNDDOWN($B$1/'Scheduled Intervals'!AC17,0),2),0)</f>
        <v>0</v>
      </c>
      <c r="AD17" s="246">
        <f>IF('Scheduled Intervals'!AD17&gt;0,ROUND(('Hours Per Job'!AD17*'Total Cost for Plan'!$B$36+'Parts Cost Per Job'!AD17*((1+'Total Cost for Plan'!$B$37)*'Total Cost for Plan'!$B$38))*ROUNDDOWN($B$1/'Scheduled Intervals'!AD17,0),2),0)</f>
        <v>0</v>
      </c>
      <c r="AE17" s="246">
        <f>IF('Scheduled Intervals'!AE17&gt;0,ROUND(('Hours Per Job'!AE17*'Total Cost for Plan'!$B$36+'Parts Cost Per Job'!AE17*((1+'Total Cost for Plan'!$B$37)*'Total Cost for Plan'!$B$38))*ROUNDDOWN($B$1/'Scheduled Intervals'!AE17,0),2),0)</f>
        <v>103.99</v>
      </c>
      <c r="AF17" s="246">
        <f>IF('Scheduled Intervals'!AF17&gt;0,ROUND(('Hours Per Job'!AF17*'Total Cost for Plan'!$B$36+'Parts Cost Per Job'!AF17*((1+'Total Cost for Plan'!$B$37)*'Total Cost for Plan'!$B$38))*ROUNDDOWN($B$1/'Scheduled Intervals'!AF17,0),2),0)</f>
        <v>0</v>
      </c>
      <c r="AG17" s="246">
        <f>IF('Scheduled Intervals'!AG17&gt;0,ROUND(('Hours Per Job'!AG17*'Total Cost for Plan'!$B$36+'Parts Cost Per Job'!AG17*((1+'Total Cost for Plan'!$B$37)*'Total Cost for Plan'!$B$38))*ROUNDDOWN($B$1/'Scheduled Intervals'!AG17,0),2),0)</f>
        <v>0</v>
      </c>
      <c r="AH17" s="246">
        <f>IF('Scheduled Intervals'!AH17&gt;0,ROUND(('Hours Per Job'!AH17*'Total Cost for Plan'!$B$36+'Parts Cost Per Job'!AH17*((1+'Total Cost for Plan'!$B$37)*'Total Cost for Plan'!$B$38))*ROUNDDOWN($B$1/'Scheduled Intervals'!AH17,0),2),0)</f>
        <v>0</v>
      </c>
      <c r="AI17" s="246">
        <f>IF('Scheduled Intervals'!AI17&gt;0,ROUND(('Hours Per Job'!AI17*'Total Cost for Plan'!$B$36+'Parts Cost Per Job'!AI17*((1+'Total Cost for Plan'!$B$37)*'Total Cost for Plan'!$B$38))*ROUNDDOWN($B$1/'Scheduled Intervals'!AI17,0),2),0)</f>
        <v>0</v>
      </c>
      <c r="AJ17" s="246">
        <f>IF('Scheduled Intervals'!AJ17&gt;0,ROUND(('Hours Per Job'!AJ17*'Total Cost for Plan'!$B$36+'Parts Cost Per Job'!AJ17*((1+'Total Cost for Plan'!$B$37)*'Total Cost for Plan'!$B$38))*ROUNDDOWN($B$1/'Scheduled Intervals'!AJ17,0),2),0)</f>
        <v>0</v>
      </c>
      <c r="AK17" s="246">
        <f>IF('Scheduled Intervals'!AK17&gt;0,ROUND(('Hours Per Job'!AK17*'Total Cost for Plan'!$B$36+'Parts Cost Per Job'!AK17*((1+'Total Cost for Plan'!$B$37)*'Total Cost for Plan'!$B$38))*ROUNDDOWN($B$1/'Scheduled Intervals'!AK17,0),2),0)</f>
        <v>0</v>
      </c>
      <c r="AL17" s="246">
        <f>IF('Scheduled Intervals'!AL17&gt;0,ROUND(('Hours Per Job'!AL17*'Total Cost for Plan'!$B$36+'Parts Cost Per Job'!AL17*((1+'Total Cost for Plan'!$B$37)*'Total Cost for Plan'!$B$38))*ROUNDDOWN($B$1/'Scheduled Intervals'!AL17,0),2),0)</f>
        <v>0</v>
      </c>
      <c r="AM17" s="246">
        <f>IF('Scheduled Intervals'!AM17&gt;0,ROUND(('Hours Per Job'!AM17*'Total Cost for Plan'!$B$36+'Parts Cost Per Job'!AM17*((1+'Total Cost for Plan'!$B$37)*'Total Cost for Plan'!$B$38))*ROUNDDOWN($B$1/'Scheduled Intervals'!AM17,0),2),0)</f>
        <v>0</v>
      </c>
      <c r="AN17" s="246">
        <f>IF('Scheduled Intervals'!AN17&gt;0,ROUND(('Hours Per Job'!AN17*'Total Cost for Plan'!$B$36+'Parts Cost Per Job'!AN17*((1+'Total Cost for Plan'!$B$37)*'Total Cost for Plan'!$B$38))*ROUNDDOWN($B$1/'Scheduled Intervals'!AN17,0),2),0)</f>
        <v>0</v>
      </c>
      <c r="AO17" s="246">
        <f>IF('Scheduled Intervals'!AO17&gt;0,ROUND(('Hours Per Job'!AO17*'Total Cost for Plan'!$B$36+'Parts Cost Per Job'!AO17*((1+'Total Cost for Plan'!$B$37)*'Total Cost for Plan'!$B$38))*ROUNDDOWN($B$1/'Scheduled Intervals'!AO17,0),2),0)</f>
        <v>0</v>
      </c>
      <c r="AP17" s="246">
        <f>IF('Scheduled Intervals'!AP17&gt;0,ROUND(('Hours Per Job'!AP17*'Total Cost for Plan'!$B$36+'Parts Cost Per Job'!AP17*((1+'Total Cost for Plan'!$B$37)*'Total Cost for Plan'!$B$38))*ROUNDDOWN($B$1/'Scheduled Intervals'!AP17,0),2),0)</f>
        <v>0</v>
      </c>
      <c r="AQ17" s="246">
        <f>IF('Scheduled Intervals'!AQ17&gt;0,ROUND(('Hours Per Job'!AQ17*'Total Cost for Plan'!$B$36+'Parts Cost Per Job'!AQ17*((1+'Total Cost for Plan'!$B$37)*'Total Cost for Plan'!$B$38))*ROUNDDOWN($B$1/'Scheduled Intervals'!AQ17,0),2),0)</f>
        <v>0</v>
      </c>
      <c r="AR17" s="246">
        <f>IF('Scheduled Intervals'!AR17&gt;0,ROUND(('Hours Per Job'!AR17*'Total Cost for Plan'!$B$36+'Parts Cost Per Job'!AR17*((1+'Total Cost for Plan'!$B$37)*'Total Cost for Plan'!$B$38))*ROUNDDOWN($B$1/'Scheduled Intervals'!AR17,0),2),0)</f>
        <v>0</v>
      </c>
      <c r="AS17" s="246">
        <f>IF('Scheduled Intervals'!AS17&gt;0,ROUND(('Hours Per Job'!AS17*'Total Cost for Plan'!$B$36+'Parts Cost Per Job'!AS17*((1+'Total Cost for Plan'!$B$37)*'Total Cost for Plan'!$B$38))*ROUNDDOWN($B$1/'Scheduled Intervals'!AS17,0),2),0)</f>
        <v>0</v>
      </c>
      <c r="AT17" s="246">
        <f>IF('Scheduled Intervals'!AT17&gt;0,ROUND(('Hours Per Job'!AT17*'Total Cost for Plan'!$B$36+'Parts Cost Per Job'!AT17*((1+'Total Cost for Plan'!$B$37)*'Total Cost for Plan'!$B$38))*ROUNDDOWN($B$1/'Scheduled Intervals'!AT17,0),2),0)</f>
        <v>105.2</v>
      </c>
      <c r="AU17" s="246">
        <f>IF('Scheduled Intervals'!AU17&gt;0,ROUND(('Hours Per Job'!AU17*'Total Cost for Plan'!$B$36+'Parts Cost Per Job'!AU17*((1+'Total Cost for Plan'!$B$37)*'Total Cost for Plan'!$B$38))*ROUNDDOWN($B$1/'Scheduled Intervals'!AU17,0),2),0)</f>
        <v>0</v>
      </c>
      <c r="AV17" s="246">
        <f>IF('Scheduled Intervals'!AV17&gt;0,ROUND(('Hours Per Job'!AV17*'Total Cost for Plan'!$B$36+'Parts Cost Per Job'!AV17*((1+'Total Cost for Plan'!$B$37)*'Total Cost for Plan'!$B$38))*ROUNDDOWN($B$1/'Scheduled Intervals'!AV17,0),2),0)</f>
        <v>0</v>
      </c>
      <c r="AW17" s="246">
        <f>IF('Scheduled Intervals'!AW17&gt;0,ROUND(('Hours Per Job'!AW17*'Total Cost for Plan'!$B$36+'Parts Cost Per Job'!AW17*((1+'Total Cost for Plan'!$B$37)*'Total Cost for Plan'!$B$38))*ROUNDDOWN($B$1/'Scheduled Intervals'!AW17,0),2),0)</f>
        <v>0</v>
      </c>
      <c r="AX17" s="246">
        <f>IF('Scheduled Intervals'!AX17&gt;0,ROUND(('Hours Per Job'!AX17*'Total Cost for Plan'!$B$36+'Parts Cost Per Job'!AX17*((1+'Total Cost for Plan'!$B$37)*'Total Cost for Plan'!$B$38))*ROUNDDOWN($B$1/'Scheduled Intervals'!AX17,0),2),0)</f>
        <v>0</v>
      </c>
      <c r="AY17" s="246">
        <f>IF('Scheduled Intervals'!AY17&gt;0,ROUND(('Hours Per Job'!AY17*'Total Cost for Plan'!$B$36+'Parts Cost Per Job'!AY17*((1+'Total Cost for Plan'!$B$37)*'Total Cost for Plan'!$B$38))*ROUNDDOWN($B$1/'Scheduled Intervals'!AY17,0),2),0)</f>
        <v>0</v>
      </c>
      <c r="AZ17" s="246">
        <f>IF('Scheduled Intervals'!AZ17&gt;0,ROUND(('Hours Per Job'!AZ17*'Total Cost for Plan'!$B$36+'Parts Cost Per Job'!AZ17*((1+'Total Cost for Plan'!$B$37)*'Total Cost for Plan'!$B$38))*ROUNDDOWN($B$1/'Scheduled Intervals'!AZ17,0),2),0)</f>
        <v>0</v>
      </c>
      <c r="BA17" s="246">
        <f>IF('Scheduled Intervals'!BA17&gt;0,ROUND(('Hours Per Job'!BA17*'Total Cost for Plan'!$B$36+'Parts Cost Per Job'!BA17*((1+'Total Cost for Plan'!$B$37)*'Total Cost for Plan'!$B$38))*ROUNDDOWN($B$1/'Scheduled Intervals'!BA17,0),2),0)</f>
        <v>0</v>
      </c>
      <c r="BB17" s="246">
        <f>IF('Scheduled Intervals'!BB17&gt;0,ROUND(('Hours Per Job'!BB17*'Total Cost for Plan'!$B$36+'Parts Cost Per Job'!BB17*((1+'Total Cost for Plan'!$B$37)*'Total Cost for Plan'!$B$38))*ROUNDDOWN($B$1/'Scheduled Intervals'!BB17,0),2),0)</f>
        <v>62.96</v>
      </c>
      <c r="BC17" s="246">
        <f>IF('Scheduled Intervals'!BC17&gt;0,ROUND(('Hours Per Job'!BC17*'Total Cost for Plan'!$B$36+'Parts Cost Per Job'!BC17*((1+'Total Cost for Plan'!$B$37)*'Total Cost for Plan'!$B$38))*ROUNDDOWN($B$1/'Scheduled Intervals'!BC17,0),2),0)</f>
        <v>0</v>
      </c>
      <c r="BD17" s="246">
        <f>IF('Scheduled Intervals'!BD17&gt;0,ROUND(('Hours Per Job'!BD17*'Total Cost for Plan'!$B$36+'Parts Cost Per Job'!BD17*((1+'Total Cost for Plan'!$B$37)*'Total Cost for Plan'!$B$38))*ROUNDDOWN($B$1/'Scheduled Intervals'!BD17,0),2),0)</f>
        <v>0</v>
      </c>
      <c r="BE17" s="246">
        <f>IF('Scheduled Intervals'!BE17&gt;0,ROUND(('Hours Per Job'!BE17*'Total Cost for Plan'!$B$36+'Parts Cost Per Job'!BE17*((1+'Total Cost for Plan'!$B$37)*'Total Cost for Plan'!$B$38))*ROUNDDOWN($B$1/'Scheduled Intervals'!BE17,0),2),0)</f>
        <v>0</v>
      </c>
      <c r="BF17" s="246">
        <f>IF('Scheduled Intervals'!BF17&gt;0,ROUND(('Hours Per Job'!BF17*'Total Cost for Plan'!$B$36+'Parts Cost Per Job'!BF17*((1+'Total Cost for Plan'!$B$37)*'Total Cost for Plan'!$B$38))*ROUNDDOWN($B$1/'Scheduled Intervals'!BF17,0),2),0)</f>
        <v>0</v>
      </c>
      <c r="BG17" s="246">
        <f>IF('Scheduled Intervals'!BG17&gt;0,ROUND(('Hours Per Job'!BG17*'Total Cost for Plan'!$B$36+'Parts Cost Per Job'!BG17*((1+'Total Cost for Plan'!$B$37)*'Total Cost for Plan'!$B$38))*ROUNDDOWN($B$1/'Scheduled Intervals'!BG17,0),2),0)</f>
        <v>0</v>
      </c>
      <c r="BH17" s="246">
        <f>IF('Scheduled Intervals'!BH17&gt;0,ROUND(('Hours Per Job'!BH17*'Total Cost for Plan'!$B$36+'Parts Cost Per Job'!BH17*((1+'Total Cost for Plan'!$B$37)*'Total Cost for Plan'!$B$38))*ROUNDDOWN($B$1/'Scheduled Intervals'!BH17,0),2),0)</f>
        <v>0</v>
      </c>
      <c r="BI17" s="246">
        <f>IF('Scheduled Intervals'!BI17&gt;0,ROUND(('Hours Per Job'!BI17*'Total Cost for Plan'!$B$36+'Parts Cost Per Job'!BI17*((1+'Total Cost for Plan'!$B$37)*'Total Cost for Plan'!$B$38))*ROUNDDOWN($B$1/'Scheduled Intervals'!BI17,0),2),0)</f>
        <v>0</v>
      </c>
      <c r="BJ17" s="246">
        <f>IF('Scheduled Intervals'!BJ17&gt;0,ROUND(('Hours Per Job'!BJ17*'Total Cost for Plan'!$B$36+'Parts Cost Per Job'!BJ17*((1+'Total Cost for Plan'!$B$37)*'Total Cost for Plan'!$B$38))*ROUNDDOWN($B$1/'Scheduled Intervals'!BJ17,0),2),0)</f>
        <v>90</v>
      </c>
      <c r="BK17" s="246">
        <f>IF('Scheduled Intervals'!BK17&gt;0,ROUND(('Hours Per Job'!BK17*'Total Cost for Plan'!$B$36+'Parts Cost Per Job'!BK17*((1+'Total Cost for Plan'!$B$37)*'Total Cost for Plan'!$B$38))*ROUNDDOWN($B$1/'Scheduled Intervals'!BK17,0),2),0)</f>
        <v>0</v>
      </c>
      <c r="BL17" s="246">
        <f>IF('Scheduled Intervals'!BL17&gt;0,ROUND(('Hours Per Job'!BL17*'Total Cost for Plan'!$B$36+'Parts Cost Per Job'!BL17*((1+'Total Cost for Plan'!$B$37)*'Total Cost for Plan'!$B$38))*ROUNDDOWN($B$1/'Scheduled Intervals'!BL17,0),2),0)</f>
        <v>0</v>
      </c>
      <c r="BM17" s="246">
        <f>IF('Scheduled Intervals'!BM17&gt;0,ROUND(('Hours Per Job'!BM17*'Total Cost for Plan'!$B$36+'Parts Cost Per Job'!BM17*((1+'Total Cost for Plan'!$B$37)*'Total Cost for Plan'!$B$38))*ROUNDDOWN($B$1/'Scheduled Intervals'!BM17,0),2),0)</f>
        <v>0</v>
      </c>
      <c r="BN17" s="246">
        <f>IF(AND('Scheduled Intervals'!BN$4="annual",'Plan Summary'!$C$5&lt;'Scheduled Intervals'!$U17*('Plan Summary'!$C$9/12)),ROUND(('Hours Per Job'!BN17*'Total Cost for Plan'!$B$36+'Parts Cost Per Job'!BN17*((1+'Total Cost for Plan'!$B$37)*'Total Cost for Plan'!$B$38))*ROUND('Plan Summary'!$C$9/12,0),2),0)</f>
        <v>433.87</v>
      </c>
      <c r="BO17" s="246">
        <f>IF(AND('Scheduled Intervals'!BO$4="annual",'Plan Summary'!$C$5&lt;'Scheduled Intervals'!$U17*('Plan Summary'!$C$9/12)),ROUND(('Hours Per Job'!BO17*'Total Cost for Plan'!$B$36+'Parts Cost Per Job'!BO17*((1+'Total Cost for Plan'!$B$37)*'Total Cost for Plan'!$B$38))*ROUND('Plan Summary'!$C$9/12,0),2),0)</f>
        <v>175.33</v>
      </c>
      <c r="BP17" s="246">
        <f>IF(AND('Scheduled Intervals'!BP$4="annual",'Plan Summary'!$C$5&lt;'Scheduled Intervals'!$U17*('Plan Summary'!$C$9/12)),ROUND(('Hours Per Job'!BP17*'Total Cost for Plan'!$B$36+'Parts Cost Per Job'!BP17*((1+'Total Cost for Plan'!$B$37)*'Total Cost for Plan'!$B$38))*ROUND('Plan Summary'!$C$9/12,0),2),0)</f>
        <v>630</v>
      </c>
      <c r="BQ17" s="246">
        <f t="shared" si="0"/>
        <v>3571.1799999999994</v>
      </c>
      <c r="BR17" s="246"/>
    </row>
    <row r="18" spans="1:70" ht="16" x14ac:dyDescent="0.2">
      <c r="A18" s="18" t="str">
        <f>+'Scheduled Intervals'!A18</f>
        <v>Mahindra 4500</v>
      </c>
      <c r="B18" s="246">
        <f>ROUND(('Hours Per Job'!B18*'Total Cost for Plan'!$B$36+'Parts Cost Per Job'!B18*((1+'Total Cost for Plan'!$B$37)*'Total Cost for Plan'!$B$38)),2)</f>
        <v>133.79</v>
      </c>
      <c r="C18" s="246">
        <f>ROUND(('Hours Per Job'!C18*'Total Cost for Plan'!$B$36+'Parts Cost Per Job'!C18*((1+'Total Cost for Plan'!$B$37)*'Total Cost for Plan'!$B$38)),2)</f>
        <v>0</v>
      </c>
      <c r="D18" s="246">
        <f>ROUND(('Hours Per Job'!D18*'Total Cost for Plan'!$B$36+'Parts Cost Per Job'!D18*((1+'Total Cost for Plan'!$B$37)*'Total Cost for Plan'!$B$38)),2)</f>
        <v>0</v>
      </c>
      <c r="E18" s="246">
        <f>ROUND(('Hours Per Job'!E18*'Total Cost for Plan'!$B$36+'Parts Cost Per Job'!E18*((1+'Total Cost for Plan'!$B$37)*'Total Cost for Plan'!$B$38)),2)</f>
        <v>0</v>
      </c>
      <c r="F18" s="246">
        <f>ROUND(('Hours Per Job'!F18*'Total Cost for Plan'!$B$36+'Parts Cost Per Job'!F18*((1+'Total Cost for Plan'!$B$37)*'Total Cost for Plan'!$B$38)),2)</f>
        <v>86.47</v>
      </c>
      <c r="G18" s="246">
        <f>ROUND(('Hours Per Job'!G18*'Total Cost for Plan'!$B$36+'Parts Cost Per Job'!G18*((1+'Total Cost for Plan'!$B$37)*'Total Cost for Plan'!$B$38)),2)</f>
        <v>0</v>
      </c>
      <c r="H18" s="246">
        <f>ROUND(('Hours Per Job'!H18*'Total Cost for Plan'!$B$36+'Parts Cost Per Job'!H18*((1+'Total Cost for Plan'!$B$37)*'Total Cost for Plan'!$B$38)),2)</f>
        <v>35.07</v>
      </c>
      <c r="I18" s="246">
        <f>ROUND(('Hours Per Job'!I18*'Total Cost for Plan'!$B$36+'Parts Cost Per Job'!I18*((1+'Total Cost for Plan'!$B$37)*'Total Cost for Plan'!$B$38)),2)</f>
        <v>30</v>
      </c>
      <c r="J18" s="246">
        <f>ROUND(('Hours Per Job'!J18*'Total Cost for Plan'!$B$36+'Parts Cost Per Job'!J18*((1+'Total Cost for Plan'!$B$37)*'Total Cost for Plan'!$B$38)),2)</f>
        <v>0</v>
      </c>
      <c r="K18" s="246">
        <f>ROUND(('Hours Per Job'!K18*'Total Cost for Plan'!$B$36+'Parts Cost Per Job'!K18*((1+'Total Cost for Plan'!$B$37)*'Total Cost for Plan'!$B$38)),2)</f>
        <v>0</v>
      </c>
      <c r="L18" s="246">
        <f>ROUND(('Hours Per Job'!L18*'Total Cost for Plan'!$B$36+'Parts Cost Per Job'!L18*((1+'Total Cost for Plan'!$B$37)*'Total Cost for Plan'!$B$38)),2)</f>
        <v>0</v>
      </c>
      <c r="M18" s="246">
        <f>ROUND(('Hours Per Job'!M18*'Total Cost for Plan'!$B$36+'Parts Cost Per Job'!M18*((1+'Total Cost for Plan'!$B$37)*'Total Cost for Plan'!$B$38)),2)</f>
        <v>0</v>
      </c>
      <c r="N18" s="246">
        <f>ROUND(('Hours Per Job'!N18*'Total Cost for Plan'!$B$36+'Parts Cost Per Job'!N18*((1+'Total Cost for Plan'!$B$37)*'Total Cost for Plan'!$B$38)),2)</f>
        <v>0</v>
      </c>
      <c r="O18" s="246">
        <f>ROUND(('Hours Per Job'!O18*'Total Cost for Plan'!$B$36+'Parts Cost Per Job'!O18*((1+'Total Cost for Plan'!$B$37)*'Total Cost for Plan'!$B$38)),2)</f>
        <v>0</v>
      </c>
      <c r="P18" s="246">
        <f>ROUND(('Hours Per Job'!P18*'Total Cost for Plan'!$B$36+'Parts Cost Per Job'!P18*((1+'Total Cost for Plan'!$B$37)*'Total Cost for Plan'!$B$38)),2)</f>
        <v>0</v>
      </c>
      <c r="Q18" s="246">
        <f>ROUND(('Hours Per Job'!Q18*'Total Cost for Plan'!$B$36+'Parts Cost Per Job'!Q18*((1+'Total Cost for Plan'!$B$37)*'Total Cost for Plan'!$B$38)),2)</f>
        <v>0</v>
      </c>
      <c r="R18" s="246">
        <f>ROUND(('Hours Per Job'!R18*'Total Cost for Plan'!$B$36+'Parts Cost Per Job'!R18*((1+'Total Cost for Plan'!$B$37)*'Total Cost for Plan'!$B$38)),2)</f>
        <v>0</v>
      </c>
      <c r="S18" s="246">
        <f>ROUND(('Hours Per Job'!S18*'Total Cost for Plan'!$B$36+'Parts Cost Per Job'!S18*((1+'Total Cost for Plan'!$B$37)*'Total Cost for Plan'!$B$38)),2)</f>
        <v>0</v>
      </c>
      <c r="T18" s="246">
        <f>ROUND(('Hours Per Job'!T18*'Total Cost for Plan'!$B$36+'Parts Cost Per Job'!T18*((1+'Total Cost for Plan'!$B$37)*'Total Cost for Plan'!$B$38)),2)</f>
        <v>0</v>
      </c>
      <c r="U18" s="246">
        <f>IF('Scheduled Intervals'!U18&gt;0,ROUND(('Hours Per Job'!U18*'Total Cost for Plan'!$B$36+'Parts Cost Per Job'!U18*((1+'Total Cost for Plan'!$B$37)*'Total Cost for Plan'!$B$38))*ROUNDDOWN($B$1/'Scheduled Intervals'!U18,0),2),0)</f>
        <v>0</v>
      </c>
      <c r="V18" s="246">
        <f>IF('Scheduled Intervals'!V18&gt;0,ROUND(('Hours Per Job'!V18*'Total Cost for Plan'!$B$36+'Parts Cost Per Job'!V18*((1+'Total Cost for Plan'!$B$37)*'Total Cost for Plan'!$B$38))*ROUNDDOWN($B$1/'Scheduled Intervals'!V18,0),2),0)</f>
        <v>0</v>
      </c>
      <c r="W18" s="246">
        <f>IF('Scheduled Intervals'!W18&gt;0,ROUND(('Hours Per Job'!W18*'Total Cost for Plan'!$B$36+'Parts Cost Per Job'!W18*((1+'Total Cost for Plan'!$B$37)*'Total Cost for Plan'!$B$38))*ROUNDDOWN($B$1/'Scheduled Intervals'!W18,0),2),0)</f>
        <v>0</v>
      </c>
      <c r="X18" s="246">
        <f>IF('Scheduled Intervals'!X18&gt;0,ROUND(('Hours Per Job'!X18*'Total Cost for Plan'!$B$36+'Parts Cost Per Job'!X18*((1+'Total Cost for Plan'!$B$37)*'Total Cost for Plan'!$B$38))*ROUNDDOWN($B$1/'Scheduled Intervals'!X18,0),2),0)</f>
        <v>0</v>
      </c>
      <c r="Y18" s="246">
        <f>IF('Scheduled Intervals'!Y18&gt;0,ROUND(('Hours Per Job'!Y18*'Total Cost for Plan'!$B$36+'Parts Cost Per Job'!Y18*((1+'Total Cost for Plan'!$B$37)*'Total Cost for Plan'!$B$38))*ROUNDDOWN($B$1/'Scheduled Intervals'!Y18,0),2),0)</f>
        <v>0</v>
      </c>
      <c r="Z18" s="246">
        <f>IF('Scheduled Intervals'!Z18&gt;0,ROUND(('Hours Per Job'!Z18*'Total Cost for Plan'!$B$36+'Parts Cost Per Job'!Z18*((1+'Total Cost for Plan'!$B$37)*'Total Cost for Plan'!$B$38))*ROUNDDOWN($B$1/'Scheduled Intervals'!Z18,0),2),0)</f>
        <v>76.010000000000005</v>
      </c>
      <c r="AA18" s="246">
        <f>IF('Scheduled Intervals'!AA18&gt;0,ROUND(('Hours Per Job'!AA18*'Total Cost for Plan'!$B$36+'Parts Cost Per Job'!AA18*((1+'Total Cost for Plan'!$B$37)*'Total Cost for Plan'!$B$38))*ROUNDDOWN($B$1/'Scheduled Intervals'!AA18,0),2),0)</f>
        <v>0</v>
      </c>
      <c r="AB18" s="246">
        <f>IF('Scheduled Intervals'!AB18&gt;0,ROUND(('Hours Per Job'!AB18*'Total Cost for Plan'!$B$36+'Parts Cost Per Job'!AB18*((1+'Total Cost for Plan'!$B$37)*'Total Cost for Plan'!$B$38))*ROUNDDOWN($B$1/'Scheduled Intervals'!AB18,0),2),0)</f>
        <v>0</v>
      </c>
      <c r="AC18" s="246">
        <f>IF('Scheduled Intervals'!AC18&gt;0,ROUND(('Hours Per Job'!AC18*'Total Cost for Plan'!$B$36+'Parts Cost Per Job'!AC18*((1+'Total Cost for Plan'!$B$37)*'Total Cost for Plan'!$B$38))*ROUNDDOWN($B$1/'Scheduled Intervals'!AC18,0),2),0)</f>
        <v>0</v>
      </c>
      <c r="AD18" s="246">
        <f>IF('Scheduled Intervals'!AD18&gt;0,ROUND(('Hours Per Job'!AD18*'Total Cost for Plan'!$B$36+'Parts Cost Per Job'!AD18*((1+'Total Cost for Plan'!$B$37)*'Total Cost for Plan'!$B$38))*ROUNDDOWN($B$1/'Scheduled Intervals'!AD18,0),2),0)</f>
        <v>0</v>
      </c>
      <c r="AE18" s="246">
        <f>IF('Scheduled Intervals'!AE18&gt;0,ROUND(('Hours Per Job'!AE18*'Total Cost for Plan'!$B$36+'Parts Cost Per Job'!AE18*((1+'Total Cost for Plan'!$B$37)*'Total Cost for Plan'!$B$38))*ROUNDDOWN($B$1/'Scheduled Intervals'!AE18,0),2),0)</f>
        <v>0</v>
      </c>
      <c r="AF18" s="246">
        <f>IF('Scheduled Intervals'!AF18&gt;0,ROUND(('Hours Per Job'!AF18*'Total Cost for Plan'!$B$36+'Parts Cost Per Job'!AF18*((1+'Total Cost for Plan'!$B$37)*'Total Cost for Plan'!$B$38))*ROUNDDOWN($B$1/'Scheduled Intervals'!AF18,0),2),0)</f>
        <v>0</v>
      </c>
      <c r="AG18" s="246">
        <f>IF('Scheduled Intervals'!AG18&gt;0,ROUND(('Hours Per Job'!AG18*'Total Cost for Plan'!$B$36+'Parts Cost Per Job'!AG18*((1+'Total Cost for Plan'!$B$37)*'Total Cost for Plan'!$B$38))*ROUNDDOWN($B$1/'Scheduled Intervals'!AG18,0),2),0)</f>
        <v>0</v>
      </c>
      <c r="AH18" s="246">
        <f>IF('Scheduled Intervals'!AH18&gt;0,ROUND(('Hours Per Job'!AH18*'Total Cost for Plan'!$B$36+'Parts Cost Per Job'!AH18*((1+'Total Cost for Plan'!$B$37)*'Total Cost for Plan'!$B$38))*ROUNDDOWN($B$1/'Scheduled Intervals'!AH18,0),2),0)</f>
        <v>0</v>
      </c>
      <c r="AI18" s="246">
        <f>IF('Scheduled Intervals'!AI18&gt;0,ROUND(('Hours Per Job'!AI18*'Total Cost for Plan'!$B$36+'Parts Cost Per Job'!AI18*((1+'Total Cost for Plan'!$B$37)*'Total Cost for Plan'!$B$38))*ROUNDDOWN($B$1/'Scheduled Intervals'!AI18,0),2),0)</f>
        <v>0</v>
      </c>
      <c r="AJ18" s="246">
        <f>IF('Scheduled Intervals'!AJ18&gt;0,ROUND(('Hours Per Job'!AJ18*'Total Cost for Plan'!$B$36+'Parts Cost Per Job'!AJ18*((1+'Total Cost for Plan'!$B$37)*'Total Cost for Plan'!$B$38))*ROUNDDOWN($B$1/'Scheduled Intervals'!AJ18,0),2),0)</f>
        <v>0</v>
      </c>
      <c r="AK18" s="246">
        <f>IF('Scheduled Intervals'!AK18&gt;0,ROUND(('Hours Per Job'!AK18*'Total Cost for Plan'!$B$36+'Parts Cost Per Job'!AK18*((1+'Total Cost for Plan'!$B$37)*'Total Cost for Plan'!$B$38))*ROUNDDOWN($B$1/'Scheduled Intervals'!AK18,0),2),0)</f>
        <v>0</v>
      </c>
      <c r="AL18" s="246">
        <f>IF('Scheduled Intervals'!AL18&gt;0,ROUND(('Hours Per Job'!AL18*'Total Cost for Plan'!$B$36+'Parts Cost Per Job'!AL18*((1+'Total Cost for Plan'!$B$37)*'Total Cost for Plan'!$B$38))*ROUNDDOWN($B$1/'Scheduled Intervals'!AL18,0),2),0)</f>
        <v>201.51</v>
      </c>
      <c r="AM18" s="246">
        <f>IF('Scheduled Intervals'!AM18&gt;0,ROUND(('Hours Per Job'!AM18*'Total Cost for Plan'!$B$36+'Parts Cost Per Job'!AM18*((1+'Total Cost for Plan'!$B$37)*'Total Cost for Plan'!$B$38))*ROUNDDOWN($B$1/'Scheduled Intervals'!AM18,0),2),0)</f>
        <v>0</v>
      </c>
      <c r="AN18" s="246">
        <f>IF('Scheduled Intervals'!AN18&gt;0,ROUND(('Hours Per Job'!AN18*'Total Cost for Plan'!$B$36+'Parts Cost Per Job'!AN18*((1+'Total Cost for Plan'!$B$37)*'Total Cost for Plan'!$B$38))*ROUNDDOWN($B$1/'Scheduled Intervals'!AN18,0),2),0)</f>
        <v>0</v>
      </c>
      <c r="AO18" s="246">
        <f>IF('Scheduled Intervals'!AO18&gt;0,ROUND(('Hours Per Job'!AO18*'Total Cost for Plan'!$B$36+'Parts Cost Per Job'!AO18*((1+'Total Cost for Plan'!$B$37)*'Total Cost for Plan'!$B$38))*ROUNDDOWN($B$1/'Scheduled Intervals'!AO18,0),2),0)</f>
        <v>0</v>
      </c>
      <c r="AP18" s="246">
        <f>IF('Scheduled Intervals'!AP18&gt;0,ROUND(('Hours Per Job'!AP18*'Total Cost for Plan'!$B$36+'Parts Cost Per Job'!AP18*((1+'Total Cost for Plan'!$B$37)*'Total Cost for Plan'!$B$38))*ROUNDDOWN($B$1/'Scheduled Intervals'!AP18,0),2),0)</f>
        <v>0</v>
      </c>
      <c r="AQ18" s="246">
        <f>IF('Scheduled Intervals'!AQ18&gt;0,ROUND(('Hours Per Job'!AQ18*'Total Cost for Plan'!$B$36+'Parts Cost Per Job'!AQ18*((1+'Total Cost for Plan'!$B$37)*'Total Cost for Plan'!$B$38))*ROUNDDOWN($B$1/'Scheduled Intervals'!AQ18,0),2),0)</f>
        <v>0</v>
      </c>
      <c r="AR18" s="246">
        <f>IF('Scheduled Intervals'!AR18&gt;0,ROUND(('Hours Per Job'!AR18*'Total Cost for Plan'!$B$36+'Parts Cost Per Job'!AR18*((1+'Total Cost for Plan'!$B$37)*'Total Cost for Plan'!$B$38))*ROUNDDOWN($B$1/'Scheduled Intervals'!AR18,0),2),0)</f>
        <v>0</v>
      </c>
      <c r="AS18" s="246">
        <f>IF('Scheduled Intervals'!AS18&gt;0,ROUND(('Hours Per Job'!AS18*'Total Cost for Plan'!$B$36+'Parts Cost Per Job'!AS18*((1+'Total Cost for Plan'!$B$37)*'Total Cost for Plan'!$B$38))*ROUNDDOWN($B$1/'Scheduled Intervals'!AS18,0),2),0)</f>
        <v>0</v>
      </c>
      <c r="AT18" s="246">
        <f>IF('Scheduled Intervals'!AT18&gt;0,ROUND(('Hours Per Job'!AT18*'Total Cost for Plan'!$B$36+'Parts Cost Per Job'!AT18*((1+'Total Cost for Plan'!$B$37)*'Total Cost for Plan'!$B$38))*ROUNDDOWN($B$1/'Scheduled Intervals'!AT18,0),2),0)</f>
        <v>35.07</v>
      </c>
      <c r="AU18" s="246">
        <f>IF('Scheduled Intervals'!AU18&gt;0,ROUND(('Hours Per Job'!AU18*'Total Cost for Plan'!$B$36+'Parts Cost Per Job'!AU18*((1+'Total Cost for Plan'!$B$37)*'Total Cost for Plan'!$B$38))*ROUNDDOWN($B$1/'Scheduled Intervals'!AU18,0),2),0)</f>
        <v>0</v>
      </c>
      <c r="AV18" s="246">
        <f>IF('Scheduled Intervals'!AV18&gt;0,ROUND(('Hours Per Job'!AV18*'Total Cost for Plan'!$B$36+'Parts Cost Per Job'!AV18*((1+'Total Cost for Plan'!$B$37)*'Total Cost for Plan'!$B$38))*ROUNDDOWN($B$1/'Scheduled Intervals'!AV18,0),2),0)</f>
        <v>0</v>
      </c>
      <c r="AW18" s="246">
        <f>IF('Scheduled Intervals'!AW18&gt;0,ROUND(('Hours Per Job'!AW18*'Total Cost for Plan'!$B$36+'Parts Cost Per Job'!AW18*((1+'Total Cost for Plan'!$B$37)*'Total Cost for Plan'!$B$38))*ROUNDDOWN($B$1/'Scheduled Intervals'!AW18,0),2),0)</f>
        <v>0</v>
      </c>
      <c r="AX18" s="246">
        <f>IF('Scheduled Intervals'!AX18&gt;0,ROUND(('Hours Per Job'!AX18*'Total Cost for Plan'!$B$36+'Parts Cost Per Job'!AX18*((1+'Total Cost for Plan'!$B$37)*'Total Cost for Plan'!$B$38))*ROUNDDOWN($B$1/'Scheduled Intervals'!AX18,0),2),0)</f>
        <v>0</v>
      </c>
      <c r="AY18" s="246">
        <f>IF('Scheduled Intervals'!AY18&gt;0,ROUND(('Hours Per Job'!AY18*'Total Cost for Plan'!$B$36+'Parts Cost Per Job'!AY18*((1+'Total Cost for Plan'!$B$37)*'Total Cost for Plan'!$B$38))*ROUNDDOWN($B$1/'Scheduled Intervals'!AY18,0),2),0)</f>
        <v>0</v>
      </c>
      <c r="AZ18" s="246">
        <f>IF('Scheduled Intervals'!AZ18&gt;0,ROUND(('Hours Per Job'!AZ18*'Total Cost for Plan'!$B$36+'Parts Cost Per Job'!AZ18*((1+'Total Cost for Plan'!$B$37)*'Total Cost for Plan'!$B$38))*ROUNDDOWN($B$1/'Scheduled Intervals'!AZ18,0),2),0)</f>
        <v>0</v>
      </c>
      <c r="BA18" s="246">
        <f>IF('Scheduled Intervals'!BA18&gt;0,ROUND(('Hours Per Job'!BA18*'Total Cost for Plan'!$B$36+'Parts Cost Per Job'!BA18*((1+'Total Cost for Plan'!$B$37)*'Total Cost for Plan'!$B$38))*ROUNDDOWN($B$1/'Scheduled Intervals'!BA18,0),2),0)</f>
        <v>0</v>
      </c>
      <c r="BB18" s="246">
        <f>IF('Scheduled Intervals'!BB18&gt;0,ROUND(('Hours Per Job'!BB18*'Total Cost for Plan'!$B$36+'Parts Cost Per Job'!BB18*((1+'Total Cost for Plan'!$B$37)*'Total Cost for Plan'!$B$38))*ROUNDDOWN($B$1/'Scheduled Intervals'!BB18,0),2),0)</f>
        <v>0</v>
      </c>
      <c r="BC18" s="246">
        <f>IF('Scheduled Intervals'!BC18&gt;0,ROUND(('Hours Per Job'!BC18*'Total Cost for Plan'!$B$36+'Parts Cost Per Job'!BC18*((1+'Total Cost for Plan'!$B$37)*'Total Cost for Plan'!$B$38))*ROUNDDOWN($B$1/'Scheduled Intervals'!BC18,0),2),0)</f>
        <v>0</v>
      </c>
      <c r="BD18" s="246">
        <f>IF('Scheduled Intervals'!BD18&gt;0,ROUND(('Hours Per Job'!BD18*'Total Cost for Plan'!$B$36+'Parts Cost Per Job'!BD18*((1+'Total Cost for Plan'!$B$37)*'Total Cost for Plan'!$B$38))*ROUNDDOWN($B$1/'Scheduled Intervals'!BD18,0),2),0)</f>
        <v>0</v>
      </c>
      <c r="BE18" s="246">
        <f>IF('Scheduled Intervals'!BE18&gt;0,ROUND(('Hours Per Job'!BE18*'Total Cost for Plan'!$B$36+'Parts Cost Per Job'!BE18*((1+'Total Cost for Plan'!$B$37)*'Total Cost for Plan'!$B$38))*ROUNDDOWN($B$1/'Scheduled Intervals'!BE18,0),2),0)</f>
        <v>0</v>
      </c>
      <c r="BF18" s="246">
        <f>IF('Scheduled Intervals'!BF18&gt;0,ROUND(('Hours Per Job'!BF18*'Total Cost for Plan'!$B$36+'Parts Cost Per Job'!BF18*((1+'Total Cost for Plan'!$B$37)*'Total Cost for Plan'!$B$38))*ROUNDDOWN($B$1/'Scheduled Intervals'!BF18,0),2),0)</f>
        <v>0</v>
      </c>
      <c r="BG18" s="246">
        <f>IF('Scheduled Intervals'!BG18&gt;0,ROUND(('Hours Per Job'!BG18*'Total Cost for Plan'!$B$36+'Parts Cost Per Job'!BG18*((1+'Total Cost for Plan'!$B$37)*'Total Cost for Plan'!$B$38))*ROUNDDOWN($B$1/'Scheduled Intervals'!BG18,0),2),0)</f>
        <v>0</v>
      </c>
      <c r="BH18" s="246">
        <f>IF('Scheduled Intervals'!BH18&gt;0,ROUND(('Hours Per Job'!BH18*'Total Cost for Plan'!$B$36+'Parts Cost Per Job'!BH18*((1+'Total Cost for Plan'!$B$37)*'Total Cost for Plan'!$B$38))*ROUNDDOWN($B$1/'Scheduled Intervals'!BH18,0),2),0)</f>
        <v>0</v>
      </c>
      <c r="BI18" s="246">
        <f>IF('Scheduled Intervals'!BI18&gt;0,ROUND(('Hours Per Job'!BI18*'Total Cost for Plan'!$B$36+'Parts Cost Per Job'!BI18*((1+'Total Cost for Plan'!$B$37)*'Total Cost for Plan'!$B$38))*ROUNDDOWN($B$1/'Scheduled Intervals'!BI18,0),2),0)</f>
        <v>0</v>
      </c>
      <c r="BJ18" s="246">
        <f>IF('Scheduled Intervals'!BJ18&gt;0,ROUND(('Hours Per Job'!BJ18*'Total Cost for Plan'!$B$36+'Parts Cost Per Job'!BJ18*((1+'Total Cost for Plan'!$B$37)*'Total Cost for Plan'!$B$38))*ROUNDDOWN($B$1/'Scheduled Intervals'!BJ18,0),2),0)</f>
        <v>30</v>
      </c>
      <c r="BK18" s="246">
        <f>IF('Scheduled Intervals'!BK18&gt;0,ROUND(('Hours Per Job'!BK18*'Total Cost for Plan'!$B$36+'Parts Cost Per Job'!BK18*((1+'Total Cost for Plan'!$B$37)*'Total Cost for Plan'!$B$38))*ROUNDDOWN($B$1/'Scheduled Intervals'!BK18,0),2),0)</f>
        <v>0</v>
      </c>
      <c r="BL18" s="246">
        <f>IF('Scheduled Intervals'!BL18&gt;0,ROUND(('Hours Per Job'!BL18*'Total Cost for Plan'!$B$36+'Parts Cost Per Job'!BL18*((1+'Total Cost for Plan'!$B$37)*'Total Cost for Plan'!$B$38))*ROUNDDOWN($B$1/'Scheduled Intervals'!BL18,0),2),0)</f>
        <v>0</v>
      </c>
      <c r="BM18" s="246">
        <f>IF('Scheduled Intervals'!BM18&gt;0,ROUND(('Hours Per Job'!BM18*'Total Cost for Plan'!$B$36+'Parts Cost Per Job'!BM18*((1+'Total Cost for Plan'!$B$37)*'Total Cost for Plan'!$B$38))*ROUNDDOWN($B$1/'Scheduled Intervals'!BM18,0),2),0)</f>
        <v>0</v>
      </c>
      <c r="BN18" s="246">
        <f>IF(AND('Scheduled Intervals'!BN$4="annual",'Plan Summary'!$C$5&lt;'Scheduled Intervals'!$U18*('Plan Summary'!$C$9/12)),ROUND(('Hours Per Job'!BN18*'Total Cost for Plan'!$B$36+'Parts Cost Per Job'!BN18*((1+'Total Cost for Plan'!$B$37)*'Total Cost for Plan'!$B$38))*ROUND('Plan Summary'!$C$9/12,0),2),0)</f>
        <v>668.94</v>
      </c>
      <c r="BO18" s="246">
        <f>IF(AND('Scheduled Intervals'!BO$4="annual",'Plan Summary'!$C$5&lt;'Scheduled Intervals'!$U18*('Plan Summary'!$C$9/12)),ROUND(('Hours Per Job'!BO18*'Total Cost for Plan'!$B$36+'Parts Cost Per Job'!BO18*((1+'Total Cost for Plan'!$B$37)*'Total Cost for Plan'!$B$38))*ROUND('Plan Summary'!$C$9/12,0),2),0)</f>
        <v>175.33</v>
      </c>
      <c r="BP18" s="246">
        <f>IF(AND('Scheduled Intervals'!BP$4="annual",'Plan Summary'!$C$5&lt;'Scheduled Intervals'!$U18*('Plan Summary'!$C$9/12)),ROUND(('Hours Per Job'!BP18*'Total Cost for Plan'!$B$36+'Parts Cost Per Job'!BP18*((1+'Total Cost for Plan'!$B$37)*'Total Cost for Plan'!$B$38))*ROUND('Plan Summary'!$C$9/12,0),2),0)</f>
        <v>630</v>
      </c>
      <c r="BQ18" s="246">
        <f t="shared" si="0"/>
        <v>2102.19</v>
      </c>
      <c r="BR18" s="246"/>
    </row>
    <row r="19" spans="1:70" ht="16" x14ac:dyDescent="0.2">
      <c r="A19" s="18" t="str">
        <f>+'Scheduled Intervals'!A19</f>
        <v>Mahindra 5500</v>
      </c>
      <c r="B19" s="246">
        <f>ROUND(('Hours Per Job'!B19*'Total Cost for Plan'!$B$36+'Parts Cost Per Job'!B19*((1+'Total Cost for Plan'!$B$37)*'Total Cost for Plan'!$B$38)),2)</f>
        <v>133.79</v>
      </c>
      <c r="C19" s="246">
        <f>ROUND(('Hours Per Job'!C19*'Total Cost for Plan'!$B$36+'Parts Cost Per Job'!C19*((1+'Total Cost for Plan'!$B$37)*'Total Cost for Plan'!$B$38)),2)</f>
        <v>0</v>
      </c>
      <c r="D19" s="246">
        <f>ROUND(('Hours Per Job'!D19*'Total Cost for Plan'!$B$36+'Parts Cost Per Job'!D19*((1+'Total Cost for Plan'!$B$37)*'Total Cost for Plan'!$B$38)),2)</f>
        <v>0</v>
      </c>
      <c r="E19" s="246">
        <f>ROUND(('Hours Per Job'!E19*'Total Cost for Plan'!$B$36+'Parts Cost Per Job'!E19*((1+'Total Cost for Plan'!$B$37)*'Total Cost for Plan'!$B$38)),2)</f>
        <v>0</v>
      </c>
      <c r="F19" s="246">
        <f>ROUND(('Hours Per Job'!F19*'Total Cost for Plan'!$B$36+'Parts Cost Per Job'!F19*((1+'Total Cost for Plan'!$B$37)*'Total Cost for Plan'!$B$38)),2)</f>
        <v>118.46</v>
      </c>
      <c r="G19" s="246">
        <f>ROUND(('Hours Per Job'!G19*'Total Cost for Plan'!$B$36+'Parts Cost Per Job'!G19*((1+'Total Cost for Plan'!$B$37)*'Total Cost for Plan'!$B$38)),2)</f>
        <v>0</v>
      </c>
      <c r="H19" s="246">
        <f>ROUND(('Hours Per Job'!H19*'Total Cost for Plan'!$B$36+'Parts Cost Per Job'!H19*((1+'Total Cost for Plan'!$B$37)*'Total Cost for Plan'!$B$38)),2)</f>
        <v>35.07</v>
      </c>
      <c r="I19" s="246">
        <f>ROUND(('Hours Per Job'!I19*'Total Cost for Plan'!$B$36+'Parts Cost Per Job'!I19*((1+'Total Cost for Plan'!$B$37)*'Total Cost for Plan'!$B$38)),2)</f>
        <v>30</v>
      </c>
      <c r="J19" s="246">
        <f>ROUND(('Hours Per Job'!J19*'Total Cost for Plan'!$B$36+'Parts Cost Per Job'!J19*((1+'Total Cost for Plan'!$B$37)*'Total Cost for Plan'!$B$38)),2)</f>
        <v>0</v>
      </c>
      <c r="K19" s="246">
        <f>ROUND(('Hours Per Job'!K19*'Total Cost for Plan'!$B$36+'Parts Cost Per Job'!K19*((1+'Total Cost for Plan'!$B$37)*'Total Cost for Plan'!$B$38)),2)</f>
        <v>0</v>
      </c>
      <c r="L19" s="246">
        <f>ROUND(('Hours Per Job'!L19*'Total Cost for Plan'!$B$36+'Parts Cost Per Job'!L19*((1+'Total Cost for Plan'!$B$37)*'Total Cost for Plan'!$B$38)),2)</f>
        <v>0</v>
      </c>
      <c r="M19" s="246">
        <f>ROUND(('Hours Per Job'!M19*'Total Cost for Plan'!$B$36+'Parts Cost Per Job'!M19*((1+'Total Cost for Plan'!$B$37)*'Total Cost for Plan'!$B$38)),2)</f>
        <v>0</v>
      </c>
      <c r="N19" s="246">
        <f>ROUND(('Hours Per Job'!N19*'Total Cost for Plan'!$B$36+'Parts Cost Per Job'!N19*((1+'Total Cost for Plan'!$B$37)*'Total Cost for Plan'!$B$38)),2)</f>
        <v>0</v>
      </c>
      <c r="O19" s="246">
        <f>ROUND(('Hours Per Job'!O19*'Total Cost for Plan'!$B$36+'Parts Cost Per Job'!O19*((1+'Total Cost for Plan'!$B$37)*'Total Cost for Plan'!$B$38)),2)</f>
        <v>0</v>
      </c>
      <c r="P19" s="246">
        <f>ROUND(('Hours Per Job'!P19*'Total Cost for Plan'!$B$36+'Parts Cost Per Job'!P19*((1+'Total Cost for Plan'!$B$37)*'Total Cost for Plan'!$B$38)),2)</f>
        <v>0</v>
      </c>
      <c r="Q19" s="246">
        <f>ROUND(('Hours Per Job'!Q19*'Total Cost for Plan'!$B$36+'Parts Cost Per Job'!Q19*((1+'Total Cost for Plan'!$B$37)*'Total Cost for Plan'!$B$38)),2)</f>
        <v>0</v>
      </c>
      <c r="R19" s="246">
        <f>ROUND(('Hours Per Job'!R19*'Total Cost for Plan'!$B$36+'Parts Cost Per Job'!R19*((1+'Total Cost for Plan'!$B$37)*'Total Cost for Plan'!$B$38)),2)</f>
        <v>0</v>
      </c>
      <c r="S19" s="246">
        <f>ROUND(('Hours Per Job'!S19*'Total Cost for Plan'!$B$36+'Parts Cost Per Job'!S19*((1+'Total Cost for Plan'!$B$37)*'Total Cost for Plan'!$B$38)),2)</f>
        <v>0</v>
      </c>
      <c r="T19" s="246">
        <f>ROUND(('Hours Per Job'!T19*'Total Cost for Plan'!$B$36+'Parts Cost Per Job'!T19*((1+'Total Cost for Plan'!$B$37)*'Total Cost for Plan'!$B$38)),2)</f>
        <v>0</v>
      </c>
      <c r="U19" s="246">
        <f>IF('Scheduled Intervals'!U19&gt;0,ROUND(('Hours Per Job'!U19*'Total Cost for Plan'!$B$36+'Parts Cost Per Job'!U19*((1+'Total Cost for Plan'!$B$37)*'Total Cost for Plan'!$B$38))*ROUNDDOWN($B$1/'Scheduled Intervals'!U19,0),2),0)</f>
        <v>133.79</v>
      </c>
      <c r="V19" s="246">
        <f>IF('Scheduled Intervals'!V19&gt;0,ROUND(('Hours Per Job'!V19*'Total Cost for Plan'!$B$36+'Parts Cost Per Job'!V19*((1+'Total Cost for Plan'!$B$37)*'Total Cost for Plan'!$B$38))*ROUNDDOWN($B$1/'Scheduled Intervals'!V19,0),2),0)</f>
        <v>0</v>
      </c>
      <c r="W19" s="246">
        <f>IF('Scheduled Intervals'!W19&gt;0,ROUND(('Hours Per Job'!W19*'Total Cost for Plan'!$B$36+'Parts Cost Per Job'!W19*((1+'Total Cost for Plan'!$B$37)*'Total Cost for Plan'!$B$38))*ROUNDDOWN($B$1/'Scheduled Intervals'!W19,0),2),0)</f>
        <v>0</v>
      </c>
      <c r="X19" s="246">
        <f>IF('Scheduled Intervals'!X19&gt;0,ROUND(('Hours Per Job'!X19*'Total Cost for Plan'!$B$36+'Parts Cost Per Job'!X19*((1+'Total Cost for Plan'!$B$37)*'Total Cost for Plan'!$B$38))*ROUNDDOWN($B$1/'Scheduled Intervals'!X19,0),2),0)</f>
        <v>0</v>
      </c>
      <c r="Y19" s="246">
        <f>IF('Scheduled Intervals'!Y19&gt;0,ROUND(('Hours Per Job'!Y19*'Total Cost for Plan'!$B$36+'Parts Cost Per Job'!Y19*((1+'Total Cost for Plan'!$B$37)*'Total Cost for Plan'!$B$38))*ROUNDDOWN($B$1/'Scheduled Intervals'!Y19,0),2),0)</f>
        <v>0</v>
      </c>
      <c r="Z19" s="246">
        <f>IF('Scheduled Intervals'!Z19&gt;0,ROUND(('Hours Per Job'!Z19*'Total Cost for Plan'!$B$36+'Parts Cost Per Job'!Z19*((1+'Total Cost for Plan'!$B$37)*'Total Cost for Plan'!$B$38))*ROUNDDOWN($B$1/'Scheduled Intervals'!Z19,0),2),0)</f>
        <v>0</v>
      </c>
      <c r="AA19" s="246">
        <f>IF('Scheduled Intervals'!AA19&gt;0,ROUND(('Hours Per Job'!AA19*'Total Cost for Plan'!$B$36+'Parts Cost Per Job'!AA19*((1+'Total Cost for Plan'!$B$37)*'Total Cost for Plan'!$B$38))*ROUNDDOWN($B$1/'Scheduled Intervals'!AA19,0),2),0)</f>
        <v>0</v>
      </c>
      <c r="AB19" s="246">
        <f>IF('Scheduled Intervals'!AB19&gt;0,ROUND(('Hours Per Job'!AB19*'Total Cost for Plan'!$B$36+'Parts Cost Per Job'!AB19*((1+'Total Cost for Plan'!$B$37)*'Total Cost for Plan'!$B$38))*ROUNDDOWN($B$1/'Scheduled Intervals'!AB19,0),2),0)</f>
        <v>0</v>
      </c>
      <c r="AC19" s="246">
        <f>IF('Scheduled Intervals'!AC19&gt;0,ROUND(('Hours Per Job'!AC19*'Total Cost for Plan'!$B$36+'Parts Cost Per Job'!AC19*((1+'Total Cost for Plan'!$B$37)*'Total Cost for Plan'!$B$38))*ROUNDDOWN($B$1/'Scheduled Intervals'!AC19,0),2),0)</f>
        <v>0</v>
      </c>
      <c r="AD19" s="246">
        <f>IF('Scheduled Intervals'!AD19&gt;0,ROUND(('Hours Per Job'!AD19*'Total Cost for Plan'!$B$36+'Parts Cost Per Job'!AD19*((1+'Total Cost for Plan'!$B$37)*'Total Cost for Plan'!$B$38))*ROUNDDOWN($B$1/'Scheduled Intervals'!AD19,0),2),0)</f>
        <v>0</v>
      </c>
      <c r="AE19" s="246">
        <f>IF('Scheduled Intervals'!AE19&gt;0,ROUND(('Hours Per Job'!AE19*'Total Cost for Plan'!$B$36+'Parts Cost Per Job'!AE19*((1+'Total Cost for Plan'!$B$37)*'Total Cost for Plan'!$B$38))*ROUNDDOWN($B$1/'Scheduled Intervals'!AE19,0),2),0)</f>
        <v>0</v>
      </c>
      <c r="AF19" s="246">
        <f>IF('Scheduled Intervals'!AF19&gt;0,ROUND(('Hours Per Job'!AF19*'Total Cost for Plan'!$B$36+'Parts Cost Per Job'!AF19*((1+'Total Cost for Plan'!$B$37)*'Total Cost for Plan'!$B$38))*ROUNDDOWN($B$1/'Scheduled Intervals'!AF19,0),2),0)</f>
        <v>0</v>
      </c>
      <c r="AG19" s="246">
        <f>IF('Scheduled Intervals'!AG19&gt;0,ROUND(('Hours Per Job'!AG19*'Total Cost for Plan'!$B$36+'Parts Cost Per Job'!AG19*((1+'Total Cost for Plan'!$B$37)*'Total Cost for Plan'!$B$38))*ROUNDDOWN($B$1/'Scheduled Intervals'!AG19,0),2),0)</f>
        <v>0</v>
      </c>
      <c r="AH19" s="246">
        <f>IF('Scheduled Intervals'!AH19&gt;0,ROUND(('Hours Per Job'!AH19*'Total Cost for Plan'!$B$36+'Parts Cost Per Job'!AH19*((1+'Total Cost for Plan'!$B$37)*'Total Cost for Plan'!$B$38))*ROUNDDOWN($B$1/'Scheduled Intervals'!AH19,0),2),0)</f>
        <v>0</v>
      </c>
      <c r="AI19" s="246">
        <f>IF('Scheduled Intervals'!AI19&gt;0,ROUND(('Hours Per Job'!AI19*'Total Cost for Plan'!$B$36+'Parts Cost Per Job'!AI19*((1+'Total Cost for Plan'!$B$37)*'Total Cost for Plan'!$B$38))*ROUNDDOWN($B$1/'Scheduled Intervals'!AI19,0),2),0)</f>
        <v>0</v>
      </c>
      <c r="AJ19" s="246">
        <f>IF('Scheduled Intervals'!AJ19&gt;0,ROUND(('Hours Per Job'!AJ19*'Total Cost for Plan'!$B$36+'Parts Cost Per Job'!AJ19*((1+'Total Cost for Plan'!$B$37)*'Total Cost for Plan'!$B$38))*ROUNDDOWN($B$1/'Scheduled Intervals'!AJ19,0),2),0)</f>
        <v>0</v>
      </c>
      <c r="AK19" s="246">
        <f>IF('Scheduled Intervals'!AK19&gt;0,ROUND(('Hours Per Job'!AK19*'Total Cost for Plan'!$B$36+'Parts Cost Per Job'!AK19*((1+'Total Cost for Plan'!$B$37)*'Total Cost for Plan'!$B$38))*ROUNDDOWN($B$1/'Scheduled Intervals'!AK19,0),2),0)</f>
        <v>0</v>
      </c>
      <c r="AL19" s="246">
        <f>IF('Scheduled Intervals'!AL19&gt;0,ROUND(('Hours Per Job'!AL19*'Total Cost for Plan'!$B$36+'Parts Cost Per Job'!AL19*((1+'Total Cost for Plan'!$B$37)*'Total Cost for Plan'!$B$38))*ROUNDDOWN($B$1/'Scheduled Intervals'!AL19,0),2),0)</f>
        <v>0</v>
      </c>
      <c r="AM19" s="246">
        <f>IF('Scheduled Intervals'!AM19&gt;0,ROUND(('Hours Per Job'!AM19*'Total Cost for Plan'!$B$36+'Parts Cost Per Job'!AM19*((1+'Total Cost for Plan'!$B$37)*'Total Cost for Plan'!$B$38))*ROUNDDOWN($B$1/'Scheduled Intervals'!AM19,0),2),0)</f>
        <v>0</v>
      </c>
      <c r="AN19" s="246">
        <f>IF('Scheduled Intervals'!AN19&gt;0,ROUND(('Hours Per Job'!AN19*'Total Cost for Plan'!$B$36+'Parts Cost Per Job'!AN19*((1+'Total Cost for Plan'!$B$37)*'Total Cost for Plan'!$B$38))*ROUNDDOWN($B$1/'Scheduled Intervals'!AN19,0),2),0)</f>
        <v>0</v>
      </c>
      <c r="AO19" s="246">
        <f>IF('Scheduled Intervals'!AO19&gt;0,ROUND(('Hours Per Job'!AO19*'Total Cost for Plan'!$B$36+'Parts Cost Per Job'!AO19*((1+'Total Cost for Plan'!$B$37)*'Total Cost for Plan'!$B$38))*ROUNDDOWN($B$1/'Scheduled Intervals'!AO19,0),2),0)</f>
        <v>0</v>
      </c>
      <c r="AP19" s="246">
        <f>IF('Scheduled Intervals'!AP19&gt;0,ROUND(('Hours Per Job'!AP19*'Total Cost for Plan'!$B$36+'Parts Cost Per Job'!AP19*((1+'Total Cost for Plan'!$B$37)*'Total Cost for Plan'!$B$38))*ROUNDDOWN($B$1/'Scheduled Intervals'!AP19,0),2),0)</f>
        <v>0</v>
      </c>
      <c r="AQ19" s="246">
        <f>IF('Scheduled Intervals'!AQ19&gt;0,ROUND(('Hours Per Job'!AQ19*'Total Cost for Plan'!$B$36+'Parts Cost Per Job'!AQ19*((1+'Total Cost for Plan'!$B$37)*'Total Cost for Plan'!$B$38))*ROUNDDOWN($B$1/'Scheduled Intervals'!AQ19,0),2),0)</f>
        <v>0</v>
      </c>
      <c r="AR19" s="246">
        <f>IF('Scheduled Intervals'!AR19&gt;0,ROUND(('Hours Per Job'!AR19*'Total Cost for Plan'!$B$36+'Parts Cost Per Job'!AR19*((1+'Total Cost for Plan'!$B$37)*'Total Cost for Plan'!$B$38))*ROUNDDOWN($B$1/'Scheduled Intervals'!AR19,0),2),0)</f>
        <v>0</v>
      </c>
      <c r="AS19" s="246">
        <f>IF('Scheduled Intervals'!AS19&gt;0,ROUND(('Hours Per Job'!AS19*'Total Cost for Plan'!$B$36+'Parts Cost Per Job'!AS19*((1+'Total Cost for Plan'!$B$37)*'Total Cost for Plan'!$B$38))*ROUNDDOWN($B$1/'Scheduled Intervals'!AS19,0),2),0)</f>
        <v>0</v>
      </c>
      <c r="AT19" s="246">
        <f>IF('Scheduled Intervals'!AT19&gt;0,ROUND(('Hours Per Job'!AT19*'Total Cost for Plan'!$B$36+'Parts Cost Per Job'!AT19*((1+'Total Cost for Plan'!$B$37)*'Total Cost for Plan'!$B$38))*ROUNDDOWN($B$1/'Scheduled Intervals'!AT19,0),2),0)</f>
        <v>35.07</v>
      </c>
      <c r="AU19" s="246">
        <f>IF('Scheduled Intervals'!AU19&gt;0,ROUND(('Hours Per Job'!AU19*'Total Cost for Plan'!$B$36+'Parts Cost Per Job'!AU19*((1+'Total Cost for Plan'!$B$37)*'Total Cost for Plan'!$B$38))*ROUNDDOWN($B$1/'Scheduled Intervals'!AU19,0),2),0)</f>
        <v>0</v>
      </c>
      <c r="AV19" s="246">
        <f>IF('Scheduled Intervals'!AV19&gt;0,ROUND(('Hours Per Job'!AV19*'Total Cost for Plan'!$B$36+'Parts Cost Per Job'!AV19*((1+'Total Cost for Plan'!$B$37)*'Total Cost for Plan'!$B$38))*ROUNDDOWN($B$1/'Scheduled Intervals'!AV19,0),2),0)</f>
        <v>0</v>
      </c>
      <c r="AW19" s="246">
        <f>IF('Scheduled Intervals'!AW19&gt;0,ROUND(('Hours Per Job'!AW19*'Total Cost for Plan'!$B$36+'Parts Cost Per Job'!AW19*((1+'Total Cost for Plan'!$B$37)*'Total Cost for Plan'!$B$38))*ROUNDDOWN($B$1/'Scheduled Intervals'!AW19,0),2),0)</f>
        <v>0</v>
      </c>
      <c r="AX19" s="246">
        <f>IF('Scheduled Intervals'!AX19&gt;0,ROUND(('Hours Per Job'!AX19*'Total Cost for Plan'!$B$36+'Parts Cost Per Job'!AX19*((1+'Total Cost for Plan'!$B$37)*'Total Cost for Plan'!$B$38))*ROUNDDOWN($B$1/'Scheduled Intervals'!AX19,0),2),0)</f>
        <v>0</v>
      </c>
      <c r="AY19" s="246">
        <f>IF('Scheduled Intervals'!AY19&gt;0,ROUND(('Hours Per Job'!AY19*'Total Cost for Plan'!$B$36+'Parts Cost Per Job'!AY19*((1+'Total Cost for Plan'!$B$37)*'Total Cost for Plan'!$B$38))*ROUNDDOWN($B$1/'Scheduled Intervals'!AY19,0),2),0)</f>
        <v>0</v>
      </c>
      <c r="AZ19" s="246">
        <f>IF('Scheduled Intervals'!AZ19&gt;0,ROUND(('Hours Per Job'!AZ19*'Total Cost for Plan'!$B$36+'Parts Cost Per Job'!AZ19*((1+'Total Cost for Plan'!$B$37)*'Total Cost for Plan'!$B$38))*ROUNDDOWN($B$1/'Scheduled Intervals'!AZ19,0),2),0)</f>
        <v>0</v>
      </c>
      <c r="BA19" s="246">
        <f>IF('Scheduled Intervals'!BA19&gt;0,ROUND(('Hours Per Job'!BA19*'Total Cost for Plan'!$B$36+'Parts Cost Per Job'!BA19*((1+'Total Cost for Plan'!$B$37)*'Total Cost for Plan'!$B$38))*ROUNDDOWN($B$1/'Scheduled Intervals'!BA19,0),2),0)</f>
        <v>0</v>
      </c>
      <c r="BB19" s="246">
        <f>IF('Scheduled Intervals'!BB19&gt;0,ROUND(('Hours Per Job'!BB19*'Total Cost for Plan'!$B$36+'Parts Cost Per Job'!BB19*((1+'Total Cost for Plan'!$B$37)*'Total Cost for Plan'!$B$38))*ROUNDDOWN($B$1/'Scheduled Intervals'!BB19,0),2),0)</f>
        <v>0</v>
      </c>
      <c r="BC19" s="246">
        <f>IF('Scheduled Intervals'!BC19&gt;0,ROUND(('Hours Per Job'!BC19*'Total Cost for Plan'!$B$36+'Parts Cost Per Job'!BC19*((1+'Total Cost for Plan'!$B$37)*'Total Cost for Plan'!$B$38))*ROUNDDOWN($B$1/'Scheduled Intervals'!BC19,0),2),0)</f>
        <v>0</v>
      </c>
      <c r="BD19" s="246">
        <f>IF('Scheduled Intervals'!BD19&gt;0,ROUND(('Hours Per Job'!BD19*'Total Cost for Plan'!$B$36+'Parts Cost Per Job'!BD19*((1+'Total Cost for Plan'!$B$37)*'Total Cost for Plan'!$B$38))*ROUNDDOWN($B$1/'Scheduled Intervals'!BD19,0),2),0)</f>
        <v>0</v>
      </c>
      <c r="BE19" s="246">
        <f>IF('Scheduled Intervals'!BE19&gt;0,ROUND(('Hours Per Job'!BE19*'Total Cost for Plan'!$B$36+'Parts Cost Per Job'!BE19*((1+'Total Cost for Plan'!$B$37)*'Total Cost for Plan'!$B$38))*ROUNDDOWN($B$1/'Scheduled Intervals'!BE19,0),2),0)</f>
        <v>0</v>
      </c>
      <c r="BF19" s="246">
        <f>IF('Scheduled Intervals'!BF19&gt;0,ROUND(('Hours Per Job'!BF19*'Total Cost for Plan'!$B$36+'Parts Cost Per Job'!BF19*((1+'Total Cost for Plan'!$B$37)*'Total Cost for Plan'!$B$38))*ROUNDDOWN($B$1/'Scheduled Intervals'!BF19,0),2),0)</f>
        <v>0</v>
      </c>
      <c r="BG19" s="246">
        <f>IF('Scheduled Intervals'!BG19&gt;0,ROUND(('Hours Per Job'!BG19*'Total Cost for Plan'!$B$36+'Parts Cost Per Job'!BG19*((1+'Total Cost for Plan'!$B$37)*'Total Cost for Plan'!$B$38))*ROUNDDOWN($B$1/'Scheduled Intervals'!BG19,0),2),0)</f>
        <v>0</v>
      </c>
      <c r="BH19" s="246">
        <f>IF('Scheduled Intervals'!BH19&gt;0,ROUND(('Hours Per Job'!BH19*'Total Cost for Plan'!$B$36+'Parts Cost Per Job'!BH19*((1+'Total Cost for Plan'!$B$37)*'Total Cost for Plan'!$B$38))*ROUNDDOWN($B$1/'Scheduled Intervals'!BH19,0),2),0)</f>
        <v>0</v>
      </c>
      <c r="BI19" s="246">
        <f>IF('Scheduled Intervals'!BI19&gt;0,ROUND(('Hours Per Job'!BI19*'Total Cost for Plan'!$B$36+'Parts Cost Per Job'!BI19*((1+'Total Cost for Plan'!$B$37)*'Total Cost for Plan'!$B$38))*ROUNDDOWN($B$1/'Scheduled Intervals'!BI19,0),2),0)</f>
        <v>0</v>
      </c>
      <c r="BJ19" s="246">
        <f>IF('Scheduled Intervals'!BJ19&gt;0,ROUND(('Hours Per Job'!BJ19*'Total Cost for Plan'!$B$36+'Parts Cost Per Job'!BJ19*((1+'Total Cost for Plan'!$B$37)*'Total Cost for Plan'!$B$38))*ROUNDDOWN($B$1/'Scheduled Intervals'!BJ19,0),2),0)</f>
        <v>30</v>
      </c>
      <c r="BK19" s="246">
        <f>IF('Scheduled Intervals'!BK19&gt;0,ROUND(('Hours Per Job'!BK19*'Total Cost for Plan'!$B$36+'Parts Cost Per Job'!BK19*((1+'Total Cost for Plan'!$B$37)*'Total Cost for Plan'!$B$38))*ROUNDDOWN($B$1/'Scheduled Intervals'!BK19,0),2),0)</f>
        <v>0</v>
      </c>
      <c r="BL19" s="246">
        <f>IF('Scheduled Intervals'!BL19&gt;0,ROUND(('Hours Per Job'!BL19*'Total Cost for Plan'!$B$36+'Parts Cost Per Job'!BL19*((1+'Total Cost for Plan'!$B$37)*'Total Cost for Plan'!$B$38))*ROUNDDOWN($B$1/'Scheduled Intervals'!BL19,0),2),0)</f>
        <v>0</v>
      </c>
      <c r="BM19" s="246">
        <f>IF('Scheduled Intervals'!BM19&gt;0,ROUND(('Hours Per Job'!BM19*'Total Cost for Plan'!$B$36+'Parts Cost Per Job'!BM19*((1+'Total Cost for Plan'!$B$37)*'Total Cost for Plan'!$B$38))*ROUNDDOWN($B$1/'Scheduled Intervals'!BM19,0),2),0)</f>
        <v>0</v>
      </c>
      <c r="BN19" s="246">
        <f>IF(AND('Scheduled Intervals'!BN$4="annual",'Plan Summary'!$C$5&lt;'Scheduled Intervals'!$U19*('Plan Summary'!$C$9/12)),ROUND(('Hours Per Job'!BN19*'Total Cost for Plan'!$B$36+'Parts Cost Per Job'!BN19*((1+'Total Cost for Plan'!$B$37)*'Total Cost for Plan'!$B$38))*ROUND('Plan Summary'!$C$9/12,0),2),0)</f>
        <v>668.94</v>
      </c>
      <c r="BO19" s="246">
        <f>IF(AND('Scheduled Intervals'!BO$4="annual",'Plan Summary'!$C$5&lt;'Scheduled Intervals'!$U19*('Plan Summary'!$C$9/12)),ROUND(('Hours Per Job'!BO19*'Total Cost for Plan'!$B$36+'Parts Cost Per Job'!BO19*((1+'Total Cost for Plan'!$B$37)*'Total Cost for Plan'!$B$38))*ROUND('Plan Summary'!$C$9/12,0),2),0)</f>
        <v>175.33</v>
      </c>
      <c r="BP19" s="246">
        <f>IF(AND('Scheduled Intervals'!BP$4="annual",'Plan Summary'!$C$5&lt;'Scheduled Intervals'!$U19*('Plan Summary'!$C$9/12)),ROUND(('Hours Per Job'!BP19*'Total Cost for Plan'!$B$36+'Parts Cost Per Job'!BP19*((1+'Total Cost for Plan'!$B$37)*'Total Cost for Plan'!$B$38))*ROUND('Plan Summary'!$C$9/12,0),2),0)</f>
        <v>630</v>
      </c>
      <c r="BQ19" s="246">
        <f t="shared" si="0"/>
        <v>1990.45</v>
      </c>
      <c r="BR19" s="246"/>
    </row>
    <row r="20" spans="1:70" ht="16" x14ac:dyDescent="0.2">
      <c r="A20" s="18" t="str">
        <f>+'Scheduled Intervals'!A20</f>
        <v>Mahindra 6000</v>
      </c>
      <c r="B20" s="246">
        <f>ROUND(('Hours Per Job'!B20*'Total Cost for Plan'!$B$36+'Parts Cost Per Job'!B20*((1+'Total Cost for Plan'!$B$37)*'Total Cost for Plan'!$B$38)),2)</f>
        <v>133.79</v>
      </c>
      <c r="C20" s="246">
        <f>ROUND(('Hours Per Job'!C20*'Total Cost for Plan'!$B$36+'Parts Cost Per Job'!C20*((1+'Total Cost for Plan'!$B$37)*'Total Cost for Plan'!$B$38)),2)</f>
        <v>0</v>
      </c>
      <c r="D20" s="246">
        <f>ROUND(('Hours Per Job'!D20*'Total Cost for Plan'!$B$36+'Parts Cost Per Job'!D20*((1+'Total Cost for Plan'!$B$37)*'Total Cost for Plan'!$B$38)),2)</f>
        <v>0</v>
      </c>
      <c r="E20" s="246">
        <f>ROUND(('Hours Per Job'!E20*'Total Cost for Plan'!$B$36+'Parts Cost Per Job'!E20*((1+'Total Cost for Plan'!$B$37)*'Total Cost for Plan'!$B$38)),2)</f>
        <v>0</v>
      </c>
      <c r="F20" s="246">
        <f>ROUND(('Hours Per Job'!F20*'Total Cost for Plan'!$B$36+'Parts Cost Per Job'!F20*((1+'Total Cost for Plan'!$B$37)*'Total Cost for Plan'!$B$38)),2)</f>
        <v>162.94999999999999</v>
      </c>
      <c r="G20" s="246">
        <f>ROUND(('Hours Per Job'!G20*'Total Cost for Plan'!$B$36+'Parts Cost Per Job'!G20*((1+'Total Cost for Plan'!$B$37)*'Total Cost for Plan'!$B$38)),2)</f>
        <v>0</v>
      </c>
      <c r="H20" s="246">
        <f>ROUND(('Hours Per Job'!H20*'Total Cost for Plan'!$B$36+'Parts Cost Per Job'!H20*((1+'Total Cost for Plan'!$B$37)*'Total Cost for Plan'!$B$38)),2)</f>
        <v>35.07</v>
      </c>
      <c r="I20" s="246">
        <f>ROUND(('Hours Per Job'!I20*'Total Cost for Plan'!$B$36+'Parts Cost Per Job'!I20*((1+'Total Cost for Plan'!$B$37)*'Total Cost for Plan'!$B$38)),2)</f>
        <v>30</v>
      </c>
      <c r="J20" s="246">
        <f>ROUND(('Hours Per Job'!J20*'Total Cost for Plan'!$B$36+'Parts Cost Per Job'!J20*((1+'Total Cost for Plan'!$B$37)*'Total Cost for Plan'!$B$38)),2)</f>
        <v>0</v>
      </c>
      <c r="K20" s="246">
        <f>ROUND(('Hours Per Job'!K20*'Total Cost for Plan'!$B$36+'Parts Cost Per Job'!K20*((1+'Total Cost for Plan'!$B$37)*'Total Cost for Plan'!$B$38)),2)</f>
        <v>0</v>
      </c>
      <c r="L20" s="246">
        <f>ROUND(('Hours Per Job'!L20*'Total Cost for Plan'!$B$36+'Parts Cost Per Job'!L20*((1+'Total Cost for Plan'!$B$37)*'Total Cost for Plan'!$B$38)),2)</f>
        <v>0</v>
      </c>
      <c r="M20" s="246">
        <f>ROUND(('Hours Per Job'!M20*'Total Cost for Plan'!$B$36+'Parts Cost Per Job'!M20*((1+'Total Cost for Plan'!$B$37)*'Total Cost for Plan'!$B$38)),2)</f>
        <v>0</v>
      </c>
      <c r="N20" s="246">
        <f>ROUND(('Hours Per Job'!N20*'Total Cost for Plan'!$B$36+'Parts Cost Per Job'!N20*((1+'Total Cost for Plan'!$B$37)*'Total Cost for Plan'!$B$38)),2)</f>
        <v>0</v>
      </c>
      <c r="O20" s="246">
        <f>ROUND(('Hours Per Job'!O20*'Total Cost for Plan'!$B$36+'Parts Cost Per Job'!O20*((1+'Total Cost for Plan'!$B$37)*'Total Cost for Plan'!$B$38)),2)</f>
        <v>0</v>
      </c>
      <c r="P20" s="246">
        <f>ROUND(('Hours Per Job'!P20*'Total Cost for Plan'!$B$36+'Parts Cost Per Job'!P20*((1+'Total Cost for Plan'!$B$37)*'Total Cost for Plan'!$B$38)),2)</f>
        <v>0</v>
      </c>
      <c r="Q20" s="246">
        <f>ROUND(('Hours Per Job'!Q20*'Total Cost for Plan'!$B$36+'Parts Cost Per Job'!Q20*((1+'Total Cost for Plan'!$B$37)*'Total Cost for Plan'!$B$38)),2)</f>
        <v>0</v>
      </c>
      <c r="R20" s="246">
        <f>ROUND(('Hours Per Job'!R20*'Total Cost for Plan'!$B$36+'Parts Cost Per Job'!R20*((1+'Total Cost for Plan'!$B$37)*'Total Cost for Plan'!$B$38)),2)</f>
        <v>0</v>
      </c>
      <c r="S20" s="246">
        <f>ROUND(('Hours Per Job'!S20*'Total Cost for Plan'!$B$36+'Parts Cost Per Job'!S20*((1+'Total Cost for Plan'!$B$37)*'Total Cost for Plan'!$B$38)),2)</f>
        <v>0</v>
      </c>
      <c r="T20" s="246">
        <f>ROUND(('Hours Per Job'!T20*'Total Cost for Plan'!$B$36+'Parts Cost Per Job'!T20*((1+'Total Cost for Plan'!$B$37)*'Total Cost for Plan'!$B$38)),2)</f>
        <v>0</v>
      </c>
      <c r="U20" s="246">
        <f>IF('Scheduled Intervals'!U20&gt;0,ROUND(('Hours Per Job'!U20*'Total Cost for Plan'!$B$36+'Parts Cost Per Job'!U20*((1+'Total Cost for Plan'!$B$37)*'Total Cost for Plan'!$B$38))*ROUNDDOWN($B$1/'Scheduled Intervals'!U20,0),2),0)</f>
        <v>0</v>
      </c>
      <c r="V20" s="246">
        <f>IF('Scheduled Intervals'!V20&gt;0,ROUND(('Hours Per Job'!V20*'Total Cost for Plan'!$B$36+'Parts Cost Per Job'!V20*((1+'Total Cost for Plan'!$B$37)*'Total Cost for Plan'!$B$38))*ROUNDDOWN($B$1/'Scheduled Intervals'!V20,0),2),0)</f>
        <v>0</v>
      </c>
      <c r="W20" s="246">
        <f>IF('Scheduled Intervals'!W20&gt;0,ROUND(('Hours Per Job'!W20*'Total Cost for Plan'!$B$36+'Parts Cost Per Job'!W20*((1+'Total Cost for Plan'!$B$37)*'Total Cost for Plan'!$B$38))*ROUNDDOWN($B$1/'Scheduled Intervals'!W20,0),2),0)</f>
        <v>0</v>
      </c>
      <c r="X20" s="246">
        <f>IF('Scheduled Intervals'!X20&gt;0,ROUND(('Hours Per Job'!X20*'Total Cost for Plan'!$B$36+'Parts Cost Per Job'!X20*((1+'Total Cost for Plan'!$B$37)*'Total Cost for Plan'!$B$38))*ROUNDDOWN($B$1/'Scheduled Intervals'!X20,0),2),0)</f>
        <v>0</v>
      </c>
      <c r="Y20" s="246">
        <f>IF('Scheduled Intervals'!Y20&gt;0,ROUND(('Hours Per Job'!Y20*'Total Cost for Plan'!$B$36+'Parts Cost Per Job'!Y20*((1+'Total Cost for Plan'!$B$37)*'Total Cost for Plan'!$B$38))*ROUNDDOWN($B$1/'Scheduled Intervals'!Y20,0),2),0)</f>
        <v>0</v>
      </c>
      <c r="Z20" s="246">
        <f>IF('Scheduled Intervals'!Z20&gt;0,ROUND(('Hours Per Job'!Z20*'Total Cost for Plan'!$B$36+'Parts Cost Per Job'!Z20*((1+'Total Cost for Plan'!$B$37)*'Total Cost for Plan'!$B$38))*ROUNDDOWN($B$1/'Scheduled Intervals'!Z20,0),2),0)</f>
        <v>76.010000000000005</v>
      </c>
      <c r="AA20" s="246">
        <f>IF('Scheduled Intervals'!AA20&gt;0,ROUND(('Hours Per Job'!AA20*'Total Cost for Plan'!$B$36+'Parts Cost Per Job'!AA20*((1+'Total Cost for Plan'!$B$37)*'Total Cost for Plan'!$B$38))*ROUNDDOWN($B$1/'Scheduled Intervals'!AA20,0),2),0)</f>
        <v>0</v>
      </c>
      <c r="AB20" s="246">
        <f>IF('Scheduled Intervals'!AB20&gt;0,ROUND(('Hours Per Job'!AB20*'Total Cost for Plan'!$B$36+'Parts Cost Per Job'!AB20*((1+'Total Cost for Plan'!$B$37)*'Total Cost for Plan'!$B$38))*ROUNDDOWN($B$1/'Scheduled Intervals'!AB20,0),2),0)</f>
        <v>0</v>
      </c>
      <c r="AC20" s="246">
        <f>IF('Scheduled Intervals'!AC20&gt;0,ROUND(('Hours Per Job'!AC20*'Total Cost for Plan'!$B$36+'Parts Cost Per Job'!AC20*((1+'Total Cost for Plan'!$B$37)*'Total Cost for Plan'!$B$38))*ROUNDDOWN($B$1/'Scheduled Intervals'!AC20,0),2),0)</f>
        <v>0</v>
      </c>
      <c r="AD20" s="246">
        <f>IF('Scheduled Intervals'!AD20&gt;0,ROUND(('Hours Per Job'!AD20*'Total Cost for Plan'!$B$36+'Parts Cost Per Job'!AD20*((1+'Total Cost for Plan'!$B$37)*'Total Cost for Plan'!$B$38))*ROUNDDOWN($B$1/'Scheduled Intervals'!AD20,0),2),0)</f>
        <v>0</v>
      </c>
      <c r="AE20" s="246">
        <f>IF('Scheduled Intervals'!AE20&gt;0,ROUND(('Hours Per Job'!AE20*'Total Cost for Plan'!$B$36+'Parts Cost Per Job'!AE20*((1+'Total Cost for Plan'!$B$37)*'Total Cost for Plan'!$B$38))*ROUNDDOWN($B$1/'Scheduled Intervals'!AE20,0),2),0)</f>
        <v>0</v>
      </c>
      <c r="AF20" s="246">
        <f>IF('Scheduled Intervals'!AF20&gt;0,ROUND(('Hours Per Job'!AF20*'Total Cost for Plan'!$B$36+'Parts Cost Per Job'!AF20*((1+'Total Cost for Plan'!$B$37)*'Total Cost for Plan'!$B$38))*ROUNDDOWN($B$1/'Scheduled Intervals'!AF20,0),2),0)</f>
        <v>0</v>
      </c>
      <c r="AG20" s="246">
        <f>IF('Scheduled Intervals'!AG20&gt;0,ROUND(('Hours Per Job'!AG20*'Total Cost for Plan'!$B$36+'Parts Cost Per Job'!AG20*((1+'Total Cost for Plan'!$B$37)*'Total Cost for Plan'!$B$38))*ROUNDDOWN($B$1/'Scheduled Intervals'!AG20,0),2),0)</f>
        <v>0</v>
      </c>
      <c r="AH20" s="246">
        <f>IF('Scheduled Intervals'!AH20&gt;0,ROUND(('Hours Per Job'!AH20*'Total Cost for Plan'!$B$36+'Parts Cost Per Job'!AH20*((1+'Total Cost for Plan'!$B$37)*'Total Cost for Plan'!$B$38))*ROUNDDOWN($B$1/'Scheduled Intervals'!AH20,0),2),0)</f>
        <v>0</v>
      </c>
      <c r="AI20" s="246">
        <f>IF('Scheduled Intervals'!AI20&gt;0,ROUND(('Hours Per Job'!AI20*'Total Cost for Plan'!$B$36+'Parts Cost Per Job'!AI20*((1+'Total Cost for Plan'!$B$37)*'Total Cost for Plan'!$B$38))*ROUNDDOWN($B$1/'Scheduled Intervals'!AI20,0),2),0)</f>
        <v>0</v>
      </c>
      <c r="AJ20" s="246">
        <f>IF('Scheduled Intervals'!AJ20&gt;0,ROUND(('Hours Per Job'!AJ20*'Total Cost for Plan'!$B$36+'Parts Cost Per Job'!AJ20*((1+'Total Cost for Plan'!$B$37)*'Total Cost for Plan'!$B$38))*ROUNDDOWN($B$1/'Scheduled Intervals'!AJ20,0),2),0)</f>
        <v>0</v>
      </c>
      <c r="AK20" s="246">
        <f>IF('Scheduled Intervals'!AK20&gt;0,ROUND(('Hours Per Job'!AK20*'Total Cost for Plan'!$B$36+'Parts Cost Per Job'!AK20*((1+'Total Cost for Plan'!$B$37)*'Total Cost for Plan'!$B$38))*ROUNDDOWN($B$1/'Scheduled Intervals'!AK20,0),2),0)</f>
        <v>0</v>
      </c>
      <c r="AL20" s="246">
        <f>IF('Scheduled Intervals'!AL20&gt;0,ROUND(('Hours Per Job'!AL20*'Total Cost for Plan'!$B$36+'Parts Cost Per Job'!AL20*((1+'Total Cost for Plan'!$B$37)*'Total Cost for Plan'!$B$38))*ROUNDDOWN($B$1/'Scheduled Intervals'!AL20,0),2),0)</f>
        <v>0</v>
      </c>
      <c r="AM20" s="246">
        <f>IF('Scheduled Intervals'!AM20&gt;0,ROUND(('Hours Per Job'!AM20*'Total Cost for Plan'!$B$36+'Parts Cost Per Job'!AM20*((1+'Total Cost for Plan'!$B$37)*'Total Cost for Plan'!$B$38))*ROUNDDOWN($B$1/'Scheduled Intervals'!AM20,0),2),0)</f>
        <v>0</v>
      </c>
      <c r="AN20" s="246">
        <f>IF('Scheduled Intervals'!AN20&gt;0,ROUND(('Hours Per Job'!AN20*'Total Cost for Plan'!$B$36+'Parts Cost Per Job'!AN20*((1+'Total Cost for Plan'!$B$37)*'Total Cost for Plan'!$B$38))*ROUNDDOWN($B$1/'Scheduled Intervals'!AN20,0),2),0)</f>
        <v>0</v>
      </c>
      <c r="AO20" s="246">
        <f>IF('Scheduled Intervals'!AO20&gt;0,ROUND(('Hours Per Job'!AO20*'Total Cost for Plan'!$B$36+'Parts Cost Per Job'!AO20*((1+'Total Cost for Plan'!$B$37)*'Total Cost for Plan'!$B$38))*ROUNDDOWN($B$1/'Scheduled Intervals'!AO20,0),2),0)</f>
        <v>0</v>
      </c>
      <c r="AP20" s="246">
        <f>IF('Scheduled Intervals'!AP20&gt;0,ROUND(('Hours Per Job'!AP20*'Total Cost for Plan'!$B$36+'Parts Cost Per Job'!AP20*((1+'Total Cost for Plan'!$B$37)*'Total Cost for Plan'!$B$38))*ROUNDDOWN($B$1/'Scheduled Intervals'!AP20,0),2),0)</f>
        <v>0</v>
      </c>
      <c r="AQ20" s="246">
        <f>IF('Scheduled Intervals'!AQ20&gt;0,ROUND(('Hours Per Job'!AQ20*'Total Cost for Plan'!$B$36+'Parts Cost Per Job'!AQ20*((1+'Total Cost for Plan'!$B$37)*'Total Cost for Plan'!$B$38))*ROUNDDOWN($B$1/'Scheduled Intervals'!AQ20,0),2),0)</f>
        <v>0</v>
      </c>
      <c r="AR20" s="246">
        <f>IF('Scheduled Intervals'!AR20&gt;0,ROUND(('Hours Per Job'!AR20*'Total Cost for Plan'!$B$36+'Parts Cost Per Job'!AR20*((1+'Total Cost for Plan'!$B$37)*'Total Cost for Plan'!$B$38))*ROUNDDOWN($B$1/'Scheduled Intervals'!AR20,0),2),0)</f>
        <v>0</v>
      </c>
      <c r="AS20" s="246">
        <f>IF('Scheduled Intervals'!AS20&gt;0,ROUND(('Hours Per Job'!AS20*'Total Cost for Plan'!$B$36+'Parts Cost Per Job'!AS20*((1+'Total Cost for Plan'!$B$37)*'Total Cost for Plan'!$B$38))*ROUNDDOWN($B$1/'Scheduled Intervals'!AS20,0),2),0)</f>
        <v>0</v>
      </c>
      <c r="AT20" s="246">
        <f>IF('Scheduled Intervals'!AT20&gt;0,ROUND(('Hours Per Job'!AT20*'Total Cost for Plan'!$B$36+'Parts Cost Per Job'!AT20*((1+'Total Cost for Plan'!$B$37)*'Total Cost for Plan'!$B$38))*ROUNDDOWN($B$1/'Scheduled Intervals'!AT20,0),2),0)</f>
        <v>35.07</v>
      </c>
      <c r="AU20" s="246">
        <f>IF('Scheduled Intervals'!AU20&gt;0,ROUND(('Hours Per Job'!AU20*'Total Cost for Plan'!$B$36+'Parts Cost Per Job'!AU20*((1+'Total Cost for Plan'!$B$37)*'Total Cost for Plan'!$B$38))*ROUNDDOWN($B$1/'Scheduled Intervals'!AU20,0),2),0)</f>
        <v>0</v>
      </c>
      <c r="AV20" s="246">
        <f>IF('Scheduled Intervals'!AV20&gt;0,ROUND(('Hours Per Job'!AV20*'Total Cost for Plan'!$B$36+'Parts Cost Per Job'!AV20*((1+'Total Cost for Plan'!$B$37)*'Total Cost for Plan'!$B$38))*ROUNDDOWN($B$1/'Scheduled Intervals'!AV20,0),2),0)</f>
        <v>0</v>
      </c>
      <c r="AW20" s="246">
        <f>IF('Scheduled Intervals'!AW20&gt;0,ROUND(('Hours Per Job'!AW20*'Total Cost for Plan'!$B$36+'Parts Cost Per Job'!AW20*((1+'Total Cost for Plan'!$B$37)*'Total Cost for Plan'!$B$38))*ROUNDDOWN($B$1/'Scheduled Intervals'!AW20,0),2),0)</f>
        <v>0</v>
      </c>
      <c r="AX20" s="246">
        <f>IF('Scheduled Intervals'!AX20&gt;0,ROUND(('Hours Per Job'!AX20*'Total Cost for Plan'!$B$36+'Parts Cost Per Job'!AX20*((1+'Total Cost for Plan'!$B$37)*'Total Cost for Plan'!$B$38))*ROUNDDOWN($B$1/'Scheduled Intervals'!AX20,0),2),0)</f>
        <v>0</v>
      </c>
      <c r="AY20" s="246">
        <f>IF('Scheduled Intervals'!AY20&gt;0,ROUND(('Hours Per Job'!AY20*'Total Cost for Plan'!$B$36+'Parts Cost Per Job'!AY20*((1+'Total Cost for Plan'!$B$37)*'Total Cost for Plan'!$B$38))*ROUNDDOWN($B$1/'Scheduled Intervals'!AY20,0),2),0)</f>
        <v>0</v>
      </c>
      <c r="AZ20" s="246">
        <f>IF('Scheduled Intervals'!AZ20&gt;0,ROUND(('Hours Per Job'!AZ20*'Total Cost for Plan'!$B$36+'Parts Cost Per Job'!AZ20*((1+'Total Cost for Plan'!$B$37)*'Total Cost for Plan'!$B$38))*ROUNDDOWN($B$1/'Scheduled Intervals'!AZ20,0),2),0)</f>
        <v>0</v>
      </c>
      <c r="BA20" s="246">
        <f>IF('Scheduled Intervals'!BA20&gt;0,ROUND(('Hours Per Job'!BA20*'Total Cost for Plan'!$B$36+'Parts Cost Per Job'!BA20*((1+'Total Cost for Plan'!$B$37)*'Total Cost for Plan'!$B$38))*ROUNDDOWN($B$1/'Scheduled Intervals'!BA20,0),2),0)</f>
        <v>0</v>
      </c>
      <c r="BB20" s="246">
        <f>IF('Scheduled Intervals'!BB20&gt;0,ROUND(('Hours Per Job'!BB20*'Total Cost for Plan'!$B$36+'Parts Cost Per Job'!BB20*((1+'Total Cost for Plan'!$B$37)*'Total Cost for Plan'!$B$38))*ROUNDDOWN($B$1/'Scheduled Intervals'!BB20,0),2),0)</f>
        <v>0</v>
      </c>
      <c r="BC20" s="246">
        <f>IF('Scheduled Intervals'!BC20&gt;0,ROUND(('Hours Per Job'!BC20*'Total Cost for Plan'!$B$36+'Parts Cost Per Job'!BC20*((1+'Total Cost for Plan'!$B$37)*'Total Cost for Plan'!$B$38))*ROUNDDOWN($B$1/'Scheduled Intervals'!BC20,0),2),0)</f>
        <v>0</v>
      </c>
      <c r="BD20" s="246">
        <f>IF('Scheduled Intervals'!BD20&gt;0,ROUND(('Hours Per Job'!BD20*'Total Cost for Plan'!$B$36+'Parts Cost Per Job'!BD20*((1+'Total Cost for Plan'!$B$37)*'Total Cost for Plan'!$B$38))*ROUNDDOWN($B$1/'Scheduled Intervals'!BD20,0),2),0)</f>
        <v>0</v>
      </c>
      <c r="BE20" s="246">
        <f>IF('Scheduled Intervals'!BE20&gt;0,ROUND(('Hours Per Job'!BE20*'Total Cost for Plan'!$B$36+'Parts Cost Per Job'!BE20*((1+'Total Cost for Plan'!$B$37)*'Total Cost for Plan'!$B$38))*ROUNDDOWN($B$1/'Scheduled Intervals'!BE20,0),2),0)</f>
        <v>0</v>
      </c>
      <c r="BF20" s="246">
        <f>IF('Scheduled Intervals'!BF20&gt;0,ROUND(('Hours Per Job'!BF20*'Total Cost for Plan'!$B$36+'Parts Cost Per Job'!BF20*((1+'Total Cost for Plan'!$B$37)*'Total Cost for Plan'!$B$38))*ROUNDDOWN($B$1/'Scheduled Intervals'!BF20,0),2),0)</f>
        <v>0</v>
      </c>
      <c r="BG20" s="246">
        <f>IF('Scheduled Intervals'!BG20&gt;0,ROUND(('Hours Per Job'!BG20*'Total Cost for Plan'!$B$36+'Parts Cost Per Job'!BG20*((1+'Total Cost for Plan'!$B$37)*'Total Cost for Plan'!$B$38))*ROUNDDOWN($B$1/'Scheduled Intervals'!BG20,0),2),0)</f>
        <v>0</v>
      </c>
      <c r="BH20" s="246">
        <f>IF('Scheduled Intervals'!BH20&gt;0,ROUND(('Hours Per Job'!BH20*'Total Cost for Plan'!$B$36+'Parts Cost Per Job'!BH20*((1+'Total Cost for Plan'!$B$37)*'Total Cost for Plan'!$B$38))*ROUNDDOWN($B$1/'Scheduled Intervals'!BH20,0),2),0)</f>
        <v>0</v>
      </c>
      <c r="BI20" s="246">
        <f>IF('Scheduled Intervals'!BI20&gt;0,ROUND(('Hours Per Job'!BI20*'Total Cost for Plan'!$B$36+'Parts Cost Per Job'!BI20*((1+'Total Cost for Plan'!$B$37)*'Total Cost for Plan'!$B$38))*ROUNDDOWN($B$1/'Scheduled Intervals'!BI20,0),2),0)</f>
        <v>0</v>
      </c>
      <c r="BJ20" s="246">
        <f>IF('Scheduled Intervals'!BJ20&gt;0,ROUND(('Hours Per Job'!BJ20*'Total Cost for Plan'!$B$36+'Parts Cost Per Job'!BJ20*((1+'Total Cost for Plan'!$B$37)*'Total Cost for Plan'!$B$38))*ROUNDDOWN($B$1/'Scheduled Intervals'!BJ20,0),2),0)</f>
        <v>30</v>
      </c>
      <c r="BK20" s="246">
        <f>IF('Scheduled Intervals'!BK20&gt;0,ROUND(('Hours Per Job'!BK20*'Total Cost for Plan'!$B$36+'Parts Cost Per Job'!BK20*((1+'Total Cost for Plan'!$B$37)*'Total Cost for Plan'!$B$38))*ROUNDDOWN($B$1/'Scheduled Intervals'!BK20,0),2),0)</f>
        <v>0</v>
      </c>
      <c r="BL20" s="246">
        <f>IF('Scheduled Intervals'!BL20&gt;0,ROUND(('Hours Per Job'!BL20*'Total Cost for Plan'!$B$36+'Parts Cost Per Job'!BL20*((1+'Total Cost for Plan'!$B$37)*'Total Cost for Plan'!$B$38))*ROUNDDOWN($B$1/'Scheduled Intervals'!BL20,0),2),0)</f>
        <v>0</v>
      </c>
      <c r="BM20" s="246">
        <f>IF('Scheduled Intervals'!BM20&gt;0,ROUND(('Hours Per Job'!BM20*'Total Cost for Plan'!$B$36+'Parts Cost Per Job'!BM20*((1+'Total Cost for Plan'!$B$37)*'Total Cost for Plan'!$B$38))*ROUNDDOWN($B$1/'Scheduled Intervals'!BM20,0),2),0)</f>
        <v>0</v>
      </c>
      <c r="BN20" s="246">
        <f>IF(AND('Scheduled Intervals'!BN$4="annual",'Plan Summary'!$C$5&lt;'Scheduled Intervals'!$U20*('Plan Summary'!$C$9/12)),ROUND(('Hours Per Job'!BN20*'Total Cost for Plan'!$B$36+'Parts Cost Per Job'!BN20*((1+'Total Cost for Plan'!$B$37)*'Total Cost for Plan'!$B$38))*ROUND('Plan Summary'!$C$9/12,0),2),0)</f>
        <v>668.94</v>
      </c>
      <c r="BO20" s="246">
        <f>IF(AND('Scheduled Intervals'!BO$4="annual",'Plan Summary'!$C$5&lt;'Scheduled Intervals'!$U20*('Plan Summary'!$C$9/12)),ROUND(('Hours Per Job'!BO20*'Total Cost for Plan'!$B$36+'Parts Cost Per Job'!BO20*((1+'Total Cost for Plan'!$B$37)*'Total Cost for Plan'!$B$38))*ROUND('Plan Summary'!$C$9/12,0),2),0)</f>
        <v>175.33</v>
      </c>
      <c r="BP20" s="246">
        <f>IF(AND('Scheduled Intervals'!BP$4="annual",'Plan Summary'!$C$5&lt;'Scheduled Intervals'!$U20*('Plan Summary'!$C$9/12)),ROUND(('Hours Per Job'!BP20*'Total Cost for Plan'!$B$36+'Parts Cost Per Job'!BP20*((1+'Total Cost for Plan'!$B$37)*'Total Cost for Plan'!$B$38))*ROUND('Plan Summary'!$C$9/12,0),2),0)</f>
        <v>630</v>
      </c>
      <c r="BQ20" s="246">
        <f t="shared" si="0"/>
        <v>1977.1599999999999</v>
      </c>
      <c r="BR20" s="246"/>
    </row>
    <row r="21" spans="1:70" ht="16" x14ac:dyDescent="0.2">
      <c r="A21" s="18" t="str">
        <f>+'Scheduled Intervals'!A21</f>
        <v>Takeuchi TL 8/10/12</v>
      </c>
      <c r="B21" s="246">
        <f>ROUND(('Hours Per Job'!B21*'Total Cost for Plan'!$B$36+'Parts Cost Per Job'!B21*((1+'Total Cost for Plan'!$B$37)*'Total Cost for Plan'!$B$38)),2)</f>
        <v>196.28</v>
      </c>
      <c r="C21" s="246">
        <f>ROUND(('Hours Per Job'!C21*'Total Cost for Plan'!$B$36+'Parts Cost Per Job'!C21*((1+'Total Cost for Plan'!$B$37)*'Total Cost for Plan'!$B$38)),2)</f>
        <v>12</v>
      </c>
      <c r="D21" s="246">
        <f>ROUND(('Hours Per Job'!D21*'Total Cost for Plan'!$B$36+'Parts Cost Per Job'!D21*((1+'Total Cost for Plan'!$B$37)*'Total Cost for Plan'!$B$38)),2)</f>
        <v>12</v>
      </c>
      <c r="E21" s="246">
        <f>ROUND(('Hours Per Job'!E21*'Total Cost for Plan'!$B$36+'Parts Cost Per Job'!E21*((1+'Total Cost for Plan'!$B$37)*'Total Cost for Plan'!$B$38)),2)</f>
        <v>0</v>
      </c>
      <c r="F21" s="246">
        <f>ROUND(('Hours Per Job'!F21*'Total Cost for Plan'!$B$36+'Parts Cost Per Job'!F21*((1+'Total Cost for Plan'!$B$37)*'Total Cost for Plan'!$B$38)),2)</f>
        <v>165.27</v>
      </c>
      <c r="G21" s="246">
        <f>ROUND(('Hours Per Job'!G21*'Total Cost for Plan'!$B$36+'Parts Cost Per Job'!G21*((1+'Total Cost for Plan'!$B$37)*'Total Cost for Plan'!$B$38)),2)</f>
        <v>0</v>
      </c>
      <c r="H21" s="246">
        <f>ROUND(('Hours Per Job'!H21*'Total Cost for Plan'!$B$36+'Parts Cost Per Job'!H21*((1+'Total Cost for Plan'!$B$37)*'Total Cost for Plan'!$B$38)),2)</f>
        <v>71.069999999999993</v>
      </c>
      <c r="I21" s="246">
        <f>ROUND(('Hours Per Job'!I21*'Total Cost for Plan'!$B$36+'Parts Cost Per Job'!I21*((1+'Total Cost for Plan'!$B$37)*'Total Cost for Plan'!$B$38)),2)</f>
        <v>30</v>
      </c>
      <c r="J21" s="246">
        <f>ROUND(('Hours Per Job'!J21*'Total Cost for Plan'!$B$36+'Parts Cost Per Job'!J21*((1+'Total Cost for Plan'!$B$37)*'Total Cost for Plan'!$B$38)),2)</f>
        <v>0</v>
      </c>
      <c r="K21" s="246">
        <f>ROUND(('Hours Per Job'!K21*'Total Cost for Plan'!$B$36+'Parts Cost Per Job'!K21*((1+'Total Cost for Plan'!$B$37)*'Total Cost for Plan'!$B$38)),2)</f>
        <v>0</v>
      </c>
      <c r="L21" s="246">
        <f>ROUND(('Hours Per Job'!L21*'Total Cost for Plan'!$B$36+'Parts Cost Per Job'!L21*((1+'Total Cost for Plan'!$B$37)*'Total Cost for Plan'!$B$38)),2)</f>
        <v>0</v>
      </c>
      <c r="M21" s="246">
        <f>ROUND(('Hours Per Job'!M21*'Total Cost for Plan'!$B$36+'Parts Cost Per Job'!M21*((1+'Total Cost for Plan'!$B$37)*'Total Cost for Plan'!$B$38)),2)</f>
        <v>153.27000000000001</v>
      </c>
      <c r="N21" s="246">
        <f>ROUND(('Hours Per Job'!N21*'Total Cost for Plan'!$B$36+'Parts Cost Per Job'!N21*((1+'Total Cost for Plan'!$B$37)*'Total Cost for Plan'!$B$38)),2)</f>
        <v>0</v>
      </c>
      <c r="O21" s="246">
        <f>ROUND(('Hours Per Job'!O21*'Total Cost for Plan'!$B$36+'Parts Cost Per Job'!O21*((1+'Total Cost for Plan'!$B$37)*'Total Cost for Plan'!$B$38)),2)</f>
        <v>0</v>
      </c>
      <c r="P21" s="246">
        <f>ROUND(('Hours Per Job'!P21*'Total Cost for Plan'!$B$36+'Parts Cost Per Job'!P21*((1+'Total Cost for Plan'!$B$37)*'Total Cost for Plan'!$B$38)),2)</f>
        <v>104.32</v>
      </c>
      <c r="Q21" s="246">
        <f>ROUND(('Hours Per Job'!Q21*'Total Cost for Plan'!$B$36+'Parts Cost Per Job'!Q21*((1+'Total Cost for Plan'!$B$37)*'Total Cost for Plan'!$B$38)),2)</f>
        <v>0</v>
      </c>
      <c r="R21" s="246">
        <f>ROUND(('Hours Per Job'!R21*'Total Cost for Plan'!$B$36+'Parts Cost Per Job'!R21*((1+'Total Cost for Plan'!$B$37)*'Total Cost for Plan'!$B$38)),2)</f>
        <v>0</v>
      </c>
      <c r="S21" s="246">
        <f>ROUND(('Hours Per Job'!S21*'Total Cost for Plan'!$B$36+'Parts Cost Per Job'!S21*((1+'Total Cost for Plan'!$B$37)*'Total Cost for Plan'!$B$38)),2)</f>
        <v>0</v>
      </c>
      <c r="T21" s="246">
        <f>ROUND(('Hours Per Job'!T21*'Total Cost for Plan'!$B$36+'Parts Cost Per Job'!T21*((1+'Total Cost for Plan'!$B$37)*'Total Cost for Plan'!$B$38)),2)</f>
        <v>0</v>
      </c>
      <c r="U21" s="246">
        <f>IF('Scheduled Intervals'!U21&gt;0,ROUND(('Hours Per Job'!U21*'Total Cost for Plan'!$B$36+'Parts Cost Per Job'!U21*((1+'Total Cost for Plan'!$B$37)*'Total Cost for Plan'!$B$38))*ROUNDDOWN($B$1/'Scheduled Intervals'!U21,0),2),0)</f>
        <v>0</v>
      </c>
      <c r="V21" s="246">
        <f>IF('Scheduled Intervals'!V21&gt;0,ROUND(('Hours Per Job'!V21*'Total Cost for Plan'!$B$36+'Parts Cost Per Job'!V21*((1+'Total Cost for Plan'!$B$37)*'Total Cost for Plan'!$B$38))*ROUNDDOWN($B$1/'Scheduled Intervals'!V21,0),2),0)</f>
        <v>0</v>
      </c>
      <c r="W21" s="246">
        <f>IF('Scheduled Intervals'!W21&gt;0,ROUND(('Hours Per Job'!W21*'Total Cost for Plan'!$B$36+'Parts Cost Per Job'!W21*((1+'Total Cost for Plan'!$B$37)*'Total Cost for Plan'!$B$38))*ROUNDDOWN($B$1/'Scheduled Intervals'!W21,0),2),0)</f>
        <v>12</v>
      </c>
      <c r="X21" s="246">
        <f>IF('Scheduled Intervals'!X21&gt;0,ROUND(('Hours Per Job'!X21*'Total Cost for Plan'!$B$36+'Parts Cost Per Job'!X21*((1+'Total Cost for Plan'!$B$37)*'Total Cost for Plan'!$B$38))*ROUNDDOWN($B$1/'Scheduled Intervals'!X21,0),2),0)</f>
        <v>0</v>
      </c>
      <c r="Y21" s="246">
        <f>IF('Scheduled Intervals'!Y21&gt;0,ROUND(('Hours Per Job'!Y21*'Total Cost for Plan'!$B$36+'Parts Cost Per Job'!Y21*((1+'Total Cost for Plan'!$B$37)*'Total Cost for Plan'!$B$38))*ROUNDDOWN($B$1/'Scheduled Intervals'!Y21,0),2),0)</f>
        <v>0</v>
      </c>
      <c r="Z21" s="246">
        <f>IF('Scheduled Intervals'!Z21&gt;0,ROUND(('Hours Per Job'!Z21*'Total Cost for Plan'!$B$36+'Parts Cost Per Job'!Z21*((1+'Total Cost for Plan'!$B$37)*'Total Cost for Plan'!$B$38))*ROUNDDOWN($B$1/'Scheduled Intervals'!Z21,0),2),0)</f>
        <v>0</v>
      </c>
      <c r="AA21" s="246">
        <f>IF('Scheduled Intervals'!AA21&gt;0,ROUND(('Hours Per Job'!AA21*'Total Cost for Plan'!$B$36+'Parts Cost Per Job'!AA21*((1+'Total Cost for Plan'!$B$37)*'Total Cost for Plan'!$B$38))*ROUNDDOWN($B$1/'Scheduled Intervals'!AA21,0),2),0)</f>
        <v>0</v>
      </c>
      <c r="AB21" s="246">
        <f>IF('Scheduled Intervals'!AB21&gt;0,ROUND(('Hours Per Job'!AB21*'Total Cost for Plan'!$B$36+'Parts Cost Per Job'!AB21*((1+'Total Cost for Plan'!$B$37)*'Total Cost for Plan'!$B$38))*ROUNDDOWN($B$1/'Scheduled Intervals'!AB21,0),2),0)</f>
        <v>0</v>
      </c>
      <c r="AC21" s="246">
        <f>IF('Scheduled Intervals'!AC21&gt;0,ROUND(('Hours Per Job'!AC21*'Total Cost for Plan'!$B$36+'Parts Cost Per Job'!AC21*((1+'Total Cost for Plan'!$B$37)*'Total Cost for Plan'!$B$38))*ROUNDDOWN($B$1/'Scheduled Intervals'!AC21,0),2),0)</f>
        <v>0</v>
      </c>
      <c r="AD21" s="246">
        <f>IF('Scheduled Intervals'!AD21&gt;0,ROUND(('Hours Per Job'!AD21*'Total Cost for Plan'!$B$36+'Parts Cost Per Job'!AD21*((1+'Total Cost for Plan'!$B$37)*'Total Cost for Plan'!$B$38))*ROUNDDOWN($B$1/'Scheduled Intervals'!AD21,0),2),0)</f>
        <v>0</v>
      </c>
      <c r="AE21" s="246">
        <f>IF('Scheduled Intervals'!AE21&gt;0,ROUND(('Hours Per Job'!AE21*'Total Cost for Plan'!$B$36+'Parts Cost Per Job'!AE21*((1+'Total Cost for Plan'!$B$37)*'Total Cost for Plan'!$B$38))*ROUNDDOWN($B$1/'Scheduled Intervals'!AE21,0),2),0)</f>
        <v>0</v>
      </c>
      <c r="AF21" s="246">
        <f>IF('Scheduled Intervals'!AF21&gt;0,ROUND(('Hours Per Job'!AF21*'Total Cost for Plan'!$B$36+'Parts Cost Per Job'!AF21*((1+'Total Cost for Plan'!$B$37)*'Total Cost for Plan'!$B$38))*ROUNDDOWN($B$1/'Scheduled Intervals'!AF21,0),2),0)</f>
        <v>0</v>
      </c>
      <c r="AG21" s="246">
        <f>IF('Scheduled Intervals'!AG21&gt;0,ROUND(('Hours Per Job'!AG21*'Total Cost for Plan'!$B$36+'Parts Cost Per Job'!AG21*((1+'Total Cost for Plan'!$B$37)*'Total Cost for Plan'!$B$38))*ROUNDDOWN($B$1/'Scheduled Intervals'!AG21,0),2),0)</f>
        <v>0</v>
      </c>
      <c r="AH21" s="246">
        <f>IF('Scheduled Intervals'!AH21&gt;0,ROUND(('Hours Per Job'!AH21*'Total Cost for Plan'!$B$36+'Parts Cost Per Job'!AH21*((1+'Total Cost for Plan'!$B$37)*'Total Cost for Plan'!$B$38))*ROUNDDOWN($B$1/'Scheduled Intervals'!AH21,0),2),0)</f>
        <v>0</v>
      </c>
      <c r="AI21" s="246">
        <f>IF('Scheduled Intervals'!AI21&gt;0,ROUND(('Hours Per Job'!AI21*'Total Cost for Plan'!$B$36+'Parts Cost Per Job'!AI21*((1+'Total Cost for Plan'!$B$37)*'Total Cost for Plan'!$B$38))*ROUNDDOWN($B$1/'Scheduled Intervals'!AI21,0),2),0)</f>
        <v>0</v>
      </c>
      <c r="AJ21" s="246">
        <f>IF('Scheduled Intervals'!AJ21&gt;0,ROUND(('Hours Per Job'!AJ21*'Total Cost for Plan'!$B$36+'Parts Cost Per Job'!AJ21*((1+'Total Cost for Plan'!$B$37)*'Total Cost for Plan'!$B$38))*ROUNDDOWN($B$1/'Scheduled Intervals'!AJ21,0),2),0)</f>
        <v>0</v>
      </c>
      <c r="AK21" s="246">
        <f>IF('Scheduled Intervals'!AK21&gt;0,ROUND(('Hours Per Job'!AK21*'Total Cost for Plan'!$B$36+'Parts Cost Per Job'!AK21*((1+'Total Cost for Plan'!$B$37)*'Total Cost for Plan'!$B$38))*ROUNDDOWN($B$1/'Scheduled Intervals'!AK21,0),2),0)</f>
        <v>0</v>
      </c>
      <c r="AL21" s="246">
        <f>IF('Scheduled Intervals'!AL21&gt;0,ROUND(('Hours Per Job'!AL21*'Total Cost for Plan'!$B$36+'Parts Cost Per Job'!AL21*((1+'Total Cost for Plan'!$B$37)*'Total Cost for Plan'!$B$38))*ROUNDDOWN($B$1/'Scheduled Intervals'!AL21,0),2),0)</f>
        <v>156.16999999999999</v>
      </c>
      <c r="AM21" s="246">
        <f>IF('Scheduled Intervals'!AM21&gt;0,ROUND(('Hours Per Job'!AM21*'Total Cost for Plan'!$B$36+'Parts Cost Per Job'!AM21*((1+'Total Cost for Plan'!$B$37)*'Total Cost for Plan'!$B$38))*ROUNDDOWN($B$1/'Scheduled Intervals'!AM21,0),2),0)</f>
        <v>0</v>
      </c>
      <c r="AN21" s="246">
        <f>IF('Scheduled Intervals'!AN21&gt;0,ROUND(('Hours Per Job'!AN21*'Total Cost for Plan'!$B$36+'Parts Cost Per Job'!AN21*((1+'Total Cost for Plan'!$B$37)*'Total Cost for Plan'!$B$38))*ROUNDDOWN($B$1/'Scheduled Intervals'!AN21,0),2),0)</f>
        <v>0</v>
      </c>
      <c r="AO21" s="246">
        <f>IF('Scheduled Intervals'!AO21&gt;0,ROUND(('Hours Per Job'!AO21*'Total Cost for Plan'!$B$36+'Parts Cost Per Job'!AO21*((1+'Total Cost for Plan'!$B$37)*'Total Cost for Plan'!$B$38))*ROUNDDOWN($B$1/'Scheduled Intervals'!AO21,0),2),0)</f>
        <v>0</v>
      </c>
      <c r="AP21" s="246">
        <f>IF('Scheduled Intervals'!AP21&gt;0,ROUND(('Hours Per Job'!AP21*'Total Cost for Plan'!$B$36+'Parts Cost Per Job'!AP21*((1+'Total Cost for Plan'!$B$37)*'Total Cost for Plan'!$B$38))*ROUNDDOWN($B$1/'Scheduled Intervals'!AP21,0),2),0)</f>
        <v>84</v>
      </c>
      <c r="AQ21" s="246">
        <f>IF('Scheduled Intervals'!AQ21&gt;0,ROUND(('Hours Per Job'!AQ21*'Total Cost for Plan'!$B$36+'Parts Cost Per Job'!AQ21*((1+'Total Cost for Plan'!$B$37)*'Total Cost for Plan'!$B$38))*ROUNDDOWN($B$1/'Scheduled Intervals'!AQ21,0),2),0)</f>
        <v>24</v>
      </c>
      <c r="AR21" s="246">
        <f>IF('Scheduled Intervals'!AR21&gt;0,ROUND(('Hours Per Job'!AR21*'Total Cost for Plan'!$B$36+'Parts Cost Per Job'!AR21*((1+'Total Cost for Plan'!$B$37)*'Total Cost for Plan'!$B$38))*ROUNDDOWN($B$1/'Scheduled Intervals'!AR21,0),2),0)</f>
        <v>0</v>
      </c>
      <c r="AS21" s="246">
        <f>IF('Scheduled Intervals'!AS21&gt;0,ROUND(('Hours Per Job'!AS21*'Total Cost for Plan'!$B$36+'Parts Cost Per Job'!AS21*((1+'Total Cost for Plan'!$B$37)*'Total Cost for Plan'!$B$38))*ROUNDDOWN($B$1/'Scheduled Intervals'!AS21,0),2),0)</f>
        <v>0</v>
      </c>
      <c r="AT21" s="246">
        <f>IF('Scheduled Intervals'!AT21&gt;0,ROUND(('Hours Per Job'!AT21*'Total Cost for Plan'!$B$36+'Parts Cost Per Job'!AT21*((1+'Total Cost for Plan'!$B$37)*'Total Cost for Plan'!$B$38))*ROUNDDOWN($B$1/'Scheduled Intervals'!AT21,0),2),0)</f>
        <v>0</v>
      </c>
      <c r="AU21" s="246">
        <f>IF('Scheduled Intervals'!AU21&gt;0,ROUND(('Hours Per Job'!AU21*'Total Cost for Plan'!$B$36+'Parts Cost Per Job'!AU21*((1+'Total Cost for Plan'!$B$37)*'Total Cost for Plan'!$B$38))*ROUNDDOWN($B$1/'Scheduled Intervals'!AU21,0),2),0)</f>
        <v>0</v>
      </c>
      <c r="AV21" s="246">
        <f>IF('Scheduled Intervals'!AV21&gt;0,ROUND(('Hours Per Job'!AV21*'Total Cost for Plan'!$B$36+'Parts Cost Per Job'!AV21*((1+'Total Cost for Plan'!$B$37)*'Total Cost for Plan'!$B$38))*ROUNDDOWN($B$1/'Scheduled Intervals'!AV21,0),2),0)</f>
        <v>0</v>
      </c>
      <c r="AW21" s="246">
        <f>IF('Scheduled Intervals'!AW21&gt;0,ROUND(('Hours Per Job'!AW21*'Total Cost for Plan'!$B$36+'Parts Cost Per Job'!AW21*((1+'Total Cost for Plan'!$B$37)*'Total Cost for Plan'!$B$38))*ROUNDDOWN($B$1/'Scheduled Intervals'!AW21,0),2),0)</f>
        <v>0</v>
      </c>
      <c r="AX21" s="246">
        <f>IF('Scheduled Intervals'!AX21&gt;0,ROUND(('Hours Per Job'!AX21*'Total Cost for Plan'!$B$36+'Parts Cost Per Job'!AX21*((1+'Total Cost for Plan'!$B$37)*'Total Cost for Plan'!$B$38))*ROUNDDOWN($B$1/'Scheduled Intervals'!AX21,0),2),0)</f>
        <v>0</v>
      </c>
      <c r="AY21" s="246">
        <f>IF('Scheduled Intervals'!AY21&gt;0,ROUND(('Hours Per Job'!AY21*'Total Cost for Plan'!$B$36+'Parts Cost Per Job'!AY21*((1+'Total Cost for Plan'!$B$37)*'Total Cost for Plan'!$B$38))*ROUNDDOWN($B$1/'Scheduled Intervals'!AY21,0),2),0)</f>
        <v>0</v>
      </c>
      <c r="AZ21" s="246">
        <f>IF('Scheduled Intervals'!AZ21&gt;0,ROUND(('Hours Per Job'!AZ21*'Total Cost for Plan'!$B$36+'Parts Cost Per Job'!AZ21*((1+'Total Cost for Plan'!$B$37)*'Total Cost for Plan'!$B$38))*ROUNDDOWN($B$1/'Scheduled Intervals'!AZ21,0),2),0)</f>
        <v>0</v>
      </c>
      <c r="BA21" s="246">
        <f>IF('Scheduled Intervals'!BA21&gt;0,ROUND(('Hours Per Job'!BA21*'Total Cost for Plan'!$B$36+'Parts Cost Per Job'!BA21*((1+'Total Cost for Plan'!$B$37)*'Total Cost for Plan'!$B$38))*ROUNDDOWN($B$1/'Scheduled Intervals'!BA21,0),2),0)</f>
        <v>0</v>
      </c>
      <c r="BB21" s="246">
        <f>IF('Scheduled Intervals'!BB21&gt;0,ROUND(('Hours Per Job'!BB21*'Total Cost for Plan'!$B$36+'Parts Cost Per Job'!BB21*((1+'Total Cost for Plan'!$B$37)*'Total Cost for Plan'!$B$38))*ROUNDDOWN($B$1/'Scheduled Intervals'!BB21,0),2),0)</f>
        <v>105.42</v>
      </c>
      <c r="BC21" s="246">
        <f>IF('Scheduled Intervals'!BC21&gt;0,ROUND(('Hours Per Job'!BC21*'Total Cost for Plan'!$B$36+'Parts Cost Per Job'!BC21*((1+'Total Cost for Plan'!$B$37)*'Total Cost for Plan'!$B$38))*ROUNDDOWN($B$1/'Scheduled Intervals'!BC21,0),2),0)</f>
        <v>0</v>
      </c>
      <c r="BD21" s="246">
        <f>IF('Scheduled Intervals'!BD21&gt;0,ROUND(('Hours Per Job'!BD21*'Total Cost for Plan'!$B$36+'Parts Cost Per Job'!BD21*((1+'Total Cost for Plan'!$B$37)*'Total Cost for Plan'!$B$38))*ROUNDDOWN($B$1/'Scheduled Intervals'!BD21,0),2),0)</f>
        <v>0</v>
      </c>
      <c r="BE21" s="246">
        <f>IF('Scheduled Intervals'!BE21&gt;0,ROUND(('Hours Per Job'!BE21*'Total Cost for Plan'!$B$36+'Parts Cost Per Job'!BE21*((1+'Total Cost for Plan'!$B$37)*'Total Cost for Plan'!$B$38))*ROUNDDOWN($B$1/'Scheduled Intervals'!BE21,0),2),0)</f>
        <v>0</v>
      </c>
      <c r="BF21" s="246">
        <f>IF('Scheduled Intervals'!BF21&gt;0,ROUND(('Hours Per Job'!BF21*'Total Cost for Plan'!$B$36+'Parts Cost Per Job'!BF21*((1+'Total Cost for Plan'!$B$37)*'Total Cost for Plan'!$B$38))*ROUNDDOWN($B$1/'Scheduled Intervals'!BF21,0),2),0)</f>
        <v>0</v>
      </c>
      <c r="BG21" s="246">
        <f>IF('Scheduled Intervals'!BG21&gt;0,ROUND(('Hours Per Job'!BG21*'Total Cost for Plan'!$B$36+'Parts Cost Per Job'!BG21*((1+'Total Cost for Plan'!$B$37)*'Total Cost for Plan'!$B$38))*ROUNDDOWN($B$1/'Scheduled Intervals'!BG21,0),2),0)</f>
        <v>0</v>
      </c>
      <c r="BH21" s="246">
        <f>IF('Scheduled Intervals'!BH21&gt;0,ROUND(('Hours Per Job'!BH21*'Total Cost for Plan'!$B$36+'Parts Cost Per Job'!BH21*((1+'Total Cost for Plan'!$B$37)*'Total Cost for Plan'!$B$38))*ROUNDDOWN($B$1/'Scheduled Intervals'!BH21,0),2),0)</f>
        <v>0</v>
      </c>
      <c r="BI21" s="246">
        <f>IF('Scheduled Intervals'!BI21&gt;0,ROUND(('Hours Per Job'!BI21*'Total Cost for Plan'!$B$36+'Parts Cost Per Job'!BI21*((1+'Total Cost for Plan'!$B$37)*'Total Cost for Plan'!$B$38))*ROUNDDOWN($B$1/'Scheduled Intervals'!BI21,0),2),0)</f>
        <v>0</v>
      </c>
      <c r="BJ21" s="246">
        <f>IF('Scheduled Intervals'!BJ21&gt;0,ROUND(('Hours Per Job'!BJ21*'Total Cost for Plan'!$B$36+'Parts Cost Per Job'!BJ21*((1+'Total Cost for Plan'!$B$37)*'Total Cost for Plan'!$B$38))*ROUNDDOWN($B$1/'Scheduled Intervals'!BJ21,0),2),0)</f>
        <v>0</v>
      </c>
      <c r="BK21" s="246">
        <f>IF('Scheduled Intervals'!BK21&gt;0,ROUND(('Hours Per Job'!BK21*'Total Cost for Plan'!$B$36+'Parts Cost Per Job'!BK21*((1+'Total Cost for Plan'!$B$37)*'Total Cost for Plan'!$B$38))*ROUNDDOWN($B$1/'Scheduled Intervals'!BK21,0),2),0)</f>
        <v>0</v>
      </c>
      <c r="BL21" s="246">
        <f>IF('Scheduled Intervals'!BL21&gt;0,ROUND(('Hours Per Job'!BL21*'Total Cost for Plan'!$B$36+'Parts Cost Per Job'!BL21*((1+'Total Cost for Plan'!$B$37)*'Total Cost for Plan'!$B$38))*ROUNDDOWN($B$1/'Scheduled Intervals'!BL21,0),2),0)</f>
        <v>0</v>
      </c>
      <c r="BM21" s="246">
        <f>IF('Scheduled Intervals'!BM21&gt;0,ROUND(('Hours Per Job'!BM21*'Total Cost for Plan'!$B$36+'Parts Cost Per Job'!BM21*((1+'Total Cost for Plan'!$B$37)*'Total Cost for Plan'!$B$38))*ROUNDDOWN($B$1/'Scheduled Intervals'!BM21,0),2),0)</f>
        <v>0</v>
      </c>
      <c r="BN21" s="246">
        <f>IF(AND('Scheduled Intervals'!BN$4="annual",'Plan Summary'!$C$5&lt;'Scheduled Intervals'!$U21*('Plan Summary'!$C$9/12)),ROUND(('Hours Per Job'!BN21*'Total Cost for Plan'!$B$36+'Parts Cost Per Job'!BN21*((1+'Total Cost for Plan'!$B$37)*'Total Cost for Plan'!$B$38))*ROUND('Plan Summary'!$C$9/12,0),2),0)</f>
        <v>981.39</v>
      </c>
      <c r="BO21" s="246">
        <f>IF(AND('Scheduled Intervals'!BO$4="annual",'Plan Summary'!$C$5&lt;'Scheduled Intervals'!$U21*('Plan Summary'!$C$9/12)),ROUND(('Hours Per Job'!BO21*'Total Cost for Plan'!$B$36+'Parts Cost Per Job'!BO21*((1+'Total Cost for Plan'!$B$37)*'Total Cost for Plan'!$B$38))*ROUND('Plan Summary'!$C$9/12,0),2),0)</f>
        <v>355.33</v>
      </c>
      <c r="BP21" s="246">
        <f>IF(AND('Scheduled Intervals'!BP$4="annual",'Plan Summary'!$C$5&lt;'Scheduled Intervals'!$U21*('Plan Summary'!$C$9/12)),ROUND(('Hours Per Job'!BP21*'Total Cost for Plan'!$B$36+'Parts Cost Per Job'!BP21*((1+'Total Cost for Plan'!$B$37)*'Total Cost for Plan'!$B$38))*ROUND('Plan Summary'!$C$9/12,0),2),0)</f>
        <v>630</v>
      </c>
      <c r="BQ21" s="246">
        <f t="shared" si="0"/>
        <v>3092.52</v>
      </c>
      <c r="BR21" s="246"/>
    </row>
    <row r="22" spans="1:70" ht="16" x14ac:dyDescent="0.2">
      <c r="A22" s="18" t="str">
        <f>+'Scheduled Intervals'!A22</f>
        <v>Takeuchi 228-235-250</v>
      </c>
      <c r="B22" s="246">
        <f>ROUND(('Hours Per Job'!B22*'Total Cost for Plan'!$B$36+'Parts Cost Per Job'!B22*((1+'Total Cost for Plan'!$B$37)*'Total Cost for Plan'!$B$38)),2)</f>
        <v>196.27</v>
      </c>
      <c r="C22" s="246">
        <f>ROUND(('Hours Per Job'!C22*'Total Cost for Plan'!$B$36+'Parts Cost Per Job'!C22*((1+'Total Cost for Plan'!$B$37)*'Total Cost for Plan'!$B$38)),2)</f>
        <v>12</v>
      </c>
      <c r="D22" s="246">
        <f>ROUND(('Hours Per Job'!D22*'Total Cost for Plan'!$B$36+'Parts Cost Per Job'!D22*((1+'Total Cost for Plan'!$B$37)*'Total Cost for Plan'!$B$38)),2)</f>
        <v>0</v>
      </c>
      <c r="E22" s="246">
        <f>ROUND(('Hours Per Job'!E22*'Total Cost for Plan'!$B$36+'Parts Cost Per Job'!E22*((1+'Total Cost for Plan'!$B$37)*'Total Cost for Plan'!$B$38)),2)</f>
        <v>0</v>
      </c>
      <c r="F22" s="246">
        <f>ROUND(('Hours Per Job'!F22*'Total Cost for Plan'!$B$36+'Parts Cost Per Job'!F22*((1+'Total Cost for Plan'!$B$37)*'Total Cost for Plan'!$B$38)),2)</f>
        <v>0</v>
      </c>
      <c r="G22" s="246">
        <f>ROUND(('Hours Per Job'!G22*'Total Cost for Plan'!$B$36+'Parts Cost Per Job'!G22*((1+'Total Cost for Plan'!$B$37)*'Total Cost for Plan'!$B$38)),2)</f>
        <v>0</v>
      </c>
      <c r="H22" s="246">
        <f>ROUND(('Hours Per Job'!H22*'Total Cost for Plan'!$B$36+'Parts Cost Per Job'!H22*((1+'Total Cost for Plan'!$B$37)*'Total Cost for Plan'!$B$38)),2)</f>
        <v>71.069999999999993</v>
      </c>
      <c r="I22" s="246">
        <f>ROUND(('Hours Per Job'!I22*'Total Cost for Plan'!$B$36+'Parts Cost Per Job'!I22*((1+'Total Cost for Plan'!$B$37)*'Total Cost for Plan'!$B$38)),2)</f>
        <v>30</v>
      </c>
      <c r="J22" s="246">
        <f>ROUND(('Hours Per Job'!J22*'Total Cost for Plan'!$B$36+'Parts Cost Per Job'!J22*((1+'Total Cost for Plan'!$B$37)*'Total Cost for Plan'!$B$38)),2)</f>
        <v>0</v>
      </c>
      <c r="K22" s="246">
        <f>ROUND(('Hours Per Job'!K22*'Total Cost for Plan'!$B$36+'Parts Cost Per Job'!K22*((1+'Total Cost for Plan'!$B$37)*'Total Cost for Plan'!$B$38)),2)</f>
        <v>0</v>
      </c>
      <c r="L22" s="246">
        <f>ROUND(('Hours Per Job'!L22*'Total Cost for Plan'!$B$36+'Parts Cost Per Job'!L22*((1+'Total Cost for Plan'!$B$37)*'Total Cost for Plan'!$B$38)),2)</f>
        <v>0</v>
      </c>
      <c r="M22" s="246">
        <f>ROUND(('Hours Per Job'!M22*'Total Cost for Plan'!$B$36+'Parts Cost Per Job'!M22*((1+'Total Cost for Plan'!$B$37)*'Total Cost for Plan'!$B$38)),2)</f>
        <v>0</v>
      </c>
      <c r="N22" s="246">
        <f>ROUND(('Hours Per Job'!N22*'Total Cost for Plan'!$B$36+'Parts Cost Per Job'!N22*((1+'Total Cost for Plan'!$B$37)*'Total Cost for Plan'!$B$38)),2)</f>
        <v>0</v>
      </c>
      <c r="O22" s="246">
        <f>ROUND(('Hours Per Job'!O22*'Total Cost for Plan'!$B$36+'Parts Cost Per Job'!O22*((1+'Total Cost for Plan'!$B$37)*'Total Cost for Plan'!$B$38)),2)</f>
        <v>0</v>
      </c>
      <c r="P22" s="246">
        <f>ROUND(('Hours Per Job'!P22*'Total Cost for Plan'!$B$36+'Parts Cost Per Job'!P22*((1+'Total Cost for Plan'!$B$37)*'Total Cost for Plan'!$B$38)),2)</f>
        <v>0</v>
      </c>
      <c r="Q22" s="246">
        <f>ROUND(('Hours Per Job'!Q22*'Total Cost for Plan'!$B$36+'Parts Cost Per Job'!Q22*((1+'Total Cost for Plan'!$B$37)*'Total Cost for Plan'!$B$38)),2)</f>
        <v>205.53</v>
      </c>
      <c r="R22" s="246">
        <f>ROUND(('Hours Per Job'!R22*'Total Cost for Plan'!$B$36+'Parts Cost Per Job'!R22*((1+'Total Cost for Plan'!$B$37)*'Total Cost for Plan'!$B$38)),2)</f>
        <v>138.08000000000001</v>
      </c>
      <c r="S22" s="246">
        <f>ROUND(('Hours Per Job'!S22*'Total Cost for Plan'!$B$36+'Parts Cost Per Job'!S22*((1+'Total Cost for Plan'!$B$37)*'Total Cost for Plan'!$B$38)),2)</f>
        <v>0</v>
      </c>
      <c r="T22" s="246">
        <f>ROUND(('Hours Per Job'!T22*'Total Cost for Plan'!$B$36+'Parts Cost Per Job'!T22*((1+'Total Cost for Plan'!$B$37)*'Total Cost for Plan'!$B$38)),2)</f>
        <v>0</v>
      </c>
      <c r="U22" s="246">
        <f>IF('Scheduled Intervals'!U22&gt;0,ROUND(('Hours Per Job'!U22*'Total Cost for Plan'!$B$36+'Parts Cost Per Job'!U22*((1+'Total Cost for Plan'!$B$37)*'Total Cost for Plan'!$B$38))*ROUNDDOWN($B$1/'Scheduled Intervals'!U22,0),2),0)</f>
        <v>143.56</v>
      </c>
      <c r="V22" s="246">
        <f>IF('Scheduled Intervals'!V22&gt;0,ROUND(('Hours Per Job'!V22*'Total Cost for Plan'!$B$36+'Parts Cost Per Job'!V22*((1+'Total Cost for Plan'!$B$37)*'Total Cost for Plan'!$B$38))*ROUNDDOWN($B$1/'Scheduled Intervals'!V22,0),2),0)</f>
        <v>0</v>
      </c>
      <c r="W22" s="246">
        <f>IF('Scheduled Intervals'!W22&gt;0,ROUND(('Hours Per Job'!W22*'Total Cost for Plan'!$B$36+'Parts Cost Per Job'!W22*((1+'Total Cost for Plan'!$B$37)*'Total Cost for Plan'!$B$38))*ROUNDDOWN($B$1/'Scheduled Intervals'!W22,0),2),0)</f>
        <v>0</v>
      </c>
      <c r="X22" s="246">
        <f>IF('Scheduled Intervals'!X22&gt;0,ROUND(('Hours Per Job'!X22*'Total Cost for Plan'!$B$36+'Parts Cost Per Job'!X22*((1+'Total Cost for Plan'!$B$37)*'Total Cost for Plan'!$B$38))*ROUNDDOWN($B$1/'Scheduled Intervals'!X22,0),2),0)</f>
        <v>0</v>
      </c>
      <c r="Y22" s="246">
        <f>IF('Scheduled Intervals'!Y22&gt;0,ROUND(('Hours Per Job'!Y22*'Total Cost for Plan'!$B$36+'Parts Cost Per Job'!Y22*((1+'Total Cost for Plan'!$B$37)*'Total Cost for Plan'!$B$38))*ROUNDDOWN($B$1/'Scheduled Intervals'!Y22,0),2),0)</f>
        <v>0</v>
      </c>
      <c r="Z22" s="246">
        <f>IF('Scheduled Intervals'!Z22&gt;0,ROUND(('Hours Per Job'!Z22*'Total Cost for Plan'!$B$36+'Parts Cost Per Job'!Z22*((1+'Total Cost for Plan'!$B$37)*'Total Cost for Plan'!$B$38))*ROUNDDOWN($B$1/'Scheduled Intervals'!Z22,0),2),0)</f>
        <v>0</v>
      </c>
      <c r="AA22" s="246">
        <f>IF('Scheduled Intervals'!AA22&gt;0,ROUND(('Hours Per Job'!AA22*'Total Cost for Plan'!$B$36+'Parts Cost Per Job'!AA22*((1+'Total Cost for Plan'!$B$37)*'Total Cost for Plan'!$B$38))*ROUNDDOWN($B$1/'Scheduled Intervals'!AA22,0),2),0)</f>
        <v>0</v>
      </c>
      <c r="AB22" s="246">
        <f>IF('Scheduled Intervals'!AB22&gt;0,ROUND(('Hours Per Job'!AB22*'Total Cost for Plan'!$B$36+'Parts Cost Per Job'!AB22*((1+'Total Cost for Plan'!$B$37)*'Total Cost for Plan'!$B$38))*ROUNDDOWN($B$1/'Scheduled Intervals'!AB22,0),2),0)</f>
        <v>0</v>
      </c>
      <c r="AC22" s="246">
        <f>IF('Scheduled Intervals'!AC22&gt;0,ROUND(('Hours Per Job'!AC22*'Total Cost for Plan'!$B$36+'Parts Cost Per Job'!AC22*((1+'Total Cost for Plan'!$B$37)*'Total Cost for Plan'!$B$38))*ROUNDDOWN($B$1/'Scheduled Intervals'!AC22,0),2),0)</f>
        <v>0</v>
      </c>
      <c r="AD22" s="246">
        <f>IF('Scheduled Intervals'!AD22&gt;0,ROUND(('Hours Per Job'!AD22*'Total Cost for Plan'!$B$36+'Parts Cost Per Job'!AD22*((1+'Total Cost for Plan'!$B$37)*'Total Cost for Plan'!$B$38))*ROUNDDOWN($B$1/'Scheduled Intervals'!AD22,0),2),0)</f>
        <v>0</v>
      </c>
      <c r="AE22" s="246">
        <f>IF('Scheduled Intervals'!AE22&gt;0,ROUND(('Hours Per Job'!AE22*'Total Cost for Plan'!$B$36+'Parts Cost Per Job'!AE22*((1+'Total Cost for Plan'!$B$37)*'Total Cost for Plan'!$B$38))*ROUNDDOWN($B$1/'Scheduled Intervals'!AE22,0),2),0)</f>
        <v>0</v>
      </c>
      <c r="AF22" s="246">
        <f>IF('Scheduled Intervals'!AF22&gt;0,ROUND(('Hours Per Job'!AF22*'Total Cost for Plan'!$B$36+'Parts Cost Per Job'!AF22*((1+'Total Cost for Plan'!$B$37)*'Total Cost for Plan'!$B$38))*ROUNDDOWN($B$1/'Scheduled Intervals'!AF22,0),2),0)</f>
        <v>0</v>
      </c>
      <c r="AG22" s="246">
        <f>IF('Scheduled Intervals'!AG22&gt;0,ROUND(('Hours Per Job'!AG22*'Total Cost for Plan'!$B$36+'Parts Cost Per Job'!AG22*((1+'Total Cost for Plan'!$B$37)*'Total Cost for Plan'!$B$38))*ROUNDDOWN($B$1/'Scheduled Intervals'!AG22,0),2),0)</f>
        <v>0</v>
      </c>
      <c r="AH22" s="246">
        <f>IF('Scheduled Intervals'!AH22&gt;0,ROUND(('Hours Per Job'!AH22*'Total Cost for Plan'!$B$36+'Parts Cost Per Job'!AH22*((1+'Total Cost for Plan'!$B$37)*'Total Cost for Plan'!$B$38))*ROUNDDOWN($B$1/'Scheduled Intervals'!AH22,0),2),0)</f>
        <v>0</v>
      </c>
      <c r="AI22" s="246">
        <f>IF('Scheduled Intervals'!AI22&gt;0,ROUND(('Hours Per Job'!AI22*'Total Cost for Plan'!$B$36+'Parts Cost Per Job'!AI22*((1+'Total Cost for Plan'!$B$37)*'Total Cost for Plan'!$B$38))*ROUNDDOWN($B$1/'Scheduled Intervals'!AI22,0),2),0)</f>
        <v>0</v>
      </c>
      <c r="AJ22" s="246">
        <f>IF('Scheduled Intervals'!AJ22&gt;0,ROUND(('Hours Per Job'!AJ22*'Total Cost for Plan'!$B$36+'Parts Cost Per Job'!AJ22*((1+'Total Cost for Plan'!$B$37)*'Total Cost for Plan'!$B$38))*ROUNDDOWN($B$1/'Scheduled Intervals'!AJ22,0),2),0)</f>
        <v>0</v>
      </c>
      <c r="AK22" s="246">
        <f>IF('Scheduled Intervals'!AK22&gt;0,ROUND(('Hours Per Job'!AK22*'Total Cost for Plan'!$B$36+'Parts Cost Per Job'!AK22*((1+'Total Cost for Plan'!$B$37)*'Total Cost for Plan'!$B$38))*ROUNDDOWN($B$1/'Scheduled Intervals'!AK22,0),2),0)</f>
        <v>0</v>
      </c>
      <c r="AL22" s="246">
        <f>IF('Scheduled Intervals'!AL22&gt;0,ROUND(('Hours Per Job'!AL22*'Total Cost for Plan'!$B$36+'Parts Cost Per Job'!AL22*((1+'Total Cost for Plan'!$B$37)*'Total Cost for Plan'!$B$38))*ROUNDDOWN($B$1/'Scheduled Intervals'!AL22,0),2),0)</f>
        <v>0</v>
      </c>
      <c r="AM22" s="246">
        <f>IF('Scheduled Intervals'!AM22&gt;0,ROUND(('Hours Per Job'!AM22*'Total Cost for Plan'!$B$36+'Parts Cost Per Job'!AM22*((1+'Total Cost for Plan'!$B$37)*'Total Cost for Plan'!$B$38))*ROUNDDOWN($B$1/'Scheduled Intervals'!AM22,0),2),0)</f>
        <v>0</v>
      </c>
      <c r="AN22" s="246">
        <f>IF('Scheduled Intervals'!AN22&gt;0,ROUND(('Hours Per Job'!AN22*'Total Cost for Plan'!$B$36+'Parts Cost Per Job'!AN22*((1+'Total Cost for Plan'!$B$37)*'Total Cost for Plan'!$B$38))*ROUNDDOWN($B$1/'Scheduled Intervals'!AN22,0),2),0)</f>
        <v>0</v>
      </c>
      <c r="AO22" s="246">
        <f>IF('Scheduled Intervals'!AO22&gt;0,ROUND(('Hours Per Job'!AO22*'Total Cost for Plan'!$B$36+'Parts Cost Per Job'!AO22*((1+'Total Cost for Plan'!$B$37)*'Total Cost for Plan'!$B$38))*ROUNDDOWN($B$1/'Scheduled Intervals'!AO22,0),2),0)</f>
        <v>0</v>
      </c>
      <c r="AP22" s="246">
        <f>IF('Scheduled Intervals'!AP22&gt;0,ROUND(('Hours Per Job'!AP22*'Total Cost for Plan'!$B$36+'Parts Cost Per Job'!AP22*((1+'Total Cost for Plan'!$B$37)*'Total Cost for Plan'!$B$38))*ROUNDDOWN($B$1/'Scheduled Intervals'!AP22,0),2),0)</f>
        <v>84</v>
      </c>
      <c r="AQ22" s="246">
        <f>IF('Scheduled Intervals'!AQ22&gt;0,ROUND(('Hours Per Job'!AQ22*'Total Cost for Plan'!$B$36+'Parts Cost Per Job'!AQ22*((1+'Total Cost for Plan'!$B$37)*'Total Cost for Plan'!$B$38))*ROUNDDOWN($B$1/'Scheduled Intervals'!AQ22,0),2),0)</f>
        <v>0</v>
      </c>
      <c r="AR22" s="246">
        <f>IF('Scheduled Intervals'!AR22&gt;0,ROUND(('Hours Per Job'!AR22*'Total Cost for Plan'!$B$36+'Parts Cost Per Job'!AR22*((1+'Total Cost for Plan'!$B$37)*'Total Cost for Plan'!$B$38))*ROUNDDOWN($B$1/'Scheduled Intervals'!AR22,0),2),0)</f>
        <v>0</v>
      </c>
      <c r="AS22" s="246">
        <f>IF('Scheduled Intervals'!AS22&gt;0,ROUND(('Hours Per Job'!AS22*'Total Cost for Plan'!$B$36+'Parts Cost Per Job'!AS22*((1+'Total Cost for Plan'!$B$37)*'Total Cost for Plan'!$B$38))*ROUNDDOWN($B$1/'Scheduled Intervals'!AS22,0),2),0)</f>
        <v>0</v>
      </c>
      <c r="AT22" s="246">
        <f>IF('Scheduled Intervals'!AT22&gt;0,ROUND(('Hours Per Job'!AT22*'Total Cost for Plan'!$B$36+'Parts Cost Per Job'!AT22*((1+'Total Cost for Plan'!$B$37)*'Total Cost for Plan'!$B$38))*ROUNDDOWN($B$1/'Scheduled Intervals'!AT22,0),2),0)</f>
        <v>71.069999999999993</v>
      </c>
      <c r="AU22" s="246">
        <f>IF('Scheduled Intervals'!AU22&gt;0,ROUND(('Hours Per Job'!AU22*'Total Cost for Plan'!$B$36+'Parts Cost Per Job'!AU22*((1+'Total Cost for Plan'!$B$37)*'Total Cost for Plan'!$B$38))*ROUNDDOWN($B$1/'Scheduled Intervals'!AU22,0),2),0)</f>
        <v>0</v>
      </c>
      <c r="AV22" s="246">
        <f>IF('Scheduled Intervals'!AV22&gt;0,ROUND(('Hours Per Job'!AV22*'Total Cost for Plan'!$B$36+'Parts Cost Per Job'!AV22*((1+'Total Cost for Plan'!$B$37)*'Total Cost for Plan'!$B$38))*ROUNDDOWN($B$1/'Scheduled Intervals'!AV22,0),2),0)</f>
        <v>0</v>
      </c>
      <c r="AW22" s="246">
        <f>IF('Scheduled Intervals'!AW22&gt;0,ROUND(('Hours Per Job'!AW22*'Total Cost for Plan'!$B$36+'Parts Cost Per Job'!AW22*((1+'Total Cost for Plan'!$B$37)*'Total Cost for Plan'!$B$38))*ROUNDDOWN($B$1/'Scheduled Intervals'!AW22,0),2),0)</f>
        <v>0</v>
      </c>
      <c r="AX22" s="246">
        <f>IF('Scheduled Intervals'!AX22&gt;0,ROUND(('Hours Per Job'!AX22*'Total Cost for Plan'!$B$36+'Parts Cost Per Job'!AX22*((1+'Total Cost for Plan'!$B$37)*'Total Cost for Plan'!$B$38))*ROUNDDOWN($B$1/'Scheduled Intervals'!AX22,0),2),0)</f>
        <v>0</v>
      </c>
      <c r="AY22" s="246">
        <f>IF('Scheduled Intervals'!AY22&gt;0,ROUND(('Hours Per Job'!AY22*'Total Cost for Plan'!$B$36+'Parts Cost Per Job'!AY22*((1+'Total Cost for Plan'!$B$37)*'Total Cost for Plan'!$B$38))*ROUNDDOWN($B$1/'Scheduled Intervals'!AY22,0),2),0)</f>
        <v>0</v>
      </c>
      <c r="AZ22" s="246">
        <f>IF('Scheduled Intervals'!AZ22&gt;0,ROUND(('Hours Per Job'!AZ22*'Total Cost for Plan'!$B$36+'Parts Cost Per Job'!AZ22*((1+'Total Cost for Plan'!$B$37)*'Total Cost for Plan'!$B$38))*ROUNDDOWN($B$1/'Scheduled Intervals'!AZ22,0),2),0)</f>
        <v>0</v>
      </c>
      <c r="BA22" s="246">
        <f>IF('Scheduled Intervals'!BA22&gt;0,ROUND(('Hours Per Job'!BA22*'Total Cost for Plan'!$B$36+'Parts Cost Per Job'!BA22*((1+'Total Cost for Plan'!$B$37)*'Total Cost for Plan'!$B$38))*ROUNDDOWN($B$1/'Scheduled Intervals'!BA22,0),2),0)</f>
        <v>0</v>
      </c>
      <c r="BB22" s="246">
        <f>IF('Scheduled Intervals'!BB22&gt;0,ROUND(('Hours Per Job'!BB22*'Total Cost for Plan'!$B$36+'Parts Cost Per Job'!BB22*((1+'Total Cost for Plan'!$B$37)*'Total Cost for Plan'!$B$38))*ROUNDDOWN($B$1/'Scheduled Intervals'!BB22,0),2),0)</f>
        <v>0</v>
      </c>
      <c r="BC22" s="246">
        <f>IF('Scheduled Intervals'!BC22&gt;0,ROUND(('Hours Per Job'!BC22*'Total Cost for Plan'!$B$36+'Parts Cost Per Job'!BC22*((1+'Total Cost for Plan'!$B$37)*'Total Cost for Plan'!$B$38))*ROUNDDOWN($B$1/'Scheduled Intervals'!BC22,0),2),0)</f>
        <v>0</v>
      </c>
      <c r="BD22" s="246">
        <f>IF('Scheduled Intervals'!BD22&gt;0,ROUND(('Hours Per Job'!BD22*'Total Cost for Plan'!$B$36+'Parts Cost Per Job'!BD22*((1+'Total Cost for Plan'!$B$37)*'Total Cost for Plan'!$B$38))*ROUNDDOWN($B$1/'Scheduled Intervals'!BD22,0),2),0)</f>
        <v>0</v>
      </c>
      <c r="BE22" s="246">
        <f>IF('Scheduled Intervals'!BE22&gt;0,ROUND(('Hours Per Job'!BE22*'Total Cost for Plan'!$B$36+'Parts Cost Per Job'!BE22*((1+'Total Cost for Plan'!$B$37)*'Total Cost for Plan'!$B$38))*ROUNDDOWN($B$1/'Scheduled Intervals'!BE22,0),2),0)</f>
        <v>0</v>
      </c>
      <c r="BF22" s="246">
        <f>IF('Scheduled Intervals'!BF22&gt;0,ROUND(('Hours Per Job'!BF22*'Total Cost for Plan'!$B$36+'Parts Cost Per Job'!BF22*((1+'Total Cost for Plan'!$B$37)*'Total Cost for Plan'!$B$38))*ROUNDDOWN($B$1/'Scheduled Intervals'!BF22,0),2),0)</f>
        <v>0</v>
      </c>
      <c r="BG22" s="246">
        <f>IF('Scheduled Intervals'!BG22&gt;0,ROUND(('Hours Per Job'!BG22*'Total Cost for Plan'!$B$36+'Parts Cost Per Job'!BG22*((1+'Total Cost for Plan'!$B$37)*'Total Cost for Plan'!$B$38))*ROUNDDOWN($B$1/'Scheduled Intervals'!BG22,0),2),0)</f>
        <v>0</v>
      </c>
      <c r="BH22" s="246">
        <f>IF('Scheduled Intervals'!BH22&gt;0,ROUND(('Hours Per Job'!BH22*'Total Cost for Plan'!$B$36+'Parts Cost Per Job'!BH22*((1+'Total Cost for Plan'!$B$37)*'Total Cost for Plan'!$B$38))*ROUNDDOWN($B$1/'Scheduled Intervals'!BH22,0),2),0)</f>
        <v>0</v>
      </c>
      <c r="BI22" s="246">
        <f>IF('Scheduled Intervals'!BI22&gt;0,ROUND(('Hours Per Job'!BI22*'Total Cost for Plan'!$B$36+'Parts Cost Per Job'!BI22*((1+'Total Cost for Plan'!$B$37)*'Total Cost for Plan'!$B$38))*ROUNDDOWN($B$1/'Scheduled Intervals'!BI22,0),2),0)</f>
        <v>0</v>
      </c>
      <c r="BJ22" s="246">
        <f>IF('Scheduled Intervals'!BJ22&gt;0,ROUND(('Hours Per Job'!BJ22*'Total Cost for Plan'!$B$36+'Parts Cost Per Job'!BJ22*((1+'Total Cost for Plan'!$B$37)*'Total Cost for Plan'!$B$38))*ROUNDDOWN($B$1/'Scheduled Intervals'!BJ22,0),2),0)</f>
        <v>30</v>
      </c>
      <c r="BK22" s="246">
        <f>IF('Scheduled Intervals'!BK22&gt;0,ROUND(('Hours Per Job'!BK22*'Total Cost for Plan'!$B$36+'Parts Cost Per Job'!BK22*((1+'Total Cost for Plan'!$B$37)*'Total Cost for Plan'!$B$38))*ROUNDDOWN($B$1/'Scheduled Intervals'!BK22,0),2),0)</f>
        <v>0</v>
      </c>
      <c r="BL22" s="246">
        <f>IF('Scheduled Intervals'!BL22&gt;0,ROUND(('Hours Per Job'!BL22*'Total Cost for Plan'!$B$36+'Parts Cost Per Job'!BL22*((1+'Total Cost for Plan'!$B$37)*'Total Cost for Plan'!$B$38))*ROUNDDOWN($B$1/'Scheduled Intervals'!BL22,0),2),0)</f>
        <v>0</v>
      </c>
      <c r="BM22" s="246">
        <f>IF('Scheduled Intervals'!BM22&gt;0,ROUND(('Hours Per Job'!BM22*'Total Cost for Plan'!$B$36+'Parts Cost Per Job'!BM22*((1+'Total Cost for Plan'!$B$37)*'Total Cost for Plan'!$B$38))*ROUNDDOWN($B$1/'Scheduled Intervals'!BM22,0),2),0)</f>
        <v>0</v>
      </c>
      <c r="BN22" s="246">
        <f>IF(AND('Scheduled Intervals'!BN$4="annual",'Plan Summary'!$C$5&lt;'Scheduled Intervals'!$U22*('Plan Summary'!$C$9/12)),ROUND(('Hours Per Job'!BN22*'Total Cost for Plan'!$B$36+'Parts Cost Per Job'!BN22*((1+'Total Cost for Plan'!$B$37)*'Total Cost for Plan'!$B$38))*ROUND('Plan Summary'!$C$9/12,0),2),0)</f>
        <v>717.82</v>
      </c>
      <c r="BO22" s="246">
        <f>IF(AND('Scheduled Intervals'!BO$4="annual",'Plan Summary'!$C$5&lt;'Scheduled Intervals'!$U22*('Plan Summary'!$C$9/12)),ROUND(('Hours Per Job'!BO22*'Total Cost for Plan'!$B$36+'Parts Cost Per Job'!BO22*((1+'Total Cost for Plan'!$B$37)*'Total Cost for Plan'!$B$38))*ROUND('Plan Summary'!$C$9/12,0),2),0)</f>
        <v>355.33</v>
      </c>
      <c r="BP22" s="246">
        <f>IF(AND('Scheduled Intervals'!BP$4="annual",'Plan Summary'!$C$5&lt;'Scheduled Intervals'!$U22*('Plan Summary'!$C$9/12)),ROUND(('Hours Per Job'!BP22*'Total Cost for Plan'!$B$36+'Parts Cost Per Job'!BP22*((1+'Total Cost for Plan'!$B$37)*'Total Cost for Plan'!$B$38))*ROUND('Plan Summary'!$C$9/12,0),2),0)</f>
        <v>630</v>
      </c>
      <c r="BQ22" s="246">
        <f t="shared" si="0"/>
        <v>2684.73</v>
      </c>
      <c r="BR22" s="246"/>
    </row>
    <row r="23" spans="1:70" ht="16" x14ac:dyDescent="0.2">
      <c r="A23" s="18" t="str">
        <f>+'Scheduled Intervals'!A23</f>
        <v>Takeuchi 260</v>
      </c>
      <c r="B23" s="246">
        <f>ROUND(('Hours Per Job'!B23*'Total Cost for Plan'!$B$36+'Parts Cost Per Job'!B23*((1+'Total Cost for Plan'!$B$37)*'Total Cost for Plan'!$B$38)),2)</f>
        <v>196.27</v>
      </c>
      <c r="C23" s="246">
        <f>ROUND(('Hours Per Job'!C23*'Total Cost for Plan'!$B$36+'Parts Cost Per Job'!C23*((1+'Total Cost for Plan'!$B$37)*'Total Cost for Plan'!$B$38)),2)</f>
        <v>0</v>
      </c>
      <c r="D23" s="246">
        <f>ROUND(('Hours Per Job'!D23*'Total Cost for Plan'!$B$36+'Parts Cost Per Job'!D23*((1+'Total Cost for Plan'!$B$37)*'Total Cost for Plan'!$B$38)),2)</f>
        <v>12</v>
      </c>
      <c r="E23" s="246">
        <f>ROUND(('Hours Per Job'!E23*'Total Cost for Plan'!$B$36+'Parts Cost Per Job'!E23*((1+'Total Cost for Plan'!$B$37)*'Total Cost for Plan'!$B$38)),2)</f>
        <v>0</v>
      </c>
      <c r="F23" s="246">
        <f>ROUND(('Hours Per Job'!F23*'Total Cost for Plan'!$B$36+'Parts Cost Per Job'!F23*((1+'Total Cost for Plan'!$B$37)*'Total Cost for Plan'!$B$38)),2)</f>
        <v>0</v>
      </c>
      <c r="G23" s="246">
        <f>ROUND(('Hours Per Job'!G23*'Total Cost for Plan'!$B$36+'Parts Cost Per Job'!G23*((1+'Total Cost for Plan'!$B$37)*'Total Cost for Plan'!$B$38)),2)</f>
        <v>0</v>
      </c>
      <c r="H23" s="246">
        <f>ROUND(('Hours Per Job'!H23*'Total Cost for Plan'!$B$36+'Parts Cost Per Job'!H23*((1+'Total Cost for Plan'!$B$37)*'Total Cost for Plan'!$B$38)),2)</f>
        <v>71.069999999999993</v>
      </c>
      <c r="I23" s="246">
        <f>ROUND(('Hours Per Job'!I23*'Total Cost for Plan'!$B$36+'Parts Cost Per Job'!I23*((1+'Total Cost for Plan'!$B$37)*'Total Cost for Plan'!$B$38)),2)</f>
        <v>30</v>
      </c>
      <c r="J23" s="246">
        <f>ROUND(('Hours Per Job'!J23*'Total Cost for Plan'!$B$36+'Parts Cost Per Job'!J23*((1+'Total Cost for Plan'!$B$37)*'Total Cost for Plan'!$B$38)),2)</f>
        <v>0</v>
      </c>
      <c r="K23" s="246">
        <f>ROUND(('Hours Per Job'!K23*'Total Cost for Plan'!$B$36+'Parts Cost Per Job'!K23*((1+'Total Cost for Plan'!$B$37)*'Total Cost for Plan'!$B$38)),2)</f>
        <v>0</v>
      </c>
      <c r="L23" s="246">
        <f>ROUND(('Hours Per Job'!L23*'Total Cost for Plan'!$B$36+'Parts Cost Per Job'!L23*((1+'Total Cost for Plan'!$B$37)*'Total Cost for Plan'!$B$38)),2)</f>
        <v>0</v>
      </c>
      <c r="M23" s="246">
        <f>ROUND(('Hours Per Job'!M23*'Total Cost for Plan'!$B$36+'Parts Cost Per Job'!M23*((1+'Total Cost for Plan'!$B$37)*'Total Cost for Plan'!$B$38)),2)</f>
        <v>0</v>
      </c>
      <c r="N23" s="246">
        <f>ROUND(('Hours Per Job'!N23*'Total Cost for Plan'!$B$36+'Parts Cost Per Job'!N23*((1+'Total Cost for Plan'!$B$37)*'Total Cost for Plan'!$B$38)),2)</f>
        <v>0</v>
      </c>
      <c r="O23" s="246">
        <f>ROUND(('Hours Per Job'!O23*'Total Cost for Plan'!$B$36+'Parts Cost Per Job'!O23*((1+'Total Cost for Plan'!$B$37)*'Total Cost for Plan'!$B$38)),2)</f>
        <v>0</v>
      </c>
      <c r="P23" s="246">
        <f>ROUND(('Hours Per Job'!P23*'Total Cost for Plan'!$B$36+'Parts Cost Per Job'!P23*((1+'Total Cost for Plan'!$B$37)*'Total Cost for Plan'!$B$38)),2)</f>
        <v>0</v>
      </c>
      <c r="Q23" s="246">
        <f>ROUND(('Hours Per Job'!Q23*'Total Cost for Plan'!$B$36+'Parts Cost Per Job'!Q23*((1+'Total Cost for Plan'!$B$37)*'Total Cost for Plan'!$B$38)),2)</f>
        <v>197.59</v>
      </c>
      <c r="R23" s="246">
        <f>ROUND(('Hours Per Job'!R23*'Total Cost for Plan'!$B$36+'Parts Cost Per Job'!R23*((1+'Total Cost for Plan'!$B$37)*'Total Cost for Plan'!$B$38)),2)</f>
        <v>138.08000000000001</v>
      </c>
      <c r="S23" s="246">
        <f>ROUND(('Hours Per Job'!S23*'Total Cost for Plan'!$B$36+'Parts Cost Per Job'!S23*((1+'Total Cost for Plan'!$B$37)*'Total Cost for Plan'!$B$38)),2)</f>
        <v>0</v>
      </c>
      <c r="T23" s="246">
        <f>ROUND(('Hours Per Job'!T23*'Total Cost for Plan'!$B$36+'Parts Cost Per Job'!T23*((1+'Total Cost for Plan'!$B$37)*'Total Cost for Plan'!$B$38)),2)</f>
        <v>0</v>
      </c>
      <c r="U23" s="246">
        <f>IF('Scheduled Intervals'!U23&gt;0,ROUND(('Hours Per Job'!U23*'Total Cost for Plan'!$B$36+'Parts Cost Per Job'!U23*((1+'Total Cost for Plan'!$B$37)*'Total Cost for Plan'!$B$38))*ROUNDDOWN($B$1/'Scheduled Intervals'!U23,0),2),0)</f>
        <v>0</v>
      </c>
      <c r="V23" s="246">
        <f>IF('Scheduled Intervals'!V23&gt;0,ROUND(('Hours Per Job'!V23*'Total Cost for Plan'!$B$36+'Parts Cost Per Job'!V23*((1+'Total Cost for Plan'!$B$37)*'Total Cost for Plan'!$B$38))*ROUNDDOWN($B$1/'Scheduled Intervals'!V23,0),2),0)</f>
        <v>0</v>
      </c>
      <c r="W23" s="246">
        <f>IF('Scheduled Intervals'!W23&gt;0,ROUND(('Hours Per Job'!W23*'Total Cost for Plan'!$B$36+'Parts Cost Per Job'!W23*((1+'Total Cost for Plan'!$B$37)*'Total Cost for Plan'!$B$38))*ROUNDDOWN($B$1/'Scheduled Intervals'!W23,0),2),0)</f>
        <v>0</v>
      </c>
      <c r="X23" s="246">
        <f>IF('Scheduled Intervals'!X23&gt;0,ROUND(('Hours Per Job'!X23*'Total Cost for Plan'!$B$36+'Parts Cost Per Job'!X23*((1+'Total Cost for Plan'!$B$37)*'Total Cost for Plan'!$B$38))*ROUNDDOWN($B$1/'Scheduled Intervals'!X23,0),2),0)</f>
        <v>78.63</v>
      </c>
      <c r="Y23" s="246">
        <f>IF('Scheduled Intervals'!Y23&gt;0,ROUND(('Hours Per Job'!Y23*'Total Cost for Plan'!$B$36+'Parts Cost Per Job'!Y23*((1+'Total Cost for Plan'!$B$37)*'Total Cost for Plan'!$B$38))*ROUNDDOWN($B$1/'Scheduled Intervals'!Y23,0),2),0)</f>
        <v>0</v>
      </c>
      <c r="Z23" s="246">
        <f>IF('Scheduled Intervals'!Z23&gt;0,ROUND(('Hours Per Job'!Z23*'Total Cost for Plan'!$B$36+'Parts Cost Per Job'!Z23*((1+'Total Cost for Plan'!$B$37)*'Total Cost for Plan'!$B$38))*ROUNDDOWN($B$1/'Scheduled Intervals'!Z23,0),2),0)</f>
        <v>91.21</v>
      </c>
      <c r="AA23" s="246">
        <f>IF('Scheduled Intervals'!AA23&gt;0,ROUND(('Hours Per Job'!AA23*'Total Cost for Plan'!$B$36+'Parts Cost Per Job'!AA23*((1+'Total Cost for Plan'!$B$37)*'Total Cost for Plan'!$B$38))*ROUNDDOWN($B$1/'Scheduled Intervals'!AA23,0),2),0)</f>
        <v>0</v>
      </c>
      <c r="AB23" s="246">
        <f>IF('Scheduled Intervals'!AB23&gt;0,ROUND(('Hours Per Job'!AB23*'Total Cost for Plan'!$B$36+'Parts Cost Per Job'!AB23*((1+'Total Cost for Plan'!$B$37)*'Total Cost for Plan'!$B$38))*ROUNDDOWN($B$1/'Scheduled Intervals'!AB23,0),2),0)</f>
        <v>0</v>
      </c>
      <c r="AC23" s="246">
        <f>IF('Scheduled Intervals'!AC23&gt;0,ROUND(('Hours Per Job'!AC23*'Total Cost for Plan'!$B$36+'Parts Cost Per Job'!AC23*((1+'Total Cost for Plan'!$B$37)*'Total Cost for Plan'!$B$38))*ROUNDDOWN($B$1/'Scheduled Intervals'!AC23,0),2),0)</f>
        <v>0</v>
      </c>
      <c r="AD23" s="246">
        <f>IF('Scheduled Intervals'!AD23&gt;0,ROUND(('Hours Per Job'!AD23*'Total Cost for Plan'!$B$36+'Parts Cost Per Job'!AD23*((1+'Total Cost for Plan'!$B$37)*'Total Cost for Plan'!$B$38))*ROUNDDOWN($B$1/'Scheduled Intervals'!AD23,0),2),0)</f>
        <v>0</v>
      </c>
      <c r="AE23" s="246">
        <f>IF('Scheduled Intervals'!AE23&gt;0,ROUND(('Hours Per Job'!AE23*'Total Cost for Plan'!$B$36+'Parts Cost Per Job'!AE23*((1+'Total Cost for Plan'!$B$37)*'Total Cost for Plan'!$B$38))*ROUNDDOWN($B$1/'Scheduled Intervals'!AE23,0),2),0)</f>
        <v>0</v>
      </c>
      <c r="AF23" s="246">
        <f>IF('Scheduled Intervals'!AF23&gt;0,ROUND(('Hours Per Job'!AF23*'Total Cost for Plan'!$B$36+'Parts Cost Per Job'!AF23*((1+'Total Cost for Plan'!$B$37)*'Total Cost for Plan'!$B$38))*ROUNDDOWN($B$1/'Scheduled Intervals'!AF23,0),2),0)</f>
        <v>0</v>
      </c>
      <c r="AG23" s="246">
        <f>IF('Scheduled Intervals'!AG23&gt;0,ROUND(('Hours Per Job'!AG23*'Total Cost for Plan'!$B$36+'Parts Cost Per Job'!AG23*((1+'Total Cost for Plan'!$B$37)*'Total Cost for Plan'!$B$38))*ROUNDDOWN($B$1/'Scheduled Intervals'!AG23,0),2),0)</f>
        <v>0</v>
      </c>
      <c r="AH23" s="246">
        <f>IF('Scheduled Intervals'!AH23&gt;0,ROUND(('Hours Per Job'!AH23*'Total Cost for Plan'!$B$36+'Parts Cost Per Job'!AH23*((1+'Total Cost for Plan'!$B$37)*'Total Cost for Plan'!$B$38))*ROUNDDOWN($B$1/'Scheduled Intervals'!AH23,0),2),0)</f>
        <v>0</v>
      </c>
      <c r="AI23" s="246">
        <f>IF('Scheduled Intervals'!AI23&gt;0,ROUND(('Hours Per Job'!AI23*'Total Cost for Plan'!$B$36+'Parts Cost Per Job'!AI23*((1+'Total Cost for Plan'!$B$37)*'Total Cost for Plan'!$B$38))*ROUNDDOWN($B$1/'Scheduled Intervals'!AI23,0),2),0)</f>
        <v>0</v>
      </c>
      <c r="AJ23" s="246">
        <f>IF('Scheduled Intervals'!AJ23&gt;0,ROUND(('Hours Per Job'!AJ23*'Total Cost for Plan'!$B$36+'Parts Cost Per Job'!AJ23*((1+'Total Cost for Plan'!$B$37)*'Total Cost for Plan'!$B$38))*ROUNDDOWN($B$1/'Scheduled Intervals'!AJ23,0),2),0)</f>
        <v>0</v>
      </c>
      <c r="AK23" s="246">
        <f>IF('Scheduled Intervals'!AK23&gt;0,ROUND(('Hours Per Job'!AK23*'Total Cost for Plan'!$B$36+'Parts Cost Per Job'!AK23*((1+'Total Cost for Plan'!$B$37)*'Total Cost for Plan'!$B$38))*ROUNDDOWN($B$1/'Scheduled Intervals'!AK23,0),2),0)</f>
        <v>0</v>
      </c>
      <c r="AL23" s="246">
        <f>IF('Scheduled Intervals'!AL23&gt;0,ROUND(('Hours Per Job'!AL23*'Total Cost for Plan'!$B$36+'Parts Cost Per Job'!AL23*((1+'Total Cost for Plan'!$B$37)*'Total Cost for Plan'!$B$38))*ROUNDDOWN($B$1/'Scheduled Intervals'!AL23,0),2),0)</f>
        <v>0</v>
      </c>
      <c r="AM23" s="246">
        <f>IF('Scheduled Intervals'!AM23&gt;0,ROUND(('Hours Per Job'!AM23*'Total Cost for Plan'!$B$36+'Parts Cost Per Job'!AM23*((1+'Total Cost for Plan'!$B$37)*'Total Cost for Plan'!$B$38))*ROUNDDOWN($B$1/'Scheduled Intervals'!AM23,0),2),0)</f>
        <v>0</v>
      </c>
      <c r="AN23" s="246">
        <f>IF('Scheduled Intervals'!AN23&gt;0,ROUND(('Hours Per Job'!AN23*'Total Cost for Plan'!$B$36+'Parts Cost Per Job'!AN23*((1+'Total Cost for Plan'!$B$37)*'Total Cost for Plan'!$B$38))*ROUNDDOWN($B$1/'Scheduled Intervals'!AN23,0),2),0)</f>
        <v>0</v>
      </c>
      <c r="AO23" s="246">
        <f>IF('Scheduled Intervals'!AO23&gt;0,ROUND(('Hours Per Job'!AO23*'Total Cost for Plan'!$B$36+'Parts Cost Per Job'!AO23*((1+'Total Cost for Plan'!$B$37)*'Total Cost for Plan'!$B$38))*ROUNDDOWN($B$1/'Scheduled Intervals'!AO23,0),2),0)</f>
        <v>0</v>
      </c>
      <c r="AP23" s="246">
        <f>IF('Scheduled Intervals'!AP23&gt;0,ROUND(('Hours Per Job'!AP23*'Total Cost for Plan'!$B$36+'Parts Cost Per Job'!AP23*((1+'Total Cost for Plan'!$B$37)*'Total Cost for Plan'!$B$38))*ROUNDDOWN($B$1/'Scheduled Intervals'!AP23,0),2),0)</f>
        <v>84</v>
      </c>
      <c r="AQ23" s="246">
        <f>IF('Scheduled Intervals'!AQ23&gt;0,ROUND(('Hours Per Job'!AQ23*'Total Cost for Plan'!$B$36+'Parts Cost Per Job'!AQ23*((1+'Total Cost for Plan'!$B$37)*'Total Cost for Plan'!$B$38))*ROUNDDOWN($B$1/'Scheduled Intervals'!AQ23,0),2),0)</f>
        <v>0</v>
      </c>
      <c r="AR23" s="246">
        <f>IF('Scheduled Intervals'!AR23&gt;0,ROUND(('Hours Per Job'!AR23*'Total Cost for Plan'!$B$36+'Parts Cost Per Job'!AR23*((1+'Total Cost for Plan'!$B$37)*'Total Cost for Plan'!$B$38))*ROUNDDOWN($B$1/'Scheduled Intervals'!AR23,0),2),0)</f>
        <v>0</v>
      </c>
      <c r="AS23" s="246">
        <f>IF('Scheduled Intervals'!AS23&gt;0,ROUND(('Hours Per Job'!AS23*'Total Cost for Plan'!$B$36+'Parts Cost Per Job'!AS23*((1+'Total Cost for Plan'!$B$37)*'Total Cost for Plan'!$B$38))*ROUNDDOWN($B$1/'Scheduled Intervals'!AS23,0),2),0)</f>
        <v>0</v>
      </c>
      <c r="AT23" s="246">
        <f>IF('Scheduled Intervals'!AT23&gt;0,ROUND(('Hours Per Job'!AT23*'Total Cost for Plan'!$B$36+'Parts Cost Per Job'!AT23*((1+'Total Cost for Plan'!$B$37)*'Total Cost for Plan'!$B$38))*ROUNDDOWN($B$1/'Scheduled Intervals'!AT23,0),2),0)</f>
        <v>0</v>
      </c>
      <c r="AU23" s="246">
        <f>IF('Scheduled Intervals'!AU23&gt;0,ROUND(('Hours Per Job'!AU23*'Total Cost for Plan'!$B$36+'Parts Cost Per Job'!AU23*((1+'Total Cost for Plan'!$B$37)*'Total Cost for Plan'!$B$38))*ROUNDDOWN($B$1/'Scheduled Intervals'!AU23,0),2),0)</f>
        <v>0</v>
      </c>
      <c r="AV23" s="246">
        <f>IF('Scheduled Intervals'!AV23&gt;0,ROUND(('Hours Per Job'!AV23*'Total Cost for Plan'!$B$36+'Parts Cost Per Job'!AV23*((1+'Total Cost for Plan'!$B$37)*'Total Cost for Plan'!$B$38))*ROUNDDOWN($B$1/'Scheduled Intervals'!AV23,0),2),0)</f>
        <v>0</v>
      </c>
      <c r="AW23" s="246">
        <f>IF('Scheduled Intervals'!AW23&gt;0,ROUND(('Hours Per Job'!AW23*'Total Cost for Plan'!$B$36+'Parts Cost Per Job'!AW23*((1+'Total Cost for Plan'!$B$37)*'Total Cost for Plan'!$B$38))*ROUNDDOWN($B$1/'Scheduled Intervals'!AW23,0),2),0)</f>
        <v>0</v>
      </c>
      <c r="AX23" s="246">
        <f>IF('Scheduled Intervals'!AX23&gt;0,ROUND(('Hours Per Job'!AX23*'Total Cost for Plan'!$B$36+'Parts Cost Per Job'!AX23*((1+'Total Cost for Plan'!$B$37)*'Total Cost for Plan'!$B$38))*ROUNDDOWN($B$1/'Scheduled Intervals'!AX23,0),2),0)</f>
        <v>0</v>
      </c>
      <c r="AY23" s="246">
        <f>IF('Scheduled Intervals'!AY23&gt;0,ROUND(('Hours Per Job'!AY23*'Total Cost for Plan'!$B$36+'Parts Cost Per Job'!AY23*((1+'Total Cost for Plan'!$B$37)*'Total Cost for Plan'!$B$38))*ROUNDDOWN($B$1/'Scheduled Intervals'!AY23,0),2),0)</f>
        <v>0</v>
      </c>
      <c r="AZ23" s="246">
        <f>IF('Scheduled Intervals'!AZ23&gt;0,ROUND(('Hours Per Job'!AZ23*'Total Cost for Plan'!$B$36+'Parts Cost Per Job'!AZ23*((1+'Total Cost for Plan'!$B$37)*'Total Cost for Plan'!$B$38))*ROUNDDOWN($B$1/'Scheduled Intervals'!AZ23,0),2),0)</f>
        <v>0</v>
      </c>
      <c r="BA23" s="246">
        <f>IF('Scheduled Intervals'!BA23&gt;0,ROUND(('Hours Per Job'!BA23*'Total Cost for Plan'!$B$36+'Parts Cost Per Job'!BA23*((1+'Total Cost for Plan'!$B$37)*'Total Cost for Plan'!$B$38))*ROUNDDOWN($B$1/'Scheduled Intervals'!BA23,0),2),0)</f>
        <v>0</v>
      </c>
      <c r="BB23" s="246">
        <f>IF('Scheduled Intervals'!BB23&gt;0,ROUND(('Hours Per Job'!BB23*'Total Cost for Plan'!$B$36+'Parts Cost Per Job'!BB23*((1+'Total Cost for Plan'!$B$37)*'Total Cost for Plan'!$B$38))*ROUNDDOWN($B$1/'Scheduled Intervals'!BB23,0),2),0)</f>
        <v>0</v>
      </c>
      <c r="BC23" s="246">
        <f>IF('Scheduled Intervals'!BC23&gt;0,ROUND(('Hours Per Job'!BC23*'Total Cost for Plan'!$B$36+'Parts Cost Per Job'!BC23*((1+'Total Cost for Plan'!$B$37)*'Total Cost for Plan'!$B$38))*ROUNDDOWN($B$1/'Scheduled Intervals'!BC23,0),2),0)</f>
        <v>0</v>
      </c>
      <c r="BD23" s="246">
        <f>IF('Scheduled Intervals'!BD23&gt;0,ROUND(('Hours Per Job'!BD23*'Total Cost for Plan'!$B$36+'Parts Cost Per Job'!BD23*((1+'Total Cost for Plan'!$B$37)*'Total Cost for Plan'!$B$38))*ROUNDDOWN($B$1/'Scheduled Intervals'!BD23,0),2),0)</f>
        <v>0</v>
      </c>
      <c r="BE23" s="246">
        <f>IF('Scheduled Intervals'!BE23&gt;0,ROUND(('Hours Per Job'!BE23*'Total Cost for Plan'!$B$36+'Parts Cost Per Job'!BE23*((1+'Total Cost for Plan'!$B$37)*'Total Cost for Plan'!$B$38))*ROUNDDOWN($B$1/'Scheduled Intervals'!BE23,0),2),0)</f>
        <v>0</v>
      </c>
      <c r="BF23" s="246">
        <f>IF('Scheduled Intervals'!BF23&gt;0,ROUND(('Hours Per Job'!BF23*'Total Cost for Plan'!$B$36+'Parts Cost Per Job'!BF23*((1+'Total Cost for Plan'!$B$37)*'Total Cost for Plan'!$B$38))*ROUNDDOWN($B$1/'Scheduled Intervals'!BF23,0),2),0)</f>
        <v>0</v>
      </c>
      <c r="BG23" s="246">
        <f>IF('Scheduled Intervals'!BG23&gt;0,ROUND(('Hours Per Job'!BG23*'Total Cost for Plan'!$B$36+'Parts Cost Per Job'!BG23*((1+'Total Cost for Plan'!$B$37)*'Total Cost for Plan'!$B$38))*ROUNDDOWN($B$1/'Scheduled Intervals'!BG23,0),2),0)</f>
        <v>0</v>
      </c>
      <c r="BH23" s="246">
        <f>IF('Scheduled Intervals'!BH23&gt;0,ROUND(('Hours Per Job'!BH23*'Total Cost for Plan'!$B$36+'Parts Cost Per Job'!BH23*((1+'Total Cost for Plan'!$B$37)*'Total Cost for Plan'!$B$38))*ROUNDDOWN($B$1/'Scheduled Intervals'!BH23,0),2),0)</f>
        <v>0</v>
      </c>
      <c r="BI23" s="246">
        <f>IF('Scheduled Intervals'!BI23&gt;0,ROUND(('Hours Per Job'!BI23*'Total Cost for Plan'!$B$36+'Parts Cost Per Job'!BI23*((1+'Total Cost for Plan'!$B$37)*'Total Cost for Plan'!$B$38))*ROUNDDOWN($B$1/'Scheduled Intervals'!BI23,0),2),0)</f>
        <v>0</v>
      </c>
      <c r="BJ23" s="246">
        <f>IF('Scheduled Intervals'!BJ23&gt;0,ROUND(('Hours Per Job'!BJ23*'Total Cost for Plan'!$B$36+'Parts Cost Per Job'!BJ23*((1+'Total Cost for Plan'!$B$37)*'Total Cost for Plan'!$B$38))*ROUNDDOWN($B$1/'Scheduled Intervals'!BJ23,0),2),0)</f>
        <v>0</v>
      </c>
      <c r="BK23" s="246">
        <f>IF('Scheduled Intervals'!BK23&gt;0,ROUND(('Hours Per Job'!BK23*'Total Cost for Plan'!$B$36+'Parts Cost Per Job'!BK23*((1+'Total Cost for Plan'!$B$37)*'Total Cost for Plan'!$B$38))*ROUNDDOWN($B$1/'Scheduled Intervals'!BK23,0),2),0)</f>
        <v>0</v>
      </c>
      <c r="BL23" s="246">
        <f>IF('Scheduled Intervals'!BL23&gt;0,ROUND(('Hours Per Job'!BL23*'Total Cost for Plan'!$B$36+'Parts Cost Per Job'!BL23*((1+'Total Cost for Plan'!$B$37)*'Total Cost for Plan'!$B$38))*ROUNDDOWN($B$1/'Scheduled Intervals'!BL23,0),2),0)</f>
        <v>0</v>
      </c>
      <c r="BM23" s="246">
        <f>IF('Scheduled Intervals'!BM23&gt;0,ROUND(('Hours Per Job'!BM23*'Total Cost for Plan'!$B$36+'Parts Cost Per Job'!BM23*((1+'Total Cost for Plan'!$B$37)*'Total Cost for Plan'!$B$38))*ROUNDDOWN($B$1/'Scheduled Intervals'!BM23,0),2),0)</f>
        <v>0</v>
      </c>
      <c r="BN23" s="246">
        <f>IF(AND('Scheduled Intervals'!BN$4="annual",'Plan Summary'!$C$5&lt;'Scheduled Intervals'!$U23*('Plan Summary'!$C$9/12)),ROUND(('Hours Per Job'!BN23*'Total Cost for Plan'!$B$36+'Parts Cost Per Job'!BN23*((1+'Total Cost for Plan'!$B$37)*'Total Cost for Plan'!$B$38))*ROUND('Plan Summary'!$C$9/12,0),2),0)</f>
        <v>714.33</v>
      </c>
      <c r="BO23" s="246">
        <f>IF(AND('Scheduled Intervals'!BO$4="annual",'Plan Summary'!$C$5&lt;'Scheduled Intervals'!$U23*('Plan Summary'!$C$9/12)),ROUND(('Hours Per Job'!BO23*'Total Cost for Plan'!$B$36+'Parts Cost Per Job'!BO23*((1+'Total Cost for Plan'!$B$37)*'Total Cost for Plan'!$B$38))*ROUND('Plan Summary'!$C$9/12,0),2),0)</f>
        <v>355.33</v>
      </c>
      <c r="BP23" s="246">
        <f>IF(AND('Scheduled Intervals'!BP$4="annual",'Plan Summary'!$C$5&lt;'Scheduled Intervals'!$U23*('Plan Summary'!$C$9/12)),ROUND(('Hours Per Job'!BP23*'Total Cost for Plan'!$B$36+'Parts Cost Per Job'!BP23*((1+'Total Cost for Plan'!$B$37)*'Total Cost for Plan'!$B$38))*ROUND('Plan Summary'!$C$9/12,0),2),0)</f>
        <v>630</v>
      </c>
      <c r="BQ23" s="246">
        <f t="shared" si="0"/>
        <v>2598.5100000000002</v>
      </c>
      <c r="BR23" s="246"/>
    </row>
    <row r="24" spans="1:70" ht="16" x14ac:dyDescent="0.2">
      <c r="A24" s="18" t="str">
        <f>+'Scheduled Intervals'!A24</f>
        <v>Takeuchi 335</v>
      </c>
      <c r="B24" s="246">
        <f>ROUND(('Hours Per Job'!B24*'Total Cost for Plan'!$B$36+'Parts Cost Per Job'!B24*((1+'Total Cost for Plan'!$B$37)*'Total Cost for Plan'!$B$38)),2)</f>
        <v>196.27</v>
      </c>
      <c r="C24" s="246">
        <f>ROUND(('Hours Per Job'!C24*'Total Cost for Plan'!$B$36+'Parts Cost Per Job'!C24*((1+'Total Cost for Plan'!$B$37)*'Total Cost for Plan'!$B$38)),2)</f>
        <v>0</v>
      </c>
      <c r="D24" s="246">
        <f>ROUND(('Hours Per Job'!D24*'Total Cost for Plan'!$B$36+'Parts Cost Per Job'!D24*((1+'Total Cost for Plan'!$B$37)*'Total Cost for Plan'!$B$38)),2)</f>
        <v>0</v>
      </c>
      <c r="E24" s="246">
        <f>ROUND(('Hours Per Job'!E24*'Total Cost for Plan'!$B$36+'Parts Cost Per Job'!E24*((1+'Total Cost for Plan'!$B$37)*'Total Cost for Plan'!$B$38)),2)</f>
        <v>0</v>
      </c>
      <c r="F24" s="246">
        <f>ROUND(('Hours Per Job'!F24*'Total Cost for Plan'!$B$36+'Parts Cost Per Job'!F24*((1+'Total Cost for Plan'!$B$37)*'Total Cost for Plan'!$B$38)),2)</f>
        <v>0</v>
      </c>
      <c r="G24" s="246">
        <f>ROUND(('Hours Per Job'!G24*'Total Cost for Plan'!$B$36+'Parts Cost Per Job'!G24*((1+'Total Cost for Plan'!$B$37)*'Total Cost for Plan'!$B$38)),2)</f>
        <v>0</v>
      </c>
      <c r="H24" s="246">
        <f>ROUND(('Hours Per Job'!H24*'Total Cost for Plan'!$B$36+'Parts Cost Per Job'!H24*((1+'Total Cost for Plan'!$B$37)*'Total Cost for Plan'!$B$38)),2)</f>
        <v>71.069999999999993</v>
      </c>
      <c r="I24" s="246">
        <f>ROUND(('Hours Per Job'!I24*'Total Cost for Plan'!$B$36+'Parts Cost Per Job'!I24*((1+'Total Cost for Plan'!$B$37)*'Total Cost for Plan'!$B$38)),2)</f>
        <v>30</v>
      </c>
      <c r="J24" s="246">
        <f>ROUND(('Hours Per Job'!J24*'Total Cost for Plan'!$B$36+'Parts Cost Per Job'!J24*((1+'Total Cost for Plan'!$B$37)*'Total Cost for Plan'!$B$38)),2)</f>
        <v>0</v>
      </c>
      <c r="K24" s="246">
        <f>ROUND(('Hours Per Job'!K24*'Total Cost for Plan'!$B$36+'Parts Cost Per Job'!K24*((1+'Total Cost for Plan'!$B$37)*'Total Cost for Plan'!$B$38)),2)</f>
        <v>0</v>
      </c>
      <c r="L24" s="246">
        <f>ROUND(('Hours Per Job'!L24*'Total Cost for Plan'!$B$36+'Parts Cost Per Job'!L24*((1+'Total Cost for Plan'!$B$37)*'Total Cost for Plan'!$B$38)),2)</f>
        <v>0</v>
      </c>
      <c r="M24" s="246">
        <f>ROUND(('Hours Per Job'!M24*'Total Cost for Plan'!$B$36+'Parts Cost Per Job'!M24*((1+'Total Cost for Plan'!$B$37)*'Total Cost for Plan'!$B$38)),2)</f>
        <v>0</v>
      </c>
      <c r="N24" s="246">
        <f>ROUND(('Hours Per Job'!N24*'Total Cost for Plan'!$B$36+'Parts Cost Per Job'!N24*((1+'Total Cost for Plan'!$B$37)*'Total Cost for Plan'!$B$38)),2)</f>
        <v>0</v>
      </c>
      <c r="O24" s="246">
        <f>ROUND(('Hours Per Job'!O24*'Total Cost for Plan'!$B$36+'Parts Cost Per Job'!O24*((1+'Total Cost for Plan'!$B$37)*'Total Cost for Plan'!$B$38)),2)</f>
        <v>0</v>
      </c>
      <c r="P24" s="246">
        <f>ROUND(('Hours Per Job'!P24*'Total Cost for Plan'!$B$36+'Parts Cost Per Job'!P24*((1+'Total Cost for Plan'!$B$37)*'Total Cost for Plan'!$B$38)),2)</f>
        <v>0</v>
      </c>
      <c r="Q24" s="246">
        <f>ROUND(('Hours Per Job'!Q24*'Total Cost for Plan'!$B$36+'Parts Cost Per Job'!Q24*((1+'Total Cost for Plan'!$B$37)*'Total Cost for Plan'!$B$38)),2)</f>
        <v>205.53</v>
      </c>
      <c r="R24" s="246">
        <f>ROUND(('Hours Per Job'!R24*'Total Cost for Plan'!$B$36+'Parts Cost Per Job'!R24*((1+'Total Cost for Plan'!$B$37)*'Total Cost for Plan'!$B$38)),2)</f>
        <v>0</v>
      </c>
      <c r="S24" s="246">
        <f>ROUND(('Hours Per Job'!S24*'Total Cost for Plan'!$B$36+'Parts Cost Per Job'!S24*((1+'Total Cost for Plan'!$B$37)*'Total Cost for Plan'!$B$38)),2)</f>
        <v>0</v>
      </c>
      <c r="T24" s="246">
        <f>ROUND(('Hours Per Job'!T24*'Total Cost for Plan'!$B$36+'Parts Cost Per Job'!T24*((1+'Total Cost for Plan'!$B$37)*'Total Cost for Plan'!$B$38)),2)</f>
        <v>0</v>
      </c>
      <c r="U24" s="246">
        <f>IF('Scheduled Intervals'!U24&gt;0,ROUND(('Hours Per Job'!U24*'Total Cost for Plan'!$B$36+'Parts Cost Per Job'!U24*((1+'Total Cost for Plan'!$B$37)*'Total Cost for Plan'!$B$38))*ROUNDDOWN($B$1/'Scheduled Intervals'!U24,0),2),0)</f>
        <v>196.27</v>
      </c>
      <c r="V24" s="246">
        <f>IF('Scheduled Intervals'!V24&gt;0,ROUND(('Hours Per Job'!V24*'Total Cost for Plan'!$B$36+'Parts Cost Per Job'!V24*((1+'Total Cost for Plan'!$B$37)*'Total Cost for Plan'!$B$38))*ROUNDDOWN($B$1/'Scheduled Intervals'!V24,0),2),0)</f>
        <v>0</v>
      </c>
      <c r="W24" s="246">
        <f>IF('Scheduled Intervals'!W24&gt;0,ROUND(('Hours Per Job'!W24*'Total Cost for Plan'!$B$36+'Parts Cost Per Job'!W24*((1+'Total Cost for Plan'!$B$37)*'Total Cost for Plan'!$B$38))*ROUNDDOWN($B$1/'Scheduled Intervals'!W24,0),2),0)</f>
        <v>0</v>
      </c>
      <c r="X24" s="246">
        <f>IF('Scheduled Intervals'!X24&gt;0,ROUND(('Hours Per Job'!X24*'Total Cost for Plan'!$B$36+'Parts Cost Per Job'!X24*((1+'Total Cost for Plan'!$B$37)*'Total Cost for Plan'!$B$38))*ROUNDDOWN($B$1/'Scheduled Intervals'!X24,0),2),0)</f>
        <v>0</v>
      </c>
      <c r="Y24" s="246">
        <f>IF('Scheduled Intervals'!Y24&gt;0,ROUND(('Hours Per Job'!Y24*'Total Cost for Plan'!$B$36+'Parts Cost Per Job'!Y24*((1+'Total Cost for Plan'!$B$37)*'Total Cost for Plan'!$B$38))*ROUNDDOWN($B$1/'Scheduled Intervals'!Y24,0),2),0)</f>
        <v>0</v>
      </c>
      <c r="Z24" s="246">
        <f>IF('Scheduled Intervals'!Z24&gt;0,ROUND(('Hours Per Job'!Z24*'Total Cost for Plan'!$B$36+'Parts Cost Per Job'!Z24*((1+'Total Cost for Plan'!$B$37)*'Total Cost for Plan'!$B$38))*ROUNDDOWN($B$1/'Scheduled Intervals'!Z24,0),2),0)</f>
        <v>0</v>
      </c>
      <c r="AA24" s="246">
        <f>IF('Scheduled Intervals'!AA24&gt;0,ROUND(('Hours Per Job'!AA24*'Total Cost for Plan'!$B$36+'Parts Cost Per Job'!AA24*((1+'Total Cost for Plan'!$B$37)*'Total Cost for Plan'!$B$38))*ROUNDDOWN($B$1/'Scheduled Intervals'!AA24,0),2),0)</f>
        <v>0</v>
      </c>
      <c r="AB24" s="246">
        <f>IF('Scheduled Intervals'!AB24&gt;0,ROUND(('Hours Per Job'!AB24*'Total Cost for Plan'!$B$36+'Parts Cost Per Job'!AB24*((1+'Total Cost for Plan'!$B$37)*'Total Cost for Plan'!$B$38))*ROUNDDOWN($B$1/'Scheduled Intervals'!AB24,0),2),0)</f>
        <v>0</v>
      </c>
      <c r="AC24" s="246">
        <f>IF('Scheduled Intervals'!AC24&gt;0,ROUND(('Hours Per Job'!AC24*'Total Cost for Plan'!$B$36+'Parts Cost Per Job'!AC24*((1+'Total Cost for Plan'!$B$37)*'Total Cost for Plan'!$B$38))*ROUNDDOWN($B$1/'Scheduled Intervals'!AC24,0),2),0)</f>
        <v>0</v>
      </c>
      <c r="AD24" s="246">
        <f>IF('Scheduled Intervals'!AD24&gt;0,ROUND(('Hours Per Job'!AD24*'Total Cost for Plan'!$B$36+'Parts Cost Per Job'!AD24*((1+'Total Cost for Plan'!$B$37)*'Total Cost for Plan'!$B$38))*ROUNDDOWN($B$1/'Scheduled Intervals'!AD24,0),2),0)</f>
        <v>0</v>
      </c>
      <c r="AE24" s="246">
        <f>IF('Scheduled Intervals'!AE24&gt;0,ROUND(('Hours Per Job'!AE24*'Total Cost for Plan'!$B$36+'Parts Cost Per Job'!AE24*((1+'Total Cost for Plan'!$B$37)*'Total Cost for Plan'!$B$38))*ROUNDDOWN($B$1/'Scheduled Intervals'!AE24,0),2),0)</f>
        <v>0</v>
      </c>
      <c r="AF24" s="246">
        <f>IF('Scheduled Intervals'!AF24&gt;0,ROUND(('Hours Per Job'!AF24*'Total Cost for Plan'!$B$36+'Parts Cost Per Job'!AF24*((1+'Total Cost for Plan'!$B$37)*'Total Cost for Plan'!$B$38))*ROUNDDOWN($B$1/'Scheduled Intervals'!AF24,0),2),0)</f>
        <v>0</v>
      </c>
      <c r="AG24" s="246">
        <f>IF('Scheduled Intervals'!AG24&gt;0,ROUND(('Hours Per Job'!AG24*'Total Cost for Plan'!$B$36+'Parts Cost Per Job'!AG24*((1+'Total Cost for Plan'!$B$37)*'Total Cost for Plan'!$B$38))*ROUNDDOWN($B$1/'Scheduled Intervals'!AG24,0),2),0)</f>
        <v>0</v>
      </c>
      <c r="AH24" s="246">
        <f>IF('Scheduled Intervals'!AH24&gt;0,ROUND(('Hours Per Job'!AH24*'Total Cost for Plan'!$B$36+'Parts Cost Per Job'!AH24*((1+'Total Cost for Plan'!$B$37)*'Total Cost for Plan'!$B$38))*ROUNDDOWN($B$1/'Scheduled Intervals'!AH24,0),2),0)</f>
        <v>0</v>
      </c>
      <c r="AI24" s="246">
        <f>IF('Scheduled Intervals'!AI24&gt;0,ROUND(('Hours Per Job'!AI24*'Total Cost for Plan'!$B$36+'Parts Cost Per Job'!AI24*((1+'Total Cost for Plan'!$B$37)*'Total Cost for Plan'!$B$38))*ROUNDDOWN($B$1/'Scheduled Intervals'!AI24,0),2),0)</f>
        <v>0</v>
      </c>
      <c r="AJ24" s="246">
        <f>IF('Scheduled Intervals'!AJ24&gt;0,ROUND(('Hours Per Job'!AJ24*'Total Cost for Plan'!$B$36+'Parts Cost Per Job'!AJ24*((1+'Total Cost for Plan'!$B$37)*'Total Cost for Plan'!$B$38))*ROUNDDOWN($B$1/'Scheduled Intervals'!AJ24,0),2),0)</f>
        <v>0</v>
      </c>
      <c r="AK24" s="246">
        <f>IF('Scheduled Intervals'!AK24&gt;0,ROUND(('Hours Per Job'!AK24*'Total Cost for Plan'!$B$36+'Parts Cost Per Job'!AK24*((1+'Total Cost for Plan'!$B$37)*'Total Cost for Plan'!$B$38))*ROUNDDOWN($B$1/'Scheduled Intervals'!AK24,0),2),0)</f>
        <v>0</v>
      </c>
      <c r="AL24" s="246">
        <f>IF('Scheduled Intervals'!AL24&gt;0,ROUND(('Hours Per Job'!AL24*'Total Cost for Plan'!$B$36+'Parts Cost Per Job'!AL24*((1+'Total Cost for Plan'!$B$37)*'Total Cost for Plan'!$B$38))*ROUNDDOWN($B$1/'Scheduled Intervals'!AL24,0),2),0)</f>
        <v>0</v>
      </c>
      <c r="AM24" s="246">
        <f>IF('Scheduled Intervals'!AM24&gt;0,ROUND(('Hours Per Job'!AM24*'Total Cost for Plan'!$B$36+'Parts Cost Per Job'!AM24*((1+'Total Cost for Plan'!$B$37)*'Total Cost for Plan'!$B$38))*ROUNDDOWN($B$1/'Scheduled Intervals'!AM24,0),2),0)</f>
        <v>0</v>
      </c>
      <c r="AN24" s="246">
        <f>IF('Scheduled Intervals'!AN24&gt;0,ROUND(('Hours Per Job'!AN24*'Total Cost for Plan'!$B$36+'Parts Cost Per Job'!AN24*((1+'Total Cost for Plan'!$B$37)*'Total Cost for Plan'!$B$38))*ROUNDDOWN($B$1/'Scheduled Intervals'!AN24,0),2),0)</f>
        <v>0</v>
      </c>
      <c r="AO24" s="246">
        <f>IF('Scheduled Intervals'!AO24&gt;0,ROUND(('Hours Per Job'!AO24*'Total Cost for Plan'!$B$36+'Parts Cost Per Job'!AO24*((1+'Total Cost for Plan'!$B$37)*'Total Cost for Plan'!$B$38))*ROUNDDOWN($B$1/'Scheduled Intervals'!AO24,0),2),0)</f>
        <v>0</v>
      </c>
      <c r="AP24" s="246">
        <f>IF('Scheduled Intervals'!AP24&gt;0,ROUND(('Hours Per Job'!AP24*'Total Cost for Plan'!$B$36+'Parts Cost Per Job'!AP24*((1+'Total Cost for Plan'!$B$37)*'Total Cost for Plan'!$B$38))*ROUNDDOWN($B$1/'Scheduled Intervals'!AP24,0),2),0)</f>
        <v>84</v>
      </c>
      <c r="AQ24" s="246">
        <f>IF('Scheduled Intervals'!AQ24&gt;0,ROUND(('Hours Per Job'!AQ24*'Total Cost for Plan'!$B$36+'Parts Cost Per Job'!AQ24*((1+'Total Cost for Plan'!$B$37)*'Total Cost for Plan'!$B$38))*ROUNDDOWN($B$1/'Scheduled Intervals'!AQ24,0),2),0)</f>
        <v>0</v>
      </c>
      <c r="AR24" s="246">
        <f>IF('Scheduled Intervals'!AR24&gt;0,ROUND(('Hours Per Job'!AR24*'Total Cost for Plan'!$B$36+'Parts Cost Per Job'!AR24*((1+'Total Cost for Plan'!$B$37)*'Total Cost for Plan'!$B$38))*ROUNDDOWN($B$1/'Scheduled Intervals'!AR24,0),2),0)</f>
        <v>0</v>
      </c>
      <c r="AS24" s="246">
        <f>IF('Scheduled Intervals'!AS24&gt;0,ROUND(('Hours Per Job'!AS24*'Total Cost for Plan'!$B$36+'Parts Cost Per Job'!AS24*((1+'Total Cost for Plan'!$B$37)*'Total Cost for Plan'!$B$38))*ROUNDDOWN($B$1/'Scheduled Intervals'!AS24,0),2),0)</f>
        <v>0</v>
      </c>
      <c r="AT24" s="246">
        <f>IF('Scheduled Intervals'!AT24&gt;0,ROUND(('Hours Per Job'!AT24*'Total Cost for Plan'!$B$36+'Parts Cost Per Job'!AT24*((1+'Total Cost for Plan'!$B$37)*'Total Cost for Plan'!$B$38))*ROUNDDOWN($B$1/'Scheduled Intervals'!AT24,0),2),0)</f>
        <v>71.069999999999993</v>
      </c>
      <c r="AU24" s="246">
        <f>IF('Scheduled Intervals'!AU24&gt;0,ROUND(('Hours Per Job'!AU24*'Total Cost for Plan'!$B$36+'Parts Cost Per Job'!AU24*((1+'Total Cost for Plan'!$B$37)*'Total Cost for Plan'!$B$38))*ROUNDDOWN($B$1/'Scheduled Intervals'!AU24,0),2),0)</f>
        <v>0</v>
      </c>
      <c r="AV24" s="246">
        <f>IF('Scheduled Intervals'!AV24&gt;0,ROUND(('Hours Per Job'!AV24*'Total Cost for Plan'!$B$36+'Parts Cost Per Job'!AV24*((1+'Total Cost for Plan'!$B$37)*'Total Cost for Plan'!$B$38))*ROUNDDOWN($B$1/'Scheduled Intervals'!AV24,0),2),0)</f>
        <v>0</v>
      </c>
      <c r="AW24" s="246">
        <f>IF('Scheduled Intervals'!AW24&gt;0,ROUND(('Hours Per Job'!AW24*'Total Cost for Plan'!$B$36+'Parts Cost Per Job'!AW24*((1+'Total Cost for Plan'!$B$37)*'Total Cost for Plan'!$B$38))*ROUNDDOWN($B$1/'Scheduled Intervals'!AW24,0),2),0)</f>
        <v>0</v>
      </c>
      <c r="AX24" s="246">
        <f>IF('Scheduled Intervals'!AX24&gt;0,ROUND(('Hours Per Job'!AX24*'Total Cost for Plan'!$B$36+'Parts Cost Per Job'!AX24*((1+'Total Cost for Plan'!$B$37)*'Total Cost for Plan'!$B$38))*ROUNDDOWN($B$1/'Scheduled Intervals'!AX24,0),2),0)</f>
        <v>0</v>
      </c>
      <c r="AY24" s="246">
        <f>IF('Scheduled Intervals'!AY24&gt;0,ROUND(('Hours Per Job'!AY24*'Total Cost for Plan'!$B$36+'Parts Cost Per Job'!AY24*((1+'Total Cost for Plan'!$B$37)*'Total Cost for Plan'!$B$38))*ROUNDDOWN($B$1/'Scheduled Intervals'!AY24,0),2),0)</f>
        <v>0</v>
      </c>
      <c r="AZ24" s="246">
        <f>IF('Scheduled Intervals'!AZ24&gt;0,ROUND(('Hours Per Job'!AZ24*'Total Cost for Plan'!$B$36+'Parts Cost Per Job'!AZ24*((1+'Total Cost for Plan'!$B$37)*'Total Cost for Plan'!$B$38))*ROUNDDOWN($B$1/'Scheduled Intervals'!AZ24,0),2),0)</f>
        <v>0</v>
      </c>
      <c r="BA24" s="246">
        <f>IF('Scheduled Intervals'!BA24&gt;0,ROUND(('Hours Per Job'!BA24*'Total Cost for Plan'!$B$36+'Parts Cost Per Job'!BA24*((1+'Total Cost for Plan'!$B$37)*'Total Cost for Plan'!$B$38))*ROUNDDOWN($B$1/'Scheduled Intervals'!BA24,0),2),0)</f>
        <v>0</v>
      </c>
      <c r="BB24" s="246">
        <f>IF('Scheduled Intervals'!BB24&gt;0,ROUND(('Hours Per Job'!BB24*'Total Cost for Plan'!$B$36+'Parts Cost Per Job'!BB24*((1+'Total Cost for Plan'!$B$37)*'Total Cost for Plan'!$B$38))*ROUNDDOWN($B$1/'Scheduled Intervals'!BB24,0),2),0)</f>
        <v>0</v>
      </c>
      <c r="BC24" s="246">
        <f>IF('Scheduled Intervals'!BC24&gt;0,ROUND(('Hours Per Job'!BC24*'Total Cost for Plan'!$B$36+'Parts Cost Per Job'!BC24*((1+'Total Cost for Plan'!$B$37)*'Total Cost for Plan'!$B$38))*ROUNDDOWN($B$1/'Scheduled Intervals'!BC24,0),2),0)</f>
        <v>0</v>
      </c>
      <c r="BD24" s="246">
        <f>IF('Scheduled Intervals'!BD24&gt;0,ROUND(('Hours Per Job'!BD24*'Total Cost for Plan'!$B$36+'Parts Cost Per Job'!BD24*((1+'Total Cost for Plan'!$B$37)*'Total Cost for Plan'!$B$38))*ROUNDDOWN($B$1/'Scheduled Intervals'!BD24,0),2),0)</f>
        <v>0</v>
      </c>
      <c r="BE24" s="246">
        <f>IF('Scheduled Intervals'!BE24&gt;0,ROUND(('Hours Per Job'!BE24*'Total Cost for Plan'!$B$36+'Parts Cost Per Job'!BE24*((1+'Total Cost for Plan'!$B$37)*'Total Cost for Plan'!$B$38))*ROUNDDOWN($B$1/'Scheduled Intervals'!BE24,0),2),0)</f>
        <v>0</v>
      </c>
      <c r="BF24" s="246">
        <f>IF('Scheduled Intervals'!BF24&gt;0,ROUND(('Hours Per Job'!BF24*'Total Cost for Plan'!$B$36+'Parts Cost Per Job'!BF24*((1+'Total Cost for Plan'!$B$37)*'Total Cost for Plan'!$B$38))*ROUNDDOWN($B$1/'Scheduled Intervals'!BF24,0),2),0)</f>
        <v>0</v>
      </c>
      <c r="BG24" s="246">
        <f>IF('Scheduled Intervals'!BG24&gt;0,ROUND(('Hours Per Job'!BG24*'Total Cost for Plan'!$B$36+'Parts Cost Per Job'!BG24*((1+'Total Cost for Plan'!$B$37)*'Total Cost for Plan'!$B$38))*ROUNDDOWN($B$1/'Scheduled Intervals'!BG24,0),2),0)</f>
        <v>0</v>
      </c>
      <c r="BH24" s="246">
        <f>IF('Scheduled Intervals'!BH24&gt;0,ROUND(('Hours Per Job'!BH24*'Total Cost for Plan'!$B$36+'Parts Cost Per Job'!BH24*((1+'Total Cost for Plan'!$B$37)*'Total Cost for Plan'!$B$38))*ROUNDDOWN($B$1/'Scheduled Intervals'!BH24,0),2),0)</f>
        <v>0</v>
      </c>
      <c r="BI24" s="246">
        <f>IF('Scheduled Intervals'!BI24&gt;0,ROUND(('Hours Per Job'!BI24*'Total Cost for Plan'!$B$36+'Parts Cost Per Job'!BI24*((1+'Total Cost for Plan'!$B$37)*'Total Cost for Plan'!$B$38))*ROUNDDOWN($B$1/'Scheduled Intervals'!BI24,0),2),0)</f>
        <v>0</v>
      </c>
      <c r="BJ24" s="246">
        <f>IF('Scheduled Intervals'!BJ24&gt;0,ROUND(('Hours Per Job'!BJ24*'Total Cost for Plan'!$B$36+'Parts Cost Per Job'!BJ24*((1+'Total Cost for Plan'!$B$37)*'Total Cost for Plan'!$B$38))*ROUNDDOWN($B$1/'Scheduled Intervals'!BJ24,0),2),0)</f>
        <v>30</v>
      </c>
      <c r="BK24" s="246">
        <f>IF('Scheduled Intervals'!BK24&gt;0,ROUND(('Hours Per Job'!BK24*'Total Cost for Plan'!$B$36+'Parts Cost Per Job'!BK24*((1+'Total Cost for Plan'!$B$37)*'Total Cost for Plan'!$B$38))*ROUNDDOWN($B$1/'Scheduled Intervals'!BK24,0),2),0)</f>
        <v>0</v>
      </c>
      <c r="BL24" s="246">
        <f>IF('Scheduled Intervals'!BL24&gt;0,ROUND(('Hours Per Job'!BL24*'Total Cost for Plan'!$B$36+'Parts Cost Per Job'!BL24*((1+'Total Cost for Plan'!$B$37)*'Total Cost for Plan'!$B$38))*ROUNDDOWN($B$1/'Scheduled Intervals'!BL24,0),2),0)</f>
        <v>0</v>
      </c>
      <c r="BM24" s="246">
        <f>IF('Scheduled Intervals'!BM24&gt;0,ROUND(('Hours Per Job'!BM24*'Total Cost for Plan'!$B$36+'Parts Cost Per Job'!BM24*((1+'Total Cost for Plan'!$B$37)*'Total Cost for Plan'!$B$38))*ROUNDDOWN($B$1/'Scheduled Intervals'!BM24,0),2),0)</f>
        <v>0</v>
      </c>
      <c r="BN24" s="246">
        <f>IF(AND('Scheduled Intervals'!BN$4="annual",'Plan Summary'!$C$5&lt;'Scheduled Intervals'!$U24*('Plan Summary'!$C$9/12)),ROUND(('Hours Per Job'!BN24*'Total Cost for Plan'!$B$36+'Parts Cost Per Job'!BN24*((1+'Total Cost for Plan'!$B$37)*'Total Cost for Plan'!$B$38))*ROUND('Plan Summary'!$C$9/12,0),2),0)</f>
        <v>981.36</v>
      </c>
      <c r="BO24" s="246">
        <f>IF(AND('Scheduled Intervals'!BO$4="annual",'Plan Summary'!$C$5&lt;'Scheduled Intervals'!$U24*('Plan Summary'!$C$9/12)),ROUND(('Hours Per Job'!BO24*'Total Cost for Plan'!$B$36+'Parts Cost Per Job'!BO24*((1+'Total Cost for Plan'!$B$37)*'Total Cost for Plan'!$B$38))*ROUND('Plan Summary'!$C$9/12,0),2),0)</f>
        <v>355.33</v>
      </c>
      <c r="BP24" s="246">
        <f>IF(AND('Scheduled Intervals'!BP$4="annual",'Plan Summary'!$C$5&lt;'Scheduled Intervals'!$U24*('Plan Summary'!$C$9/12)),ROUND(('Hours Per Job'!BP24*'Total Cost for Plan'!$B$36+'Parts Cost Per Job'!BP24*((1+'Total Cost for Plan'!$B$37)*'Total Cost for Plan'!$B$38))*ROUND('Plan Summary'!$C$9/12,0),2),0)</f>
        <v>630</v>
      </c>
      <c r="BQ24" s="246">
        <f t="shared" si="0"/>
        <v>2850.9</v>
      </c>
      <c r="BR24" s="246"/>
    </row>
    <row r="25" spans="1:70" ht="16" x14ac:dyDescent="0.2">
      <c r="A25" s="18" t="str">
        <f>+'Scheduled Intervals'!A25</f>
        <v>Sany SY up to 35</v>
      </c>
      <c r="B25" s="246">
        <f>ROUND(('Hours Per Job'!B25*'Total Cost for Plan'!$B$36+'Parts Cost Per Job'!B25*((1+'Total Cost for Plan'!$B$37)*'Total Cost for Plan'!$B$38)),2)</f>
        <v>152.5</v>
      </c>
      <c r="C25" s="246">
        <f>ROUND(('Hours Per Job'!C25*'Total Cost for Plan'!$B$36+'Parts Cost Per Job'!C25*((1+'Total Cost for Plan'!$B$37)*'Total Cost for Plan'!$B$38)),2)</f>
        <v>0</v>
      </c>
      <c r="D25" s="246">
        <f>ROUND(('Hours Per Job'!D25*'Total Cost for Plan'!$B$36+'Parts Cost Per Job'!D25*((1+'Total Cost for Plan'!$B$37)*'Total Cost for Plan'!$B$38)),2)</f>
        <v>12</v>
      </c>
      <c r="E25" s="246">
        <f>ROUND(('Hours Per Job'!E25*'Total Cost for Plan'!$B$36+'Parts Cost Per Job'!E25*((1+'Total Cost for Plan'!$B$37)*'Total Cost for Plan'!$B$38)),2)</f>
        <v>0</v>
      </c>
      <c r="F25" s="246">
        <f>ROUND(('Hours Per Job'!F25*'Total Cost for Plan'!$B$36+'Parts Cost Per Job'!F25*((1+'Total Cost for Plan'!$B$37)*'Total Cost for Plan'!$B$38)),2)</f>
        <v>0</v>
      </c>
      <c r="G25" s="246">
        <f>ROUND(('Hours Per Job'!G25*'Total Cost for Plan'!$B$36+'Parts Cost Per Job'!G25*((1+'Total Cost for Plan'!$B$37)*'Total Cost for Plan'!$B$38)),2)</f>
        <v>0</v>
      </c>
      <c r="H25" s="246">
        <f>ROUND(('Hours Per Job'!H25*'Total Cost for Plan'!$B$36+'Parts Cost Per Job'!H25*((1+'Total Cost for Plan'!$B$37)*'Total Cost for Plan'!$B$38)),2)</f>
        <v>71.069999999999993</v>
      </c>
      <c r="I25" s="246">
        <f>ROUND(('Hours Per Job'!I25*'Total Cost for Plan'!$B$36+'Parts Cost Per Job'!I25*((1+'Total Cost for Plan'!$B$37)*'Total Cost for Plan'!$B$38)),2)</f>
        <v>30</v>
      </c>
      <c r="J25" s="246">
        <f>ROUND(('Hours Per Job'!J25*'Total Cost for Plan'!$B$36+'Parts Cost Per Job'!J25*((1+'Total Cost for Plan'!$B$37)*'Total Cost for Plan'!$B$38)),2)</f>
        <v>0</v>
      </c>
      <c r="K25" s="246">
        <f>ROUND(('Hours Per Job'!K25*'Total Cost for Plan'!$B$36+'Parts Cost Per Job'!K25*((1+'Total Cost for Plan'!$B$37)*'Total Cost for Plan'!$B$38)),2)</f>
        <v>0</v>
      </c>
      <c r="L25" s="246">
        <f>ROUND(('Hours Per Job'!L25*'Total Cost for Plan'!$B$36+'Parts Cost Per Job'!L25*((1+'Total Cost for Plan'!$B$37)*'Total Cost for Plan'!$B$38)),2)</f>
        <v>0</v>
      </c>
      <c r="M25" s="246">
        <f>ROUND(('Hours Per Job'!M25*'Total Cost for Plan'!$B$36+'Parts Cost Per Job'!M25*((1+'Total Cost for Plan'!$B$37)*'Total Cost for Plan'!$B$38)),2)</f>
        <v>0</v>
      </c>
      <c r="N25" s="246">
        <f>ROUND(('Hours Per Job'!N25*'Total Cost for Plan'!$B$36+'Parts Cost Per Job'!N25*((1+'Total Cost for Plan'!$B$37)*'Total Cost for Plan'!$B$38)),2)</f>
        <v>0</v>
      </c>
      <c r="O25" s="246">
        <f>ROUND(('Hours Per Job'!O25*'Total Cost for Plan'!$B$36+'Parts Cost Per Job'!O25*((1+'Total Cost for Plan'!$B$37)*'Total Cost for Plan'!$B$38)),2)</f>
        <v>0</v>
      </c>
      <c r="P25" s="246">
        <f>ROUND(('Hours Per Job'!P25*'Total Cost for Plan'!$B$36+'Parts Cost Per Job'!P25*((1+'Total Cost for Plan'!$B$37)*'Total Cost for Plan'!$B$38)),2)</f>
        <v>0</v>
      </c>
      <c r="Q25" s="246">
        <f>ROUND(('Hours Per Job'!Q25*'Total Cost for Plan'!$B$36+'Parts Cost Per Job'!Q25*((1+'Total Cost for Plan'!$B$37)*'Total Cost for Plan'!$B$38)),2)</f>
        <v>170.28</v>
      </c>
      <c r="R25" s="246">
        <f>ROUND(('Hours Per Job'!R25*'Total Cost for Plan'!$B$36+'Parts Cost Per Job'!R25*((1+'Total Cost for Plan'!$B$37)*'Total Cost for Plan'!$B$38)),2)</f>
        <v>138.08000000000001</v>
      </c>
      <c r="S25" s="246">
        <f>ROUND(('Hours Per Job'!S25*'Total Cost for Plan'!$B$36+'Parts Cost Per Job'!S25*((1+'Total Cost for Plan'!$B$37)*'Total Cost for Plan'!$B$38)),2)</f>
        <v>0</v>
      </c>
      <c r="T25" s="246">
        <f>ROUND(('Hours Per Job'!T25*'Total Cost for Plan'!$B$36+'Parts Cost Per Job'!T25*((1+'Total Cost for Plan'!$B$37)*'Total Cost for Plan'!$B$38)),2)</f>
        <v>0</v>
      </c>
      <c r="U25" s="246">
        <f>IF('Scheduled Intervals'!U25&gt;0,ROUND(('Hours Per Job'!U25*'Total Cost for Plan'!$B$36+'Parts Cost Per Job'!U25*((1+'Total Cost for Plan'!$B$37)*'Total Cost for Plan'!$B$38))*ROUNDDOWN($B$1/'Scheduled Intervals'!U25,0),2),0)</f>
        <v>152.5</v>
      </c>
      <c r="V25" s="246">
        <f>IF('Scheduled Intervals'!V25&gt;0,ROUND(('Hours Per Job'!V25*'Total Cost for Plan'!$B$36+'Parts Cost Per Job'!V25*((1+'Total Cost for Plan'!$B$37)*'Total Cost for Plan'!$B$38))*ROUNDDOWN($B$1/'Scheduled Intervals'!V25,0),2),0)</f>
        <v>0</v>
      </c>
      <c r="W25" s="246">
        <f>IF('Scheduled Intervals'!W25&gt;0,ROUND(('Hours Per Job'!W25*'Total Cost for Plan'!$B$36+'Parts Cost Per Job'!W25*((1+'Total Cost for Plan'!$B$37)*'Total Cost for Plan'!$B$38))*ROUNDDOWN($B$1/'Scheduled Intervals'!W25,0),2),0)</f>
        <v>0</v>
      </c>
      <c r="X25" s="246">
        <f>IF('Scheduled Intervals'!X25&gt;0,ROUND(('Hours Per Job'!X25*'Total Cost for Plan'!$B$36+'Parts Cost Per Job'!X25*((1+'Total Cost for Plan'!$B$37)*'Total Cost for Plan'!$B$38))*ROUNDDOWN($B$1/'Scheduled Intervals'!X25,0),2),0)</f>
        <v>0</v>
      </c>
      <c r="Y25" s="246">
        <f>IF('Scheduled Intervals'!Y25&gt;0,ROUND(('Hours Per Job'!Y25*'Total Cost for Plan'!$B$36+'Parts Cost Per Job'!Y25*((1+'Total Cost for Plan'!$B$37)*'Total Cost for Plan'!$B$38))*ROUNDDOWN($B$1/'Scheduled Intervals'!Y25,0),2),0)</f>
        <v>0</v>
      </c>
      <c r="Z25" s="246">
        <f>IF('Scheduled Intervals'!Z25&gt;0,ROUND(('Hours Per Job'!Z25*'Total Cost for Plan'!$B$36+'Parts Cost Per Job'!Z25*((1+'Total Cost for Plan'!$B$37)*'Total Cost for Plan'!$B$38))*ROUNDDOWN($B$1/'Scheduled Intervals'!Z25,0),2),0)</f>
        <v>0</v>
      </c>
      <c r="AA25" s="246">
        <f>IF('Scheduled Intervals'!AA25&gt;0,ROUND(('Hours Per Job'!AA25*'Total Cost for Plan'!$B$36+'Parts Cost Per Job'!AA25*((1+'Total Cost for Plan'!$B$37)*'Total Cost for Plan'!$B$38))*ROUNDDOWN($B$1/'Scheduled Intervals'!AA25,0),2),0)</f>
        <v>0</v>
      </c>
      <c r="AB25" s="246">
        <f>IF('Scheduled Intervals'!AB25&gt;0,ROUND(('Hours Per Job'!AB25*'Total Cost for Plan'!$B$36+'Parts Cost Per Job'!AB25*((1+'Total Cost for Plan'!$B$37)*'Total Cost for Plan'!$B$38))*ROUNDDOWN($B$1/'Scheduled Intervals'!AB25,0),2),0)</f>
        <v>0</v>
      </c>
      <c r="AC25" s="246">
        <f>IF('Scheduled Intervals'!AC25&gt;0,ROUND(('Hours Per Job'!AC25*'Total Cost for Plan'!$B$36+'Parts Cost Per Job'!AC25*((1+'Total Cost for Plan'!$B$37)*'Total Cost for Plan'!$B$38))*ROUNDDOWN($B$1/'Scheduled Intervals'!AC25,0),2),0)</f>
        <v>0</v>
      </c>
      <c r="AD25" s="246">
        <f>IF('Scheduled Intervals'!AD25&gt;0,ROUND(('Hours Per Job'!AD25*'Total Cost for Plan'!$B$36+'Parts Cost Per Job'!AD25*((1+'Total Cost for Plan'!$B$37)*'Total Cost for Plan'!$B$38))*ROUNDDOWN($B$1/'Scheduled Intervals'!AD25,0),2),0)</f>
        <v>0</v>
      </c>
      <c r="AE25" s="246">
        <f>IF('Scheduled Intervals'!AE25&gt;0,ROUND(('Hours Per Job'!AE25*'Total Cost for Plan'!$B$36+'Parts Cost Per Job'!AE25*((1+'Total Cost for Plan'!$B$37)*'Total Cost for Plan'!$B$38))*ROUNDDOWN($B$1/'Scheduled Intervals'!AE25,0),2),0)</f>
        <v>0</v>
      </c>
      <c r="AF25" s="246">
        <f>IF('Scheduled Intervals'!AF25&gt;0,ROUND(('Hours Per Job'!AF25*'Total Cost for Plan'!$B$36+'Parts Cost Per Job'!AF25*((1+'Total Cost for Plan'!$B$37)*'Total Cost for Plan'!$B$38))*ROUNDDOWN($B$1/'Scheduled Intervals'!AF25,0),2),0)</f>
        <v>0</v>
      </c>
      <c r="AG25" s="246">
        <f>IF('Scheduled Intervals'!AG25&gt;0,ROUND(('Hours Per Job'!AG25*'Total Cost for Plan'!$B$36+'Parts Cost Per Job'!AG25*((1+'Total Cost for Plan'!$B$37)*'Total Cost for Plan'!$B$38))*ROUNDDOWN($B$1/'Scheduled Intervals'!AG25,0),2),0)</f>
        <v>0</v>
      </c>
      <c r="AH25" s="246">
        <f>IF('Scheduled Intervals'!AH25&gt;0,ROUND(('Hours Per Job'!AH25*'Total Cost for Plan'!$B$36+'Parts Cost Per Job'!AH25*((1+'Total Cost for Plan'!$B$37)*'Total Cost for Plan'!$B$38))*ROUNDDOWN($B$1/'Scheduled Intervals'!AH25,0),2),0)</f>
        <v>0</v>
      </c>
      <c r="AI25" s="246">
        <f>IF('Scheduled Intervals'!AI25&gt;0,ROUND(('Hours Per Job'!AI25*'Total Cost for Plan'!$B$36+'Parts Cost Per Job'!AI25*((1+'Total Cost for Plan'!$B$37)*'Total Cost for Plan'!$B$38))*ROUNDDOWN($B$1/'Scheduled Intervals'!AI25,0),2),0)</f>
        <v>0</v>
      </c>
      <c r="AJ25" s="246">
        <f>IF('Scheduled Intervals'!AJ25&gt;0,ROUND(('Hours Per Job'!AJ25*'Total Cost for Plan'!$B$36+'Parts Cost Per Job'!AJ25*((1+'Total Cost for Plan'!$B$37)*'Total Cost for Plan'!$B$38))*ROUNDDOWN($B$1/'Scheduled Intervals'!AJ25,0),2),0)</f>
        <v>0</v>
      </c>
      <c r="AK25" s="246">
        <f>IF('Scheduled Intervals'!AK25&gt;0,ROUND(('Hours Per Job'!AK25*'Total Cost for Plan'!$B$36+'Parts Cost Per Job'!AK25*((1+'Total Cost for Plan'!$B$37)*'Total Cost for Plan'!$B$38))*ROUNDDOWN($B$1/'Scheduled Intervals'!AK25,0),2),0)</f>
        <v>0</v>
      </c>
      <c r="AL25" s="246">
        <f>IF('Scheduled Intervals'!AL25&gt;0,ROUND(('Hours Per Job'!AL25*'Total Cost for Plan'!$B$36+'Parts Cost Per Job'!AL25*((1+'Total Cost for Plan'!$B$37)*'Total Cost for Plan'!$B$38))*ROUNDDOWN($B$1/'Scheduled Intervals'!AL25,0),2),0)</f>
        <v>0</v>
      </c>
      <c r="AM25" s="246">
        <f>IF('Scheduled Intervals'!AM25&gt;0,ROUND(('Hours Per Job'!AM25*'Total Cost for Plan'!$B$36+'Parts Cost Per Job'!AM25*((1+'Total Cost for Plan'!$B$37)*'Total Cost for Plan'!$B$38))*ROUNDDOWN($B$1/'Scheduled Intervals'!AM25,0),2),0)</f>
        <v>0</v>
      </c>
      <c r="AN25" s="246">
        <f>IF('Scheduled Intervals'!AN25&gt;0,ROUND(('Hours Per Job'!AN25*'Total Cost for Plan'!$B$36+'Parts Cost Per Job'!AN25*((1+'Total Cost for Plan'!$B$37)*'Total Cost for Plan'!$B$38))*ROUNDDOWN($B$1/'Scheduled Intervals'!AN25,0),2),0)</f>
        <v>0</v>
      </c>
      <c r="AO25" s="246">
        <f>IF('Scheduled Intervals'!AO25&gt;0,ROUND(('Hours Per Job'!AO25*'Total Cost for Plan'!$B$36+'Parts Cost Per Job'!AO25*((1+'Total Cost for Plan'!$B$37)*'Total Cost for Plan'!$B$38))*ROUNDDOWN($B$1/'Scheduled Intervals'!AO25,0),2),0)</f>
        <v>0</v>
      </c>
      <c r="AP25" s="246">
        <f>IF('Scheduled Intervals'!AP25&gt;0,ROUND(('Hours Per Job'!AP25*'Total Cost for Plan'!$B$36+'Parts Cost Per Job'!AP25*((1+'Total Cost for Plan'!$B$37)*'Total Cost for Plan'!$B$38))*ROUNDDOWN($B$1/'Scheduled Intervals'!AP25,0),2),0)</f>
        <v>0</v>
      </c>
      <c r="AQ25" s="246">
        <f>IF('Scheduled Intervals'!AQ25&gt;0,ROUND(('Hours Per Job'!AQ25*'Total Cost for Plan'!$B$36+'Parts Cost Per Job'!AQ25*((1+'Total Cost for Plan'!$B$37)*'Total Cost for Plan'!$B$38))*ROUNDDOWN($B$1/'Scheduled Intervals'!AQ25,0),2),0)</f>
        <v>0</v>
      </c>
      <c r="AR25" s="246">
        <f>IF('Scheduled Intervals'!AR25&gt;0,ROUND(('Hours Per Job'!AR25*'Total Cost for Plan'!$B$36+'Parts Cost Per Job'!AR25*((1+'Total Cost for Plan'!$B$37)*'Total Cost for Plan'!$B$38))*ROUNDDOWN($B$1/'Scheduled Intervals'!AR25,0),2),0)</f>
        <v>0</v>
      </c>
      <c r="AS25" s="246">
        <f>IF('Scheduled Intervals'!AS25&gt;0,ROUND(('Hours Per Job'!AS25*'Total Cost for Plan'!$B$36+'Parts Cost Per Job'!AS25*((1+'Total Cost for Plan'!$B$37)*'Total Cost for Plan'!$B$38))*ROUNDDOWN($B$1/'Scheduled Intervals'!AS25,0),2),0)</f>
        <v>0</v>
      </c>
      <c r="AT25" s="246">
        <f>IF('Scheduled Intervals'!AT25&gt;0,ROUND(('Hours Per Job'!AT25*'Total Cost for Plan'!$B$36+'Parts Cost Per Job'!AT25*((1+'Total Cost for Plan'!$B$37)*'Total Cost for Plan'!$B$38))*ROUNDDOWN($B$1/'Scheduled Intervals'!AT25,0),2),0)</f>
        <v>71.069999999999993</v>
      </c>
      <c r="AU25" s="246">
        <f>IF('Scheduled Intervals'!AU25&gt;0,ROUND(('Hours Per Job'!AU25*'Total Cost for Plan'!$B$36+'Parts Cost Per Job'!AU25*((1+'Total Cost for Plan'!$B$37)*'Total Cost for Plan'!$B$38))*ROUNDDOWN($B$1/'Scheduled Intervals'!AU25,0),2),0)</f>
        <v>0</v>
      </c>
      <c r="AV25" s="246">
        <f>IF('Scheduled Intervals'!AV25&gt;0,ROUND(('Hours Per Job'!AV25*'Total Cost for Plan'!$B$36+'Parts Cost Per Job'!AV25*((1+'Total Cost for Plan'!$B$37)*'Total Cost for Plan'!$B$38))*ROUNDDOWN($B$1/'Scheduled Intervals'!AV25,0),2),0)</f>
        <v>0</v>
      </c>
      <c r="AW25" s="246">
        <f>IF('Scheduled Intervals'!AW25&gt;0,ROUND(('Hours Per Job'!AW25*'Total Cost for Plan'!$B$36+'Parts Cost Per Job'!AW25*((1+'Total Cost for Plan'!$B$37)*'Total Cost for Plan'!$B$38))*ROUNDDOWN($B$1/'Scheduled Intervals'!AW25,0),2),0)</f>
        <v>0</v>
      </c>
      <c r="AX25" s="246">
        <f>IF('Scheduled Intervals'!AX25&gt;0,ROUND(('Hours Per Job'!AX25*'Total Cost for Plan'!$B$36+'Parts Cost Per Job'!AX25*((1+'Total Cost for Plan'!$B$37)*'Total Cost for Plan'!$B$38))*ROUNDDOWN($B$1/'Scheduled Intervals'!AX25,0),2),0)</f>
        <v>0</v>
      </c>
      <c r="AY25" s="246">
        <f>IF('Scheduled Intervals'!AY25&gt;0,ROUND(('Hours Per Job'!AY25*'Total Cost for Plan'!$B$36+'Parts Cost Per Job'!AY25*((1+'Total Cost for Plan'!$B$37)*'Total Cost for Plan'!$B$38))*ROUNDDOWN($B$1/'Scheduled Intervals'!AY25,0),2),0)</f>
        <v>0</v>
      </c>
      <c r="AZ25" s="246">
        <f>IF('Scheduled Intervals'!AZ25&gt;0,ROUND(('Hours Per Job'!AZ25*'Total Cost for Plan'!$B$36+'Parts Cost Per Job'!AZ25*((1+'Total Cost for Plan'!$B$37)*'Total Cost for Plan'!$B$38))*ROUNDDOWN($B$1/'Scheduled Intervals'!AZ25,0),2),0)</f>
        <v>0</v>
      </c>
      <c r="BA25" s="246">
        <f>IF('Scheduled Intervals'!BA25&gt;0,ROUND(('Hours Per Job'!BA25*'Total Cost for Plan'!$B$36+'Parts Cost Per Job'!BA25*((1+'Total Cost for Plan'!$B$37)*'Total Cost for Plan'!$B$38))*ROUNDDOWN($B$1/'Scheduled Intervals'!BA25,0),2),0)</f>
        <v>0</v>
      </c>
      <c r="BB25" s="246">
        <f>IF('Scheduled Intervals'!BB25&gt;0,ROUND(('Hours Per Job'!BB25*'Total Cost for Plan'!$B$36+'Parts Cost Per Job'!BB25*((1+'Total Cost for Plan'!$B$37)*'Total Cost for Plan'!$B$38))*ROUNDDOWN($B$1/'Scheduled Intervals'!BB25,0),2),0)</f>
        <v>0</v>
      </c>
      <c r="BC25" s="246">
        <f>IF('Scheduled Intervals'!BC25&gt;0,ROUND(('Hours Per Job'!BC25*'Total Cost for Plan'!$B$36+'Parts Cost Per Job'!BC25*((1+'Total Cost for Plan'!$B$37)*'Total Cost for Plan'!$B$38))*ROUNDDOWN($B$1/'Scheduled Intervals'!BC25,0),2),0)</f>
        <v>0</v>
      </c>
      <c r="BD25" s="246">
        <f>IF('Scheduled Intervals'!BD25&gt;0,ROUND(('Hours Per Job'!BD25*'Total Cost for Plan'!$B$36+'Parts Cost Per Job'!BD25*((1+'Total Cost for Plan'!$B$37)*'Total Cost for Plan'!$B$38))*ROUNDDOWN($B$1/'Scheduled Intervals'!BD25,0),2),0)</f>
        <v>0</v>
      </c>
      <c r="BE25" s="246">
        <f>IF('Scheduled Intervals'!BE25&gt;0,ROUND(('Hours Per Job'!BE25*'Total Cost for Plan'!$B$36+'Parts Cost Per Job'!BE25*((1+'Total Cost for Plan'!$B$37)*'Total Cost for Plan'!$B$38))*ROUNDDOWN($B$1/'Scheduled Intervals'!BE25,0),2),0)</f>
        <v>0</v>
      </c>
      <c r="BF25" s="246">
        <f>IF('Scheduled Intervals'!BF25&gt;0,ROUND(('Hours Per Job'!BF25*'Total Cost for Plan'!$B$36+'Parts Cost Per Job'!BF25*((1+'Total Cost for Plan'!$B$37)*'Total Cost for Plan'!$B$38))*ROUNDDOWN($B$1/'Scheduled Intervals'!BF25,0),2),0)</f>
        <v>0</v>
      </c>
      <c r="BG25" s="246">
        <f>IF('Scheduled Intervals'!BG25&gt;0,ROUND(('Hours Per Job'!BG25*'Total Cost for Plan'!$B$36+'Parts Cost Per Job'!BG25*((1+'Total Cost for Plan'!$B$37)*'Total Cost for Plan'!$B$38))*ROUNDDOWN($B$1/'Scheduled Intervals'!BG25,0),2),0)</f>
        <v>0</v>
      </c>
      <c r="BH25" s="246">
        <f>IF('Scheduled Intervals'!BH25&gt;0,ROUND(('Hours Per Job'!BH25*'Total Cost for Plan'!$B$36+'Parts Cost Per Job'!BH25*((1+'Total Cost for Plan'!$B$37)*'Total Cost for Plan'!$B$38))*ROUNDDOWN($B$1/'Scheduled Intervals'!BH25,0),2),0)</f>
        <v>0</v>
      </c>
      <c r="BI25" s="246">
        <f>IF('Scheduled Intervals'!BI25&gt;0,ROUND(('Hours Per Job'!BI25*'Total Cost for Plan'!$B$36+'Parts Cost Per Job'!BI25*((1+'Total Cost for Plan'!$B$37)*'Total Cost for Plan'!$B$38))*ROUNDDOWN($B$1/'Scheduled Intervals'!BI25,0),2),0)</f>
        <v>0</v>
      </c>
      <c r="BJ25" s="246">
        <f>IF('Scheduled Intervals'!BJ25&gt;0,ROUND(('Hours Per Job'!BJ25*'Total Cost for Plan'!$B$36+'Parts Cost Per Job'!BJ25*((1+'Total Cost for Plan'!$B$37)*'Total Cost for Plan'!$B$38))*ROUNDDOWN($B$1/'Scheduled Intervals'!BJ25,0),2),0)</f>
        <v>30</v>
      </c>
      <c r="BK25" s="246">
        <f>IF('Scheduled Intervals'!BK25&gt;0,ROUND(('Hours Per Job'!BK25*'Total Cost for Plan'!$B$36+'Parts Cost Per Job'!BK25*((1+'Total Cost for Plan'!$B$37)*'Total Cost for Plan'!$B$38))*ROUNDDOWN($B$1/'Scheduled Intervals'!BK25,0),2),0)</f>
        <v>0</v>
      </c>
      <c r="BL25" s="246">
        <f>IF('Scheduled Intervals'!BL25&gt;0,ROUND(('Hours Per Job'!BL25*'Total Cost for Plan'!$B$36+'Parts Cost Per Job'!BL25*((1+'Total Cost for Plan'!$B$37)*'Total Cost for Plan'!$B$38))*ROUNDDOWN($B$1/'Scheduled Intervals'!BL25,0),2),0)</f>
        <v>0</v>
      </c>
      <c r="BM25" s="246">
        <f>IF('Scheduled Intervals'!BM25&gt;0,ROUND(('Hours Per Job'!BM25*'Total Cost for Plan'!$B$36+'Parts Cost Per Job'!BM25*((1+'Total Cost for Plan'!$B$37)*'Total Cost for Plan'!$B$38))*ROUNDDOWN($B$1/'Scheduled Intervals'!BM25,0),2),0)</f>
        <v>0</v>
      </c>
      <c r="BN25" s="246">
        <f>IF(AND('Scheduled Intervals'!BN$4="annual",'Plan Summary'!$C$5&lt;'Scheduled Intervals'!$U25*('Plan Summary'!$C$9/12)),ROUND(('Hours Per Job'!BN25*'Total Cost for Plan'!$B$36+'Parts Cost Per Job'!BN25*((1+'Total Cost for Plan'!$B$37)*'Total Cost for Plan'!$B$38))*ROUND('Plan Summary'!$C$9/12,0),2),0)</f>
        <v>762.52</v>
      </c>
      <c r="BO25" s="246">
        <f>IF(AND('Scheduled Intervals'!BO$4="annual",'Plan Summary'!$C$5&lt;'Scheduled Intervals'!$U25*('Plan Summary'!$C$9/12)),ROUND(('Hours Per Job'!BO25*'Total Cost for Plan'!$B$36+'Parts Cost Per Job'!BO25*((1+'Total Cost for Plan'!$B$37)*'Total Cost for Plan'!$B$38))*ROUND('Plan Summary'!$C$9/12,0),2),0)</f>
        <v>355.33</v>
      </c>
      <c r="BP25" s="246">
        <f>IF(AND('Scheduled Intervals'!BP$4="annual",'Plan Summary'!$C$5&lt;'Scheduled Intervals'!$U25*('Plan Summary'!$C$9/12)),ROUND(('Hours Per Job'!BP25*'Total Cost for Plan'!$B$36+'Parts Cost Per Job'!BP25*((1+'Total Cost for Plan'!$B$37)*'Total Cost for Plan'!$B$38))*ROUND('Plan Summary'!$C$9/12,0),2),0)</f>
        <v>630</v>
      </c>
      <c r="BQ25" s="246">
        <f t="shared" si="0"/>
        <v>2575.35</v>
      </c>
      <c r="BR25" s="246"/>
    </row>
    <row r="26" spans="1:70" ht="16" x14ac:dyDescent="0.2">
      <c r="A26" s="18" t="str">
        <f>+'Scheduled Intervals'!A26</f>
        <v>Sany SY up to 60</v>
      </c>
      <c r="B26" s="246">
        <f>ROUND(('Hours Per Job'!B26*'Total Cost for Plan'!$B$36+'Parts Cost Per Job'!B26*((1+'Total Cost for Plan'!$B$37)*'Total Cost for Plan'!$B$38)),2)</f>
        <v>164.59</v>
      </c>
      <c r="C26" s="246">
        <f>ROUND(('Hours Per Job'!C26*'Total Cost for Plan'!$B$36+'Parts Cost Per Job'!C26*((1+'Total Cost for Plan'!$B$37)*'Total Cost for Plan'!$B$38)),2)</f>
        <v>0</v>
      </c>
      <c r="D26" s="246">
        <f>ROUND(('Hours Per Job'!D26*'Total Cost for Plan'!$B$36+'Parts Cost Per Job'!D26*((1+'Total Cost for Plan'!$B$37)*'Total Cost for Plan'!$B$38)),2)</f>
        <v>12</v>
      </c>
      <c r="E26" s="246">
        <f>ROUND(('Hours Per Job'!E26*'Total Cost for Plan'!$B$36+'Parts Cost Per Job'!E26*((1+'Total Cost for Plan'!$B$37)*'Total Cost for Plan'!$B$38)),2)</f>
        <v>0</v>
      </c>
      <c r="F26" s="246">
        <f>ROUND(('Hours Per Job'!F26*'Total Cost for Plan'!$B$36+'Parts Cost Per Job'!F26*((1+'Total Cost for Plan'!$B$37)*'Total Cost for Plan'!$B$38)),2)</f>
        <v>0</v>
      </c>
      <c r="G26" s="246">
        <f>ROUND(('Hours Per Job'!G26*'Total Cost for Plan'!$B$36+'Parts Cost Per Job'!G26*((1+'Total Cost for Plan'!$B$37)*'Total Cost for Plan'!$B$38)),2)</f>
        <v>0</v>
      </c>
      <c r="H26" s="246">
        <f>ROUND(('Hours Per Job'!H26*'Total Cost for Plan'!$B$36+'Parts Cost Per Job'!H26*((1+'Total Cost for Plan'!$B$37)*'Total Cost for Plan'!$B$38)),2)</f>
        <v>71.069999999999993</v>
      </c>
      <c r="I26" s="246">
        <f>ROUND(('Hours Per Job'!I26*'Total Cost for Plan'!$B$36+'Parts Cost Per Job'!I26*((1+'Total Cost for Plan'!$B$37)*'Total Cost for Plan'!$B$38)),2)</f>
        <v>30</v>
      </c>
      <c r="J26" s="246">
        <f>ROUND(('Hours Per Job'!J26*'Total Cost for Plan'!$B$36+'Parts Cost Per Job'!J26*((1+'Total Cost for Plan'!$B$37)*'Total Cost for Plan'!$B$38)),2)</f>
        <v>0</v>
      </c>
      <c r="K26" s="246">
        <f>ROUND(('Hours Per Job'!K26*'Total Cost for Plan'!$B$36+'Parts Cost Per Job'!K26*((1+'Total Cost for Plan'!$B$37)*'Total Cost for Plan'!$B$38)),2)</f>
        <v>0</v>
      </c>
      <c r="L26" s="246">
        <f>ROUND(('Hours Per Job'!L26*'Total Cost for Plan'!$B$36+'Parts Cost Per Job'!L26*((1+'Total Cost for Plan'!$B$37)*'Total Cost for Plan'!$B$38)),2)</f>
        <v>0</v>
      </c>
      <c r="M26" s="246">
        <f>ROUND(('Hours Per Job'!M26*'Total Cost for Plan'!$B$36+'Parts Cost Per Job'!M26*((1+'Total Cost for Plan'!$B$37)*'Total Cost for Plan'!$B$38)),2)</f>
        <v>0</v>
      </c>
      <c r="N26" s="246">
        <f>ROUND(('Hours Per Job'!N26*'Total Cost for Plan'!$B$36+'Parts Cost Per Job'!N26*((1+'Total Cost for Plan'!$B$37)*'Total Cost for Plan'!$B$38)),2)</f>
        <v>0</v>
      </c>
      <c r="O26" s="246">
        <f>ROUND(('Hours Per Job'!O26*'Total Cost for Plan'!$B$36+'Parts Cost Per Job'!O26*((1+'Total Cost for Plan'!$B$37)*'Total Cost for Plan'!$B$38)),2)</f>
        <v>0</v>
      </c>
      <c r="P26" s="246">
        <f>ROUND(('Hours Per Job'!P26*'Total Cost for Plan'!$B$36+'Parts Cost Per Job'!P26*((1+'Total Cost for Plan'!$B$37)*'Total Cost for Plan'!$B$38)),2)</f>
        <v>0</v>
      </c>
      <c r="Q26" s="246">
        <f>ROUND(('Hours Per Job'!Q26*'Total Cost for Plan'!$B$36+'Parts Cost Per Job'!Q26*((1+'Total Cost for Plan'!$B$37)*'Total Cost for Plan'!$B$38)),2)</f>
        <v>170.28</v>
      </c>
      <c r="R26" s="246">
        <f>ROUND(('Hours Per Job'!R26*'Total Cost for Plan'!$B$36+'Parts Cost Per Job'!R26*((1+'Total Cost for Plan'!$B$37)*'Total Cost for Plan'!$B$38)),2)</f>
        <v>138.08000000000001</v>
      </c>
      <c r="S26" s="246">
        <f>ROUND(('Hours Per Job'!S26*'Total Cost for Plan'!$B$36+'Parts Cost Per Job'!S26*((1+'Total Cost for Plan'!$B$37)*'Total Cost for Plan'!$B$38)),2)</f>
        <v>0</v>
      </c>
      <c r="T26" s="246">
        <f>ROUND(('Hours Per Job'!T26*'Total Cost for Plan'!$B$36+'Parts Cost Per Job'!T26*((1+'Total Cost for Plan'!$B$37)*'Total Cost for Plan'!$B$38)),2)</f>
        <v>0</v>
      </c>
      <c r="U26" s="246">
        <f>IF('Scheduled Intervals'!U26&gt;0,ROUND(('Hours Per Job'!U26*'Total Cost for Plan'!$B$36+'Parts Cost Per Job'!U26*((1+'Total Cost for Plan'!$B$37)*'Total Cost for Plan'!$B$38))*ROUNDDOWN($B$1/'Scheduled Intervals'!U26,0),2),0)</f>
        <v>164.59</v>
      </c>
      <c r="V26" s="246">
        <f>IF('Scheduled Intervals'!V26&gt;0,ROUND(('Hours Per Job'!V26*'Total Cost for Plan'!$B$36+'Parts Cost Per Job'!V26*((1+'Total Cost for Plan'!$B$37)*'Total Cost for Plan'!$B$38))*ROUNDDOWN($B$1/'Scheduled Intervals'!V26,0),2),0)</f>
        <v>0</v>
      </c>
      <c r="W26" s="246">
        <f>IF('Scheduled Intervals'!W26&gt;0,ROUND(('Hours Per Job'!W26*'Total Cost for Plan'!$B$36+'Parts Cost Per Job'!W26*((1+'Total Cost for Plan'!$B$37)*'Total Cost for Plan'!$B$38))*ROUNDDOWN($B$1/'Scheduled Intervals'!W26,0),2),0)</f>
        <v>0</v>
      </c>
      <c r="X26" s="246">
        <f>IF('Scheduled Intervals'!X26&gt;0,ROUND(('Hours Per Job'!X26*'Total Cost for Plan'!$B$36+'Parts Cost Per Job'!X26*((1+'Total Cost for Plan'!$B$37)*'Total Cost for Plan'!$B$38))*ROUNDDOWN($B$1/'Scheduled Intervals'!X26,0),2),0)</f>
        <v>0</v>
      </c>
      <c r="Y26" s="246">
        <f>IF('Scheduled Intervals'!Y26&gt;0,ROUND(('Hours Per Job'!Y26*'Total Cost for Plan'!$B$36+'Parts Cost Per Job'!Y26*((1+'Total Cost for Plan'!$B$37)*'Total Cost for Plan'!$B$38))*ROUNDDOWN($B$1/'Scheduled Intervals'!Y26,0),2),0)</f>
        <v>0</v>
      </c>
      <c r="Z26" s="246">
        <f>IF('Scheduled Intervals'!Z26&gt;0,ROUND(('Hours Per Job'!Z26*'Total Cost for Plan'!$B$36+'Parts Cost Per Job'!Z26*((1+'Total Cost for Plan'!$B$37)*'Total Cost for Plan'!$B$38))*ROUNDDOWN($B$1/'Scheduled Intervals'!Z26,0),2),0)</f>
        <v>0</v>
      </c>
      <c r="AA26" s="246">
        <f>IF('Scheduled Intervals'!AA26&gt;0,ROUND(('Hours Per Job'!AA26*'Total Cost for Plan'!$B$36+'Parts Cost Per Job'!AA26*((1+'Total Cost for Plan'!$B$37)*'Total Cost for Plan'!$B$38))*ROUNDDOWN($B$1/'Scheduled Intervals'!AA26,0),2),0)</f>
        <v>0</v>
      </c>
      <c r="AB26" s="246">
        <f>IF('Scheduled Intervals'!AB26&gt;0,ROUND(('Hours Per Job'!AB26*'Total Cost for Plan'!$B$36+'Parts Cost Per Job'!AB26*((1+'Total Cost for Plan'!$B$37)*'Total Cost for Plan'!$B$38))*ROUNDDOWN($B$1/'Scheduled Intervals'!AB26,0),2),0)</f>
        <v>0</v>
      </c>
      <c r="AC26" s="246">
        <f>IF('Scheduled Intervals'!AC26&gt;0,ROUND(('Hours Per Job'!AC26*'Total Cost for Plan'!$B$36+'Parts Cost Per Job'!AC26*((1+'Total Cost for Plan'!$B$37)*'Total Cost for Plan'!$B$38))*ROUNDDOWN($B$1/'Scheduled Intervals'!AC26,0),2),0)</f>
        <v>0</v>
      </c>
      <c r="AD26" s="246">
        <f>IF('Scheduled Intervals'!AD26&gt;0,ROUND(('Hours Per Job'!AD26*'Total Cost for Plan'!$B$36+'Parts Cost Per Job'!AD26*((1+'Total Cost for Plan'!$B$37)*'Total Cost for Plan'!$B$38))*ROUNDDOWN($B$1/'Scheduled Intervals'!AD26,0),2),0)</f>
        <v>0</v>
      </c>
      <c r="AE26" s="246">
        <f>IF('Scheduled Intervals'!AE26&gt;0,ROUND(('Hours Per Job'!AE26*'Total Cost for Plan'!$B$36+'Parts Cost Per Job'!AE26*((1+'Total Cost for Plan'!$B$37)*'Total Cost for Plan'!$B$38))*ROUNDDOWN($B$1/'Scheduled Intervals'!AE26,0),2),0)</f>
        <v>0</v>
      </c>
      <c r="AF26" s="246">
        <f>IF('Scheduled Intervals'!AF26&gt;0,ROUND(('Hours Per Job'!AF26*'Total Cost for Plan'!$B$36+'Parts Cost Per Job'!AF26*((1+'Total Cost for Plan'!$B$37)*'Total Cost for Plan'!$B$38))*ROUNDDOWN($B$1/'Scheduled Intervals'!AF26,0),2),0)</f>
        <v>0</v>
      </c>
      <c r="AG26" s="246">
        <f>IF('Scheduled Intervals'!AG26&gt;0,ROUND(('Hours Per Job'!AG26*'Total Cost for Plan'!$B$36+'Parts Cost Per Job'!AG26*((1+'Total Cost for Plan'!$B$37)*'Total Cost for Plan'!$B$38))*ROUNDDOWN($B$1/'Scheduled Intervals'!AG26,0),2),0)</f>
        <v>0</v>
      </c>
      <c r="AH26" s="246">
        <f>IF('Scheduled Intervals'!AH26&gt;0,ROUND(('Hours Per Job'!AH26*'Total Cost for Plan'!$B$36+'Parts Cost Per Job'!AH26*((1+'Total Cost for Plan'!$B$37)*'Total Cost for Plan'!$B$38))*ROUNDDOWN($B$1/'Scheduled Intervals'!AH26,0),2),0)</f>
        <v>0</v>
      </c>
      <c r="AI26" s="246">
        <f>IF('Scheduled Intervals'!AI26&gt;0,ROUND(('Hours Per Job'!AI26*'Total Cost for Plan'!$B$36+'Parts Cost Per Job'!AI26*((1+'Total Cost for Plan'!$B$37)*'Total Cost for Plan'!$B$38))*ROUNDDOWN($B$1/'Scheduled Intervals'!AI26,0),2),0)</f>
        <v>0</v>
      </c>
      <c r="AJ26" s="246">
        <f>IF('Scheduled Intervals'!AJ26&gt;0,ROUND(('Hours Per Job'!AJ26*'Total Cost for Plan'!$B$36+'Parts Cost Per Job'!AJ26*((1+'Total Cost for Plan'!$B$37)*'Total Cost for Plan'!$B$38))*ROUNDDOWN($B$1/'Scheduled Intervals'!AJ26,0),2),0)</f>
        <v>0</v>
      </c>
      <c r="AK26" s="246">
        <f>IF('Scheduled Intervals'!AK26&gt;0,ROUND(('Hours Per Job'!AK26*'Total Cost for Plan'!$B$36+'Parts Cost Per Job'!AK26*((1+'Total Cost for Plan'!$B$37)*'Total Cost for Plan'!$B$38))*ROUNDDOWN($B$1/'Scheduled Intervals'!AK26,0),2),0)</f>
        <v>0</v>
      </c>
      <c r="AL26" s="246">
        <f>IF('Scheduled Intervals'!AL26&gt;0,ROUND(('Hours Per Job'!AL26*'Total Cost for Plan'!$B$36+'Parts Cost Per Job'!AL26*((1+'Total Cost for Plan'!$B$37)*'Total Cost for Plan'!$B$38))*ROUNDDOWN($B$1/'Scheduled Intervals'!AL26,0),2),0)</f>
        <v>0</v>
      </c>
      <c r="AM26" s="246">
        <f>IF('Scheduled Intervals'!AM26&gt;0,ROUND(('Hours Per Job'!AM26*'Total Cost for Plan'!$B$36+'Parts Cost Per Job'!AM26*((1+'Total Cost for Plan'!$B$37)*'Total Cost for Plan'!$B$38))*ROUNDDOWN($B$1/'Scheduled Intervals'!AM26,0),2),0)</f>
        <v>0</v>
      </c>
      <c r="AN26" s="246">
        <f>IF('Scheduled Intervals'!AN26&gt;0,ROUND(('Hours Per Job'!AN26*'Total Cost for Plan'!$B$36+'Parts Cost Per Job'!AN26*((1+'Total Cost for Plan'!$B$37)*'Total Cost for Plan'!$B$38))*ROUNDDOWN($B$1/'Scheduled Intervals'!AN26,0),2),0)</f>
        <v>0</v>
      </c>
      <c r="AO26" s="246">
        <f>IF('Scheduled Intervals'!AO26&gt;0,ROUND(('Hours Per Job'!AO26*'Total Cost for Plan'!$B$36+'Parts Cost Per Job'!AO26*((1+'Total Cost for Plan'!$B$37)*'Total Cost for Plan'!$B$38))*ROUNDDOWN($B$1/'Scheduled Intervals'!AO26,0),2),0)</f>
        <v>0</v>
      </c>
      <c r="AP26" s="246">
        <f>IF('Scheduled Intervals'!AP26&gt;0,ROUND(('Hours Per Job'!AP26*'Total Cost for Plan'!$B$36+'Parts Cost Per Job'!AP26*((1+'Total Cost for Plan'!$B$37)*'Total Cost for Plan'!$B$38))*ROUNDDOWN($B$1/'Scheduled Intervals'!AP26,0),2),0)</f>
        <v>0</v>
      </c>
      <c r="AQ26" s="246">
        <f>IF('Scheduled Intervals'!AQ26&gt;0,ROUND(('Hours Per Job'!AQ26*'Total Cost for Plan'!$B$36+'Parts Cost Per Job'!AQ26*((1+'Total Cost for Plan'!$B$37)*'Total Cost for Plan'!$B$38))*ROUNDDOWN($B$1/'Scheduled Intervals'!AQ26,0),2),0)</f>
        <v>0</v>
      </c>
      <c r="AR26" s="246">
        <f>IF('Scheduled Intervals'!AR26&gt;0,ROUND(('Hours Per Job'!AR26*'Total Cost for Plan'!$B$36+'Parts Cost Per Job'!AR26*((1+'Total Cost for Plan'!$B$37)*'Total Cost for Plan'!$B$38))*ROUNDDOWN($B$1/'Scheduled Intervals'!AR26,0),2),0)</f>
        <v>0</v>
      </c>
      <c r="AS26" s="246">
        <f>IF('Scheduled Intervals'!AS26&gt;0,ROUND(('Hours Per Job'!AS26*'Total Cost for Plan'!$B$36+'Parts Cost Per Job'!AS26*((1+'Total Cost for Plan'!$B$37)*'Total Cost for Plan'!$B$38))*ROUNDDOWN($B$1/'Scheduled Intervals'!AS26,0),2),0)</f>
        <v>0</v>
      </c>
      <c r="AT26" s="246">
        <f>IF('Scheduled Intervals'!AT26&gt;0,ROUND(('Hours Per Job'!AT26*'Total Cost for Plan'!$B$36+'Parts Cost Per Job'!AT26*((1+'Total Cost for Plan'!$B$37)*'Total Cost for Plan'!$B$38))*ROUNDDOWN($B$1/'Scheduled Intervals'!AT26,0),2),0)</f>
        <v>71.069999999999993</v>
      </c>
      <c r="AU26" s="246">
        <f>IF('Scheduled Intervals'!AU26&gt;0,ROUND(('Hours Per Job'!AU26*'Total Cost for Plan'!$B$36+'Parts Cost Per Job'!AU26*((1+'Total Cost for Plan'!$B$37)*'Total Cost for Plan'!$B$38))*ROUNDDOWN($B$1/'Scheduled Intervals'!AU26,0),2),0)</f>
        <v>0</v>
      </c>
      <c r="AV26" s="246">
        <f>IF('Scheduled Intervals'!AV26&gt;0,ROUND(('Hours Per Job'!AV26*'Total Cost for Plan'!$B$36+'Parts Cost Per Job'!AV26*((1+'Total Cost for Plan'!$B$37)*'Total Cost for Plan'!$B$38))*ROUNDDOWN($B$1/'Scheduled Intervals'!AV26,0),2),0)</f>
        <v>0</v>
      </c>
      <c r="AW26" s="246">
        <f>IF('Scheduled Intervals'!AW26&gt;0,ROUND(('Hours Per Job'!AW26*'Total Cost for Plan'!$B$36+'Parts Cost Per Job'!AW26*((1+'Total Cost for Plan'!$B$37)*'Total Cost for Plan'!$B$38))*ROUNDDOWN($B$1/'Scheduled Intervals'!AW26,0),2),0)</f>
        <v>0</v>
      </c>
      <c r="AX26" s="246">
        <f>IF('Scheduled Intervals'!AX26&gt;0,ROUND(('Hours Per Job'!AX26*'Total Cost for Plan'!$B$36+'Parts Cost Per Job'!AX26*((1+'Total Cost for Plan'!$B$37)*'Total Cost for Plan'!$B$38))*ROUNDDOWN($B$1/'Scheduled Intervals'!AX26,0),2),0)</f>
        <v>0</v>
      </c>
      <c r="AY26" s="246">
        <f>IF('Scheduled Intervals'!AY26&gt;0,ROUND(('Hours Per Job'!AY26*'Total Cost for Plan'!$B$36+'Parts Cost Per Job'!AY26*((1+'Total Cost for Plan'!$B$37)*'Total Cost for Plan'!$B$38))*ROUNDDOWN($B$1/'Scheduled Intervals'!AY26,0),2),0)</f>
        <v>0</v>
      </c>
      <c r="AZ26" s="246">
        <f>IF('Scheduled Intervals'!AZ26&gt;0,ROUND(('Hours Per Job'!AZ26*'Total Cost for Plan'!$B$36+'Parts Cost Per Job'!AZ26*((1+'Total Cost for Plan'!$B$37)*'Total Cost for Plan'!$B$38))*ROUNDDOWN($B$1/'Scheduled Intervals'!AZ26,0),2),0)</f>
        <v>0</v>
      </c>
      <c r="BA26" s="246">
        <f>IF('Scheduled Intervals'!BA26&gt;0,ROUND(('Hours Per Job'!BA26*'Total Cost for Plan'!$B$36+'Parts Cost Per Job'!BA26*((1+'Total Cost for Plan'!$B$37)*'Total Cost for Plan'!$B$38))*ROUNDDOWN($B$1/'Scheduled Intervals'!BA26,0),2),0)</f>
        <v>0</v>
      </c>
      <c r="BB26" s="246">
        <f>IF('Scheduled Intervals'!BB26&gt;0,ROUND(('Hours Per Job'!BB26*'Total Cost for Plan'!$B$36+'Parts Cost Per Job'!BB26*((1+'Total Cost for Plan'!$B$37)*'Total Cost for Plan'!$B$38))*ROUNDDOWN($B$1/'Scheduled Intervals'!BB26,0),2),0)</f>
        <v>0</v>
      </c>
      <c r="BC26" s="246">
        <f>IF('Scheduled Intervals'!BC26&gt;0,ROUND(('Hours Per Job'!BC26*'Total Cost for Plan'!$B$36+'Parts Cost Per Job'!BC26*((1+'Total Cost for Plan'!$B$37)*'Total Cost for Plan'!$B$38))*ROUNDDOWN($B$1/'Scheduled Intervals'!BC26,0),2),0)</f>
        <v>0</v>
      </c>
      <c r="BD26" s="246">
        <f>IF('Scheduled Intervals'!BD26&gt;0,ROUND(('Hours Per Job'!BD26*'Total Cost for Plan'!$B$36+'Parts Cost Per Job'!BD26*((1+'Total Cost for Plan'!$B$37)*'Total Cost for Plan'!$B$38))*ROUNDDOWN($B$1/'Scheduled Intervals'!BD26,0),2),0)</f>
        <v>0</v>
      </c>
      <c r="BE26" s="246">
        <f>IF('Scheduled Intervals'!BE26&gt;0,ROUND(('Hours Per Job'!BE26*'Total Cost for Plan'!$B$36+'Parts Cost Per Job'!BE26*((1+'Total Cost for Plan'!$B$37)*'Total Cost for Plan'!$B$38))*ROUNDDOWN($B$1/'Scheduled Intervals'!BE26,0),2),0)</f>
        <v>0</v>
      </c>
      <c r="BF26" s="246">
        <f>IF('Scheduled Intervals'!BF26&gt;0,ROUND(('Hours Per Job'!BF26*'Total Cost for Plan'!$B$36+'Parts Cost Per Job'!BF26*((1+'Total Cost for Plan'!$B$37)*'Total Cost for Plan'!$B$38))*ROUNDDOWN($B$1/'Scheduled Intervals'!BF26,0),2),0)</f>
        <v>0</v>
      </c>
      <c r="BG26" s="246">
        <f>IF('Scheduled Intervals'!BG26&gt;0,ROUND(('Hours Per Job'!BG26*'Total Cost for Plan'!$B$36+'Parts Cost Per Job'!BG26*((1+'Total Cost for Plan'!$B$37)*'Total Cost for Plan'!$B$38))*ROUNDDOWN($B$1/'Scheduled Intervals'!BG26,0),2),0)</f>
        <v>0</v>
      </c>
      <c r="BH26" s="246">
        <f>IF('Scheduled Intervals'!BH26&gt;0,ROUND(('Hours Per Job'!BH26*'Total Cost for Plan'!$B$36+'Parts Cost Per Job'!BH26*((1+'Total Cost for Plan'!$B$37)*'Total Cost for Plan'!$B$38))*ROUNDDOWN($B$1/'Scheduled Intervals'!BH26,0),2),0)</f>
        <v>0</v>
      </c>
      <c r="BI26" s="246">
        <f>IF('Scheduled Intervals'!BI26&gt;0,ROUND(('Hours Per Job'!BI26*'Total Cost for Plan'!$B$36+'Parts Cost Per Job'!BI26*((1+'Total Cost for Plan'!$B$37)*'Total Cost for Plan'!$B$38))*ROUNDDOWN($B$1/'Scheduled Intervals'!BI26,0),2),0)</f>
        <v>0</v>
      </c>
      <c r="BJ26" s="246">
        <f>IF('Scheduled Intervals'!BJ26&gt;0,ROUND(('Hours Per Job'!BJ26*'Total Cost for Plan'!$B$36+'Parts Cost Per Job'!BJ26*((1+'Total Cost for Plan'!$B$37)*'Total Cost for Plan'!$B$38))*ROUNDDOWN($B$1/'Scheduled Intervals'!BJ26,0),2),0)</f>
        <v>30</v>
      </c>
      <c r="BK26" s="246">
        <f>IF('Scheduled Intervals'!BK26&gt;0,ROUND(('Hours Per Job'!BK26*'Total Cost for Plan'!$B$36+'Parts Cost Per Job'!BK26*((1+'Total Cost for Plan'!$B$37)*'Total Cost for Plan'!$B$38))*ROUNDDOWN($B$1/'Scheduled Intervals'!BK26,0),2),0)</f>
        <v>0</v>
      </c>
      <c r="BL26" s="246">
        <f>IF('Scheduled Intervals'!BL26&gt;0,ROUND(('Hours Per Job'!BL26*'Total Cost for Plan'!$B$36+'Parts Cost Per Job'!BL26*((1+'Total Cost for Plan'!$B$37)*'Total Cost for Plan'!$B$38))*ROUNDDOWN($B$1/'Scheduled Intervals'!BL26,0),2),0)</f>
        <v>0</v>
      </c>
      <c r="BM26" s="246">
        <f>IF('Scheduled Intervals'!BM26&gt;0,ROUND(('Hours Per Job'!BM26*'Total Cost for Plan'!$B$36+'Parts Cost Per Job'!BM26*((1+'Total Cost for Plan'!$B$37)*'Total Cost for Plan'!$B$38))*ROUNDDOWN($B$1/'Scheduled Intervals'!BM26,0),2),0)</f>
        <v>0</v>
      </c>
      <c r="BN26" s="246">
        <f>IF(AND('Scheduled Intervals'!BN$4="annual",'Plan Summary'!$C$5&lt;'Scheduled Intervals'!$U26*('Plan Summary'!$C$9/12)),ROUND(('Hours Per Job'!BN26*'Total Cost for Plan'!$B$36+'Parts Cost Per Job'!BN26*((1+'Total Cost for Plan'!$B$37)*'Total Cost for Plan'!$B$38))*ROUND('Plan Summary'!$C$9/12,0),2),0)</f>
        <v>822.95</v>
      </c>
      <c r="BO26" s="246">
        <f>IF(AND('Scheduled Intervals'!BO$4="annual",'Plan Summary'!$C$5&lt;'Scheduled Intervals'!$U26*('Plan Summary'!$C$9/12)),ROUND(('Hours Per Job'!BO26*'Total Cost for Plan'!$B$36+'Parts Cost Per Job'!BO26*((1+'Total Cost for Plan'!$B$37)*'Total Cost for Plan'!$B$38))*ROUND('Plan Summary'!$C$9/12,0),2),0)</f>
        <v>355.33</v>
      </c>
      <c r="BP26" s="246">
        <f>IF(AND('Scheduled Intervals'!BP$4="annual",'Plan Summary'!$C$5&lt;'Scheduled Intervals'!$U26*('Plan Summary'!$C$9/12)),ROUND(('Hours Per Job'!BP26*'Total Cost for Plan'!$B$36+'Parts Cost Per Job'!BP26*((1+'Total Cost for Plan'!$B$37)*'Total Cost for Plan'!$B$38))*ROUND('Plan Summary'!$C$9/12,0),2),0)</f>
        <v>630</v>
      </c>
      <c r="BQ26" s="246">
        <f t="shared" si="0"/>
        <v>2659.96</v>
      </c>
      <c r="BR26" s="246"/>
    </row>
    <row r="27" spans="1:70" ht="16" x14ac:dyDescent="0.2">
      <c r="A27" s="18" t="str">
        <f>+'Scheduled Intervals'!A27</f>
        <v>Sany SY up to 155</v>
      </c>
      <c r="B27" s="246">
        <f>ROUND(('Hours Per Job'!B27*'Total Cost for Plan'!$B$36+'Parts Cost Per Job'!B27*((1+'Total Cost for Plan'!$B$37)*'Total Cost for Plan'!$B$38)),2)</f>
        <v>200.84</v>
      </c>
      <c r="C27" s="246">
        <f>ROUND(('Hours Per Job'!C27*'Total Cost for Plan'!$B$36+'Parts Cost Per Job'!C27*((1+'Total Cost for Plan'!$B$37)*'Total Cost for Plan'!$B$38)),2)</f>
        <v>0</v>
      </c>
      <c r="D27" s="246">
        <f>ROUND(('Hours Per Job'!D27*'Total Cost for Plan'!$B$36+'Parts Cost Per Job'!D27*((1+'Total Cost for Plan'!$B$37)*'Total Cost for Plan'!$B$38)),2)</f>
        <v>12</v>
      </c>
      <c r="E27" s="246">
        <f>ROUND(('Hours Per Job'!E27*'Total Cost for Plan'!$B$36+'Parts Cost Per Job'!E27*((1+'Total Cost for Plan'!$B$37)*'Total Cost for Plan'!$B$38)),2)</f>
        <v>0</v>
      </c>
      <c r="F27" s="246">
        <f>ROUND(('Hours Per Job'!F27*'Total Cost for Plan'!$B$36+'Parts Cost Per Job'!F27*((1+'Total Cost for Plan'!$B$37)*'Total Cost for Plan'!$B$38)),2)</f>
        <v>0</v>
      </c>
      <c r="G27" s="246">
        <f>ROUND(('Hours Per Job'!G27*'Total Cost for Plan'!$B$36+'Parts Cost Per Job'!G27*((1+'Total Cost for Plan'!$B$37)*'Total Cost for Plan'!$B$38)),2)</f>
        <v>0</v>
      </c>
      <c r="H27" s="246">
        <f>ROUND(('Hours Per Job'!H27*'Total Cost for Plan'!$B$36+'Parts Cost Per Job'!H27*((1+'Total Cost for Plan'!$B$37)*'Total Cost for Plan'!$B$38)),2)</f>
        <v>71.069999999999993</v>
      </c>
      <c r="I27" s="246">
        <f>ROUND(('Hours Per Job'!I27*'Total Cost for Plan'!$B$36+'Parts Cost Per Job'!I27*((1+'Total Cost for Plan'!$B$37)*'Total Cost for Plan'!$B$38)),2)</f>
        <v>30</v>
      </c>
      <c r="J27" s="246">
        <f>ROUND(('Hours Per Job'!J27*'Total Cost for Plan'!$B$36+'Parts Cost Per Job'!J27*((1+'Total Cost for Plan'!$B$37)*'Total Cost for Plan'!$B$38)),2)</f>
        <v>60</v>
      </c>
      <c r="K27" s="246">
        <f>ROUND(('Hours Per Job'!K27*'Total Cost for Plan'!$B$36+'Parts Cost Per Job'!K27*((1+'Total Cost for Plan'!$B$37)*'Total Cost for Plan'!$B$38)),2)</f>
        <v>0</v>
      </c>
      <c r="L27" s="246">
        <f>ROUND(('Hours Per Job'!L27*'Total Cost for Plan'!$B$36+'Parts Cost Per Job'!L27*((1+'Total Cost for Plan'!$B$37)*'Total Cost for Plan'!$B$38)),2)</f>
        <v>0</v>
      </c>
      <c r="M27" s="246">
        <f>ROUND(('Hours Per Job'!M27*'Total Cost for Plan'!$B$36+'Parts Cost Per Job'!M27*((1+'Total Cost for Plan'!$B$37)*'Total Cost for Plan'!$B$38)),2)</f>
        <v>0</v>
      </c>
      <c r="N27" s="246">
        <f>ROUND(('Hours Per Job'!N27*'Total Cost for Plan'!$B$36+'Parts Cost Per Job'!N27*((1+'Total Cost for Plan'!$B$37)*'Total Cost for Plan'!$B$38)),2)</f>
        <v>0</v>
      </c>
      <c r="O27" s="246">
        <f>ROUND(('Hours Per Job'!O27*'Total Cost for Plan'!$B$36+'Parts Cost Per Job'!O27*((1+'Total Cost for Plan'!$B$37)*'Total Cost for Plan'!$B$38)),2)</f>
        <v>0</v>
      </c>
      <c r="P27" s="246">
        <f>ROUND(('Hours Per Job'!P27*'Total Cost for Plan'!$B$36+'Parts Cost Per Job'!P27*((1+'Total Cost for Plan'!$B$37)*'Total Cost for Plan'!$B$38)),2)</f>
        <v>0</v>
      </c>
      <c r="Q27" s="246">
        <f>ROUND(('Hours Per Job'!Q27*'Total Cost for Plan'!$B$36+'Parts Cost Per Job'!Q27*((1+'Total Cost for Plan'!$B$37)*'Total Cost for Plan'!$B$38)),2)</f>
        <v>170.28</v>
      </c>
      <c r="R27" s="246">
        <f>ROUND(('Hours Per Job'!R27*'Total Cost for Plan'!$B$36+'Parts Cost Per Job'!R27*((1+'Total Cost for Plan'!$B$37)*'Total Cost for Plan'!$B$38)),2)</f>
        <v>0</v>
      </c>
      <c r="S27" s="246">
        <f>ROUND(('Hours Per Job'!S27*'Total Cost for Plan'!$B$36+'Parts Cost Per Job'!S27*((1+'Total Cost for Plan'!$B$37)*'Total Cost for Plan'!$B$38)),2)</f>
        <v>0</v>
      </c>
      <c r="T27" s="246">
        <f>ROUND(('Hours Per Job'!T27*'Total Cost for Plan'!$B$36+'Parts Cost Per Job'!T27*((1+'Total Cost for Plan'!$B$37)*'Total Cost for Plan'!$B$38)),2)</f>
        <v>0</v>
      </c>
      <c r="U27" s="246">
        <f>IF('Scheduled Intervals'!U27&gt;0,ROUND(('Hours Per Job'!U27*'Total Cost for Plan'!$B$36+'Parts Cost Per Job'!U27*((1+'Total Cost for Plan'!$B$37)*'Total Cost for Plan'!$B$38))*ROUNDDOWN($B$1/'Scheduled Intervals'!U27,0),2),0)</f>
        <v>0</v>
      </c>
      <c r="V27" s="246">
        <f>IF('Scheduled Intervals'!V27&gt;0,ROUND(('Hours Per Job'!V27*'Total Cost for Plan'!$B$36+'Parts Cost Per Job'!V27*((1+'Total Cost for Plan'!$B$37)*'Total Cost for Plan'!$B$38))*ROUNDDOWN($B$1/'Scheduled Intervals'!V27,0),2),0)</f>
        <v>0</v>
      </c>
      <c r="W27" s="246">
        <f>IF('Scheduled Intervals'!W27&gt;0,ROUND(('Hours Per Job'!W27*'Total Cost for Plan'!$B$36+'Parts Cost Per Job'!W27*((1+'Total Cost for Plan'!$B$37)*'Total Cost for Plan'!$B$38))*ROUNDDOWN($B$1/'Scheduled Intervals'!W27,0),2),0)</f>
        <v>0</v>
      </c>
      <c r="X27" s="246">
        <f>IF('Scheduled Intervals'!X27&gt;0,ROUND(('Hours Per Job'!X27*'Total Cost for Plan'!$B$36+'Parts Cost Per Job'!X27*((1+'Total Cost for Plan'!$B$37)*'Total Cost for Plan'!$B$38))*ROUNDDOWN($B$1/'Scheduled Intervals'!X27,0),2),0)</f>
        <v>0</v>
      </c>
      <c r="Y27" s="246">
        <f>IF('Scheduled Intervals'!Y27&gt;0,ROUND(('Hours Per Job'!Y27*'Total Cost for Plan'!$B$36+'Parts Cost Per Job'!Y27*((1+'Total Cost for Plan'!$B$37)*'Total Cost for Plan'!$B$38))*ROUNDDOWN($B$1/'Scheduled Intervals'!Y27,0),2),0)</f>
        <v>0</v>
      </c>
      <c r="Z27" s="246">
        <f>IF('Scheduled Intervals'!Z27&gt;0,ROUND(('Hours Per Job'!Z27*'Total Cost for Plan'!$B$36+'Parts Cost Per Job'!Z27*((1+'Total Cost for Plan'!$B$37)*'Total Cost for Plan'!$B$38))*ROUNDDOWN($B$1/'Scheduled Intervals'!Z27,0),2),0)</f>
        <v>0</v>
      </c>
      <c r="AA27" s="246">
        <f>IF('Scheduled Intervals'!AA27&gt;0,ROUND(('Hours Per Job'!AA27*'Total Cost for Plan'!$B$36+'Parts Cost Per Job'!AA27*((1+'Total Cost for Plan'!$B$37)*'Total Cost for Plan'!$B$38))*ROUNDDOWN($B$1/'Scheduled Intervals'!AA27,0),2),0)</f>
        <v>0</v>
      </c>
      <c r="AB27" s="246">
        <f>IF('Scheduled Intervals'!AB27&gt;0,ROUND(('Hours Per Job'!AB27*'Total Cost for Plan'!$B$36+'Parts Cost Per Job'!AB27*((1+'Total Cost for Plan'!$B$37)*'Total Cost for Plan'!$B$38))*ROUNDDOWN($B$1/'Scheduled Intervals'!AB27,0),2),0)</f>
        <v>0</v>
      </c>
      <c r="AC27" s="246">
        <f>IF('Scheduled Intervals'!AC27&gt;0,ROUND(('Hours Per Job'!AC27*'Total Cost for Plan'!$B$36+'Parts Cost Per Job'!AC27*((1+'Total Cost for Plan'!$B$37)*'Total Cost for Plan'!$B$38))*ROUNDDOWN($B$1/'Scheduled Intervals'!AC27,0),2),0)</f>
        <v>0</v>
      </c>
      <c r="AD27" s="246">
        <f>IF('Scheduled Intervals'!AD27&gt;0,ROUND(('Hours Per Job'!AD27*'Total Cost for Plan'!$B$36+'Parts Cost Per Job'!AD27*((1+'Total Cost for Plan'!$B$37)*'Total Cost for Plan'!$B$38))*ROUNDDOWN($B$1/'Scheduled Intervals'!AD27,0),2),0)</f>
        <v>0</v>
      </c>
      <c r="AE27" s="246">
        <f>IF('Scheduled Intervals'!AE27&gt;0,ROUND(('Hours Per Job'!AE27*'Total Cost for Plan'!$B$36+'Parts Cost Per Job'!AE27*((1+'Total Cost for Plan'!$B$37)*'Total Cost for Plan'!$B$38))*ROUNDDOWN($B$1/'Scheduled Intervals'!AE27,0),2),0)</f>
        <v>0</v>
      </c>
      <c r="AF27" s="246">
        <f>IF('Scheduled Intervals'!AF27&gt;0,ROUND(('Hours Per Job'!AF27*'Total Cost for Plan'!$B$36+'Parts Cost Per Job'!AF27*((1+'Total Cost for Plan'!$B$37)*'Total Cost for Plan'!$B$38))*ROUNDDOWN($B$1/'Scheduled Intervals'!AF27,0),2),0)</f>
        <v>0</v>
      </c>
      <c r="AG27" s="246">
        <f>IF('Scheduled Intervals'!AG27&gt;0,ROUND(('Hours Per Job'!AG27*'Total Cost for Plan'!$B$36+'Parts Cost Per Job'!AG27*((1+'Total Cost for Plan'!$B$37)*'Total Cost for Plan'!$B$38))*ROUNDDOWN($B$1/'Scheduled Intervals'!AG27,0),2),0)</f>
        <v>0</v>
      </c>
      <c r="AH27" s="246">
        <f>IF('Scheduled Intervals'!AH27&gt;0,ROUND(('Hours Per Job'!AH27*'Total Cost for Plan'!$B$36+'Parts Cost Per Job'!AH27*((1+'Total Cost for Plan'!$B$37)*'Total Cost for Plan'!$B$38))*ROUNDDOWN($B$1/'Scheduled Intervals'!AH27,0),2),0)</f>
        <v>0</v>
      </c>
      <c r="AI27" s="246">
        <f>IF('Scheduled Intervals'!AI27&gt;0,ROUND(('Hours Per Job'!AI27*'Total Cost for Plan'!$B$36+'Parts Cost Per Job'!AI27*((1+'Total Cost for Plan'!$B$37)*'Total Cost for Plan'!$B$38))*ROUNDDOWN($B$1/'Scheduled Intervals'!AI27,0),2),0)</f>
        <v>0</v>
      </c>
      <c r="AJ27" s="246">
        <f>IF('Scheduled Intervals'!AJ27&gt;0,ROUND(('Hours Per Job'!AJ27*'Total Cost for Plan'!$B$36+'Parts Cost Per Job'!AJ27*((1+'Total Cost for Plan'!$B$37)*'Total Cost for Plan'!$B$38))*ROUNDDOWN($B$1/'Scheduled Intervals'!AJ27,0),2),0)</f>
        <v>0</v>
      </c>
      <c r="AK27" s="246">
        <f>IF('Scheduled Intervals'!AK27&gt;0,ROUND(('Hours Per Job'!AK27*'Total Cost for Plan'!$B$36+'Parts Cost Per Job'!AK27*((1+'Total Cost for Plan'!$B$37)*'Total Cost for Plan'!$B$38))*ROUNDDOWN($B$1/'Scheduled Intervals'!AK27,0),2),0)</f>
        <v>0</v>
      </c>
      <c r="AL27" s="246">
        <f>IF('Scheduled Intervals'!AL27&gt;0,ROUND(('Hours Per Job'!AL27*'Total Cost for Plan'!$B$36+'Parts Cost Per Job'!AL27*((1+'Total Cost for Plan'!$B$37)*'Total Cost for Plan'!$B$38))*ROUNDDOWN($B$1/'Scheduled Intervals'!AL27,0),2),0)</f>
        <v>0</v>
      </c>
      <c r="AM27" s="246">
        <f>IF('Scheduled Intervals'!AM27&gt;0,ROUND(('Hours Per Job'!AM27*'Total Cost for Plan'!$B$36+'Parts Cost Per Job'!AM27*((1+'Total Cost for Plan'!$B$37)*'Total Cost for Plan'!$B$38))*ROUNDDOWN($B$1/'Scheduled Intervals'!AM27,0),2),0)</f>
        <v>0</v>
      </c>
      <c r="AN27" s="246">
        <f>IF('Scheduled Intervals'!AN27&gt;0,ROUND(('Hours Per Job'!AN27*'Total Cost for Plan'!$B$36+'Parts Cost Per Job'!AN27*((1+'Total Cost for Plan'!$B$37)*'Total Cost for Plan'!$B$38))*ROUNDDOWN($B$1/'Scheduled Intervals'!AN27,0),2),0)</f>
        <v>0</v>
      </c>
      <c r="AO27" s="246">
        <f>IF('Scheduled Intervals'!AO27&gt;0,ROUND(('Hours Per Job'!AO27*'Total Cost for Plan'!$B$36+'Parts Cost Per Job'!AO27*((1+'Total Cost for Plan'!$B$37)*'Total Cost for Plan'!$B$38))*ROUNDDOWN($B$1/'Scheduled Intervals'!AO27,0),2),0)</f>
        <v>0</v>
      </c>
      <c r="AP27" s="246">
        <f>IF('Scheduled Intervals'!AP27&gt;0,ROUND(('Hours Per Job'!AP27*'Total Cost for Plan'!$B$36+'Parts Cost Per Job'!AP27*((1+'Total Cost for Plan'!$B$37)*'Total Cost for Plan'!$B$38))*ROUNDDOWN($B$1/'Scheduled Intervals'!AP27,0),2),0)</f>
        <v>0</v>
      </c>
      <c r="AQ27" s="246">
        <f>IF('Scheduled Intervals'!AQ27&gt;0,ROUND(('Hours Per Job'!AQ27*'Total Cost for Plan'!$B$36+'Parts Cost Per Job'!AQ27*((1+'Total Cost for Plan'!$B$37)*'Total Cost for Plan'!$B$38))*ROUNDDOWN($B$1/'Scheduled Intervals'!AQ27,0),2),0)</f>
        <v>0</v>
      </c>
      <c r="AR27" s="246">
        <f>IF('Scheduled Intervals'!AR27&gt;0,ROUND(('Hours Per Job'!AR27*'Total Cost for Plan'!$B$36+'Parts Cost Per Job'!AR27*((1+'Total Cost for Plan'!$B$37)*'Total Cost for Plan'!$B$38))*ROUNDDOWN($B$1/'Scheduled Intervals'!AR27,0),2),0)</f>
        <v>0</v>
      </c>
      <c r="AS27" s="246">
        <f>IF('Scheduled Intervals'!AS27&gt;0,ROUND(('Hours Per Job'!AS27*'Total Cost for Plan'!$B$36+'Parts Cost Per Job'!AS27*((1+'Total Cost for Plan'!$B$37)*'Total Cost for Plan'!$B$38))*ROUNDDOWN($B$1/'Scheduled Intervals'!AS27,0),2),0)</f>
        <v>0</v>
      </c>
      <c r="AT27" s="246">
        <f>IF('Scheduled Intervals'!AT27&gt;0,ROUND(('Hours Per Job'!AT27*'Total Cost for Plan'!$B$36+'Parts Cost Per Job'!AT27*((1+'Total Cost for Plan'!$B$37)*'Total Cost for Plan'!$B$38))*ROUNDDOWN($B$1/'Scheduled Intervals'!AT27,0),2),0)</f>
        <v>0</v>
      </c>
      <c r="AU27" s="246">
        <f>IF('Scheduled Intervals'!AU27&gt;0,ROUND(('Hours Per Job'!AU27*'Total Cost for Plan'!$B$36+'Parts Cost Per Job'!AU27*((1+'Total Cost for Plan'!$B$37)*'Total Cost for Plan'!$B$38))*ROUNDDOWN($B$1/'Scheduled Intervals'!AU27,0),2),0)</f>
        <v>0</v>
      </c>
      <c r="AV27" s="246">
        <f>IF('Scheduled Intervals'!AV27&gt;0,ROUND(('Hours Per Job'!AV27*'Total Cost for Plan'!$B$36+'Parts Cost Per Job'!AV27*((1+'Total Cost for Plan'!$B$37)*'Total Cost for Plan'!$B$38))*ROUNDDOWN($B$1/'Scheduled Intervals'!AV27,0),2),0)</f>
        <v>0</v>
      </c>
      <c r="AW27" s="246">
        <f>IF('Scheduled Intervals'!AW27&gt;0,ROUND(('Hours Per Job'!AW27*'Total Cost for Plan'!$B$36+'Parts Cost Per Job'!AW27*((1+'Total Cost for Plan'!$B$37)*'Total Cost for Plan'!$B$38))*ROUNDDOWN($B$1/'Scheduled Intervals'!AW27,0),2),0)</f>
        <v>0</v>
      </c>
      <c r="AX27" s="246">
        <f>IF('Scheduled Intervals'!AX27&gt;0,ROUND(('Hours Per Job'!AX27*'Total Cost for Plan'!$B$36+'Parts Cost Per Job'!AX27*((1+'Total Cost for Plan'!$B$37)*'Total Cost for Plan'!$B$38))*ROUNDDOWN($B$1/'Scheduled Intervals'!AX27,0),2),0)</f>
        <v>0</v>
      </c>
      <c r="AY27" s="246">
        <f>IF('Scheduled Intervals'!AY27&gt;0,ROUND(('Hours Per Job'!AY27*'Total Cost for Plan'!$B$36+'Parts Cost Per Job'!AY27*((1+'Total Cost for Plan'!$B$37)*'Total Cost for Plan'!$B$38))*ROUNDDOWN($B$1/'Scheduled Intervals'!AY27,0),2),0)</f>
        <v>0</v>
      </c>
      <c r="AZ27" s="246">
        <f>IF('Scheduled Intervals'!AZ27&gt;0,ROUND(('Hours Per Job'!AZ27*'Total Cost for Plan'!$B$36+'Parts Cost Per Job'!AZ27*((1+'Total Cost for Plan'!$B$37)*'Total Cost for Plan'!$B$38))*ROUNDDOWN($B$1/'Scheduled Intervals'!AZ27,0),2),0)</f>
        <v>0</v>
      </c>
      <c r="BA27" s="246">
        <f>IF('Scheduled Intervals'!BA27&gt;0,ROUND(('Hours Per Job'!BA27*'Total Cost for Plan'!$B$36+'Parts Cost Per Job'!BA27*((1+'Total Cost for Plan'!$B$37)*'Total Cost for Plan'!$B$38))*ROUNDDOWN($B$1/'Scheduled Intervals'!BA27,0),2),0)</f>
        <v>0</v>
      </c>
      <c r="BB27" s="246">
        <f>IF('Scheduled Intervals'!BB27&gt;0,ROUND(('Hours Per Job'!BB27*'Total Cost for Plan'!$B$36+'Parts Cost Per Job'!BB27*((1+'Total Cost for Plan'!$B$37)*'Total Cost for Plan'!$B$38))*ROUNDDOWN($B$1/'Scheduled Intervals'!BB27,0),2),0)</f>
        <v>0</v>
      </c>
      <c r="BC27" s="246">
        <f>IF('Scheduled Intervals'!BC27&gt;0,ROUND(('Hours Per Job'!BC27*'Total Cost for Plan'!$B$36+'Parts Cost Per Job'!BC27*((1+'Total Cost for Plan'!$B$37)*'Total Cost for Plan'!$B$38))*ROUNDDOWN($B$1/'Scheduled Intervals'!BC27,0),2),0)</f>
        <v>0</v>
      </c>
      <c r="BD27" s="246">
        <f>IF('Scheduled Intervals'!BD27&gt;0,ROUND(('Hours Per Job'!BD27*'Total Cost for Plan'!$B$36+'Parts Cost Per Job'!BD27*((1+'Total Cost for Plan'!$B$37)*'Total Cost for Plan'!$B$38))*ROUNDDOWN($B$1/'Scheduled Intervals'!BD27,0),2),0)</f>
        <v>0</v>
      </c>
      <c r="BE27" s="246">
        <f>IF('Scheduled Intervals'!BE27&gt;0,ROUND(('Hours Per Job'!BE27*'Total Cost for Plan'!$B$36+'Parts Cost Per Job'!BE27*((1+'Total Cost for Plan'!$B$37)*'Total Cost for Plan'!$B$38))*ROUNDDOWN($B$1/'Scheduled Intervals'!BE27,0),2),0)</f>
        <v>0</v>
      </c>
      <c r="BF27" s="246">
        <f>IF('Scheduled Intervals'!BF27&gt;0,ROUND(('Hours Per Job'!BF27*'Total Cost for Plan'!$B$36+'Parts Cost Per Job'!BF27*((1+'Total Cost for Plan'!$B$37)*'Total Cost for Plan'!$B$38))*ROUNDDOWN($B$1/'Scheduled Intervals'!BF27,0),2),0)</f>
        <v>0</v>
      </c>
      <c r="BG27" s="246">
        <f>IF('Scheduled Intervals'!BG27&gt;0,ROUND(('Hours Per Job'!BG27*'Total Cost for Plan'!$B$36+'Parts Cost Per Job'!BG27*((1+'Total Cost for Plan'!$B$37)*'Total Cost for Plan'!$B$38))*ROUNDDOWN($B$1/'Scheduled Intervals'!BG27,0),2),0)</f>
        <v>0</v>
      </c>
      <c r="BH27" s="246">
        <f>IF('Scheduled Intervals'!BH27&gt;0,ROUND(('Hours Per Job'!BH27*'Total Cost for Plan'!$B$36+'Parts Cost Per Job'!BH27*((1+'Total Cost for Plan'!$B$37)*'Total Cost for Plan'!$B$38))*ROUNDDOWN($B$1/'Scheduled Intervals'!BH27,0),2),0)</f>
        <v>0</v>
      </c>
      <c r="BI27" s="246">
        <f>IF('Scheduled Intervals'!BI27&gt;0,ROUND(('Hours Per Job'!BI27*'Total Cost for Plan'!$B$36+'Parts Cost Per Job'!BI27*((1+'Total Cost for Plan'!$B$37)*'Total Cost for Plan'!$B$38))*ROUNDDOWN($B$1/'Scheduled Intervals'!BI27,0),2),0)</f>
        <v>0</v>
      </c>
      <c r="BJ27" s="246">
        <f>IF('Scheduled Intervals'!BJ27&gt;0,ROUND(('Hours Per Job'!BJ27*'Total Cost for Plan'!$B$36+'Parts Cost Per Job'!BJ27*((1+'Total Cost for Plan'!$B$37)*'Total Cost for Plan'!$B$38))*ROUNDDOWN($B$1/'Scheduled Intervals'!BJ27,0),2),0)</f>
        <v>0</v>
      </c>
      <c r="BK27" s="246">
        <f>IF('Scheduled Intervals'!BK27&gt;0,ROUND(('Hours Per Job'!BK27*'Total Cost for Plan'!$B$36+'Parts Cost Per Job'!BK27*((1+'Total Cost for Plan'!$B$37)*'Total Cost for Plan'!$B$38))*ROUNDDOWN($B$1/'Scheduled Intervals'!BK27,0),2),0)</f>
        <v>0</v>
      </c>
      <c r="BL27" s="246">
        <f>IF('Scheduled Intervals'!BL27&gt;0,ROUND(('Hours Per Job'!BL27*'Total Cost for Plan'!$B$36+'Parts Cost Per Job'!BL27*((1+'Total Cost for Plan'!$B$37)*'Total Cost for Plan'!$B$38))*ROUNDDOWN($B$1/'Scheduled Intervals'!BL27,0),2),0)</f>
        <v>0</v>
      </c>
      <c r="BM27" s="246">
        <f>IF('Scheduled Intervals'!BM27&gt;0,ROUND(('Hours Per Job'!BM27*'Total Cost for Plan'!$B$36+'Parts Cost Per Job'!BM27*((1+'Total Cost for Plan'!$B$37)*'Total Cost for Plan'!$B$38))*ROUNDDOWN($B$1/'Scheduled Intervals'!BM27,0),2),0)</f>
        <v>0</v>
      </c>
      <c r="BN27" s="246">
        <f>IF(AND('Scheduled Intervals'!BN$4="annual",'Plan Summary'!$C$5&lt;'Scheduled Intervals'!$U27*('Plan Summary'!$C$9/12)),ROUND(('Hours Per Job'!BN27*'Total Cost for Plan'!$B$36+'Parts Cost Per Job'!BN27*((1+'Total Cost for Plan'!$B$37)*'Total Cost for Plan'!$B$38))*ROUND('Plan Summary'!$C$9/12,0),2),0)</f>
        <v>1004.22</v>
      </c>
      <c r="BO27" s="246">
        <f>IF(AND('Scheduled Intervals'!BO$4="annual",'Plan Summary'!$C$5&lt;'Scheduled Intervals'!$U27*('Plan Summary'!$C$9/12)),ROUND(('Hours Per Job'!BO27*'Total Cost for Plan'!$B$36+'Parts Cost Per Job'!BO27*((1+'Total Cost for Plan'!$B$37)*'Total Cost for Plan'!$B$38))*ROUND('Plan Summary'!$C$9/12,0),2),0)</f>
        <v>355.33</v>
      </c>
      <c r="BP27" s="246">
        <f>IF(AND('Scheduled Intervals'!BP$4="annual",'Plan Summary'!$C$5&lt;'Scheduled Intervals'!$U27*('Plan Summary'!$C$9/12)),ROUND(('Hours Per Job'!BP27*'Total Cost for Plan'!$B$36+'Parts Cost Per Job'!BP27*((1+'Total Cost for Plan'!$B$37)*'Total Cost for Plan'!$B$38))*ROUND('Plan Summary'!$C$9/12,0),2),0)</f>
        <v>630</v>
      </c>
      <c r="BQ27" s="246">
        <f t="shared" si="0"/>
        <v>2533.7399999999998</v>
      </c>
      <c r="BR27" s="246"/>
    </row>
    <row r="28" spans="1:70" ht="16" x14ac:dyDescent="0.2">
      <c r="A28" s="18" t="str">
        <f>+'Scheduled Intervals'!A28</f>
        <v>Sany SY up to 215</v>
      </c>
      <c r="B28" s="246">
        <f>ROUND(('Hours Per Job'!B28*'Total Cost for Plan'!$B$36+'Parts Cost Per Job'!B28*((1+'Total Cost for Plan'!$B$37)*'Total Cost for Plan'!$B$38)),2)</f>
        <v>279.39999999999998</v>
      </c>
      <c r="C28" s="246">
        <f>ROUND(('Hours Per Job'!C28*'Total Cost for Plan'!$B$36+'Parts Cost Per Job'!C28*((1+'Total Cost for Plan'!$B$37)*'Total Cost for Plan'!$B$38)),2)</f>
        <v>0</v>
      </c>
      <c r="D28" s="246">
        <f>ROUND(('Hours Per Job'!D28*'Total Cost for Plan'!$B$36+'Parts Cost Per Job'!D28*((1+'Total Cost for Plan'!$B$37)*'Total Cost for Plan'!$B$38)),2)</f>
        <v>12</v>
      </c>
      <c r="E28" s="246">
        <f>ROUND(('Hours Per Job'!E28*'Total Cost for Plan'!$B$36+'Parts Cost Per Job'!E28*((1+'Total Cost for Plan'!$B$37)*'Total Cost for Plan'!$B$38)),2)</f>
        <v>0</v>
      </c>
      <c r="F28" s="246">
        <f>ROUND(('Hours Per Job'!F28*'Total Cost for Plan'!$B$36+'Parts Cost Per Job'!F28*((1+'Total Cost for Plan'!$B$37)*'Total Cost for Plan'!$B$38)),2)</f>
        <v>0</v>
      </c>
      <c r="G28" s="246">
        <f>ROUND(('Hours Per Job'!G28*'Total Cost for Plan'!$B$36+'Parts Cost Per Job'!G28*((1+'Total Cost for Plan'!$B$37)*'Total Cost for Plan'!$B$38)),2)</f>
        <v>0</v>
      </c>
      <c r="H28" s="246">
        <f>ROUND(('Hours Per Job'!H28*'Total Cost for Plan'!$B$36+'Parts Cost Per Job'!H28*((1+'Total Cost for Plan'!$B$37)*'Total Cost for Plan'!$B$38)),2)</f>
        <v>95.07</v>
      </c>
      <c r="I28" s="246">
        <f>ROUND(('Hours Per Job'!I28*'Total Cost for Plan'!$B$36+'Parts Cost Per Job'!I28*((1+'Total Cost for Plan'!$B$37)*'Total Cost for Plan'!$B$38)),2)</f>
        <v>30</v>
      </c>
      <c r="J28" s="246">
        <f>ROUND(('Hours Per Job'!J28*'Total Cost for Plan'!$B$36+'Parts Cost Per Job'!J28*((1+'Total Cost for Plan'!$B$37)*'Total Cost for Plan'!$B$38)),2)</f>
        <v>0</v>
      </c>
      <c r="K28" s="246">
        <f>ROUND(('Hours Per Job'!K28*'Total Cost for Plan'!$B$36+'Parts Cost Per Job'!K28*((1+'Total Cost for Plan'!$B$37)*'Total Cost for Plan'!$B$38)),2)</f>
        <v>0</v>
      </c>
      <c r="L28" s="246">
        <f>ROUND(('Hours Per Job'!L28*'Total Cost for Plan'!$B$36+'Parts Cost Per Job'!L28*((1+'Total Cost for Plan'!$B$37)*'Total Cost for Plan'!$B$38)),2)</f>
        <v>0</v>
      </c>
      <c r="M28" s="246">
        <f>ROUND(('Hours Per Job'!M28*'Total Cost for Plan'!$B$36+'Parts Cost Per Job'!M28*((1+'Total Cost for Plan'!$B$37)*'Total Cost for Plan'!$B$38)),2)</f>
        <v>0</v>
      </c>
      <c r="N28" s="246">
        <f>ROUND(('Hours Per Job'!N28*'Total Cost for Plan'!$B$36+'Parts Cost Per Job'!N28*((1+'Total Cost for Plan'!$B$37)*'Total Cost for Plan'!$B$38)),2)</f>
        <v>0</v>
      </c>
      <c r="O28" s="246">
        <f>ROUND(('Hours Per Job'!O28*'Total Cost for Plan'!$B$36+'Parts Cost Per Job'!O28*((1+'Total Cost for Plan'!$B$37)*'Total Cost for Plan'!$B$38)),2)</f>
        <v>0</v>
      </c>
      <c r="P28" s="246">
        <f>ROUND(('Hours Per Job'!P28*'Total Cost for Plan'!$B$36+'Parts Cost Per Job'!P28*((1+'Total Cost for Plan'!$B$37)*'Total Cost for Plan'!$B$38)),2)</f>
        <v>0</v>
      </c>
      <c r="Q28" s="246">
        <f>ROUND(('Hours Per Job'!Q28*'Total Cost for Plan'!$B$36+'Parts Cost Per Job'!Q28*((1+'Total Cost for Plan'!$B$37)*'Total Cost for Plan'!$B$38)),2)</f>
        <v>170.28</v>
      </c>
      <c r="R28" s="246">
        <f>ROUND(('Hours Per Job'!R28*'Total Cost for Plan'!$B$36+'Parts Cost Per Job'!R28*((1+'Total Cost for Plan'!$B$37)*'Total Cost for Plan'!$B$38)),2)</f>
        <v>145.07</v>
      </c>
      <c r="S28" s="246">
        <f>ROUND(('Hours Per Job'!S28*'Total Cost for Plan'!$B$36+'Parts Cost Per Job'!S28*((1+'Total Cost for Plan'!$B$37)*'Total Cost for Plan'!$B$38)),2)</f>
        <v>0</v>
      </c>
      <c r="T28" s="246">
        <f>ROUND(('Hours Per Job'!T28*'Total Cost for Plan'!$B$36+'Parts Cost Per Job'!T28*((1+'Total Cost for Plan'!$B$37)*'Total Cost for Plan'!$B$38)),2)</f>
        <v>0</v>
      </c>
      <c r="U28" s="246">
        <f>IF('Scheduled Intervals'!U28&gt;0,ROUND(('Hours Per Job'!U28*'Total Cost for Plan'!$B$36+'Parts Cost Per Job'!U28*((1+'Total Cost for Plan'!$B$37)*'Total Cost for Plan'!$B$38))*ROUNDDOWN($B$1/'Scheduled Intervals'!U28,0),2),0)</f>
        <v>0</v>
      </c>
      <c r="V28" s="246">
        <f>IF('Scheduled Intervals'!V28&gt;0,ROUND(('Hours Per Job'!V28*'Total Cost for Plan'!$B$36+'Parts Cost Per Job'!V28*((1+'Total Cost for Plan'!$B$37)*'Total Cost for Plan'!$B$38))*ROUNDDOWN($B$1/'Scheduled Intervals'!V28,0),2),0)</f>
        <v>0</v>
      </c>
      <c r="W28" s="246">
        <f>IF('Scheduled Intervals'!W28&gt;0,ROUND(('Hours Per Job'!W28*'Total Cost for Plan'!$B$36+'Parts Cost Per Job'!W28*((1+'Total Cost for Plan'!$B$37)*'Total Cost for Plan'!$B$38))*ROUNDDOWN($B$1/'Scheduled Intervals'!W28,0),2),0)</f>
        <v>0</v>
      </c>
      <c r="X28" s="246">
        <f>IF('Scheduled Intervals'!X28&gt;0,ROUND(('Hours Per Job'!X28*'Total Cost for Plan'!$B$36+'Parts Cost Per Job'!X28*((1+'Total Cost for Plan'!$B$37)*'Total Cost for Plan'!$B$38))*ROUNDDOWN($B$1/'Scheduled Intervals'!X28,0),2),0)</f>
        <v>0</v>
      </c>
      <c r="Y28" s="246">
        <f>IF('Scheduled Intervals'!Y28&gt;0,ROUND(('Hours Per Job'!Y28*'Total Cost for Plan'!$B$36+'Parts Cost Per Job'!Y28*((1+'Total Cost for Plan'!$B$37)*'Total Cost for Plan'!$B$38))*ROUNDDOWN($B$1/'Scheduled Intervals'!Y28,0),2),0)</f>
        <v>0</v>
      </c>
      <c r="Z28" s="246">
        <f>IF('Scheduled Intervals'!Z28&gt;0,ROUND(('Hours Per Job'!Z28*'Total Cost for Plan'!$B$36+'Parts Cost Per Job'!Z28*((1+'Total Cost for Plan'!$B$37)*'Total Cost for Plan'!$B$38))*ROUNDDOWN($B$1/'Scheduled Intervals'!Z28,0),2),0)</f>
        <v>0</v>
      </c>
      <c r="AA28" s="246">
        <f>IF('Scheduled Intervals'!AA28&gt;0,ROUND(('Hours Per Job'!AA28*'Total Cost for Plan'!$B$36+'Parts Cost Per Job'!AA28*((1+'Total Cost for Plan'!$B$37)*'Total Cost for Plan'!$B$38))*ROUNDDOWN($B$1/'Scheduled Intervals'!AA28,0),2),0)</f>
        <v>0</v>
      </c>
      <c r="AB28" s="246">
        <f>IF('Scheduled Intervals'!AB28&gt;0,ROUND(('Hours Per Job'!AB28*'Total Cost for Plan'!$B$36+'Parts Cost Per Job'!AB28*((1+'Total Cost for Plan'!$B$37)*'Total Cost for Plan'!$B$38))*ROUNDDOWN($B$1/'Scheduled Intervals'!AB28,0),2),0)</f>
        <v>0</v>
      </c>
      <c r="AC28" s="246">
        <f>IF('Scheduled Intervals'!AC28&gt;0,ROUND(('Hours Per Job'!AC28*'Total Cost for Plan'!$B$36+'Parts Cost Per Job'!AC28*((1+'Total Cost for Plan'!$B$37)*'Total Cost for Plan'!$B$38))*ROUNDDOWN($B$1/'Scheduled Intervals'!AC28,0),2),0)</f>
        <v>0</v>
      </c>
      <c r="AD28" s="246">
        <f>IF('Scheduled Intervals'!AD28&gt;0,ROUND(('Hours Per Job'!AD28*'Total Cost for Plan'!$B$36+'Parts Cost Per Job'!AD28*((1+'Total Cost for Plan'!$B$37)*'Total Cost for Plan'!$B$38))*ROUNDDOWN($B$1/'Scheduled Intervals'!AD28,0),2),0)</f>
        <v>0</v>
      </c>
      <c r="AE28" s="246">
        <f>IF('Scheduled Intervals'!AE28&gt;0,ROUND(('Hours Per Job'!AE28*'Total Cost for Plan'!$B$36+'Parts Cost Per Job'!AE28*((1+'Total Cost for Plan'!$B$37)*'Total Cost for Plan'!$B$38))*ROUNDDOWN($B$1/'Scheduled Intervals'!AE28,0),2),0)</f>
        <v>0</v>
      </c>
      <c r="AF28" s="246">
        <f>IF('Scheduled Intervals'!AF28&gt;0,ROUND(('Hours Per Job'!AF28*'Total Cost for Plan'!$B$36+'Parts Cost Per Job'!AF28*((1+'Total Cost for Plan'!$B$37)*'Total Cost for Plan'!$B$38))*ROUNDDOWN($B$1/'Scheduled Intervals'!AF28,0),2),0)</f>
        <v>0</v>
      </c>
      <c r="AG28" s="246">
        <f>IF('Scheduled Intervals'!AG28&gt;0,ROUND(('Hours Per Job'!AG28*'Total Cost for Plan'!$B$36+'Parts Cost Per Job'!AG28*((1+'Total Cost for Plan'!$B$37)*'Total Cost for Plan'!$B$38))*ROUNDDOWN($B$1/'Scheduled Intervals'!AG28,0),2),0)</f>
        <v>0</v>
      </c>
      <c r="AH28" s="246">
        <f>IF('Scheduled Intervals'!AH28&gt;0,ROUND(('Hours Per Job'!AH28*'Total Cost for Plan'!$B$36+'Parts Cost Per Job'!AH28*((1+'Total Cost for Plan'!$B$37)*'Total Cost for Plan'!$B$38))*ROUNDDOWN($B$1/'Scheduled Intervals'!AH28,0),2),0)</f>
        <v>0</v>
      </c>
      <c r="AI28" s="246">
        <f>IF('Scheduled Intervals'!AI28&gt;0,ROUND(('Hours Per Job'!AI28*'Total Cost for Plan'!$B$36+'Parts Cost Per Job'!AI28*((1+'Total Cost for Plan'!$B$37)*'Total Cost for Plan'!$B$38))*ROUNDDOWN($B$1/'Scheduled Intervals'!AI28,0),2),0)</f>
        <v>0</v>
      </c>
      <c r="AJ28" s="246">
        <f>IF('Scheduled Intervals'!AJ28&gt;0,ROUND(('Hours Per Job'!AJ28*'Total Cost for Plan'!$B$36+'Parts Cost Per Job'!AJ28*((1+'Total Cost for Plan'!$B$37)*'Total Cost for Plan'!$B$38))*ROUNDDOWN($B$1/'Scheduled Intervals'!AJ28,0),2),0)</f>
        <v>0</v>
      </c>
      <c r="AK28" s="246">
        <f>IF('Scheduled Intervals'!AK28&gt;0,ROUND(('Hours Per Job'!AK28*'Total Cost for Plan'!$B$36+'Parts Cost Per Job'!AK28*((1+'Total Cost for Plan'!$B$37)*'Total Cost for Plan'!$B$38))*ROUNDDOWN($B$1/'Scheduled Intervals'!AK28,0),2),0)</f>
        <v>0</v>
      </c>
      <c r="AL28" s="246">
        <f>IF('Scheduled Intervals'!AL28&gt;0,ROUND(('Hours Per Job'!AL28*'Total Cost for Plan'!$B$36+'Parts Cost Per Job'!AL28*((1+'Total Cost for Plan'!$B$37)*'Total Cost for Plan'!$B$38))*ROUNDDOWN($B$1/'Scheduled Intervals'!AL28,0),2),0)</f>
        <v>0</v>
      </c>
      <c r="AM28" s="246">
        <f>IF('Scheduled Intervals'!AM28&gt;0,ROUND(('Hours Per Job'!AM28*'Total Cost for Plan'!$B$36+'Parts Cost Per Job'!AM28*((1+'Total Cost for Plan'!$B$37)*'Total Cost for Plan'!$B$38))*ROUNDDOWN($B$1/'Scheduled Intervals'!AM28,0),2),0)</f>
        <v>0</v>
      </c>
      <c r="AN28" s="246">
        <f>IF('Scheduled Intervals'!AN28&gt;0,ROUND(('Hours Per Job'!AN28*'Total Cost for Plan'!$B$36+'Parts Cost Per Job'!AN28*((1+'Total Cost for Plan'!$B$37)*'Total Cost for Plan'!$B$38))*ROUNDDOWN($B$1/'Scheduled Intervals'!AN28,0),2),0)</f>
        <v>0</v>
      </c>
      <c r="AO28" s="246">
        <f>IF('Scheduled Intervals'!AO28&gt;0,ROUND(('Hours Per Job'!AO28*'Total Cost for Plan'!$B$36+'Parts Cost Per Job'!AO28*((1+'Total Cost for Plan'!$B$37)*'Total Cost for Plan'!$B$38))*ROUNDDOWN($B$1/'Scheduled Intervals'!AO28,0),2),0)</f>
        <v>0</v>
      </c>
      <c r="AP28" s="246">
        <f>IF('Scheduled Intervals'!AP28&gt;0,ROUND(('Hours Per Job'!AP28*'Total Cost for Plan'!$B$36+'Parts Cost Per Job'!AP28*((1+'Total Cost for Plan'!$B$37)*'Total Cost for Plan'!$B$38))*ROUNDDOWN($B$1/'Scheduled Intervals'!AP28,0),2),0)</f>
        <v>0</v>
      </c>
      <c r="AQ28" s="246">
        <f>IF('Scheduled Intervals'!AQ28&gt;0,ROUND(('Hours Per Job'!AQ28*'Total Cost for Plan'!$B$36+'Parts Cost Per Job'!AQ28*((1+'Total Cost for Plan'!$B$37)*'Total Cost for Plan'!$B$38))*ROUNDDOWN($B$1/'Scheduled Intervals'!AQ28,0),2),0)</f>
        <v>0</v>
      </c>
      <c r="AR28" s="246">
        <f>IF('Scheduled Intervals'!AR28&gt;0,ROUND(('Hours Per Job'!AR28*'Total Cost for Plan'!$B$36+'Parts Cost Per Job'!AR28*((1+'Total Cost for Plan'!$B$37)*'Total Cost for Plan'!$B$38))*ROUNDDOWN($B$1/'Scheduled Intervals'!AR28,0),2),0)</f>
        <v>0</v>
      </c>
      <c r="AS28" s="246">
        <f>IF('Scheduled Intervals'!AS28&gt;0,ROUND(('Hours Per Job'!AS28*'Total Cost for Plan'!$B$36+'Parts Cost Per Job'!AS28*((1+'Total Cost for Plan'!$B$37)*'Total Cost for Plan'!$B$38))*ROUNDDOWN($B$1/'Scheduled Intervals'!AS28,0),2),0)</f>
        <v>0</v>
      </c>
      <c r="AT28" s="246">
        <f>IF('Scheduled Intervals'!AT28&gt;0,ROUND(('Hours Per Job'!AT28*'Total Cost for Plan'!$B$36+'Parts Cost Per Job'!AT28*((1+'Total Cost for Plan'!$B$37)*'Total Cost for Plan'!$B$38))*ROUNDDOWN($B$1/'Scheduled Intervals'!AT28,0),2),0)</f>
        <v>0</v>
      </c>
      <c r="AU28" s="246">
        <f>IF('Scheduled Intervals'!AU28&gt;0,ROUND(('Hours Per Job'!AU28*'Total Cost for Plan'!$B$36+'Parts Cost Per Job'!AU28*((1+'Total Cost for Plan'!$B$37)*'Total Cost for Plan'!$B$38))*ROUNDDOWN($B$1/'Scheduled Intervals'!AU28,0),2),0)</f>
        <v>0</v>
      </c>
      <c r="AV28" s="246">
        <f>IF('Scheduled Intervals'!AV28&gt;0,ROUND(('Hours Per Job'!AV28*'Total Cost for Plan'!$B$36+'Parts Cost Per Job'!AV28*((1+'Total Cost for Plan'!$B$37)*'Total Cost for Plan'!$B$38))*ROUNDDOWN($B$1/'Scheduled Intervals'!AV28,0),2),0)</f>
        <v>0</v>
      </c>
      <c r="AW28" s="246">
        <f>IF('Scheduled Intervals'!AW28&gt;0,ROUND(('Hours Per Job'!AW28*'Total Cost for Plan'!$B$36+'Parts Cost Per Job'!AW28*((1+'Total Cost for Plan'!$B$37)*'Total Cost for Plan'!$B$38))*ROUNDDOWN($B$1/'Scheduled Intervals'!AW28,0),2),0)</f>
        <v>0</v>
      </c>
      <c r="AX28" s="246">
        <f>IF('Scheduled Intervals'!AX28&gt;0,ROUND(('Hours Per Job'!AX28*'Total Cost for Plan'!$B$36+'Parts Cost Per Job'!AX28*((1+'Total Cost for Plan'!$B$37)*'Total Cost for Plan'!$B$38))*ROUNDDOWN($B$1/'Scheduled Intervals'!AX28,0),2),0)</f>
        <v>0</v>
      </c>
      <c r="AY28" s="246">
        <f>IF('Scheduled Intervals'!AY28&gt;0,ROUND(('Hours Per Job'!AY28*'Total Cost for Plan'!$B$36+'Parts Cost Per Job'!AY28*((1+'Total Cost for Plan'!$B$37)*'Total Cost for Plan'!$B$38))*ROUNDDOWN($B$1/'Scheduled Intervals'!AY28,0),2),0)</f>
        <v>0</v>
      </c>
      <c r="AZ28" s="246">
        <f>IF('Scheduled Intervals'!AZ28&gt;0,ROUND(('Hours Per Job'!AZ28*'Total Cost for Plan'!$B$36+'Parts Cost Per Job'!AZ28*((1+'Total Cost for Plan'!$B$37)*'Total Cost for Plan'!$B$38))*ROUNDDOWN($B$1/'Scheduled Intervals'!AZ28,0),2),0)</f>
        <v>0</v>
      </c>
      <c r="BA28" s="246">
        <f>IF('Scheduled Intervals'!BA28&gt;0,ROUND(('Hours Per Job'!BA28*'Total Cost for Plan'!$B$36+'Parts Cost Per Job'!BA28*((1+'Total Cost for Plan'!$B$37)*'Total Cost for Plan'!$B$38))*ROUNDDOWN($B$1/'Scheduled Intervals'!BA28,0),2),0)</f>
        <v>0</v>
      </c>
      <c r="BB28" s="246">
        <f>IF('Scheduled Intervals'!BB28&gt;0,ROUND(('Hours Per Job'!BB28*'Total Cost for Plan'!$B$36+'Parts Cost Per Job'!BB28*((1+'Total Cost for Plan'!$B$37)*'Total Cost for Plan'!$B$38))*ROUNDDOWN($B$1/'Scheduled Intervals'!BB28,0),2),0)</f>
        <v>0</v>
      </c>
      <c r="BC28" s="246">
        <f>IF('Scheduled Intervals'!BC28&gt;0,ROUND(('Hours Per Job'!BC28*'Total Cost for Plan'!$B$36+'Parts Cost Per Job'!BC28*((1+'Total Cost for Plan'!$B$37)*'Total Cost for Plan'!$B$38))*ROUNDDOWN($B$1/'Scheduled Intervals'!BC28,0),2),0)</f>
        <v>0</v>
      </c>
      <c r="BD28" s="246">
        <f>IF('Scheduled Intervals'!BD28&gt;0,ROUND(('Hours Per Job'!BD28*'Total Cost for Plan'!$B$36+'Parts Cost Per Job'!BD28*((1+'Total Cost for Plan'!$B$37)*'Total Cost for Plan'!$B$38))*ROUNDDOWN($B$1/'Scheduled Intervals'!BD28,0),2),0)</f>
        <v>0</v>
      </c>
      <c r="BE28" s="246">
        <f>IF('Scheduled Intervals'!BE28&gt;0,ROUND(('Hours Per Job'!BE28*'Total Cost for Plan'!$B$36+'Parts Cost Per Job'!BE28*((1+'Total Cost for Plan'!$B$37)*'Total Cost for Plan'!$B$38))*ROUNDDOWN($B$1/'Scheduled Intervals'!BE28,0),2),0)</f>
        <v>0</v>
      </c>
      <c r="BF28" s="246">
        <f>IF('Scheduled Intervals'!BF28&gt;0,ROUND(('Hours Per Job'!BF28*'Total Cost for Plan'!$B$36+'Parts Cost Per Job'!BF28*((1+'Total Cost for Plan'!$B$37)*'Total Cost for Plan'!$B$38))*ROUNDDOWN($B$1/'Scheduled Intervals'!BF28,0),2),0)</f>
        <v>0</v>
      </c>
      <c r="BG28" s="246">
        <f>IF('Scheduled Intervals'!BG28&gt;0,ROUND(('Hours Per Job'!BG28*'Total Cost for Plan'!$B$36+'Parts Cost Per Job'!BG28*((1+'Total Cost for Plan'!$B$37)*'Total Cost for Plan'!$B$38))*ROUNDDOWN($B$1/'Scheduled Intervals'!BG28,0),2),0)</f>
        <v>0</v>
      </c>
      <c r="BH28" s="246">
        <f>IF('Scheduled Intervals'!BH28&gt;0,ROUND(('Hours Per Job'!BH28*'Total Cost for Plan'!$B$36+'Parts Cost Per Job'!BH28*((1+'Total Cost for Plan'!$B$37)*'Total Cost for Plan'!$B$38))*ROUNDDOWN($B$1/'Scheduled Intervals'!BH28,0),2),0)</f>
        <v>0</v>
      </c>
      <c r="BI28" s="246">
        <f>IF('Scheduled Intervals'!BI28&gt;0,ROUND(('Hours Per Job'!BI28*'Total Cost for Plan'!$B$36+'Parts Cost Per Job'!BI28*((1+'Total Cost for Plan'!$B$37)*'Total Cost for Plan'!$B$38))*ROUNDDOWN($B$1/'Scheduled Intervals'!BI28,0),2),0)</f>
        <v>0</v>
      </c>
      <c r="BJ28" s="246">
        <f>IF('Scheduled Intervals'!BJ28&gt;0,ROUND(('Hours Per Job'!BJ28*'Total Cost for Plan'!$B$36+'Parts Cost Per Job'!BJ28*((1+'Total Cost for Plan'!$B$37)*'Total Cost for Plan'!$B$38))*ROUNDDOWN($B$1/'Scheduled Intervals'!BJ28,0),2),0)</f>
        <v>0</v>
      </c>
      <c r="BK28" s="246">
        <f>IF('Scheduled Intervals'!BK28&gt;0,ROUND(('Hours Per Job'!BK28*'Total Cost for Plan'!$B$36+'Parts Cost Per Job'!BK28*((1+'Total Cost for Plan'!$B$37)*'Total Cost for Plan'!$B$38))*ROUNDDOWN($B$1/'Scheduled Intervals'!BK28,0),2),0)</f>
        <v>0</v>
      </c>
      <c r="BL28" s="246">
        <f>IF('Scheduled Intervals'!BL28&gt;0,ROUND(('Hours Per Job'!BL28*'Total Cost for Plan'!$B$36+'Parts Cost Per Job'!BL28*((1+'Total Cost for Plan'!$B$37)*'Total Cost for Plan'!$B$38))*ROUNDDOWN($B$1/'Scheduled Intervals'!BL28,0),2),0)</f>
        <v>0</v>
      </c>
      <c r="BM28" s="246">
        <f>IF('Scheduled Intervals'!BM28&gt;0,ROUND(('Hours Per Job'!BM28*'Total Cost for Plan'!$B$36+'Parts Cost Per Job'!BM28*((1+'Total Cost for Plan'!$B$37)*'Total Cost for Plan'!$B$38))*ROUNDDOWN($B$1/'Scheduled Intervals'!BM28,0),2),0)</f>
        <v>0</v>
      </c>
      <c r="BN28" s="246">
        <f>IF(AND('Scheduled Intervals'!BN$4="annual",'Plan Summary'!$C$5&lt;'Scheduled Intervals'!$U28*('Plan Summary'!$C$9/12)),ROUND(('Hours Per Job'!BN28*'Total Cost for Plan'!$B$36+'Parts Cost Per Job'!BN28*((1+'Total Cost for Plan'!$B$37)*'Total Cost for Plan'!$B$38))*ROUND('Plan Summary'!$C$9/12,0),2),0)</f>
        <v>1396.98</v>
      </c>
      <c r="BO28" s="246">
        <f>IF(AND('Scheduled Intervals'!BO$4="annual",'Plan Summary'!$C$5&lt;'Scheduled Intervals'!$U28*('Plan Summary'!$C$9/12)),ROUND(('Hours Per Job'!BO28*'Total Cost for Plan'!$B$36+'Parts Cost Per Job'!BO28*((1+'Total Cost for Plan'!$B$37)*'Total Cost for Plan'!$B$38))*ROUND('Plan Summary'!$C$9/12,0),2),0)</f>
        <v>475.33</v>
      </c>
      <c r="BP28" s="246">
        <f>IF(AND('Scheduled Intervals'!BP$4="annual",'Plan Summary'!$C$5&lt;'Scheduled Intervals'!$U28*('Plan Summary'!$C$9/12)),ROUND(('Hours Per Job'!BP28*'Total Cost for Plan'!$B$36+'Parts Cost Per Job'!BP28*((1+'Total Cost for Plan'!$B$37)*'Total Cost for Plan'!$B$38))*ROUND('Plan Summary'!$C$9/12,0),2),0)</f>
        <v>630</v>
      </c>
      <c r="BQ28" s="246">
        <f t="shared" si="0"/>
        <v>3234.13</v>
      </c>
      <c r="BR28" s="246"/>
    </row>
    <row r="29" spans="1:70" ht="16" x14ac:dyDescent="0.2">
      <c r="A29" s="18" t="str">
        <f>+'Scheduled Intervals'!A29</f>
        <v>Sany SY up to 500</v>
      </c>
      <c r="B29" s="246">
        <f>ROUND(('Hours Per Job'!B29*'Total Cost for Plan'!$B$36+'Parts Cost Per Job'!B29*((1+'Total Cost for Plan'!$B$37)*'Total Cost for Plan'!$B$38)),2)</f>
        <v>365.54</v>
      </c>
      <c r="C29" s="246">
        <f>ROUND(('Hours Per Job'!C29*'Total Cost for Plan'!$B$36+'Parts Cost Per Job'!C29*((1+'Total Cost for Plan'!$B$37)*'Total Cost for Plan'!$B$38)),2)</f>
        <v>0</v>
      </c>
      <c r="D29" s="246">
        <f>ROUND(('Hours Per Job'!D29*'Total Cost for Plan'!$B$36+'Parts Cost Per Job'!D29*((1+'Total Cost for Plan'!$B$37)*'Total Cost for Plan'!$B$38)),2)</f>
        <v>12</v>
      </c>
      <c r="E29" s="246">
        <f>ROUND(('Hours Per Job'!E29*'Total Cost for Plan'!$B$36+'Parts Cost Per Job'!E29*((1+'Total Cost for Plan'!$B$37)*'Total Cost for Plan'!$B$38)),2)</f>
        <v>0</v>
      </c>
      <c r="F29" s="246">
        <f>ROUND(('Hours Per Job'!F29*'Total Cost for Plan'!$B$36+'Parts Cost Per Job'!F29*((1+'Total Cost for Plan'!$B$37)*'Total Cost for Plan'!$B$38)),2)</f>
        <v>0</v>
      </c>
      <c r="G29" s="246">
        <f>ROUND(('Hours Per Job'!G29*'Total Cost for Plan'!$B$36+'Parts Cost Per Job'!G29*((1+'Total Cost for Plan'!$B$37)*'Total Cost for Plan'!$B$38)),2)</f>
        <v>0</v>
      </c>
      <c r="H29" s="246">
        <f>ROUND(('Hours Per Job'!H29*'Total Cost for Plan'!$B$36+'Parts Cost Per Job'!H29*((1+'Total Cost for Plan'!$B$37)*'Total Cost for Plan'!$B$38)),2)</f>
        <v>95.07</v>
      </c>
      <c r="I29" s="246">
        <f>ROUND(('Hours Per Job'!I29*'Total Cost for Plan'!$B$36+'Parts Cost Per Job'!I29*((1+'Total Cost for Plan'!$B$37)*'Total Cost for Plan'!$B$38)),2)</f>
        <v>30</v>
      </c>
      <c r="J29" s="246">
        <f>ROUND(('Hours Per Job'!J29*'Total Cost for Plan'!$B$36+'Parts Cost Per Job'!J29*((1+'Total Cost for Plan'!$B$37)*'Total Cost for Plan'!$B$38)),2)</f>
        <v>0</v>
      </c>
      <c r="K29" s="246">
        <f>ROUND(('Hours Per Job'!K29*'Total Cost for Plan'!$B$36+'Parts Cost Per Job'!K29*((1+'Total Cost for Plan'!$B$37)*'Total Cost for Plan'!$B$38)),2)</f>
        <v>0</v>
      </c>
      <c r="L29" s="246">
        <f>ROUND(('Hours Per Job'!L29*'Total Cost for Plan'!$B$36+'Parts Cost Per Job'!L29*((1+'Total Cost for Plan'!$B$37)*'Total Cost for Plan'!$B$38)),2)</f>
        <v>0</v>
      </c>
      <c r="M29" s="246">
        <f>ROUND(('Hours Per Job'!M29*'Total Cost for Plan'!$B$36+'Parts Cost Per Job'!M29*((1+'Total Cost for Plan'!$B$37)*'Total Cost for Plan'!$B$38)),2)</f>
        <v>0</v>
      </c>
      <c r="N29" s="246">
        <f>ROUND(('Hours Per Job'!N29*'Total Cost for Plan'!$B$36+'Parts Cost Per Job'!N29*((1+'Total Cost for Plan'!$B$37)*'Total Cost for Plan'!$B$38)),2)</f>
        <v>0</v>
      </c>
      <c r="O29" s="246">
        <f>ROUND(('Hours Per Job'!O29*'Total Cost for Plan'!$B$36+'Parts Cost Per Job'!O29*((1+'Total Cost for Plan'!$B$37)*'Total Cost for Plan'!$B$38)),2)</f>
        <v>0</v>
      </c>
      <c r="P29" s="246">
        <f>ROUND(('Hours Per Job'!P29*'Total Cost for Plan'!$B$36+'Parts Cost Per Job'!P29*((1+'Total Cost for Plan'!$B$37)*'Total Cost for Plan'!$B$38)),2)</f>
        <v>0</v>
      </c>
      <c r="Q29" s="246">
        <f>ROUND(('Hours Per Job'!Q29*'Total Cost for Plan'!$B$36+'Parts Cost Per Job'!Q29*((1+'Total Cost for Plan'!$B$37)*'Total Cost for Plan'!$B$38)),2)</f>
        <v>170.28</v>
      </c>
      <c r="R29" s="246">
        <f>ROUND(('Hours Per Job'!R29*'Total Cost for Plan'!$B$36+'Parts Cost Per Job'!R29*((1+'Total Cost for Plan'!$B$37)*'Total Cost for Plan'!$B$38)),2)</f>
        <v>159.68</v>
      </c>
      <c r="S29" s="246">
        <f>ROUND(('Hours Per Job'!S29*'Total Cost for Plan'!$B$36+'Parts Cost Per Job'!S29*((1+'Total Cost for Plan'!$B$37)*'Total Cost for Plan'!$B$38)),2)</f>
        <v>0</v>
      </c>
      <c r="T29" s="246">
        <f>ROUND(('Hours Per Job'!T29*'Total Cost for Plan'!$B$36+'Parts Cost Per Job'!T29*((1+'Total Cost for Plan'!$B$37)*'Total Cost for Plan'!$B$38)),2)</f>
        <v>0</v>
      </c>
      <c r="U29" s="246">
        <f>IF('Scheduled Intervals'!U29&gt;0,ROUND(('Hours Per Job'!U29*'Total Cost for Plan'!$B$36+'Parts Cost Per Job'!U29*((1+'Total Cost for Plan'!$B$37)*'Total Cost for Plan'!$B$38))*ROUNDDOWN($B$1/'Scheduled Intervals'!U29,0),2),0)</f>
        <v>0</v>
      </c>
      <c r="V29" s="246">
        <f>IF('Scheduled Intervals'!V29&gt;0,ROUND(('Hours Per Job'!V29*'Total Cost for Plan'!$B$36+'Parts Cost Per Job'!V29*((1+'Total Cost for Plan'!$B$37)*'Total Cost for Plan'!$B$38))*ROUNDDOWN($B$1/'Scheduled Intervals'!V29,0),2),0)</f>
        <v>0</v>
      </c>
      <c r="W29" s="246">
        <f>IF('Scheduled Intervals'!W29&gt;0,ROUND(('Hours Per Job'!W29*'Total Cost for Plan'!$B$36+'Parts Cost Per Job'!W29*((1+'Total Cost for Plan'!$B$37)*'Total Cost for Plan'!$B$38))*ROUNDDOWN($B$1/'Scheduled Intervals'!W29,0),2),0)</f>
        <v>0</v>
      </c>
      <c r="X29" s="246">
        <f>IF('Scheduled Intervals'!X29&gt;0,ROUND(('Hours Per Job'!X29*'Total Cost for Plan'!$B$36+'Parts Cost Per Job'!X29*((1+'Total Cost for Plan'!$B$37)*'Total Cost for Plan'!$B$38))*ROUNDDOWN($B$1/'Scheduled Intervals'!X29,0),2),0)</f>
        <v>0</v>
      </c>
      <c r="Y29" s="246">
        <f>IF('Scheduled Intervals'!Y29&gt;0,ROUND(('Hours Per Job'!Y29*'Total Cost for Plan'!$B$36+'Parts Cost Per Job'!Y29*((1+'Total Cost for Plan'!$B$37)*'Total Cost for Plan'!$B$38))*ROUNDDOWN($B$1/'Scheduled Intervals'!Y29,0),2),0)</f>
        <v>0</v>
      </c>
      <c r="Z29" s="246">
        <f>IF('Scheduled Intervals'!Z29&gt;0,ROUND(('Hours Per Job'!Z29*'Total Cost for Plan'!$B$36+'Parts Cost Per Job'!Z29*((1+'Total Cost for Plan'!$B$37)*'Total Cost for Plan'!$B$38))*ROUNDDOWN($B$1/'Scheduled Intervals'!Z29,0),2),0)</f>
        <v>0</v>
      </c>
      <c r="AA29" s="246">
        <f>IF('Scheduled Intervals'!AA29&gt;0,ROUND(('Hours Per Job'!AA29*'Total Cost for Plan'!$B$36+'Parts Cost Per Job'!AA29*((1+'Total Cost for Plan'!$B$37)*'Total Cost for Plan'!$B$38))*ROUNDDOWN($B$1/'Scheduled Intervals'!AA29,0),2),0)</f>
        <v>0</v>
      </c>
      <c r="AB29" s="246">
        <f>IF('Scheduled Intervals'!AB29&gt;0,ROUND(('Hours Per Job'!AB29*'Total Cost for Plan'!$B$36+'Parts Cost Per Job'!AB29*((1+'Total Cost for Plan'!$B$37)*'Total Cost for Plan'!$B$38))*ROUNDDOWN($B$1/'Scheduled Intervals'!AB29,0),2),0)</f>
        <v>0</v>
      </c>
      <c r="AC29" s="246">
        <f>IF('Scheduled Intervals'!AC29&gt;0,ROUND(('Hours Per Job'!AC29*'Total Cost for Plan'!$B$36+'Parts Cost Per Job'!AC29*((1+'Total Cost for Plan'!$B$37)*'Total Cost for Plan'!$B$38))*ROUNDDOWN($B$1/'Scheduled Intervals'!AC29,0),2),0)</f>
        <v>0</v>
      </c>
      <c r="AD29" s="246">
        <f>IF('Scheduled Intervals'!AD29&gt;0,ROUND(('Hours Per Job'!AD29*'Total Cost for Plan'!$B$36+'Parts Cost Per Job'!AD29*((1+'Total Cost for Plan'!$B$37)*'Total Cost for Plan'!$B$38))*ROUNDDOWN($B$1/'Scheduled Intervals'!AD29,0),2),0)</f>
        <v>0</v>
      </c>
      <c r="AE29" s="246">
        <f>IF('Scheduled Intervals'!AE29&gt;0,ROUND(('Hours Per Job'!AE29*'Total Cost for Plan'!$B$36+'Parts Cost Per Job'!AE29*((1+'Total Cost for Plan'!$B$37)*'Total Cost for Plan'!$B$38))*ROUNDDOWN($B$1/'Scheduled Intervals'!AE29,0),2),0)</f>
        <v>0</v>
      </c>
      <c r="AF29" s="246">
        <f>IF('Scheduled Intervals'!AF29&gt;0,ROUND(('Hours Per Job'!AF29*'Total Cost for Plan'!$B$36+'Parts Cost Per Job'!AF29*((1+'Total Cost for Plan'!$B$37)*'Total Cost for Plan'!$B$38))*ROUNDDOWN($B$1/'Scheduled Intervals'!AF29,0),2),0)</f>
        <v>0</v>
      </c>
      <c r="AG29" s="246">
        <f>IF('Scheduled Intervals'!AG29&gt;0,ROUND(('Hours Per Job'!AG29*'Total Cost for Plan'!$B$36+'Parts Cost Per Job'!AG29*((1+'Total Cost for Plan'!$B$37)*'Total Cost for Plan'!$B$38))*ROUNDDOWN($B$1/'Scheduled Intervals'!AG29,0),2),0)</f>
        <v>0</v>
      </c>
      <c r="AH29" s="246">
        <f>IF('Scheduled Intervals'!AH29&gt;0,ROUND(('Hours Per Job'!AH29*'Total Cost for Plan'!$B$36+'Parts Cost Per Job'!AH29*((1+'Total Cost for Plan'!$B$37)*'Total Cost for Plan'!$B$38))*ROUNDDOWN($B$1/'Scheduled Intervals'!AH29,0),2),0)</f>
        <v>0</v>
      </c>
      <c r="AI29" s="246">
        <f>IF('Scheduled Intervals'!AI29&gt;0,ROUND(('Hours Per Job'!AI29*'Total Cost for Plan'!$B$36+'Parts Cost Per Job'!AI29*((1+'Total Cost for Plan'!$B$37)*'Total Cost for Plan'!$B$38))*ROUNDDOWN($B$1/'Scheduled Intervals'!AI29,0),2),0)</f>
        <v>0</v>
      </c>
      <c r="AJ29" s="246">
        <f>IF('Scheduled Intervals'!AJ29&gt;0,ROUND(('Hours Per Job'!AJ29*'Total Cost for Plan'!$B$36+'Parts Cost Per Job'!AJ29*((1+'Total Cost for Plan'!$B$37)*'Total Cost for Plan'!$B$38))*ROUNDDOWN($B$1/'Scheduled Intervals'!AJ29,0),2),0)</f>
        <v>0</v>
      </c>
      <c r="AK29" s="246">
        <f>IF('Scheduled Intervals'!AK29&gt;0,ROUND(('Hours Per Job'!AK29*'Total Cost for Plan'!$B$36+'Parts Cost Per Job'!AK29*((1+'Total Cost for Plan'!$B$37)*'Total Cost for Plan'!$B$38))*ROUNDDOWN($B$1/'Scheduled Intervals'!AK29,0),2),0)</f>
        <v>0</v>
      </c>
      <c r="AL29" s="246">
        <f>IF('Scheduled Intervals'!AL29&gt;0,ROUND(('Hours Per Job'!AL29*'Total Cost for Plan'!$B$36+'Parts Cost Per Job'!AL29*((1+'Total Cost for Plan'!$B$37)*'Total Cost for Plan'!$B$38))*ROUNDDOWN($B$1/'Scheduled Intervals'!AL29,0),2),0)</f>
        <v>0</v>
      </c>
      <c r="AM29" s="246">
        <f>IF('Scheduled Intervals'!AM29&gt;0,ROUND(('Hours Per Job'!AM29*'Total Cost for Plan'!$B$36+'Parts Cost Per Job'!AM29*((1+'Total Cost for Plan'!$B$37)*'Total Cost for Plan'!$B$38))*ROUNDDOWN($B$1/'Scheduled Intervals'!AM29,0),2),0)</f>
        <v>0</v>
      </c>
      <c r="AN29" s="246">
        <f>IF('Scheduled Intervals'!AN29&gt;0,ROUND(('Hours Per Job'!AN29*'Total Cost for Plan'!$B$36+'Parts Cost Per Job'!AN29*((1+'Total Cost for Plan'!$B$37)*'Total Cost for Plan'!$B$38))*ROUNDDOWN($B$1/'Scheduled Intervals'!AN29,0),2),0)</f>
        <v>0</v>
      </c>
      <c r="AO29" s="246">
        <f>IF('Scheduled Intervals'!AO29&gt;0,ROUND(('Hours Per Job'!AO29*'Total Cost for Plan'!$B$36+'Parts Cost Per Job'!AO29*((1+'Total Cost for Plan'!$B$37)*'Total Cost for Plan'!$B$38))*ROUNDDOWN($B$1/'Scheduled Intervals'!AO29,0),2),0)</f>
        <v>0</v>
      </c>
      <c r="AP29" s="246">
        <f>IF('Scheduled Intervals'!AP29&gt;0,ROUND(('Hours Per Job'!AP29*'Total Cost for Plan'!$B$36+'Parts Cost Per Job'!AP29*((1+'Total Cost for Plan'!$B$37)*'Total Cost for Plan'!$B$38))*ROUNDDOWN($B$1/'Scheduled Intervals'!AP29,0),2),0)</f>
        <v>0</v>
      </c>
      <c r="AQ29" s="246">
        <f>IF('Scheduled Intervals'!AQ29&gt;0,ROUND(('Hours Per Job'!AQ29*'Total Cost for Plan'!$B$36+'Parts Cost Per Job'!AQ29*((1+'Total Cost for Plan'!$B$37)*'Total Cost for Plan'!$B$38))*ROUNDDOWN($B$1/'Scheduled Intervals'!AQ29,0),2),0)</f>
        <v>0</v>
      </c>
      <c r="AR29" s="246">
        <f>IF('Scheduled Intervals'!AR29&gt;0,ROUND(('Hours Per Job'!AR29*'Total Cost for Plan'!$B$36+'Parts Cost Per Job'!AR29*((1+'Total Cost for Plan'!$B$37)*'Total Cost for Plan'!$B$38))*ROUNDDOWN($B$1/'Scheduled Intervals'!AR29,0),2),0)</f>
        <v>0</v>
      </c>
      <c r="AS29" s="246">
        <f>IF('Scheduled Intervals'!AS29&gt;0,ROUND(('Hours Per Job'!AS29*'Total Cost for Plan'!$B$36+'Parts Cost Per Job'!AS29*((1+'Total Cost for Plan'!$B$37)*'Total Cost for Plan'!$B$38))*ROUNDDOWN($B$1/'Scheduled Intervals'!AS29,0),2),0)</f>
        <v>0</v>
      </c>
      <c r="AT29" s="246">
        <f>IF('Scheduled Intervals'!AT29&gt;0,ROUND(('Hours Per Job'!AT29*'Total Cost for Plan'!$B$36+'Parts Cost Per Job'!AT29*((1+'Total Cost for Plan'!$B$37)*'Total Cost for Plan'!$B$38))*ROUNDDOWN($B$1/'Scheduled Intervals'!AT29,0),2),0)</f>
        <v>0</v>
      </c>
      <c r="AU29" s="246">
        <f>IF('Scheduled Intervals'!AU29&gt;0,ROUND(('Hours Per Job'!AU29*'Total Cost for Plan'!$B$36+'Parts Cost Per Job'!AU29*((1+'Total Cost for Plan'!$B$37)*'Total Cost for Plan'!$B$38))*ROUNDDOWN($B$1/'Scheduled Intervals'!AU29,0),2),0)</f>
        <v>0</v>
      </c>
      <c r="AV29" s="246">
        <f>IF('Scheduled Intervals'!AV29&gt;0,ROUND(('Hours Per Job'!AV29*'Total Cost for Plan'!$B$36+'Parts Cost Per Job'!AV29*((1+'Total Cost for Plan'!$B$37)*'Total Cost for Plan'!$B$38))*ROUNDDOWN($B$1/'Scheduled Intervals'!AV29,0),2),0)</f>
        <v>0</v>
      </c>
      <c r="AW29" s="246">
        <f>IF('Scheduled Intervals'!AW29&gt;0,ROUND(('Hours Per Job'!AW29*'Total Cost for Plan'!$B$36+'Parts Cost Per Job'!AW29*((1+'Total Cost for Plan'!$B$37)*'Total Cost for Plan'!$B$38))*ROUNDDOWN($B$1/'Scheduled Intervals'!AW29,0),2),0)</f>
        <v>0</v>
      </c>
      <c r="AX29" s="246">
        <f>IF('Scheduled Intervals'!AX29&gt;0,ROUND(('Hours Per Job'!AX29*'Total Cost for Plan'!$B$36+'Parts Cost Per Job'!AX29*((1+'Total Cost for Plan'!$B$37)*'Total Cost for Plan'!$B$38))*ROUNDDOWN($B$1/'Scheduled Intervals'!AX29,0),2),0)</f>
        <v>0</v>
      </c>
      <c r="AY29" s="246">
        <f>IF('Scheduled Intervals'!AY29&gt;0,ROUND(('Hours Per Job'!AY29*'Total Cost for Plan'!$B$36+'Parts Cost Per Job'!AY29*((1+'Total Cost for Plan'!$B$37)*'Total Cost for Plan'!$B$38))*ROUNDDOWN($B$1/'Scheduled Intervals'!AY29,0),2),0)</f>
        <v>0</v>
      </c>
      <c r="AZ29" s="246">
        <f>IF('Scheduled Intervals'!AZ29&gt;0,ROUND(('Hours Per Job'!AZ29*'Total Cost for Plan'!$B$36+'Parts Cost Per Job'!AZ29*((1+'Total Cost for Plan'!$B$37)*'Total Cost for Plan'!$B$38))*ROUNDDOWN($B$1/'Scheduled Intervals'!AZ29,0),2),0)</f>
        <v>0</v>
      </c>
      <c r="BA29" s="246">
        <f>IF('Scheduled Intervals'!BA29&gt;0,ROUND(('Hours Per Job'!BA29*'Total Cost for Plan'!$B$36+'Parts Cost Per Job'!BA29*((1+'Total Cost for Plan'!$B$37)*'Total Cost for Plan'!$B$38))*ROUNDDOWN($B$1/'Scheduled Intervals'!BA29,0),2),0)</f>
        <v>0</v>
      </c>
      <c r="BB29" s="246">
        <f>IF('Scheduled Intervals'!BB29&gt;0,ROUND(('Hours Per Job'!BB29*'Total Cost for Plan'!$B$36+'Parts Cost Per Job'!BB29*((1+'Total Cost for Plan'!$B$37)*'Total Cost for Plan'!$B$38))*ROUNDDOWN($B$1/'Scheduled Intervals'!BB29,0),2),0)</f>
        <v>0</v>
      </c>
      <c r="BC29" s="246">
        <f>IF('Scheduled Intervals'!BC29&gt;0,ROUND(('Hours Per Job'!BC29*'Total Cost for Plan'!$B$36+'Parts Cost Per Job'!BC29*((1+'Total Cost for Plan'!$B$37)*'Total Cost for Plan'!$B$38))*ROUNDDOWN($B$1/'Scheduled Intervals'!BC29,0),2),0)</f>
        <v>0</v>
      </c>
      <c r="BD29" s="246">
        <f>IF('Scheduled Intervals'!BD29&gt;0,ROUND(('Hours Per Job'!BD29*'Total Cost for Plan'!$B$36+'Parts Cost Per Job'!BD29*((1+'Total Cost for Plan'!$B$37)*'Total Cost for Plan'!$B$38))*ROUNDDOWN($B$1/'Scheduled Intervals'!BD29,0),2),0)</f>
        <v>0</v>
      </c>
      <c r="BE29" s="246">
        <f>IF('Scheduled Intervals'!BE29&gt;0,ROUND(('Hours Per Job'!BE29*'Total Cost for Plan'!$B$36+'Parts Cost Per Job'!BE29*((1+'Total Cost for Plan'!$B$37)*'Total Cost for Plan'!$B$38))*ROUNDDOWN($B$1/'Scheduled Intervals'!BE29,0),2),0)</f>
        <v>0</v>
      </c>
      <c r="BF29" s="246">
        <f>IF('Scheduled Intervals'!BF29&gt;0,ROUND(('Hours Per Job'!BF29*'Total Cost for Plan'!$B$36+'Parts Cost Per Job'!BF29*((1+'Total Cost for Plan'!$B$37)*'Total Cost for Plan'!$B$38))*ROUNDDOWN($B$1/'Scheduled Intervals'!BF29,0),2),0)</f>
        <v>0</v>
      </c>
      <c r="BG29" s="246">
        <f>IF('Scheduled Intervals'!BG29&gt;0,ROUND(('Hours Per Job'!BG29*'Total Cost for Plan'!$B$36+'Parts Cost Per Job'!BG29*((1+'Total Cost for Plan'!$B$37)*'Total Cost for Plan'!$B$38))*ROUNDDOWN($B$1/'Scheduled Intervals'!BG29,0),2),0)</f>
        <v>0</v>
      </c>
      <c r="BH29" s="246">
        <f>IF('Scheduled Intervals'!BH29&gt;0,ROUND(('Hours Per Job'!BH29*'Total Cost for Plan'!$B$36+'Parts Cost Per Job'!BH29*((1+'Total Cost for Plan'!$B$37)*'Total Cost for Plan'!$B$38))*ROUNDDOWN($B$1/'Scheduled Intervals'!BH29,0),2),0)</f>
        <v>0</v>
      </c>
      <c r="BI29" s="246">
        <f>IF('Scheduled Intervals'!BI29&gt;0,ROUND(('Hours Per Job'!BI29*'Total Cost for Plan'!$B$36+'Parts Cost Per Job'!BI29*((1+'Total Cost for Plan'!$B$37)*'Total Cost for Plan'!$B$38))*ROUNDDOWN($B$1/'Scheduled Intervals'!BI29,0),2),0)</f>
        <v>0</v>
      </c>
      <c r="BJ29" s="246">
        <f>IF('Scheduled Intervals'!BJ29&gt;0,ROUND(('Hours Per Job'!BJ29*'Total Cost for Plan'!$B$36+'Parts Cost Per Job'!BJ29*((1+'Total Cost for Plan'!$B$37)*'Total Cost for Plan'!$B$38))*ROUNDDOWN($B$1/'Scheduled Intervals'!BJ29,0),2),0)</f>
        <v>0</v>
      </c>
      <c r="BK29" s="246">
        <f>IF('Scheduled Intervals'!BK29&gt;0,ROUND(('Hours Per Job'!BK29*'Total Cost for Plan'!$B$36+'Parts Cost Per Job'!BK29*((1+'Total Cost for Plan'!$B$37)*'Total Cost for Plan'!$B$38))*ROUNDDOWN($B$1/'Scheduled Intervals'!BK29,0),2),0)</f>
        <v>0</v>
      </c>
      <c r="BL29" s="246">
        <f>IF('Scheduled Intervals'!BL29&gt;0,ROUND(('Hours Per Job'!BL29*'Total Cost for Plan'!$B$36+'Parts Cost Per Job'!BL29*((1+'Total Cost for Plan'!$B$37)*'Total Cost for Plan'!$B$38))*ROUNDDOWN($B$1/'Scheduled Intervals'!BL29,0),2),0)</f>
        <v>0</v>
      </c>
      <c r="BM29" s="246">
        <f>IF('Scheduled Intervals'!BM29&gt;0,ROUND(('Hours Per Job'!BM29*'Total Cost for Plan'!$B$36+'Parts Cost Per Job'!BM29*((1+'Total Cost for Plan'!$B$37)*'Total Cost for Plan'!$B$38))*ROUNDDOWN($B$1/'Scheduled Intervals'!BM29,0),2),0)</f>
        <v>0</v>
      </c>
      <c r="BN29" s="246">
        <f>IF(AND('Scheduled Intervals'!BN$4="annual",'Plan Summary'!$C$5&lt;'Scheduled Intervals'!$U29*('Plan Summary'!$C$9/12)),ROUND(('Hours Per Job'!BN29*'Total Cost for Plan'!$B$36+'Parts Cost Per Job'!BN29*((1+'Total Cost for Plan'!$B$37)*'Total Cost for Plan'!$B$38))*ROUND('Plan Summary'!$C$9/12,0),2),0)</f>
        <v>1827.7</v>
      </c>
      <c r="BO29" s="246">
        <f>IF(AND('Scheduled Intervals'!BO$4="annual",'Plan Summary'!$C$5&lt;'Scheduled Intervals'!$U29*('Plan Summary'!$C$9/12)),ROUND(('Hours Per Job'!BO29*'Total Cost for Plan'!$B$36+'Parts Cost Per Job'!BO29*((1+'Total Cost for Plan'!$B$37)*'Total Cost for Plan'!$B$38))*ROUND('Plan Summary'!$C$9/12,0),2),0)</f>
        <v>475.33</v>
      </c>
      <c r="BP29" s="246">
        <f>IF(AND('Scheduled Intervals'!BP$4="annual",'Plan Summary'!$C$5&lt;'Scheduled Intervals'!$U29*('Plan Summary'!$C$9/12)),ROUND(('Hours Per Job'!BP29*'Total Cost for Plan'!$B$36+'Parts Cost Per Job'!BP29*((1+'Total Cost for Plan'!$B$37)*'Total Cost for Plan'!$B$38))*ROUND('Plan Summary'!$C$9/12,0),2),0)</f>
        <v>630</v>
      </c>
      <c r="BQ29" s="246">
        <f t="shared" si="0"/>
        <v>3765.6</v>
      </c>
      <c r="BR29" s="246"/>
    </row>
    <row r="30" spans="1:70" ht="16" x14ac:dyDescent="0.2">
      <c r="A30" s="18" t="str">
        <f>+'Scheduled Intervals'!A30</f>
        <v>Sany SW up to 305</v>
      </c>
      <c r="B30" s="246">
        <f>ROUND(('Hours Per Job'!B30*'Total Cost for Plan'!$B$36+'Parts Cost Per Job'!B30*((1+'Total Cost for Plan'!$B$37)*'Total Cost for Plan'!$B$38)),2)</f>
        <v>262.22000000000003</v>
      </c>
      <c r="C30" s="246">
        <f>ROUND(('Hours Per Job'!C30*'Total Cost for Plan'!$B$36+'Parts Cost Per Job'!C30*((1+'Total Cost for Plan'!$B$37)*'Total Cost for Plan'!$B$38)),2)</f>
        <v>0</v>
      </c>
      <c r="D30" s="246">
        <f>ROUND(('Hours Per Job'!D30*'Total Cost for Plan'!$B$36+'Parts Cost Per Job'!D30*((1+'Total Cost for Plan'!$B$37)*'Total Cost for Plan'!$B$38)),2)</f>
        <v>36</v>
      </c>
      <c r="E30" s="246">
        <f>ROUND(('Hours Per Job'!E30*'Total Cost for Plan'!$B$36+'Parts Cost Per Job'!E30*((1+'Total Cost for Plan'!$B$37)*'Total Cost for Plan'!$B$38)),2)</f>
        <v>593.85</v>
      </c>
      <c r="F30" s="246">
        <f>ROUND(('Hours Per Job'!F30*'Total Cost for Plan'!$B$36+'Parts Cost Per Job'!F30*((1+'Total Cost for Plan'!$B$37)*'Total Cost for Plan'!$B$38)),2)</f>
        <v>0</v>
      </c>
      <c r="G30" s="246">
        <f>ROUND(('Hours Per Job'!G30*'Total Cost for Plan'!$B$36+'Parts Cost Per Job'!G30*((1+'Total Cost for Plan'!$B$37)*'Total Cost for Plan'!$B$38)),2)</f>
        <v>0</v>
      </c>
      <c r="H30" s="246">
        <f>ROUND(('Hours Per Job'!H30*'Total Cost for Plan'!$B$36+'Parts Cost Per Job'!H30*((1+'Total Cost for Plan'!$B$37)*'Total Cost for Plan'!$B$38)),2)</f>
        <v>95.07</v>
      </c>
      <c r="I30" s="246">
        <f>ROUND(('Hours Per Job'!I30*'Total Cost for Plan'!$B$36+'Parts Cost Per Job'!I30*((1+'Total Cost for Plan'!$B$37)*'Total Cost for Plan'!$B$38)),2)</f>
        <v>30</v>
      </c>
      <c r="J30" s="246">
        <f>ROUND(('Hours Per Job'!J30*'Total Cost for Plan'!$B$36+'Parts Cost Per Job'!J30*((1+'Total Cost for Plan'!$B$37)*'Total Cost for Plan'!$B$38)),2)</f>
        <v>0</v>
      </c>
      <c r="K30" s="246">
        <f>ROUND(('Hours Per Job'!K30*'Total Cost for Plan'!$B$36+'Parts Cost Per Job'!K30*((1+'Total Cost for Plan'!$B$37)*'Total Cost for Plan'!$B$38)),2)</f>
        <v>278.72000000000003</v>
      </c>
      <c r="L30" s="246">
        <f>ROUND(('Hours Per Job'!L30*'Total Cost for Plan'!$B$36+'Parts Cost Per Job'!L30*((1+'Total Cost for Plan'!$B$37)*'Total Cost for Plan'!$B$38)),2)</f>
        <v>0</v>
      </c>
      <c r="M30" s="246">
        <f>ROUND(('Hours Per Job'!M30*'Total Cost for Plan'!$B$36+'Parts Cost Per Job'!M30*((1+'Total Cost for Plan'!$B$37)*'Total Cost for Plan'!$B$38)),2)</f>
        <v>170.28</v>
      </c>
      <c r="N30" s="246">
        <f>ROUND(('Hours Per Job'!N30*'Total Cost for Plan'!$B$36+'Parts Cost Per Job'!N30*((1+'Total Cost for Plan'!$B$37)*'Total Cost for Plan'!$B$38)),2)</f>
        <v>790.17</v>
      </c>
      <c r="O30" s="246">
        <f>ROUND(('Hours Per Job'!O30*'Total Cost for Plan'!$B$36+'Parts Cost Per Job'!O30*((1+'Total Cost for Plan'!$B$37)*'Total Cost for Plan'!$B$38)),2)</f>
        <v>0</v>
      </c>
      <c r="P30" s="246">
        <f>ROUND(('Hours Per Job'!P30*'Total Cost for Plan'!$B$36+'Parts Cost Per Job'!P30*((1+'Total Cost for Plan'!$B$37)*'Total Cost for Plan'!$B$38)),2)</f>
        <v>0</v>
      </c>
      <c r="Q30" s="246">
        <f>ROUND(('Hours Per Job'!Q30*'Total Cost for Plan'!$B$36+'Parts Cost Per Job'!Q30*((1+'Total Cost for Plan'!$B$37)*'Total Cost for Plan'!$B$38)),2)</f>
        <v>0</v>
      </c>
      <c r="R30" s="246">
        <f>ROUND(('Hours Per Job'!R30*'Total Cost for Plan'!$B$36+'Parts Cost Per Job'!R30*((1+'Total Cost for Plan'!$B$37)*'Total Cost for Plan'!$B$38)),2)</f>
        <v>0</v>
      </c>
      <c r="S30" s="246">
        <f>ROUND(('Hours Per Job'!S30*'Total Cost for Plan'!$B$36+'Parts Cost Per Job'!S30*((1+'Total Cost for Plan'!$B$37)*'Total Cost for Plan'!$B$38)),2)</f>
        <v>0</v>
      </c>
      <c r="T30" s="246">
        <f>ROUND(('Hours Per Job'!T30*'Total Cost for Plan'!$B$36+'Parts Cost Per Job'!T30*((1+'Total Cost for Plan'!$B$37)*'Total Cost for Plan'!$B$38)),2)</f>
        <v>0</v>
      </c>
      <c r="U30" s="246">
        <f>IF('Scheduled Intervals'!U30&gt;0,ROUND(('Hours Per Job'!U30*'Total Cost for Plan'!$B$36+'Parts Cost Per Job'!U30*((1+'Total Cost for Plan'!$B$37)*'Total Cost for Plan'!$B$38))*ROUNDDOWN($B$1/'Scheduled Intervals'!U30,0),2),0)</f>
        <v>262.22000000000003</v>
      </c>
      <c r="V30" s="246">
        <f>IF('Scheduled Intervals'!V30&gt;0,ROUND(('Hours Per Job'!V30*'Total Cost for Plan'!$B$36+'Parts Cost Per Job'!V30*((1+'Total Cost for Plan'!$B$37)*'Total Cost for Plan'!$B$38))*ROUNDDOWN($B$1/'Scheduled Intervals'!V30,0),2),0)</f>
        <v>0</v>
      </c>
      <c r="W30" s="246">
        <f>IF('Scheduled Intervals'!W30&gt;0,ROUND(('Hours Per Job'!W30*'Total Cost for Plan'!$B$36+'Parts Cost Per Job'!W30*((1+'Total Cost for Plan'!$B$37)*'Total Cost for Plan'!$B$38))*ROUNDDOWN($B$1/'Scheduled Intervals'!W30,0),2),0)</f>
        <v>0</v>
      </c>
      <c r="X30" s="246">
        <f>IF('Scheduled Intervals'!X30&gt;0,ROUND(('Hours Per Job'!X30*'Total Cost for Plan'!$B$36+'Parts Cost Per Job'!X30*((1+'Total Cost for Plan'!$B$37)*'Total Cost for Plan'!$B$38))*ROUNDDOWN($B$1/'Scheduled Intervals'!X30,0),2),0)</f>
        <v>0</v>
      </c>
      <c r="Y30" s="246">
        <f>IF('Scheduled Intervals'!Y30&gt;0,ROUND(('Hours Per Job'!Y30*'Total Cost for Plan'!$B$36+'Parts Cost Per Job'!Y30*((1+'Total Cost for Plan'!$B$37)*'Total Cost for Plan'!$B$38))*ROUNDDOWN($B$1/'Scheduled Intervals'!Y30,0),2),0)</f>
        <v>0</v>
      </c>
      <c r="Z30" s="246">
        <f>IF('Scheduled Intervals'!Z30&gt;0,ROUND(('Hours Per Job'!Z30*'Total Cost for Plan'!$B$36+'Parts Cost Per Job'!Z30*((1+'Total Cost for Plan'!$B$37)*'Total Cost for Plan'!$B$38))*ROUNDDOWN($B$1/'Scheduled Intervals'!Z30,0),2),0)</f>
        <v>0</v>
      </c>
      <c r="AA30" s="246">
        <f>IF('Scheduled Intervals'!AA30&gt;0,ROUND(('Hours Per Job'!AA30*'Total Cost for Plan'!$B$36+'Parts Cost Per Job'!AA30*((1+'Total Cost for Plan'!$B$37)*'Total Cost for Plan'!$B$38))*ROUNDDOWN($B$1/'Scheduled Intervals'!AA30,0),2),0)</f>
        <v>0</v>
      </c>
      <c r="AB30" s="246">
        <f>IF('Scheduled Intervals'!AB30&gt;0,ROUND(('Hours Per Job'!AB30*'Total Cost for Plan'!$B$36+'Parts Cost Per Job'!AB30*((1+'Total Cost for Plan'!$B$37)*'Total Cost for Plan'!$B$38))*ROUNDDOWN($B$1/'Scheduled Intervals'!AB30,0),2),0)</f>
        <v>0</v>
      </c>
      <c r="AC30" s="246">
        <f>IF('Scheduled Intervals'!AC30&gt;0,ROUND(('Hours Per Job'!AC30*'Total Cost for Plan'!$B$36+'Parts Cost Per Job'!AC30*((1+'Total Cost for Plan'!$B$37)*'Total Cost for Plan'!$B$38))*ROUNDDOWN($B$1/'Scheduled Intervals'!AC30,0),2),0)</f>
        <v>0</v>
      </c>
      <c r="AD30" s="246">
        <f>IF('Scheduled Intervals'!AD30&gt;0,ROUND(('Hours Per Job'!AD30*'Total Cost for Plan'!$B$36+'Parts Cost Per Job'!AD30*((1+'Total Cost for Plan'!$B$37)*'Total Cost for Plan'!$B$38))*ROUNDDOWN($B$1/'Scheduled Intervals'!AD30,0),2),0)</f>
        <v>0</v>
      </c>
      <c r="AE30" s="246">
        <f>IF('Scheduled Intervals'!AE30&gt;0,ROUND(('Hours Per Job'!AE30*'Total Cost for Plan'!$B$36+'Parts Cost Per Job'!AE30*((1+'Total Cost for Plan'!$B$37)*'Total Cost for Plan'!$B$38))*ROUNDDOWN($B$1/'Scheduled Intervals'!AE30,0),2),0)</f>
        <v>0</v>
      </c>
      <c r="AF30" s="246">
        <f>IF('Scheduled Intervals'!AF30&gt;0,ROUND(('Hours Per Job'!AF30*'Total Cost for Plan'!$B$36+'Parts Cost Per Job'!AF30*((1+'Total Cost for Plan'!$B$37)*'Total Cost for Plan'!$B$38))*ROUNDDOWN($B$1/'Scheduled Intervals'!AF30,0),2),0)</f>
        <v>0</v>
      </c>
      <c r="AG30" s="246">
        <f>IF('Scheduled Intervals'!AG30&gt;0,ROUND(('Hours Per Job'!AG30*'Total Cost for Plan'!$B$36+'Parts Cost Per Job'!AG30*((1+'Total Cost for Plan'!$B$37)*'Total Cost for Plan'!$B$38))*ROUNDDOWN($B$1/'Scheduled Intervals'!AG30,0),2),0)</f>
        <v>0</v>
      </c>
      <c r="AH30" s="246">
        <f>IF('Scheduled Intervals'!AH30&gt;0,ROUND(('Hours Per Job'!AH30*'Total Cost for Plan'!$B$36+'Parts Cost Per Job'!AH30*((1+'Total Cost for Plan'!$B$37)*'Total Cost for Plan'!$B$38))*ROUNDDOWN($B$1/'Scheduled Intervals'!AH30,0),2),0)</f>
        <v>0</v>
      </c>
      <c r="AI30" s="246">
        <f>IF('Scheduled Intervals'!AI30&gt;0,ROUND(('Hours Per Job'!AI30*'Total Cost for Plan'!$B$36+'Parts Cost Per Job'!AI30*((1+'Total Cost for Plan'!$B$37)*'Total Cost for Plan'!$B$38))*ROUNDDOWN($B$1/'Scheduled Intervals'!AI30,0),2),0)</f>
        <v>0</v>
      </c>
      <c r="AJ30" s="246">
        <f>IF('Scheduled Intervals'!AJ30&gt;0,ROUND(('Hours Per Job'!AJ30*'Total Cost for Plan'!$B$36+'Parts Cost Per Job'!AJ30*((1+'Total Cost for Plan'!$B$37)*'Total Cost for Plan'!$B$38))*ROUNDDOWN($B$1/'Scheduled Intervals'!AJ30,0),2),0)</f>
        <v>0</v>
      </c>
      <c r="AK30" s="246">
        <f>IF('Scheduled Intervals'!AK30&gt;0,ROUND(('Hours Per Job'!AK30*'Total Cost for Plan'!$B$36+'Parts Cost Per Job'!AK30*((1+'Total Cost for Plan'!$B$37)*'Total Cost for Plan'!$B$38))*ROUNDDOWN($B$1/'Scheduled Intervals'!AK30,0),2),0)</f>
        <v>0</v>
      </c>
      <c r="AL30" s="246">
        <f>IF('Scheduled Intervals'!AL30&gt;0,ROUND(('Hours Per Job'!AL30*'Total Cost for Plan'!$B$36+'Parts Cost Per Job'!AL30*((1+'Total Cost for Plan'!$B$37)*'Total Cost for Plan'!$B$38))*ROUNDDOWN($B$1/'Scheduled Intervals'!AL30,0),2),0)</f>
        <v>0</v>
      </c>
      <c r="AM30" s="246">
        <f>IF('Scheduled Intervals'!AM30&gt;0,ROUND(('Hours Per Job'!AM30*'Total Cost for Plan'!$B$36+'Parts Cost Per Job'!AM30*((1+'Total Cost for Plan'!$B$37)*'Total Cost for Plan'!$B$38))*ROUNDDOWN($B$1/'Scheduled Intervals'!AM30,0),2),0)</f>
        <v>0</v>
      </c>
      <c r="AN30" s="246">
        <f>IF('Scheduled Intervals'!AN30&gt;0,ROUND(('Hours Per Job'!AN30*'Total Cost for Plan'!$B$36+'Parts Cost Per Job'!AN30*((1+'Total Cost for Plan'!$B$37)*'Total Cost for Plan'!$B$38))*ROUNDDOWN($B$1/'Scheduled Intervals'!AN30,0),2),0)</f>
        <v>0</v>
      </c>
      <c r="AO30" s="246">
        <f>IF('Scheduled Intervals'!AO30&gt;0,ROUND(('Hours Per Job'!AO30*'Total Cost for Plan'!$B$36+'Parts Cost Per Job'!AO30*((1+'Total Cost for Plan'!$B$37)*'Total Cost for Plan'!$B$38))*ROUNDDOWN($B$1/'Scheduled Intervals'!AO30,0),2),0)</f>
        <v>0</v>
      </c>
      <c r="AP30" s="246">
        <f>IF('Scheduled Intervals'!AP30&gt;0,ROUND(('Hours Per Job'!AP30*'Total Cost for Plan'!$B$36+'Parts Cost Per Job'!AP30*((1+'Total Cost for Plan'!$B$37)*'Total Cost for Plan'!$B$38))*ROUNDDOWN($B$1/'Scheduled Intervals'!AP30,0),2),0)</f>
        <v>0</v>
      </c>
      <c r="AQ30" s="246">
        <f>IF('Scheduled Intervals'!AQ30&gt;0,ROUND(('Hours Per Job'!AQ30*'Total Cost for Plan'!$B$36+'Parts Cost Per Job'!AQ30*((1+'Total Cost for Plan'!$B$37)*'Total Cost for Plan'!$B$38))*ROUNDDOWN($B$1/'Scheduled Intervals'!AQ30,0),2),0)</f>
        <v>0</v>
      </c>
      <c r="AR30" s="246">
        <f>IF('Scheduled Intervals'!AR30&gt;0,ROUND(('Hours Per Job'!AR30*'Total Cost for Plan'!$B$36+'Parts Cost Per Job'!AR30*((1+'Total Cost for Plan'!$B$37)*'Total Cost for Plan'!$B$38))*ROUNDDOWN($B$1/'Scheduled Intervals'!AR30,0),2),0)</f>
        <v>0</v>
      </c>
      <c r="AS30" s="246">
        <f>IF('Scheduled Intervals'!AS30&gt;0,ROUND(('Hours Per Job'!AS30*'Total Cost for Plan'!$B$36+'Parts Cost Per Job'!AS30*((1+'Total Cost for Plan'!$B$37)*'Total Cost for Plan'!$B$38))*ROUNDDOWN($B$1/'Scheduled Intervals'!AS30,0),2),0)</f>
        <v>0</v>
      </c>
      <c r="AT30" s="246">
        <f>IF('Scheduled Intervals'!AT30&gt;0,ROUND(('Hours Per Job'!AT30*'Total Cost for Plan'!$B$36+'Parts Cost Per Job'!AT30*((1+'Total Cost for Plan'!$B$37)*'Total Cost for Plan'!$B$38))*ROUNDDOWN($B$1/'Scheduled Intervals'!AT30,0),2),0)</f>
        <v>95.07</v>
      </c>
      <c r="AU30" s="246">
        <f>IF('Scheduled Intervals'!AU30&gt;0,ROUND(('Hours Per Job'!AU30*'Total Cost for Plan'!$B$36+'Parts Cost Per Job'!AU30*((1+'Total Cost for Plan'!$B$37)*'Total Cost for Plan'!$B$38))*ROUNDDOWN($B$1/'Scheduled Intervals'!AU30,0),2),0)</f>
        <v>0</v>
      </c>
      <c r="AV30" s="246">
        <f>IF('Scheduled Intervals'!AV30&gt;0,ROUND(('Hours Per Job'!AV30*'Total Cost for Plan'!$B$36+'Parts Cost Per Job'!AV30*((1+'Total Cost for Plan'!$B$37)*'Total Cost for Plan'!$B$38))*ROUNDDOWN($B$1/'Scheduled Intervals'!AV30,0),2),0)</f>
        <v>0</v>
      </c>
      <c r="AW30" s="246">
        <f>IF('Scheduled Intervals'!AW30&gt;0,ROUND(('Hours Per Job'!AW30*'Total Cost for Plan'!$B$36+'Parts Cost Per Job'!AW30*((1+'Total Cost for Plan'!$B$37)*'Total Cost for Plan'!$B$38))*ROUNDDOWN($B$1/'Scheduled Intervals'!AW30,0),2),0)</f>
        <v>0</v>
      </c>
      <c r="AX30" s="246">
        <f>IF('Scheduled Intervals'!AX30&gt;0,ROUND(('Hours Per Job'!AX30*'Total Cost for Plan'!$B$36+'Parts Cost Per Job'!AX30*((1+'Total Cost for Plan'!$B$37)*'Total Cost for Plan'!$B$38))*ROUNDDOWN($B$1/'Scheduled Intervals'!AX30,0),2),0)</f>
        <v>0</v>
      </c>
      <c r="AY30" s="246">
        <f>IF('Scheduled Intervals'!AY30&gt;0,ROUND(('Hours Per Job'!AY30*'Total Cost for Plan'!$B$36+'Parts Cost Per Job'!AY30*((1+'Total Cost for Plan'!$B$37)*'Total Cost for Plan'!$B$38))*ROUNDDOWN($B$1/'Scheduled Intervals'!AY30,0),2),0)</f>
        <v>0</v>
      </c>
      <c r="AZ30" s="246">
        <f>IF('Scheduled Intervals'!AZ30&gt;0,ROUND(('Hours Per Job'!AZ30*'Total Cost for Plan'!$B$36+'Parts Cost Per Job'!AZ30*((1+'Total Cost for Plan'!$B$37)*'Total Cost for Plan'!$B$38))*ROUNDDOWN($B$1/'Scheduled Intervals'!AZ30,0),2),0)</f>
        <v>0</v>
      </c>
      <c r="BA30" s="246">
        <f>IF('Scheduled Intervals'!BA30&gt;0,ROUND(('Hours Per Job'!BA30*'Total Cost for Plan'!$B$36+'Parts Cost Per Job'!BA30*((1+'Total Cost for Plan'!$B$37)*'Total Cost for Plan'!$B$38))*ROUNDDOWN($B$1/'Scheduled Intervals'!BA30,0),2),0)</f>
        <v>0</v>
      </c>
      <c r="BB30" s="246">
        <f>IF('Scheduled Intervals'!BB30&gt;0,ROUND(('Hours Per Job'!BB30*'Total Cost for Plan'!$B$36+'Parts Cost Per Job'!BB30*((1+'Total Cost for Plan'!$B$37)*'Total Cost for Plan'!$B$38))*ROUNDDOWN($B$1/'Scheduled Intervals'!BB30,0),2),0)</f>
        <v>0</v>
      </c>
      <c r="BC30" s="246">
        <f>IF('Scheduled Intervals'!BC30&gt;0,ROUND(('Hours Per Job'!BC30*'Total Cost for Plan'!$B$36+'Parts Cost Per Job'!BC30*((1+'Total Cost for Plan'!$B$37)*'Total Cost for Plan'!$B$38))*ROUNDDOWN($B$1/'Scheduled Intervals'!BC30,0),2),0)</f>
        <v>0</v>
      </c>
      <c r="BD30" s="246">
        <f>IF('Scheduled Intervals'!BD30&gt;0,ROUND(('Hours Per Job'!BD30*'Total Cost for Plan'!$B$36+'Parts Cost Per Job'!BD30*((1+'Total Cost for Plan'!$B$37)*'Total Cost for Plan'!$B$38))*ROUNDDOWN($B$1/'Scheduled Intervals'!BD30,0),2),0)</f>
        <v>0</v>
      </c>
      <c r="BE30" s="246">
        <f>IF('Scheduled Intervals'!BE30&gt;0,ROUND(('Hours Per Job'!BE30*'Total Cost for Plan'!$B$36+'Parts Cost Per Job'!BE30*((1+'Total Cost for Plan'!$B$37)*'Total Cost for Plan'!$B$38))*ROUNDDOWN($B$1/'Scheduled Intervals'!BE30,0),2),0)</f>
        <v>0</v>
      </c>
      <c r="BF30" s="246">
        <f>IF('Scheduled Intervals'!BF30&gt;0,ROUND(('Hours Per Job'!BF30*'Total Cost for Plan'!$B$36+'Parts Cost Per Job'!BF30*((1+'Total Cost for Plan'!$B$37)*'Total Cost for Plan'!$B$38))*ROUNDDOWN($B$1/'Scheduled Intervals'!BF30,0),2),0)</f>
        <v>0</v>
      </c>
      <c r="BG30" s="246">
        <f>IF('Scheduled Intervals'!BG30&gt;0,ROUND(('Hours Per Job'!BG30*'Total Cost for Plan'!$B$36+'Parts Cost Per Job'!BG30*((1+'Total Cost for Plan'!$B$37)*'Total Cost for Plan'!$B$38))*ROUNDDOWN($B$1/'Scheduled Intervals'!BG30,0),2),0)</f>
        <v>0</v>
      </c>
      <c r="BH30" s="246">
        <f>IF('Scheduled Intervals'!BH30&gt;0,ROUND(('Hours Per Job'!BH30*'Total Cost for Plan'!$B$36+'Parts Cost Per Job'!BH30*((1+'Total Cost for Plan'!$B$37)*'Total Cost for Plan'!$B$38))*ROUNDDOWN($B$1/'Scheduled Intervals'!BH30,0),2),0)</f>
        <v>0</v>
      </c>
      <c r="BI30" s="246">
        <f>IF('Scheduled Intervals'!BI30&gt;0,ROUND(('Hours Per Job'!BI30*'Total Cost for Plan'!$B$36+'Parts Cost Per Job'!BI30*((1+'Total Cost for Plan'!$B$37)*'Total Cost for Plan'!$B$38))*ROUNDDOWN($B$1/'Scheduled Intervals'!BI30,0),2),0)</f>
        <v>0</v>
      </c>
      <c r="BJ30" s="246">
        <f>IF('Scheduled Intervals'!BJ30&gt;0,ROUND(('Hours Per Job'!BJ30*'Total Cost for Plan'!$B$36+'Parts Cost Per Job'!BJ30*((1+'Total Cost for Plan'!$B$37)*'Total Cost for Plan'!$B$38))*ROUNDDOWN($B$1/'Scheduled Intervals'!BJ30,0),2),0)</f>
        <v>30</v>
      </c>
      <c r="BK30" s="246">
        <f>IF('Scheduled Intervals'!BK30&gt;0,ROUND(('Hours Per Job'!BK30*'Total Cost for Plan'!$B$36+'Parts Cost Per Job'!BK30*((1+'Total Cost for Plan'!$B$37)*'Total Cost for Plan'!$B$38))*ROUNDDOWN($B$1/'Scheduled Intervals'!BK30,0),2),0)</f>
        <v>0</v>
      </c>
      <c r="BL30" s="246">
        <f>IF('Scheduled Intervals'!BL30&gt;0,ROUND(('Hours Per Job'!BL30*'Total Cost for Plan'!$B$36+'Parts Cost Per Job'!BL30*((1+'Total Cost for Plan'!$B$37)*'Total Cost for Plan'!$B$38))*ROUNDDOWN($B$1/'Scheduled Intervals'!BL30,0),2),0)</f>
        <v>0</v>
      </c>
      <c r="BM30" s="246">
        <f>IF('Scheduled Intervals'!BM30&gt;0,ROUND(('Hours Per Job'!BM30*'Total Cost for Plan'!$B$36+'Parts Cost Per Job'!BM30*((1+'Total Cost for Plan'!$B$37)*'Total Cost for Plan'!$B$38))*ROUNDDOWN($B$1/'Scheduled Intervals'!BM30,0),2),0)</f>
        <v>0</v>
      </c>
      <c r="BN30" s="246">
        <f>IF(AND('Scheduled Intervals'!BN$4="annual",'Plan Summary'!$C$5&lt;'Scheduled Intervals'!$U30*('Plan Summary'!$C$9/12)),ROUND(('Hours Per Job'!BN30*'Total Cost for Plan'!$B$36+'Parts Cost Per Job'!BN30*((1+'Total Cost for Plan'!$B$37)*'Total Cost for Plan'!$B$38))*ROUND('Plan Summary'!$C$9/12,0),2),0)</f>
        <v>1311.11</v>
      </c>
      <c r="BO30" s="246">
        <f>IF(AND('Scheduled Intervals'!BO$4="annual",'Plan Summary'!$C$5&lt;'Scheduled Intervals'!$U30*('Plan Summary'!$C$9/12)),ROUND(('Hours Per Job'!BO30*'Total Cost for Plan'!$B$36+'Parts Cost Per Job'!BO30*((1+'Total Cost for Plan'!$B$37)*'Total Cost for Plan'!$B$38))*ROUND('Plan Summary'!$C$9/12,0),2),0)</f>
        <v>475.33</v>
      </c>
      <c r="BP30" s="246">
        <f>IF(AND('Scheduled Intervals'!BP$4="annual",'Plan Summary'!$C$5&lt;'Scheduled Intervals'!$U30*('Plan Summary'!$C$9/12)),ROUND(('Hours Per Job'!BP30*'Total Cost for Plan'!$B$36+'Parts Cost Per Job'!BP30*((1+'Total Cost for Plan'!$B$37)*'Total Cost for Plan'!$B$38))*ROUND('Plan Summary'!$C$9/12,0),2),0)</f>
        <v>630</v>
      </c>
      <c r="BQ30" s="246">
        <f t="shared" si="0"/>
        <v>5060.04</v>
      </c>
      <c r="BR30" s="246"/>
    </row>
    <row r="31" spans="1:70" ht="16" x14ac:dyDescent="0.2">
      <c r="A31" s="18" t="str">
        <f>+'Scheduled Intervals'!A31</f>
        <v>SCL - DIESEL</v>
      </c>
      <c r="B31" s="246">
        <f>ROUND(('Hours Per Job'!B31*'Total Cost for Plan'!$B$36+'Parts Cost Per Job'!B31*((1+'Total Cost for Plan'!$B$37)*'Total Cost for Plan'!$B$38)),2)</f>
        <v>80.92</v>
      </c>
      <c r="C31" s="246">
        <f>ROUND(('Hours Per Job'!C31*'Total Cost for Plan'!$B$36+'Parts Cost Per Job'!C31*((1+'Total Cost for Plan'!$B$37)*'Total Cost for Plan'!$B$38)),2)</f>
        <v>0</v>
      </c>
      <c r="D31" s="246">
        <f>ROUND(('Hours Per Job'!D31*'Total Cost for Plan'!$B$36+'Parts Cost Per Job'!D31*((1+'Total Cost for Plan'!$B$37)*'Total Cost for Plan'!$B$38)),2)</f>
        <v>0</v>
      </c>
      <c r="E31" s="246">
        <f>ROUND(('Hours Per Job'!E31*'Total Cost for Plan'!$B$36+'Parts Cost Per Job'!E31*((1+'Total Cost for Plan'!$B$37)*'Total Cost for Plan'!$B$38)),2)</f>
        <v>0</v>
      </c>
      <c r="F31" s="246">
        <f>ROUND(('Hours Per Job'!F31*'Total Cost for Plan'!$B$36+'Parts Cost Per Job'!F31*((1+'Total Cost for Plan'!$B$37)*'Total Cost for Plan'!$B$38)),2)</f>
        <v>75.069999999999993</v>
      </c>
      <c r="G31" s="246">
        <f>ROUND(('Hours Per Job'!G31*'Total Cost for Plan'!$B$36+'Parts Cost Per Job'!G31*((1+'Total Cost for Plan'!$B$37)*'Total Cost for Plan'!$B$38)),2)</f>
        <v>0</v>
      </c>
      <c r="H31" s="246">
        <f>ROUND(('Hours Per Job'!H31*'Total Cost for Plan'!$B$36+'Parts Cost Per Job'!H31*((1+'Total Cost for Plan'!$B$37)*'Total Cost for Plan'!$B$38)),2)</f>
        <v>35.07</v>
      </c>
      <c r="I31" s="246">
        <f>ROUND(('Hours Per Job'!I31*'Total Cost for Plan'!$B$36+'Parts Cost Per Job'!I31*((1+'Total Cost for Plan'!$B$37)*'Total Cost for Plan'!$B$38)),2)</f>
        <v>30</v>
      </c>
      <c r="J31" s="246">
        <f>ROUND(('Hours Per Job'!J31*'Total Cost for Plan'!$B$36+'Parts Cost Per Job'!J31*((1+'Total Cost for Plan'!$B$37)*'Total Cost for Plan'!$B$38)),2)</f>
        <v>0</v>
      </c>
      <c r="K31" s="246">
        <f>ROUND(('Hours Per Job'!K31*'Total Cost for Plan'!$B$36+'Parts Cost Per Job'!K31*((1+'Total Cost for Plan'!$B$37)*'Total Cost for Plan'!$B$38)),2)</f>
        <v>0</v>
      </c>
      <c r="L31" s="246">
        <f>ROUND(('Hours Per Job'!L31*'Total Cost for Plan'!$B$36+'Parts Cost Per Job'!L31*((1+'Total Cost for Plan'!$B$37)*'Total Cost for Plan'!$B$38)),2)</f>
        <v>0</v>
      </c>
      <c r="M31" s="246">
        <f>ROUND(('Hours Per Job'!M31*'Total Cost for Plan'!$B$36+'Parts Cost Per Job'!M31*((1+'Total Cost for Plan'!$B$37)*'Total Cost for Plan'!$B$38)),2)</f>
        <v>0</v>
      </c>
      <c r="N31" s="246">
        <f>ROUND(('Hours Per Job'!N31*'Total Cost for Plan'!$B$36+'Parts Cost Per Job'!N31*((1+'Total Cost for Plan'!$B$37)*'Total Cost for Plan'!$B$38)),2)</f>
        <v>0</v>
      </c>
      <c r="O31" s="246">
        <f>ROUND(('Hours Per Job'!O31*'Total Cost for Plan'!$B$36+'Parts Cost Per Job'!O31*((1+'Total Cost for Plan'!$B$37)*'Total Cost for Plan'!$B$38)),2)</f>
        <v>0</v>
      </c>
      <c r="P31" s="246">
        <f>ROUND(('Hours Per Job'!P31*'Total Cost for Plan'!$B$36+'Parts Cost Per Job'!P31*((1+'Total Cost for Plan'!$B$37)*'Total Cost for Plan'!$B$38)),2)</f>
        <v>0</v>
      </c>
      <c r="Q31" s="246">
        <f>ROUND(('Hours Per Job'!Q31*'Total Cost for Plan'!$B$36+'Parts Cost Per Job'!Q31*((1+'Total Cost for Plan'!$B$37)*'Total Cost for Plan'!$B$38)),2)</f>
        <v>0</v>
      </c>
      <c r="R31" s="246">
        <f>ROUND(('Hours Per Job'!R31*'Total Cost for Plan'!$B$36+'Parts Cost Per Job'!R31*((1+'Total Cost for Plan'!$B$37)*'Total Cost for Plan'!$B$38)),2)</f>
        <v>0</v>
      </c>
      <c r="S31" s="246">
        <f>ROUND(('Hours Per Job'!S31*'Total Cost for Plan'!$B$36+'Parts Cost Per Job'!S31*((1+'Total Cost for Plan'!$B$37)*'Total Cost for Plan'!$B$38)),2)</f>
        <v>0</v>
      </c>
      <c r="T31" s="246">
        <f>ROUND(('Hours Per Job'!T31*'Total Cost for Plan'!$B$36+'Parts Cost Per Job'!T31*((1+'Total Cost for Plan'!$B$37)*'Total Cost for Plan'!$B$38)),2)</f>
        <v>0</v>
      </c>
      <c r="U31" s="246">
        <f>IF('Scheduled Intervals'!U31&gt;0,ROUND(('Hours Per Job'!U31*'Total Cost for Plan'!$B$36+'Parts Cost Per Job'!U31*((1+'Total Cost for Plan'!$B$37)*'Total Cost for Plan'!$B$38))*ROUNDDOWN($B$1/'Scheduled Intervals'!U31,0),2),0)</f>
        <v>80.92</v>
      </c>
      <c r="V31" s="246">
        <f>IF('Scheduled Intervals'!V31&gt;0,ROUND(('Hours Per Job'!V31*'Total Cost for Plan'!$B$36+'Parts Cost Per Job'!V31*((1+'Total Cost for Plan'!$B$37)*'Total Cost for Plan'!$B$38))*ROUNDDOWN($B$1/'Scheduled Intervals'!V31,0),2),0)</f>
        <v>0</v>
      </c>
      <c r="W31" s="246">
        <f>IF('Scheduled Intervals'!W31&gt;0,ROUND(('Hours Per Job'!W31*'Total Cost for Plan'!$B$36+'Parts Cost Per Job'!W31*((1+'Total Cost for Plan'!$B$37)*'Total Cost for Plan'!$B$38))*ROUNDDOWN($B$1/'Scheduled Intervals'!W31,0),2),0)</f>
        <v>0</v>
      </c>
      <c r="X31" s="246">
        <f>IF('Scheduled Intervals'!X31&gt;0,ROUND(('Hours Per Job'!X31*'Total Cost for Plan'!$B$36+'Parts Cost Per Job'!X31*((1+'Total Cost for Plan'!$B$37)*'Total Cost for Plan'!$B$38))*ROUNDDOWN($B$1/'Scheduled Intervals'!X31,0),2),0)</f>
        <v>0</v>
      </c>
      <c r="Y31" s="246">
        <f>IF('Scheduled Intervals'!Y31&gt;0,ROUND(('Hours Per Job'!Y31*'Total Cost for Plan'!$B$36+'Parts Cost Per Job'!Y31*((1+'Total Cost for Plan'!$B$37)*'Total Cost for Plan'!$B$38))*ROUNDDOWN($B$1/'Scheduled Intervals'!Y31,0),2),0)</f>
        <v>0</v>
      </c>
      <c r="Z31" s="246">
        <f>IF('Scheduled Intervals'!Z31&gt;0,ROUND(('Hours Per Job'!Z31*'Total Cost for Plan'!$B$36+'Parts Cost Per Job'!Z31*((1+'Total Cost for Plan'!$B$37)*'Total Cost for Plan'!$B$38))*ROUNDDOWN($B$1/'Scheduled Intervals'!Z31,0),2),0)</f>
        <v>0</v>
      </c>
      <c r="AA31" s="246">
        <f>IF('Scheduled Intervals'!AA31&gt;0,ROUND(('Hours Per Job'!AA31*'Total Cost for Plan'!$B$36+'Parts Cost Per Job'!AA31*((1+'Total Cost for Plan'!$B$37)*'Total Cost for Plan'!$B$38))*ROUNDDOWN($B$1/'Scheduled Intervals'!AA31,0),2),0)</f>
        <v>0</v>
      </c>
      <c r="AB31" s="246">
        <f>IF('Scheduled Intervals'!AB31&gt;0,ROUND(('Hours Per Job'!AB31*'Total Cost for Plan'!$B$36+'Parts Cost Per Job'!AB31*((1+'Total Cost for Plan'!$B$37)*'Total Cost for Plan'!$B$38))*ROUNDDOWN($B$1/'Scheduled Intervals'!AB31,0),2),0)</f>
        <v>0</v>
      </c>
      <c r="AC31" s="246">
        <f>IF('Scheduled Intervals'!AC31&gt;0,ROUND(('Hours Per Job'!AC31*'Total Cost for Plan'!$B$36+'Parts Cost Per Job'!AC31*((1+'Total Cost for Plan'!$B$37)*'Total Cost for Plan'!$B$38))*ROUNDDOWN($B$1/'Scheduled Intervals'!AC31,0),2),0)</f>
        <v>76.69</v>
      </c>
      <c r="AD31" s="246">
        <f>IF('Scheduled Intervals'!AD31&gt;0,ROUND(('Hours Per Job'!AD31*'Total Cost for Plan'!$B$36+'Parts Cost Per Job'!AD31*((1+'Total Cost for Plan'!$B$37)*'Total Cost for Plan'!$B$38))*ROUNDDOWN($B$1/'Scheduled Intervals'!AD31,0),2),0)</f>
        <v>0</v>
      </c>
      <c r="AE31" s="246">
        <f>IF('Scheduled Intervals'!AE31&gt;0,ROUND(('Hours Per Job'!AE31*'Total Cost for Plan'!$B$36+'Parts Cost Per Job'!AE31*((1+'Total Cost for Plan'!$B$37)*'Total Cost for Plan'!$B$38))*ROUNDDOWN($B$1/'Scheduled Intervals'!AE31,0),2),0)</f>
        <v>0</v>
      </c>
      <c r="AF31" s="246">
        <f>IF('Scheduled Intervals'!AF31&gt;0,ROUND(('Hours Per Job'!AF31*'Total Cost for Plan'!$B$36+'Parts Cost Per Job'!AF31*((1+'Total Cost for Plan'!$B$37)*'Total Cost for Plan'!$B$38))*ROUNDDOWN($B$1/'Scheduled Intervals'!AF31,0),2),0)</f>
        <v>0</v>
      </c>
      <c r="AG31" s="246">
        <f>IF('Scheduled Intervals'!AG31&gt;0,ROUND(('Hours Per Job'!AG31*'Total Cost for Plan'!$B$36+'Parts Cost Per Job'!AG31*((1+'Total Cost for Plan'!$B$37)*'Total Cost for Plan'!$B$38))*ROUNDDOWN($B$1/'Scheduled Intervals'!AG31,0),2),0)</f>
        <v>0</v>
      </c>
      <c r="AH31" s="246">
        <f>IF('Scheduled Intervals'!AH31&gt;0,ROUND(('Hours Per Job'!AH31*'Total Cost for Plan'!$B$36+'Parts Cost Per Job'!AH31*((1+'Total Cost for Plan'!$B$37)*'Total Cost for Plan'!$B$38))*ROUNDDOWN($B$1/'Scheduled Intervals'!AH31,0),2),0)</f>
        <v>0</v>
      </c>
      <c r="AI31" s="246">
        <f>IF('Scheduled Intervals'!AI31&gt;0,ROUND(('Hours Per Job'!AI31*'Total Cost for Plan'!$B$36+'Parts Cost Per Job'!AI31*((1+'Total Cost for Plan'!$B$37)*'Total Cost for Plan'!$B$38))*ROUNDDOWN($B$1/'Scheduled Intervals'!AI31,0),2),0)</f>
        <v>0</v>
      </c>
      <c r="AJ31" s="246">
        <f>IF('Scheduled Intervals'!AJ31&gt;0,ROUND(('Hours Per Job'!AJ31*'Total Cost for Plan'!$B$36+'Parts Cost Per Job'!AJ31*((1+'Total Cost for Plan'!$B$37)*'Total Cost for Plan'!$B$38))*ROUNDDOWN($B$1/'Scheduled Intervals'!AJ31,0),2),0)</f>
        <v>0</v>
      </c>
      <c r="AK31" s="246">
        <f>IF('Scheduled Intervals'!AK31&gt;0,ROUND(('Hours Per Job'!AK31*'Total Cost for Plan'!$B$36+'Parts Cost Per Job'!AK31*((1+'Total Cost for Plan'!$B$37)*'Total Cost for Plan'!$B$38))*ROUNDDOWN($B$1/'Scheduled Intervals'!AK31,0),2),0)</f>
        <v>0</v>
      </c>
      <c r="AL31" s="246">
        <f>IF('Scheduled Intervals'!AL31&gt;0,ROUND(('Hours Per Job'!AL31*'Total Cost for Plan'!$B$36+'Parts Cost Per Job'!AL31*((1+'Total Cost for Plan'!$B$37)*'Total Cost for Plan'!$B$38))*ROUNDDOWN($B$1/'Scheduled Intervals'!AL31,0),2),0)</f>
        <v>0</v>
      </c>
      <c r="AM31" s="246">
        <f>IF('Scheduled Intervals'!AM31&gt;0,ROUND(('Hours Per Job'!AM31*'Total Cost for Plan'!$B$36+'Parts Cost Per Job'!AM31*((1+'Total Cost for Plan'!$B$37)*'Total Cost for Plan'!$B$38))*ROUNDDOWN($B$1/'Scheduled Intervals'!AM31,0),2),0)</f>
        <v>0</v>
      </c>
      <c r="AN31" s="246">
        <f>IF('Scheduled Intervals'!AN31&gt;0,ROUND(('Hours Per Job'!AN31*'Total Cost for Plan'!$B$36+'Parts Cost Per Job'!AN31*((1+'Total Cost for Plan'!$B$37)*'Total Cost for Plan'!$B$38))*ROUNDDOWN($B$1/'Scheduled Intervals'!AN31,0),2),0)</f>
        <v>0</v>
      </c>
      <c r="AO31" s="246">
        <f>IF('Scheduled Intervals'!AO31&gt;0,ROUND(('Hours Per Job'!AO31*'Total Cost for Plan'!$B$36+'Parts Cost Per Job'!AO31*((1+'Total Cost for Plan'!$B$37)*'Total Cost for Plan'!$B$38))*ROUNDDOWN($B$1/'Scheduled Intervals'!AO31,0),2),0)</f>
        <v>0</v>
      </c>
      <c r="AP31" s="246">
        <f>IF('Scheduled Intervals'!AP31&gt;0,ROUND(('Hours Per Job'!AP31*'Total Cost for Plan'!$B$36+'Parts Cost Per Job'!AP31*((1+'Total Cost for Plan'!$B$37)*'Total Cost for Plan'!$B$38))*ROUNDDOWN($B$1/'Scheduled Intervals'!AP31,0),2),0)</f>
        <v>0</v>
      </c>
      <c r="AQ31" s="246">
        <f>IF('Scheduled Intervals'!AQ31&gt;0,ROUND(('Hours Per Job'!AQ31*'Total Cost for Plan'!$B$36+'Parts Cost Per Job'!AQ31*((1+'Total Cost for Plan'!$B$37)*'Total Cost for Plan'!$B$38))*ROUNDDOWN($B$1/'Scheduled Intervals'!AQ31,0),2),0)</f>
        <v>0</v>
      </c>
      <c r="AR31" s="246">
        <f>IF('Scheduled Intervals'!AR31&gt;0,ROUND(('Hours Per Job'!AR31*'Total Cost for Plan'!$B$36+'Parts Cost Per Job'!AR31*((1+'Total Cost for Plan'!$B$37)*'Total Cost for Plan'!$B$38))*ROUNDDOWN($B$1/'Scheduled Intervals'!AR31,0),2),0)</f>
        <v>0</v>
      </c>
      <c r="AS31" s="246">
        <f>IF('Scheduled Intervals'!AS31&gt;0,ROUND(('Hours Per Job'!AS31*'Total Cost for Plan'!$B$36+'Parts Cost Per Job'!AS31*((1+'Total Cost for Plan'!$B$37)*'Total Cost for Plan'!$B$38))*ROUNDDOWN($B$1/'Scheduled Intervals'!AS31,0),2),0)</f>
        <v>0</v>
      </c>
      <c r="AT31" s="246">
        <f>IF('Scheduled Intervals'!AT31&gt;0,ROUND(('Hours Per Job'!AT31*'Total Cost for Plan'!$B$36+'Parts Cost Per Job'!AT31*((1+'Total Cost for Plan'!$B$37)*'Total Cost for Plan'!$B$38))*ROUNDDOWN($B$1/'Scheduled Intervals'!AT31,0),2),0)</f>
        <v>35.07</v>
      </c>
      <c r="AU31" s="246">
        <f>IF('Scheduled Intervals'!AU31&gt;0,ROUND(('Hours Per Job'!AU31*'Total Cost for Plan'!$B$36+'Parts Cost Per Job'!AU31*((1+'Total Cost for Plan'!$B$37)*'Total Cost for Plan'!$B$38))*ROUNDDOWN($B$1/'Scheduled Intervals'!AU31,0),2),0)</f>
        <v>0</v>
      </c>
      <c r="AV31" s="246">
        <f>IF('Scheduled Intervals'!AV31&gt;0,ROUND(('Hours Per Job'!AV31*'Total Cost for Plan'!$B$36+'Parts Cost Per Job'!AV31*((1+'Total Cost for Plan'!$B$37)*'Total Cost for Plan'!$B$38))*ROUNDDOWN($B$1/'Scheduled Intervals'!AV31,0),2),0)</f>
        <v>0</v>
      </c>
      <c r="AW31" s="246">
        <f>IF('Scheduled Intervals'!AW31&gt;0,ROUND(('Hours Per Job'!AW31*'Total Cost for Plan'!$B$36+'Parts Cost Per Job'!AW31*((1+'Total Cost for Plan'!$B$37)*'Total Cost for Plan'!$B$38))*ROUNDDOWN($B$1/'Scheduled Intervals'!AW31,0),2),0)</f>
        <v>0</v>
      </c>
      <c r="AX31" s="246">
        <f>IF('Scheduled Intervals'!AX31&gt;0,ROUND(('Hours Per Job'!AX31*'Total Cost for Plan'!$B$36+'Parts Cost Per Job'!AX31*((1+'Total Cost for Plan'!$B$37)*'Total Cost for Plan'!$B$38))*ROUNDDOWN($B$1/'Scheduled Intervals'!AX31,0),2),0)</f>
        <v>0</v>
      </c>
      <c r="AY31" s="246">
        <f>IF('Scheduled Intervals'!AY31&gt;0,ROUND(('Hours Per Job'!AY31*'Total Cost for Plan'!$B$36+'Parts Cost Per Job'!AY31*((1+'Total Cost for Plan'!$B$37)*'Total Cost for Plan'!$B$38))*ROUNDDOWN($B$1/'Scheduled Intervals'!AY31,0),2),0)</f>
        <v>0</v>
      </c>
      <c r="AZ31" s="246">
        <f>IF('Scheduled Intervals'!AZ31&gt;0,ROUND(('Hours Per Job'!AZ31*'Total Cost for Plan'!$B$36+'Parts Cost Per Job'!AZ31*((1+'Total Cost for Plan'!$B$37)*'Total Cost for Plan'!$B$38))*ROUNDDOWN($B$1/'Scheduled Intervals'!AZ31,0),2),0)</f>
        <v>0</v>
      </c>
      <c r="BA31" s="246">
        <f>IF('Scheduled Intervals'!BA31&gt;0,ROUND(('Hours Per Job'!BA31*'Total Cost for Plan'!$B$36+'Parts Cost Per Job'!BA31*((1+'Total Cost for Plan'!$B$37)*'Total Cost for Plan'!$B$38))*ROUNDDOWN($B$1/'Scheduled Intervals'!BA31,0),2),0)</f>
        <v>0</v>
      </c>
      <c r="BB31" s="246">
        <f>IF('Scheduled Intervals'!BB31&gt;0,ROUND(('Hours Per Job'!BB31*'Total Cost for Plan'!$B$36+'Parts Cost Per Job'!BB31*((1+'Total Cost for Plan'!$B$37)*'Total Cost for Plan'!$B$38))*ROUNDDOWN($B$1/'Scheduled Intervals'!BB31,0),2),0)</f>
        <v>0</v>
      </c>
      <c r="BC31" s="246">
        <f>IF('Scheduled Intervals'!BC31&gt;0,ROUND(('Hours Per Job'!BC31*'Total Cost for Plan'!$B$36+'Parts Cost Per Job'!BC31*((1+'Total Cost for Plan'!$B$37)*'Total Cost for Plan'!$B$38))*ROUNDDOWN($B$1/'Scheduled Intervals'!BC31,0),2),0)</f>
        <v>0</v>
      </c>
      <c r="BD31" s="246">
        <f>IF('Scheduled Intervals'!BD31&gt;0,ROUND(('Hours Per Job'!BD31*'Total Cost for Plan'!$B$36+'Parts Cost Per Job'!BD31*((1+'Total Cost for Plan'!$B$37)*'Total Cost for Plan'!$B$38))*ROUNDDOWN($B$1/'Scheduled Intervals'!BD31,0),2),0)</f>
        <v>0</v>
      </c>
      <c r="BE31" s="246">
        <f>IF('Scheduled Intervals'!BE31&gt;0,ROUND(('Hours Per Job'!BE31*'Total Cost for Plan'!$B$36+'Parts Cost Per Job'!BE31*((1+'Total Cost for Plan'!$B$37)*'Total Cost for Plan'!$B$38))*ROUNDDOWN($B$1/'Scheduled Intervals'!BE31,0),2),0)</f>
        <v>0</v>
      </c>
      <c r="BF31" s="246">
        <f>IF('Scheduled Intervals'!BF31&gt;0,ROUND(('Hours Per Job'!BF31*'Total Cost for Plan'!$B$36+'Parts Cost Per Job'!BF31*((1+'Total Cost for Plan'!$B$37)*'Total Cost for Plan'!$B$38))*ROUNDDOWN($B$1/'Scheduled Intervals'!BF31,0),2),0)</f>
        <v>0</v>
      </c>
      <c r="BG31" s="246">
        <f>IF('Scheduled Intervals'!BG31&gt;0,ROUND(('Hours Per Job'!BG31*'Total Cost for Plan'!$B$36+'Parts Cost Per Job'!BG31*((1+'Total Cost for Plan'!$B$37)*'Total Cost for Plan'!$B$38))*ROUNDDOWN($B$1/'Scheduled Intervals'!BG31,0),2),0)</f>
        <v>0</v>
      </c>
      <c r="BH31" s="246">
        <f>IF('Scheduled Intervals'!BH31&gt;0,ROUND(('Hours Per Job'!BH31*'Total Cost for Plan'!$B$36+'Parts Cost Per Job'!BH31*((1+'Total Cost for Plan'!$B$37)*'Total Cost for Plan'!$B$38))*ROUNDDOWN($B$1/'Scheduled Intervals'!BH31,0),2),0)</f>
        <v>0</v>
      </c>
      <c r="BI31" s="246">
        <f>IF('Scheduled Intervals'!BI31&gt;0,ROUND(('Hours Per Job'!BI31*'Total Cost for Plan'!$B$36+'Parts Cost Per Job'!BI31*((1+'Total Cost for Plan'!$B$37)*'Total Cost for Plan'!$B$38))*ROUNDDOWN($B$1/'Scheduled Intervals'!BI31,0),2),0)</f>
        <v>12</v>
      </c>
      <c r="BJ31" s="246">
        <f>IF('Scheduled Intervals'!BJ31&gt;0,ROUND(('Hours Per Job'!BJ31*'Total Cost for Plan'!$B$36+'Parts Cost Per Job'!BJ31*((1+'Total Cost for Plan'!$B$37)*'Total Cost for Plan'!$B$38))*ROUNDDOWN($B$1/'Scheduled Intervals'!BJ31,0),2),0)</f>
        <v>30</v>
      </c>
      <c r="BK31" s="246">
        <f>IF('Scheduled Intervals'!BK31&gt;0,ROUND(('Hours Per Job'!BK31*'Total Cost for Plan'!$B$36+'Parts Cost Per Job'!BK31*((1+'Total Cost for Plan'!$B$37)*'Total Cost for Plan'!$B$38))*ROUNDDOWN($B$1/'Scheduled Intervals'!BK31,0),2),0)</f>
        <v>0</v>
      </c>
      <c r="BL31" s="246">
        <f>IF('Scheduled Intervals'!BL31&gt;0,ROUND(('Hours Per Job'!BL31*'Total Cost for Plan'!$B$36+'Parts Cost Per Job'!BL31*((1+'Total Cost for Plan'!$B$37)*'Total Cost for Plan'!$B$38))*ROUNDDOWN($B$1/'Scheduled Intervals'!BL31,0),2),0)</f>
        <v>0</v>
      </c>
      <c r="BM31" s="246">
        <f>IF('Scheduled Intervals'!BM31&gt;0,ROUND(('Hours Per Job'!BM31*'Total Cost for Plan'!$B$36+'Parts Cost Per Job'!BM31*((1+'Total Cost for Plan'!$B$37)*'Total Cost for Plan'!$B$38))*ROUNDDOWN($B$1/'Scheduled Intervals'!BM31,0),2),0)</f>
        <v>0</v>
      </c>
      <c r="BN31" s="246">
        <f>IF(AND('Scheduled Intervals'!BN$4="annual",'Plan Summary'!$C$5&lt;'Scheduled Intervals'!$U31*('Plan Summary'!$C$9/12)),ROUND(('Hours Per Job'!BN31*'Total Cost for Plan'!$B$36+'Parts Cost Per Job'!BN31*((1+'Total Cost for Plan'!$B$37)*'Total Cost for Plan'!$B$38))*ROUND('Plan Summary'!$C$9/12,0),2),0)</f>
        <v>404.59</v>
      </c>
      <c r="BO31" s="246">
        <f>IF(AND('Scheduled Intervals'!BO$4="annual",'Plan Summary'!$C$5&lt;'Scheduled Intervals'!$U31*('Plan Summary'!$C$9/12)),ROUND(('Hours Per Job'!BO31*'Total Cost for Plan'!$B$36+'Parts Cost Per Job'!BO31*((1+'Total Cost for Plan'!$B$37)*'Total Cost for Plan'!$B$38))*ROUND('Plan Summary'!$C$9/12,0),2),0)</f>
        <v>175.33</v>
      </c>
      <c r="BP31" s="246">
        <f>IF(AND('Scheduled Intervals'!BP$4="annual",'Plan Summary'!$C$5&lt;'Scheduled Intervals'!$U31*('Plan Summary'!$C$9/12)),ROUND(('Hours Per Job'!BP31*'Total Cost for Plan'!$B$36+'Parts Cost Per Job'!BP31*((1+'Total Cost for Plan'!$B$37)*'Total Cost for Plan'!$B$38))*ROUND('Plan Summary'!$C$9/12,0),2),0)</f>
        <v>630</v>
      </c>
      <c r="BQ31" s="246">
        <f t="shared" si="0"/>
        <v>1665.6599999999999</v>
      </c>
      <c r="BR31" s="246"/>
    </row>
    <row r="32" spans="1:70" ht="16" x14ac:dyDescent="0.2">
      <c r="A32" s="133" t="str">
        <f>+'Scheduled Intervals'!A32</f>
        <v>SCL -  Gas</v>
      </c>
      <c r="B32" s="246">
        <f>ROUND(('Hours Per Job'!B32*'Total Cost for Plan'!$B$36+'Parts Cost Per Job'!B32*((1+'Total Cost for Plan'!$B$37)*'Total Cost for Plan'!$B$38)),2)</f>
        <v>64.03</v>
      </c>
      <c r="C32" s="246">
        <f>ROUND(('Hours Per Job'!C32*'Total Cost for Plan'!$B$36+'Parts Cost Per Job'!C32*((1+'Total Cost for Plan'!$B$37)*'Total Cost for Plan'!$B$38)),2)</f>
        <v>0</v>
      </c>
      <c r="D32" s="246">
        <f>ROUND(('Hours Per Job'!D32*'Total Cost for Plan'!$B$36+'Parts Cost Per Job'!D32*((1+'Total Cost for Plan'!$B$37)*'Total Cost for Plan'!$B$38)),2)</f>
        <v>0</v>
      </c>
      <c r="E32" s="246">
        <f>ROUND(('Hours Per Job'!E32*'Total Cost for Plan'!$B$36+'Parts Cost Per Job'!E32*((1+'Total Cost for Plan'!$B$37)*'Total Cost for Plan'!$B$38)),2)</f>
        <v>0</v>
      </c>
      <c r="F32" s="246">
        <f>ROUND(('Hours Per Job'!F32*'Total Cost for Plan'!$B$36+'Parts Cost Per Job'!F32*((1+'Total Cost for Plan'!$B$37)*'Total Cost for Plan'!$B$38)),2)</f>
        <v>0</v>
      </c>
      <c r="G32" s="246">
        <f>ROUND(('Hours Per Job'!G32*'Total Cost for Plan'!$B$36+'Parts Cost Per Job'!G32*((1+'Total Cost for Plan'!$B$37)*'Total Cost for Plan'!$B$38)),2)</f>
        <v>0</v>
      </c>
      <c r="H32" s="246">
        <f>ROUND(('Hours Per Job'!H32*'Total Cost for Plan'!$B$36+'Parts Cost Per Job'!H32*((1+'Total Cost for Plan'!$B$37)*'Total Cost for Plan'!$B$38)),2)</f>
        <v>35.07</v>
      </c>
      <c r="I32" s="246">
        <f>ROUND(('Hours Per Job'!I32*'Total Cost for Plan'!$B$36+'Parts Cost Per Job'!I32*((1+'Total Cost for Plan'!$B$37)*'Total Cost for Plan'!$B$38)),2)</f>
        <v>30</v>
      </c>
      <c r="J32" s="246">
        <f>ROUND(('Hours Per Job'!J32*'Total Cost for Plan'!$B$36+'Parts Cost Per Job'!J32*((1+'Total Cost for Plan'!$B$37)*'Total Cost for Plan'!$B$38)),2)</f>
        <v>0</v>
      </c>
      <c r="K32" s="246">
        <f>ROUND(('Hours Per Job'!K32*'Total Cost for Plan'!$B$36+'Parts Cost Per Job'!K32*((1+'Total Cost for Plan'!$B$37)*'Total Cost for Plan'!$B$38)),2)</f>
        <v>0</v>
      </c>
      <c r="L32" s="246">
        <f>ROUND(('Hours Per Job'!L32*'Total Cost for Plan'!$B$36+'Parts Cost Per Job'!L32*((1+'Total Cost for Plan'!$B$37)*'Total Cost for Plan'!$B$38)),2)</f>
        <v>0</v>
      </c>
      <c r="M32" s="246">
        <f>ROUND(('Hours Per Job'!M32*'Total Cost for Plan'!$B$36+'Parts Cost Per Job'!M32*((1+'Total Cost for Plan'!$B$37)*'Total Cost for Plan'!$B$38)),2)</f>
        <v>0</v>
      </c>
      <c r="N32" s="246">
        <f>ROUND(('Hours Per Job'!N32*'Total Cost for Plan'!$B$36+'Parts Cost Per Job'!N32*((1+'Total Cost for Plan'!$B$37)*'Total Cost for Plan'!$B$38)),2)</f>
        <v>0</v>
      </c>
      <c r="O32" s="246">
        <f>ROUND(('Hours Per Job'!O32*'Total Cost for Plan'!$B$36+'Parts Cost Per Job'!O32*((1+'Total Cost for Plan'!$B$37)*'Total Cost for Plan'!$B$38)),2)</f>
        <v>0</v>
      </c>
      <c r="P32" s="246">
        <f>ROUND(('Hours Per Job'!P32*'Total Cost for Plan'!$B$36+'Parts Cost Per Job'!P32*((1+'Total Cost for Plan'!$B$37)*'Total Cost for Plan'!$B$38)),2)</f>
        <v>0</v>
      </c>
      <c r="Q32" s="246">
        <f>ROUND(('Hours Per Job'!Q32*'Total Cost for Plan'!$B$36+'Parts Cost Per Job'!Q32*((1+'Total Cost for Plan'!$B$37)*'Total Cost for Plan'!$B$38)),2)</f>
        <v>0</v>
      </c>
      <c r="R32" s="246">
        <f>ROUND(('Hours Per Job'!R32*'Total Cost for Plan'!$B$36+'Parts Cost Per Job'!R32*((1+'Total Cost for Plan'!$B$37)*'Total Cost for Plan'!$B$38)),2)</f>
        <v>0</v>
      </c>
      <c r="S32" s="246">
        <f>ROUND(('Hours Per Job'!S32*'Total Cost for Plan'!$B$36+'Parts Cost Per Job'!S32*((1+'Total Cost for Plan'!$B$37)*'Total Cost for Plan'!$B$38)),2)</f>
        <v>143.63999999999999</v>
      </c>
      <c r="T32" s="246">
        <f>ROUND(('Hours Per Job'!T32*'Total Cost for Plan'!$B$36+'Parts Cost Per Job'!T32*((1+'Total Cost for Plan'!$B$37)*'Total Cost for Plan'!$B$38)),2)</f>
        <v>0</v>
      </c>
      <c r="U32" s="246">
        <f>IF('Scheduled Intervals'!U32&gt;0,ROUND(('Hours Per Job'!U32*'Total Cost for Plan'!$B$36+'Parts Cost Per Job'!U32*((1+'Total Cost for Plan'!$B$37)*'Total Cost for Plan'!$B$38))*ROUNDDOWN($B$1/'Scheduled Intervals'!U32,0),2),0)</f>
        <v>192.08</v>
      </c>
      <c r="V32" s="246">
        <f>IF('Scheduled Intervals'!V32&gt;0,ROUND(('Hours Per Job'!V32*'Total Cost for Plan'!$B$36+'Parts Cost Per Job'!V32*((1+'Total Cost for Plan'!$B$37)*'Total Cost for Plan'!$B$38))*ROUNDDOWN($B$1/'Scheduled Intervals'!V32,0),2),0)</f>
        <v>0</v>
      </c>
      <c r="W32" s="246">
        <f>IF('Scheduled Intervals'!W32&gt;0,ROUND(('Hours Per Job'!W32*'Total Cost for Plan'!$B$36+'Parts Cost Per Job'!W32*((1+'Total Cost for Plan'!$B$37)*'Total Cost for Plan'!$B$38))*ROUNDDOWN($B$1/'Scheduled Intervals'!W32,0),2),0)</f>
        <v>0</v>
      </c>
      <c r="X32" s="246">
        <f>IF('Scheduled Intervals'!X32&gt;0,ROUND(('Hours Per Job'!X32*'Total Cost for Plan'!$B$36+'Parts Cost Per Job'!X32*((1+'Total Cost for Plan'!$B$37)*'Total Cost for Plan'!$B$38))*ROUNDDOWN($B$1/'Scheduled Intervals'!X32,0),2),0)</f>
        <v>0</v>
      </c>
      <c r="Y32" s="246">
        <f>IF('Scheduled Intervals'!Y32&gt;0,ROUND(('Hours Per Job'!Y32*'Total Cost for Plan'!$B$36+'Parts Cost Per Job'!Y32*((1+'Total Cost for Plan'!$B$37)*'Total Cost for Plan'!$B$38))*ROUNDDOWN($B$1/'Scheduled Intervals'!Y32,0),2),0)</f>
        <v>0</v>
      </c>
      <c r="Z32" s="246">
        <f>IF('Scheduled Intervals'!Z32&gt;0,ROUND(('Hours Per Job'!Z32*'Total Cost for Plan'!$B$36+'Parts Cost Per Job'!Z32*((1+'Total Cost for Plan'!$B$37)*'Total Cost for Plan'!$B$38))*ROUNDDOWN($B$1/'Scheduled Intervals'!Z32,0),2),0)</f>
        <v>117.43</v>
      </c>
      <c r="AA32" s="246">
        <f>IF('Scheduled Intervals'!AA32&gt;0,ROUND(('Hours Per Job'!AA32*'Total Cost for Plan'!$B$36+'Parts Cost Per Job'!AA32*((1+'Total Cost for Plan'!$B$37)*'Total Cost for Plan'!$B$38))*ROUNDDOWN($B$1/'Scheduled Intervals'!AA32,0),2),0)</f>
        <v>0</v>
      </c>
      <c r="AB32" s="246">
        <f>IF('Scheduled Intervals'!AB32&gt;0,ROUND(('Hours Per Job'!AB32*'Total Cost for Plan'!$B$36+'Parts Cost Per Job'!AB32*((1+'Total Cost for Plan'!$B$37)*'Total Cost for Plan'!$B$38))*ROUNDDOWN($B$1/'Scheduled Intervals'!AB32,0),2),0)</f>
        <v>0</v>
      </c>
      <c r="AC32" s="246">
        <f>IF('Scheduled Intervals'!AC32&gt;0,ROUND(('Hours Per Job'!AC32*'Total Cost for Plan'!$B$36+'Parts Cost Per Job'!AC32*((1+'Total Cost for Plan'!$B$37)*'Total Cost for Plan'!$B$38))*ROUNDDOWN($B$1/'Scheduled Intervals'!AC32,0),2),0)</f>
        <v>0</v>
      </c>
      <c r="AD32" s="246">
        <f>IF('Scheduled Intervals'!AD32&gt;0,ROUND(('Hours Per Job'!AD32*'Total Cost for Plan'!$B$36+'Parts Cost Per Job'!AD32*((1+'Total Cost for Plan'!$B$37)*'Total Cost for Plan'!$B$38))*ROUNDDOWN($B$1/'Scheduled Intervals'!AD32,0),2),0)</f>
        <v>0</v>
      </c>
      <c r="AE32" s="246">
        <f>IF('Scheduled Intervals'!AE32&gt;0,ROUND(('Hours Per Job'!AE32*'Total Cost for Plan'!$B$36+'Parts Cost Per Job'!AE32*((1+'Total Cost for Plan'!$B$37)*'Total Cost for Plan'!$B$38))*ROUNDDOWN($B$1/'Scheduled Intervals'!AE32,0),2),0)</f>
        <v>0</v>
      </c>
      <c r="AF32" s="246">
        <f>IF('Scheduled Intervals'!AF32&gt;0,ROUND(('Hours Per Job'!AF32*'Total Cost for Plan'!$B$36+'Parts Cost Per Job'!AF32*((1+'Total Cost for Plan'!$B$37)*'Total Cost for Plan'!$B$38))*ROUNDDOWN($B$1/'Scheduled Intervals'!AF32,0),2),0)</f>
        <v>0</v>
      </c>
      <c r="AG32" s="246">
        <f>IF('Scheduled Intervals'!AG32&gt;0,ROUND(('Hours Per Job'!AG32*'Total Cost for Plan'!$B$36+'Parts Cost Per Job'!AG32*((1+'Total Cost for Plan'!$B$37)*'Total Cost for Plan'!$B$38))*ROUNDDOWN($B$1/'Scheduled Intervals'!AG32,0),2),0)</f>
        <v>0</v>
      </c>
      <c r="AH32" s="246">
        <f>IF('Scheduled Intervals'!AH32&gt;0,ROUND(('Hours Per Job'!AH32*'Total Cost for Plan'!$B$36+'Parts Cost Per Job'!AH32*((1+'Total Cost for Plan'!$B$37)*'Total Cost for Plan'!$B$38))*ROUNDDOWN($B$1/'Scheduled Intervals'!AH32,0),2),0)</f>
        <v>0</v>
      </c>
      <c r="AI32" s="246">
        <f>IF('Scheduled Intervals'!AI32&gt;0,ROUND(('Hours Per Job'!AI32*'Total Cost for Plan'!$B$36+'Parts Cost Per Job'!AI32*((1+'Total Cost for Plan'!$B$37)*'Total Cost for Plan'!$B$38))*ROUNDDOWN($B$1/'Scheduled Intervals'!AI32,0),2),0)</f>
        <v>0</v>
      </c>
      <c r="AJ32" s="246">
        <f>IF('Scheduled Intervals'!AJ32&gt;0,ROUND(('Hours Per Job'!AJ32*'Total Cost for Plan'!$B$36+'Parts Cost Per Job'!AJ32*((1+'Total Cost for Plan'!$B$37)*'Total Cost for Plan'!$B$38))*ROUNDDOWN($B$1/'Scheduled Intervals'!AJ32,0),2),0)</f>
        <v>0</v>
      </c>
      <c r="AK32" s="246">
        <f>IF('Scheduled Intervals'!AK32&gt;0,ROUND(('Hours Per Job'!AK32*'Total Cost for Plan'!$B$36+'Parts Cost Per Job'!AK32*((1+'Total Cost for Plan'!$B$37)*'Total Cost for Plan'!$B$38))*ROUNDDOWN($B$1/'Scheduled Intervals'!AK32,0),2),0)</f>
        <v>0</v>
      </c>
      <c r="AL32" s="246">
        <f>IF('Scheduled Intervals'!AL32&gt;0,ROUND(('Hours Per Job'!AL32*'Total Cost for Plan'!$B$36+'Parts Cost Per Job'!AL32*((1+'Total Cost for Plan'!$B$37)*'Total Cost for Plan'!$B$38))*ROUNDDOWN($B$1/'Scheduled Intervals'!AL32,0),2),0)</f>
        <v>0</v>
      </c>
      <c r="AM32" s="246">
        <f>IF('Scheduled Intervals'!AM32&gt;0,ROUND(('Hours Per Job'!AM32*'Total Cost for Plan'!$B$36+'Parts Cost Per Job'!AM32*((1+'Total Cost for Plan'!$B$37)*'Total Cost for Plan'!$B$38))*ROUNDDOWN($B$1/'Scheduled Intervals'!AM32,0),2),0)</f>
        <v>0</v>
      </c>
      <c r="AN32" s="246">
        <f>IF('Scheduled Intervals'!AN32&gt;0,ROUND(('Hours Per Job'!AN32*'Total Cost for Plan'!$B$36+'Parts Cost Per Job'!AN32*((1+'Total Cost for Plan'!$B$37)*'Total Cost for Plan'!$B$38))*ROUNDDOWN($B$1/'Scheduled Intervals'!AN32,0),2),0)</f>
        <v>0</v>
      </c>
      <c r="AO32" s="246">
        <f>IF('Scheduled Intervals'!AO32&gt;0,ROUND(('Hours Per Job'!AO32*'Total Cost for Plan'!$B$36+'Parts Cost Per Job'!AO32*((1+'Total Cost for Plan'!$B$37)*'Total Cost for Plan'!$B$38))*ROUNDDOWN($B$1/'Scheduled Intervals'!AO32,0),2),0)</f>
        <v>0</v>
      </c>
      <c r="AP32" s="246">
        <f>IF('Scheduled Intervals'!AP32&gt;0,ROUND(('Hours Per Job'!AP32*'Total Cost for Plan'!$B$36+'Parts Cost Per Job'!AP32*((1+'Total Cost for Plan'!$B$37)*'Total Cost for Plan'!$B$38))*ROUNDDOWN($B$1/'Scheduled Intervals'!AP32,0),2),0)</f>
        <v>0</v>
      </c>
      <c r="AQ32" s="246">
        <f>IF('Scheduled Intervals'!AQ32&gt;0,ROUND(('Hours Per Job'!AQ32*'Total Cost for Plan'!$B$36+'Parts Cost Per Job'!AQ32*((1+'Total Cost for Plan'!$B$37)*'Total Cost for Plan'!$B$38))*ROUNDDOWN($B$1/'Scheduled Intervals'!AQ32,0),2),0)</f>
        <v>0</v>
      </c>
      <c r="AR32" s="246">
        <f>IF('Scheduled Intervals'!AR32&gt;0,ROUND(('Hours Per Job'!AR32*'Total Cost for Plan'!$B$36+'Parts Cost Per Job'!AR32*((1+'Total Cost for Plan'!$B$37)*'Total Cost for Plan'!$B$38))*ROUNDDOWN($B$1/'Scheduled Intervals'!AR32,0),2),0)</f>
        <v>0</v>
      </c>
      <c r="AS32" s="246">
        <f>IF('Scheduled Intervals'!AS32&gt;0,ROUND(('Hours Per Job'!AS32*'Total Cost for Plan'!$B$36+'Parts Cost Per Job'!AS32*((1+'Total Cost for Plan'!$B$37)*'Total Cost for Plan'!$B$38))*ROUNDDOWN($B$1/'Scheduled Intervals'!AS32,0),2),0)</f>
        <v>0</v>
      </c>
      <c r="AT32" s="246">
        <f>IF('Scheduled Intervals'!AT32&gt;0,ROUND(('Hours Per Job'!AT32*'Total Cost for Plan'!$B$36+'Parts Cost Per Job'!AT32*((1+'Total Cost for Plan'!$B$37)*'Total Cost for Plan'!$B$38))*ROUNDDOWN($B$1/'Scheduled Intervals'!AT32,0),2),0)</f>
        <v>105.2</v>
      </c>
      <c r="AU32" s="246">
        <f>IF('Scheduled Intervals'!AU32&gt;0,ROUND(('Hours Per Job'!AU32*'Total Cost for Plan'!$B$36+'Parts Cost Per Job'!AU32*((1+'Total Cost for Plan'!$B$37)*'Total Cost for Plan'!$B$38))*ROUNDDOWN($B$1/'Scheduled Intervals'!AU32,0),2),0)</f>
        <v>0</v>
      </c>
      <c r="AV32" s="246">
        <f>IF('Scheduled Intervals'!AV32&gt;0,ROUND(('Hours Per Job'!AV32*'Total Cost for Plan'!$B$36+'Parts Cost Per Job'!AV32*((1+'Total Cost for Plan'!$B$37)*'Total Cost for Plan'!$B$38))*ROUNDDOWN($B$1/'Scheduled Intervals'!AV32,0),2),0)</f>
        <v>0</v>
      </c>
      <c r="AW32" s="246">
        <f>IF('Scheduled Intervals'!AW32&gt;0,ROUND(('Hours Per Job'!AW32*'Total Cost for Plan'!$B$36+'Parts Cost Per Job'!AW32*((1+'Total Cost for Plan'!$B$37)*'Total Cost for Plan'!$B$38))*ROUNDDOWN($B$1/'Scheduled Intervals'!AW32,0),2),0)</f>
        <v>0</v>
      </c>
      <c r="AX32" s="246">
        <f>IF('Scheduled Intervals'!AX32&gt;0,ROUND(('Hours Per Job'!AX32*'Total Cost for Plan'!$B$36+'Parts Cost Per Job'!AX32*((1+'Total Cost for Plan'!$B$37)*'Total Cost for Plan'!$B$38))*ROUNDDOWN($B$1/'Scheduled Intervals'!AX32,0),2),0)</f>
        <v>0</v>
      </c>
      <c r="AY32" s="246">
        <f>IF('Scheduled Intervals'!AY32&gt;0,ROUND(('Hours Per Job'!AY32*'Total Cost for Plan'!$B$36+'Parts Cost Per Job'!AY32*((1+'Total Cost for Plan'!$B$37)*'Total Cost for Plan'!$B$38))*ROUNDDOWN($B$1/'Scheduled Intervals'!AY32,0),2),0)</f>
        <v>0</v>
      </c>
      <c r="AZ32" s="246">
        <f>IF('Scheduled Intervals'!AZ32&gt;0,ROUND(('Hours Per Job'!AZ32*'Total Cost for Plan'!$B$36+'Parts Cost Per Job'!AZ32*((1+'Total Cost for Plan'!$B$37)*'Total Cost for Plan'!$B$38))*ROUNDDOWN($B$1/'Scheduled Intervals'!AZ32,0),2),0)</f>
        <v>0</v>
      </c>
      <c r="BA32" s="246">
        <f>IF('Scheduled Intervals'!BA32&gt;0,ROUND(('Hours Per Job'!BA32*'Total Cost for Plan'!$B$36+'Parts Cost Per Job'!BA32*((1+'Total Cost for Plan'!$B$37)*'Total Cost for Plan'!$B$38))*ROUNDDOWN($B$1/'Scheduled Intervals'!BA32,0),2),0)</f>
        <v>0</v>
      </c>
      <c r="BB32" s="246">
        <f>IF('Scheduled Intervals'!BB32&gt;0,ROUND(('Hours Per Job'!BB32*'Total Cost for Plan'!$B$36+'Parts Cost Per Job'!BB32*((1+'Total Cost for Plan'!$B$37)*'Total Cost for Plan'!$B$38))*ROUNDDOWN($B$1/'Scheduled Intervals'!BB32,0),2),0)</f>
        <v>154.33000000000001</v>
      </c>
      <c r="BC32" s="246">
        <f>IF('Scheduled Intervals'!BC32&gt;0,ROUND(('Hours Per Job'!BC32*'Total Cost for Plan'!$B$36+'Parts Cost Per Job'!BC32*((1+'Total Cost for Plan'!$B$37)*'Total Cost for Plan'!$B$38))*ROUNDDOWN($B$1/'Scheduled Intervals'!BC32,0),2),0)</f>
        <v>0</v>
      </c>
      <c r="BD32" s="246">
        <f>IF('Scheduled Intervals'!BD32&gt;0,ROUND(('Hours Per Job'!BD32*'Total Cost for Plan'!$B$36+'Parts Cost Per Job'!BD32*((1+'Total Cost for Plan'!$B$37)*'Total Cost for Plan'!$B$38))*ROUNDDOWN($B$1/'Scheduled Intervals'!BD32,0),2),0)</f>
        <v>0</v>
      </c>
      <c r="BE32" s="246">
        <f>IF('Scheduled Intervals'!BE32&gt;0,ROUND(('Hours Per Job'!BE32*'Total Cost for Plan'!$B$36+'Parts Cost Per Job'!BE32*((1+'Total Cost for Plan'!$B$37)*'Total Cost for Plan'!$B$38))*ROUNDDOWN($B$1/'Scheduled Intervals'!BE32,0),2),0)</f>
        <v>0</v>
      </c>
      <c r="BF32" s="246">
        <f>IF('Scheduled Intervals'!BF32&gt;0,ROUND(('Hours Per Job'!BF32*'Total Cost for Plan'!$B$36+'Parts Cost Per Job'!BF32*((1+'Total Cost for Plan'!$B$37)*'Total Cost for Plan'!$B$38))*ROUNDDOWN($B$1/'Scheduled Intervals'!BF32,0),2),0)</f>
        <v>0</v>
      </c>
      <c r="BG32" s="246">
        <f>IF('Scheduled Intervals'!BG32&gt;0,ROUND(('Hours Per Job'!BG32*'Total Cost for Plan'!$B$36+'Parts Cost Per Job'!BG32*((1+'Total Cost for Plan'!$B$37)*'Total Cost for Plan'!$B$38))*ROUNDDOWN($B$1/'Scheduled Intervals'!BG32,0),2),0)</f>
        <v>0</v>
      </c>
      <c r="BH32" s="246">
        <f>IF('Scheduled Intervals'!BH32&gt;0,ROUND(('Hours Per Job'!BH32*'Total Cost for Plan'!$B$36+'Parts Cost Per Job'!BH32*((1+'Total Cost for Plan'!$B$37)*'Total Cost for Plan'!$B$38))*ROUNDDOWN($B$1/'Scheduled Intervals'!BH32,0),2),0)</f>
        <v>202.09</v>
      </c>
      <c r="BI32" s="246">
        <f>IF('Scheduled Intervals'!BI32&gt;0,ROUND(('Hours Per Job'!BI32*'Total Cost for Plan'!$B$36+'Parts Cost Per Job'!BI32*((1+'Total Cost for Plan'!$B$37)*'Total Cost for Plan'!$B$38))*ROUNDDOWN($B$1/'Scheduled Intervals'!BI32,0),2),0)</f>
        <v>36</v>
      </c>
      <c r="BJ32" s="246">
        <f>IF('Scheduled Intervals'!BJ32&gt;0,ROUND(('Hours Per Job'!BJ32*'Total Cost for Plan'!$B$36+'Parts Cost Per Job'!BJ32*((1+'Total Cost for Plan'!$B$37)*'Total Cost for Plan'!$B$38))*ROUNDDOWN($B$1/'Scheduled Intervals'!BJ32,0),2),0)</f>
        <v>90</v>
      </c>
      <c r="BK32" s="246">
        <f>IF('Scheduled Intervals'!BK32&gt;0,ROUND(('Hours Per Job'!BK32*'Total Cost for Plan'!$B$36+'Parts Cost Per Job'!BK32*((1+'Total Cost for Plan'!$B$37)*'Total Cost for Plan'!$B$38))*ROUNDDOWN($B$1/'Scheduled Intervals'!BK32,0),2),0)</f>
        <v>0</v>
      </c>
      <c r="BL32" s="246">
        <f>IF('Scheduled Intervals'!BL32&gt;0,ROUND(('Hours Per Job'!BL32*'Total Cost for Plan'!$B$36+'Parts Cost Per Job'!BL32*((1+'Total Cost for Plan'!$B$37)*'Total Cost for Plan'!$B$38))*ROUNDDOWN($B$1/'Scheduled Intervals'!BL32,0),2),0)</f>
        <v>0</v>
      </c>
      <c r="BM32" s="246">
        <f>IF('Scheduled Intervals'!BM32&gt;0,ROUND(('Hours Per Job'!BM32*'Total Cost for Plan'!$B$36+'Parts Cost Per Job'!BM32*((1+'Total Cost for Plan'!$B$37)*'Total Cost for Plan'!$B$38))*ROUNDDOWN($B$1/'Scheduled Intervals'!BM32,0),2),0)</f>
        <v>0</v>
      </c>
      <c r="BN32" s="246">
        <f>IF(AND('Scheduled Intervals'!BN$4="annual",'Plan Summary'!$C$5&lt;'Scheduled Intervals'!$U32*('Plan Summary'!$C$9/12)),ROUND(('Hours Per Job'!BN32*'Total Cost for Plan'!$B$36+'Parts Cost Per Job'!BN32*((1+'Total Cost for Plan'!$B$37)*'Total Cost for Plan'!$B$38))*ROUND('Plan Summary'!$C$9/12,0),2),0)</f>
        <v>320.14</v>
      </c>
      <c r="BO32" s="246">
        <f>IF(AND('Scheduled Intervals'!BO$4="annual",'Plan Summary'!$C$5&lt;'Scheduled Intervals'!$U32*('Plan Summary'!$C$9/12)),ROUND(('Hours Per Job'!BO32*'Total Cost for Plan'!$B$36+'Parts Cost Per Job'!BO32*((1+'Total Cost for Plan'!$B$37)*'Total Cost for Plan'!$B$38))*ROUND('Plan Summary'!$C$9/12,0),2),0)</f>
        <v>175.33</v>
      </c>
      <c r="BP32" s="246">
        <f>IF(AND('Scheduled Intervals'!BP$4="annual",'Plan Summary'!$C$5&lt;'Scheduled Intervals'!$U32*('Plan Summary'!$C$9/12)),ROUND(('Hours Per Job'!BP32*'Total Cost for Plan'!$B$36+'Parts Cost Per Job'!BP32*((1+'Total Cost for Plan'!$B$37)*'Total Cost for Plan'!$B$38))*ROUND('Plan Summary'!$C$9/12,0),2),0)</f>
        <v>630</v>
      </c>
      <c r="BQ32" s="246">
        <f t="shared" ref="BQ32" si="1">SUM(B32:BP32)</f>
        <v>2295.34</v>
      </c>
      <c r="BR32" s="246"/>
    </row>
    <row r="33" spans="1:70" ht="16" x14ac:dyDescent="0.2">
      <c r="A33" s="18" t="str">
        <f>+'Scheduled Intervals'!A33</f>
        <v>Mini Excavator</v>
      </c>
      <c r="B33" s="246">
        <f>ROUND(('Hours Per Job'!B33*'Total Cost for Plan'!$B$36+'Parts Cost Per Job'!B33*((1+'Total Cost for Plan'!$B$37)*'Total Cost for Plan'!$B$38)),2)</f>
        <v>84.72</v>
      </c>
      <c r="C33" s="246">
        <f>ROUND(('Hours Per Job'!C33*'Total Cost for Plan'!$B$36+'Parts Cost Per Job'!C33*((1+'Total Cost for Plan'!$B$37)*'Total Cost for Plan'!$B$38)),2)</f>
        <v>0</v>
      </c>
      <c r="D33" s="246">
        <f>ROUND(('Hours Per Job'!D33*'Total Cost for Plan'!$B$36+'Parts Cost Per Job'!D33*((1+'Total Cost for Plan'!$B$37)*'Total Cost for Plan'!$B$38)),2)</f>
        <v>0</v>
      </c>
      <c r="E33" s="246">
        <f>ROUND(('Hours Per Job'!E33*'Total Cost for Plan'!$B$36+'Parts Cost Per Job'!E33*((1+'Total Cost for Plan'!$B$37)*'Total Cost for Plan'!$B$38)),2)</f>
        <v>0</v>
      </c>
      <c r="F33" s="246">
        <f>ROUND(('Hours Per Job'!F33*'Total Cost for Plan'!$B$36+'Parts Cost Per Job'!F33*((1+'Total Cost for Plan'!$B$37)*'Total Cost for Plan'!$B$38)),2)</f>
        <v>110.31</v>
      </c>
      <c r="G33" s="246">
        <f>ROUND(('Hours Per Job'!G33*'Total Cost for Plan'!$B$36+'Parts Cost Per Job'!G33*((1+'Total Cost for Plan'!$B$37)*'Total Cost for Plan'!$B$38)),2)</f>
        <v>0</v>
      </c>
      <c r="H33" s="246">
        <f>ROUND(('Hours Per Job'!H33*'Total Cost for Plan'!$B$36+'Parts Cost Per Job'!H33*((1+'Total Cost for Plan'!$B$37)*'Total Cost for Plan'!$B$38)),2)</f>
        <v>35.07</v>
      </c>
      <c r="I33" s="246">
        <f>ROUND(('Hours Per Job'!I33*'Total Cost for Plan'!$B$36+'Parts Cost Per Job'!I33*((1+'Total Cost for Plan'!$B$37)*'Total Cost for Plan'!$B$38)),2)</f>
        <v>30</v>
      </c>
      <c r="J33" s="246">
        <f>ROUND(('Hours Per Job'!J33*'Total Cost for Plan'!$B$36+'Parts Cost Per Job'!J33*((1+'Total Cost for Plan'!$B$37)*'Total Cost for Plan'!$B$38)),2)</f>
        <v>0</v>
      </c>
      <c r="K33" s="246">
        <f>ROUND(('Hours Per Job'!K33*'Total Cost for Plan'!$B$36+'Parts Cost Per Job'!K33*((1+'Total Cost for Plan'!$B$37)*'Total Cost for Plan'!$B$38)),2)</f>
        <v>0</v>
      </c>
      <c r="L33" s="246">
        <f>ROUND(('Hours Per Job'!L33*'Total Cost for Plan'!$B$36+'Parts Cost Per Job'!L33*((1+'Total Cost for Plan'!$B$37)*'Total Cost for Plan'!$B$38)),2)</f>
        <v>0</v>
      </c>
      <c r="M33" s="246">
        <f>ROUND(('Hours Per Job'!M33*'Total Cost for Plan'!$B$36+'Parts Cost Per Job'!M33*((1+'Total Cost for Plan'!$B$37)*'Total Cost for Plan'!$B$38)),2)</f>
        <v>0</v>
      </c>
      <c r="N33" s="246">
        <f>ROUND(('Hours Per Job'!N33*'Total Cost for Plan'!$B$36+'Parts Cost Per Job'!N33*((1+'Total Cost for Plan'!$B$37)*'Total Cost for Plan'!$B$38)),2)</f>
        <v>0</v>
      </c>
      <c r="O33" s="246">
        <f>ROUND(('Hours Per Job'!O33*'Total Cost for Plan'!$B$36+'Parts Cost Per Job'!O33*((1+'Total Cost for Plan'!$B$37)*'Total Cost for Plan'!$B$38)),2)</f>
        <v>0</v>
      </c>
      <c r="P33" s="246">
        <f>ROUND(('Hours Per Job'!P33*'Total Cost for Plan'!$B$36+'Parts Cost Per Job'!P33*((1+'Total Cost for Plan'!$B$37)*'Total Cost for Plan'!$B$38)),2)</f>
        <v>0</v>
      </c>
      <c r="Q33" s="246">
        <f>ROUND(('Hours Per Job'!Q33*'Total Cost for Plan'!$B$36+'Parts Cost Per Job'!Q33*((1+'Total Cost for Plan'!$B$37)*'Total Cost for Plan'!$B$38)),2)</f>
        <v>0</v>
      </c>
      <c r="R33" s="246">
        <f>ROUND(('Hours Per Job'!R33*'Total Cost for Plan'!$B$36+'Parts Cost Per Job'!R33*((1+'Total Cost for Plan'!$B$37)*'Total Cost for Plan'!$B$38)),2)</f>
        <v>0</v>
      </c>
      <c r="S33" s="246">
        <f>ROUND(('Hours Per Job'!S33*'Total Cost for Plan'!$B$36+'Parts Cost Per Job'!S33*((1+'Total Cost for Plan'!$B$37)*'Total Cost for Plan'!$B$38)),2)</f>
        <v>0</v>
      </c>
      <c r="T33" s="246">
        <f>ROUND(('Hours Per Job'!T33*'Total Cost for Plan'!$B$36+'Parts Cost Per Job'!T33*((1+'Total Cost for Plan'!$B$37)*'Total Cost for Plan'!$B$38)),2)</f>
        <v>0</v>
      </c>
      <c r="U33" s="246">
        <f>IF('Scheduled Intervals'!U33&gt;0,ROUND(('Hours Per Job'!U33*'Total Cost for Plan'!$B$36+'Parts Cost Per Job'!U33*((1+'Total Cost for Plan'!$B$37)*'Total Cost for Plan'!$B$38))*ROUNDDOWN($B$1/'Scheduled Intervals'!U33,0),2),0)</f>
        <v>254.16</v>
      </c>
      <c r="V33" s="246">
        <f>IF('Scheduled Intervals'!V33&gt;0,ROUND(('Hours Per Job'!V33*'Total Cost for Plan'!$B$36+'Parts Cost Per Job'!V33*((1+'Total Cost for Plan'!$B$37)*'Total Cost for Plan'!$B$38))*ROUNDDOWN($B$1/'Scheduled Intervals'!V33,0),2),0)</f>
        <v>0</v>
      </c>
      <c r="W33" s="246">
        <f>IF('Scheduled Intervals'!W33&gt;0,ROUND(('Hours Per Job'!W33*'Total Cost for Plan'!$B$36+'Parts Cost Per Job'!W33*((1+'Total Cost for Plan'!$B$37)*'Total Cost for Plan'!$B$38))*ROUNDDOWN($B$1/'Scheduled Intervals'!W33,0),2),0)</f>
        <v>0</v>
      </c>
      <c r="X33" s="246">
        <f>IF('Scheduled Intervals'!X33&gt;0,ROUND(('Hours Per Job'!X33*'Total Cost for Plan'!$B$36+'Parts Cost Per Job'!X33*((1+'Total Cost for Plan'!$B$37)*'Total Cost for Plan'!$B$38))*ROUNDDOWN($B$1/'Scheduled Intervals'!X33,0),2),0)</f>
        <v>0</v>
      </c>
      <c r="Y33" s="246">
        <f>IF('Scheduled Intervals'!Y33&gt;0,ROUND(('Hours Per Job'!Y33*'Total Cost for Plan'!$B$36+'Parts Cost Per Job'!Y33*((1+'Total Cost for Plan'!$B$37)*'Total Cost for Plan'!$B$38))*ROUNDDOWN($B$1/'Scheduled Intervals'!Y33,0),2),0)</f>
        <v>0</v>
      </c>
      <c r="Z33" s="246">
        <f>IF('Scheduled Intervals'!Z33&gt;0,ROUND(('Hours Per Job'!Z33*'Total Cost for Plan'!$B$36+'Parts Cost Per Job'!Z33*((1+'Total Cost for Plan'!$B$37)*'Total Cost for Plan'!$B$38))*ROUNDDOWN($B$1/'Scheduled Intervals'!Z33,0),2),0)</f>
        <v>43.98</v>
      </c>
      <c r="AA33" s="246">
        <f>IF('Scheduled Intervals'!AA33&gt;0,ROUND(('Hours Per Job'!AA33*'Total Cost for Plan'!$B$36+'Parts Cost Per Job'!AA33*((1+'Total Cost for Plan'!$B$37)*'Total Cost for Plan'!$B$38))*ROUNDDOWN($B$1/'Scheduled Intervals'!AA33,0),2),0)</f>
        <v>0</v>
      </c>
      <c r="AB33" s="246">
        <f>IF('Scheduled Intervals'!AB33&gt;0,ROUND(('Hours Per Job'!AB33*'Total Cost for Plan'!$B$36+'Parts Cost Per Job'!AB33*((1+'Total Cost for Plan'!$B$37)*'Total Cost for Plan'!$B$38))*ROUNDDOWN($B$1/'Scheduled Intervals'!AB33,0),2),0)</f>
        <v>0</v>
      </c>
      <c r="AC33" s="246">
        <f>IF('Scheduled Intervals'!AC33&gt;0,ROUND(('Hours Per Job'!AC33*'Total Cost for Plan'!$B$36+'Parts Cost Per Job'!AC33*((1+'Total Cost for Plan'!$B$37)*'Total Cost for Plan'!$B$38))*ROUNDDOWN($B$1/'Scheduled Intervals'!AC33,0),2),0)</f>
        <v>0</v>
      </c>
      <c r="AD33" s="246">
        <f>IF('Scheduled Intervals'!AD33&gt;0,ROUND(('Hours Per Job'!AD33*'Total Cost for Plan'!$B$36+'Parts Cost Per Job'!AD33*((1+'Total Cost for Plan'!$B$37)*'Total Cost for Plan'!$B$38))*ROUNDDOWN($B$1/'Scheduled Intervals'!AD33,0),2),0)</f>
        <v>0</v>
      </c>
      <c r="AE33" s="246">
        <f>IF('Scheduled Intervals'!AE33&gt;0,ROUND(('Hours Per Job'!AE33*'Total Cost for Plan'!$B$36+'Parts Cost Per Job'!AE33*((1+'Total Cost for Plan'!$B$37)*'Total Cost for Plan'!$B$38))*ROUNDDOWN($B$1/'Scheduled Intervals'!AE33,0),2),0)</f>
        <v>0</v>
      </c>
      <c r="AF33" s="246">
        <f>IF('Scheduled Intervals'!AF33&gt;0,ROUND(('Hours Per Job'!AF33*'Total Cost for Plan'!$B$36+'Parts Cost Per Job'!AF33*((1+'Total Cost for Plan'!$B$37)*'Total Cost for Plan'!$B$38))*ROUNDDOWN($B$1/'Scheduled Intervals'!AF33,0),2),0)</f>
        <v>0</v>
      </c>
      <c r="AG33" s="246">
        <f>IF('Scheduled Intervals'!AG33&gt;0,ROUND(('Hours Per Job'!AG33*'Total Cost for Plan'!$B$36+'Parts Cost Per Job'!AG33*((1+'Total Cost for Plan'!$B$37)*'Total Cost for Plan'!$B$38))*ROUNDDOWN($B$1/'Scheduled Intervals'!AG33,0),2),0)</f>
        <v>134.31</v>
      </c>
      <c r="AH33" s="246">
        <f>IF('Scheduled Intervals'!AH33&gt;0,ROUND(('Hours Per Job'!AH33*'Total Cost for Plan'!$B$36+'Parts Cost Per Job'!AH33*((1+'Total Cost for Plan'!$B$37)*'Total Cost for Plan'!$B$38))*ROUNDDOWN($B$1/'Scheduled Intervals'!AH33,0),2),0)</f>
        <v>0</v>
      </c>
      <c r="AI33" s="246">
        <f>IF('Scheduled Intervals'!AI33&gt;0,ROUND(('Hours Per Job'!AI33*'Total Cost for Plan'!$B$36+'Parts Cost Per Job'!AI33*((1+'Total Cost for Plan'!$B$37)*'Total Cost for Plan'!$B$38))*ROUNDDOWN($B$1/'Scheduled Intervals'!AI33,0),2),0)</f>
        <v>0</v>
      </c>
      <c r="AJ33" s="246">
        <f>IF('Scheduled Intervals'!AJ33&gt;0,ROUND(('Hours Per Job'!AJ33*'Total Cost for Plan'!$B$36+'Parts Cost Per Job'!AJ33*((1+'Total Cost for Plan'!$B$37)*'Total Cost for Plan'!$B$38))*ROUNDDOWN($B$1/'Scheduled Intervals'!AJ33,0),2),0)</f>
        <v>0</v>
      </c>
      <c r="AK33" s="246">
        <f>IF('Scheduled Intervals'!AK33&gt;0,ROUND(('Hours Per Job'!AK33*'Total Cost for Plan'!$B$36+'Parts Cost Per Job'!AK33*((1+'Total Cost for Plan'!$B$37)*'Total Cost for Plan'!$B$38))*ROUNDDOWN($B$1/'Scheduled Intervals'!AK33,0),2),0)</f>
        <v>0</v>
      </c>
      <c r="AL33" s="246">
        <f>IF('Scheduled Intervals'!AL33&gt;0,ROUND(('Hours Per Job'!AL33*'Total Cost for Plan'!$B$36+'Parts Cost Per Job'!AL33*((1+'Total Cost for Plan'!$B$37)*'Total Cost for Plan'!$B$38))*ROUNDDOWN($B$1/'Scheduled Intervals'!AL33,0),2),0)</f>
        <v>0</v>
      </c>
      <c r="AM33" s="246">
        <f>IF('Scheduled Intervals'!AM33&gt;0,ROUND(('Hours Per Job'!AM33*'Total Cost for Plan'!$B$36+'Parts Cost Per Job'!AM33*((1+'Total Cost for Plan'!$B$37)*'Total Cost for Plan'!$B$38))*ROUNDDOWN($B$1/'Scheduled Intervals'!AM33,0),2),0)</f>
        <v>0</v>
      </c>
      <c r="AN33" s="246">
        <f>IF('Scheduled Intervals'!AN33&gt;0,ROUND(('Hours Per Job'!AN33*'Total Cost for Plan'!$B$36+'Parts Cost Per Job'!AN33*((1+'Total Cost for Plan'!$B$37)*'Total Cost for Plan'!$B$38))*ROUNDDOWN($B$1/'Scheduled Intervals'!AN33,0),2),0)</f>
        <v>0</v>
      </c>
      <c r="AO33" s="246">
        <f>IF('Scheduled Intervals'!AO33&gt;0,ROUND(('Hours Per Job'!AO33*'Total Cost for Plan'!$B$36+'Parts Cost Per Job'!AO33*((1+'Total Cost for Plan'!$B$37)*'Total Cost for Plan'!$B$38))*ROUNDDOWN($B$1/'Scheduled Intervals'!AO33,0),2),0)</f>
        <v>0</v>
      </c>
      <c r="AP33" s="246">
        <f>IF('Scheduled Intervals'!AP33&gt;0,ROUND(('Hours Per Job'!AP33*'Total Cost for Plan'!$B$36+'Parts Cost Per Job'!AP33*((1+'Total Cost for Plan'!$B$37)*'Total Cost for Plan'!$B$38))*ROUNDDOWN($B$1/'Scheduled Intervals'!AP33,0),2),0)</f>
        <v>0</v>
      </c>
      <c r="AQ33" s="246">
        <f>IF('Scheduled Intervals'!AQ33&gt;0,ROUND(('Hours Per Job'!AQ33*'Total Cost for Plan'!$B$36+'Parts Cost Per Job'!AQ33*((1+'Total Cost for Plan'!$B$37)*'Total Cost for Plan'!$B$38))*ROUNDDOWN($B$1/'Scheduled Intervals'!AQ33,0),2),0)</f>
        <v>0</v>
      </c>
      <c r="AR33" s="246">
        <f>IF('Scheduled Intervals'!AR33&gt;0,ROUND(('Hours Per Job'!AR33*'Total Cost for Plan'!$B$36+'Parts Cost Per Job'!AR33*((1+'Total Cost for Plan'!$B$37)*'Total Cost for Plan'!$B$38))*ROUNDDOWN($B$1/'Scheduled Intervals'!AR33,0),2),0)</f>
        <v>0</v>
      </c>
      <c r="AS33" s="246">
        <f>IF('Scheduled Intervals'!AS33&gt;0,ROUND(('Hours Per Job'!AS33*'Total Cost for Plan'!$B$36+'Parts Cost Per Job'!AS33*((1+'Total Cost for Plan'!$B$37)*'Total Cost for Plan'!$B$38))*ROUNDDOWN($B$1/'Scheduled Intervals'!AS33,0),2),0)</f>
        <v>0</v>
      </c>
      <c r="AT33" s="246">
        <f>IF('Scheduled Intervals'!AT33&gt;0,ROUND(('Hours Per Job'!AT33*'Total Cost for Plan'!$B$36+'Parts Cost Per Job'!AT33*((1+'Total Cost for Plan'!$B$37)*'Total Cost for Plan'!$B$38))*ROUNDDOWN($B$1/'Scheduled Intervals'!AT33,0),2),0)</f>
        <v>105.2</v>
      </c>
      <c r="AU33" s="246">
        <f>IF('Scheduled Intervals'!AU33&gt;0,ROUND(('Hours Per Job'!AU33*'Total Cost for Plan'!$B$36+'Parts Cost Per Job'!AU33*((1+'Total Cost for Plan'!$B$37)*'Total Cost for Plan'!$B$38))*ROUNDDOWN($B$1/'Scheduled Intervals'!AU33,0),2),0)</f>
        <v>0</v>
      </c>
      <c r="AV33" s="246">
        <f>IF('Scheduled Intervals'!AV33&gt;0,ROUND(('Hours Per Job'!AV33*'Total Cost for Plan'!$B$36+'Parts Cost Per Job'!AV33*((1+'Total Cost for Plan'!$B$37)*'Total Cost for Plan'!$B$38))*ROUNDDOWN($B$1/'Scheduled Intervals'!AV33,0),2),0)</f>
        <v>0</v>
      </c>
      <c r="AW33" s="246">
        <f>IF('Scheduled Intervals'!AW33&gt;0,ROUND(('Hours Per Job'!AW33*'Total Cost for Plan'!$B$36+'Parts Cost Per Job'!AW33*((1+'Total Cost for Plan'!$B$37)*'Total Cost for Plan'!$B$38))*ROUNDDOWN($B$1/'Scheduled Intervals'!AW33,0),2),0)</f>
        <v>0</v>
      </c>
      <c r="AX33" s="246">
        <f>IF('Scheduled Intervals'!AX33&gt;0,ROUND(('Hours Per Job'!AX33*'Total Cost for Plan'!$B$36+'Parts Cost Per Job'!AX33*((1+'Total Cost for Plan'!$B$37)*'Total Cost for Plan'!$B$38))*ROUNDDOWN($B$1/'Scheduled Intervals'!AX33,0),2),0)</f>
        <v>0</v>
      </c>
      <c r="AY33" s="246">
        <f>IF('Scheduled Intervals'!AY33&gt;0,ROUND(('Hours Per Job'!AY33*'Total Cost for Plan'!$B$36+'Parts Cost Per Job'!AY33*((1+'Total Cost for Plan'!$B$37)*'Total Cost for Plan'!$B$38))*ROUNDDOWN($B$1/'Scheduled Intervals'!AY33,0),2),0)</f>
        <v>0</v>
      </c>
      <c r="AZ33" s="246">
        <f>IF('Scheduled Intervals'!AZ33&gt;0,ROUND(('Hours Per Job'!AZ33*'Total Cost for Plan'!$B$36+'Parts Cost Per Job'!AZ33*((1+'Total Cost for Plan'!$B$37)*'Total Cost for Plan'!$B$38))*ROUNDDOWN($B$1/'Scheduled Intervals'!AZ33,0),2),0)</f>
        <v>0</v>
      </c>
      <c r="BA33" s="246">
        <f>IF('Scheduled Intervals'!BA33&gt;0,ROUND(('Hours Per Job'!BA33*'Total Cost for Plan'!$B$36+'Parts Cost Per Job'!BA33*((1+'Total Cost for Plan'!$B$37)*'Total Cost for Plan'!$B$38))*ROUNDDOWN($B$1/'Scheduled Intervals'!BA33,0),2),0)</f>
        <v>0</v>
      </c>
      <c r="BB33" s="246">
        <f>IF('Scheduled Intervals'!BB33&gt;0,ROUND(('Hours Per Job'!BB33*'Total Cost for Plan'!$B$36+'Parts Cost Per Job'!BB33*((1+'Total Cost for Plan'!$B$37)*'Total Cost for Plan'!$B$38))*ROUNDDOWN($B$1/'Scheduled Intervals'!BB33,0),2),0)</f>
        <v>45.31</v>
      </c>
      <c r="BC33" s="246">
        <f>IF('Scheduled Intervals'!BC33&gt;0,ROUND(('Hours Per Job'!BC33*'Total Cost for Plan'!$B$36+'Parts Cost Per Job'!BC33*((1+'Total Cost for Plan'!$B$37)*'Total Cost for Plan'!$B$38))*ROUNDDOWN($B$1/'Scheduled Intervals'!BC33,0),2),0)</f>
        <v>50.95</v>
      </c>
      <c r="BD33" s="246">
        <f>IF('Scheduled Intervals'!BD33&gt;0,ROUND(('Hours Per Job'!BD33*'Total Cost for Plan'!$B$36+'Parts Cost Per Job'!BD33*((1+'Total Cost for Plan'!$B$37)*'Total Cost for Plan'!$B$38))*ROUNDDOWN($B$1/'Scheduled Intervals'!BD33,0),2),0)</f>
        <v>0</v>
      </c>
      <c r="BE33" s="246">
        <f>IF('Scheduled Intervals'!BE33&gt;0,ROUND(('Hours Per Job'!BE33*'Total Cost for Plan'!$B$36+'Parts Cost Per Job'!BE33*((1+'Total Cost for Plan'!$B$37)*'Total Cost for Plan'!$B$38))*ROUNDDOWN($B$1/'Scheduled Intervals'!BE33,0),2),0)</f>
        <v>0</v>
      </c>
      <c r="BF33" s="246">
        <f>IF('Scheduled Intervals'!BF33&gt;0,ROUND(('Hours Per Job'!BF33*'Total Cost for Plan'!$B$36+'Parts Cost Per Job'!BF33*((1+'Total Cost for Plan'!$B$37)*'Total Cost for Plan'!$B$38))*ROUNDDOWN($B$1/'Scheduled Intervals'!BF33,0),2),0)</f>
        <v>0</v>
      </c>
      <c r="BG33" s="246">
        <f>IF('Scheduled Intervals'!BG33&gt;0,ROUND(('Hours Per Job'!BG33*'Total Cost for Plan'!$B$36+'Parts Cost Per Job'!BG33*((1+'Total Cost for Plan'!$B$37)*'Total Cost for Plan'!$B$38))*ROUNDDOWN($B$1/'Scheduled Intervals'!BG33,0),2),0)</f>
        <v>0</v>
      </c>
      <c r="BH33" s="246">
        <f>IF('Scheduled Intervals'!BH33&gt;0,ROUND(('Hours Per Job'!BH33*'Total Cost for Plan'!$B$36+'Parts Cost Per Job'!BH33*((1+'Total Cost for Plan'!$B$37)*'Total Cost for Plan'!$B$38))*ROUNDDOWN($B$1/'Scheduled Intervals'!BH33,0),2),0)</f>
        <v>0</v>
      </c>
      <c r="BI33" s="246">
        <f>IF('Scheduled Intervals'!BI33&gt;0,ROUND(('Hours Per Job'!BI33*'Total Cost for Plan'!$B$36+'Parts Cost Per Job'!BI33*((1+'Total Cost for Plan'!$B$37)*'Total Cost for Plan'!$B$38))*ROUNDDOWN($B$1/'Scheduled Intervals'!BI33,0),2),0)</f>
        <v>0</v>
      </c>
      <c r="BJ33" s="246">
        <f>IF('Scheduled Intervals'!BJ33&gt;0,ROUND(('Hours Per Job'!BJ33*'Total Cost for Plan'!$B$36+'Parts Cost Per Job'!BJ33*((1+'Total Cost for Plan'!$B$37)*'Total Cost for Plan'!$B$38))*ROUNDDOWN($B$1/'Scheduled Intervals'!BJ33,0),2),0)</f>
        <v>90</v>
      </c>
      <c r="BK33" s="246">
        <f>IF('Scheduled Intervals'!BK33&gt;0,ROUND(('Hours Per Job'!BK33*'Total Cost for Plan'!$B$36+'Parts Cost Per Job'!BK33*((1+'Total Cost for Plan'!$B$37)*'Total Cost for Plan'!$B$38))*ROUNDDOWN($B$1/'Scheduled Intervals'!BK33,0),2),0)</f>
        <v>0</v>
      </c>
      <c r="BL33" s="246">
        <f>IF('Scheduled Intervals'!BL33&gt;0,ROUND(('Hours Per Job'!BL33*'Total Cost for Plan'!$B$36+'Parts Cost Per Job'!BL33*((1+'Total Cost for Plan'!$B$37)*'Total Cost for Plan'!$B$38))*ROUNDDOWN($B$1/'Scheduled Intervals'!BL33,0),2),0)</f>
        <v>0</v>
      </c>
      <c r="BM33" s="246">
        <f>IF('Scheduled Intervals'!BM33&gt;0,ROUND(('Hours Per Job'!BM33*'Total Cost for Plan'!$B$36+'Parts Cost Per Job'!BM33*((1+'Total Cost for Plan'!$B$37)*'Total Cost for Plan'!$B$38))*ROUNDDOWN($B$1/'Scheduled Intervals'!BM33,0),2),0)</f>
        <v>0</v>
      </c>
      <c r="BN33" s="246">
        <f>IF(AND('Scheduled Intervals'!BN$4="annual",'Plan Summary'!$C$5&lt;'Scheduled Intervals'!$U33*('Plan Summary'!$C$9/12)),ROUND(('Hours Per Job'!BN33*'Total Cost for Plan'!$B$36+'Parts Cost Per Job'!BN33*((1+'Total Cost for Plan'!$B$37)*'Total Cost for Plan'!$B$38))*ROUND('Plan Summary'!$C$9/12,0),2),0)</f>
        <v>423.6</v>
      </c>
      <c r="BO33" s="246">
        <f>IF(AND('Scheduled Intervals'!BO$4="annual",'Plan Summary'!$C$5&lt;'Scheduled Intervals'!$U33*('Plan Summary'!$C$9/12)),ROUND(('Hours Per Job'!BO33*'Total Cost for Plan'!$B$36+'Parts Cost Per Job'!BO33*((1+'Total Cost for Plan'!$B$37)*'Total Cost for Plan'!$B$38))*ROUND('Plan Summary'!$C$9/12,0),2),0)</f>
        <v>175.33</v>
      </c>
      <c r="BP33" s="246">
        <f>IF(AND('Scheduled Intervals'!BP$4="annual",'Plan Summary'!$C$5&lt;'Scheduled Intervals'!$U33*('Plan Summary'!$C$9/12)),ROUND(('Hours Per Job'!BP33*'Total Cost for Plan'!$B$36+'Parts Cost Per Job'!BP33*((1+'Total Cost for Plan'!$B$37)*'Total Cost for Plan'!$B$38))*ROUND('Plan Summary'!$C$9/12,0),2),0)</f>
        <v>630</v>
      </c>
      <c r="BQ33" s="246">
        <f t="shared" si="0"/>
        <v>2212.94</v>
      </c>
      <c r="BR33" s="246"/>
    </row>
    <row r="34" spans="1:70" ht="16" x14ac:dyDescent="0.2">
      <c r="A34" s="18" t="str">
        <f>+'Scheduled Intervals'!A34</f>
        <v>Sub Compact BX</v>
      </c>
      <c r="B34" s="246">
        <f>ROUND(('Hours Per Job'!B34*'Total Cost for Plan'!$B$36+'Parts Cost Per Job'!B34*((1+'Total Cost for Plan'!$B$37)*'Total Cost for Plan'!$B$38)),2)</f>
        <v>114.93</v>
      </c>
      <c r="C34" s="246">
        <f>ROUND(('Hours Per Job'!C34*'Total Cost for Plan'!$B$36+'Parts Cost Per Job'!C34*((1+'Total Cost for Plan'!$B$37)*'Total Cost for Plan'!$B$38)),2)</f>
        <v>0</v>
      </c>
      <c r="D34" s="246">
        <f>ROUND(('Hours Per Job'!D34*'Total Cost for Plan'!$B$36+'Parts Cost Per Job'!D34*((1+'Total Cost for Plan'!$B$37)*'Total Cost for Plan'!$B$38)),2)</f>
        <v>0</v>
      </c>
      <c r="E34" s="246">
        <f>ROUND(('Hours Per Job'!E34*'Total Cost for Plan'!$B$36+'Parts Cost Per Job'!E34*((1+'Total Cost for Plan'!$B$37)*'Total Cost for Plan'!$B$38)),2)</f>
        <v>0</v>
      </c>
      <c r="F34" s="246">
        <f>ROUND(('Hours Per Job'!F34*'Total Cost for Plan'!$B$36+'Parts Cost Per Job'!F34*((1+'Total Cost for Plan'!$B$37)*'Total Cost for Plan'!$B$38)),2)</f>
        <v>0</v>
      </c>
      <c r="G34" s="246">
        <f>ROUND(('Hours Per Job'!G34*'Total Cost for Plan'!$B$36+'Parts Cost Per Job'!G34*((1+'Total Cost for Plan'!$B$37)*'Total Cost for Plan'!$B$38)),2)</f>
        <v>0</v>
      </c>
      <c r="H34" s="246">
        <f>ROUND(('Hours Per Job'!H34*'Total Cost for Plan'!$B$36+'Parts Cost Per Job'!H34*((1+'Total Cost for Plan'!$B$37)*'Total Cost for Plan'!$B$38)),2)</f>
        <v>35.07</v>
      </c>
      <c r="I34" s="246">
        <f>ROUND(('Hours Per Job'!I34*'Total Cost for Plan'!$B$36+'Parts Cost Per Job'!I34*((1+'Total Cost for Plan'!$B$37)*'Total Cost for Plan'!$B$38)),2)</f>
        <v>30</v>
      </c>
      <c r="J34" s="246">
        <f>ROUND(('Hours Per Job'!J34*'Total Cost for Plan'!$B$36+'Parts Cost Per Job'!J34*((1+'Total Cost for Plan'!$B$37)*'Total Cost for Plan'!$B$38)),2)</f>
        <v>0</v>
      </c>
      <c r="K34" s="246">
        <f>ROUND(('Hours Per Job'!K34*'Total Cost for Plan'!$B$36+'Parts Cost Per Job'!K34*((1+'Total Cost for Plan'!$B$37)*'Total Cost for Plan'!$B$38)),2)</f>
        <v>0</v>
      </c>
      <c r="L34" s="246">
        <f>ROUND(('Hours Per Job'!L34*'Total Cost for Plan'!$B$36+'Parts Cost Per Job'!L34*((1+'Total Cost for Plan'!$B$37)*'Total Cost for Plan'!$B$38)),2)</f>
        <v>0</v>
      </c>
      <c r="M34" s="246">
        <f>ROUND(('Hours Per Job'!M34*'Total Cost for Plan'!$B$36+'Parts Cost Per Job'!M34*((1+'Total Cost for Plan'!$B$37)*'Total Cost for Plan'!$B$38)),2)</f>
        <v>0</v>
      </c>
      <c r="N34" s="246">
        <f>ROUND(('Hours Per Job'!N34*'Total Cost for Plan'!$B$36+'Parts Cost Per Job'!N34*((1+'Total Cost for Plan'!$B$37)*'Total Cost for Plan'!$B$38)),2)</f>
        <v>0</v>
      </c>
      <c r="O34" s="246">
        <f>ROUND(('Hours Per Job'!O34*'Total Cost for Plan'!$B$36+'Parts Cost Per Job'!O34*((1+'Total Cost for Plan'!$B$37)*'Total Cost for Plan'!$B$38)),2)</f>
        <v>0</v>
      </c>
      <c r="P34" s="246">
        <f>ROUND(('Hours Per Job'!P34*'Total Cost for Plan'!$B$36+'Parts Cost Per Job'!P34*((1+'Total Cost for Plan'!$B$37)*'Total Cost for Plan'!$B$38)),2)</f>
        <v>0</v>
      </c>
      <c r="Q34" s="246">
        <f>ROUND(('Hours Per Job'!Q34*'Total Cost for Plan'!$B$36+'Parts Cost Per Job'!Q34*((1+'Total Cost for Plan'!$B$37)*'Total Cost for Plan'!$B$38)),2)</f>
        <v>0</v>
      </c>
      <c r="R34" s="246">
        <f>ROUND(('Hours Per Job'!R34*'Total Cost for Plan'!$B$36+'Parts Cost Per Job'!R34*((1+'Total Cost for Plan'!$B$37)*'Total Cost for Plan'!$B$38)),2)</f>
        <v>0</v>
      </c>
      <c r="S34" s="246">
        <f>ROUND(('Hours Per Job'!S34*'Total Cost for Plan'!$B$36+'Parts Cost Per Job'!S34*((1+'Total Cost for Plan'!$B$37)*'Total Cost for Plan'!$B$38)),2)</f>
        <v>0</v>
      </c>
      <c r="T34" s="246">
        <f>ROUND(('Hours Per Job'!T34*'Total Cost for Plan'!$B$36+'Parts Cost Per Job'!T34*((1+'Total Cost for Plan'!$B$37)*'Total Cost for Plan'!$B$38)),2)</f>
        <v>0</v>
      </c>
      <c r="U34" s="246">
        <f>IF('Scheduled Intervals'!U34&gt;0,ROUND(('Hours Per Job'!U34*'Total Cost for Plan'!$B$36+'Parts Cost Per Job'!U34*((1+'Total Cost for Plan'!$B$37)*'Total Cost for Plan'!$B$38))*ROUNDDOWN($B$1/'Scheduled Intervals'!U34,0),2),0)</f>
        <v>0</v>
      </c>
      <c r="V34" s="246">
        <f>IF('Scheduled Intervals'!V34&gt;0,ROUND(('Hours Per Job'!V34*'Total Cost for Plan'!$B$36+'Parts Cost Per Job'!V34*((1+'Total Cost for Plan'!$B$37)*'Total Cost for Plan'!$B$38))*ROUNDDOWN($B$1/'Scheduled Intervals'!V34,0),2),0)</f>
        <v>0</v>
      </c>
      <c r="W34" s="246">
        <f>IF('Scheduled Intervals'!W34&gt;0,ROUND(('Hours Per Job'!W34*'Total Cost for Plan'!$B$36+'Parts Cost Per Job'!W34*((1+'Total Cost for Plan'!$B$37)*'Total Cost for Plan'!$B$38))*ROUNDDOWN($B$1/'Scheduled Intervals'!W34,0),2),0)</f>
        <v>0</v>
      </c>
      <c r="X34" s="246">
        <f>IF('Scheduled Intervals'!X34&gt;0,ROUND(('Hours Per Job'!X34*'Total Cost for Plan'!$B$36+'Parts Cost Per Job'!X34*((1+'Total Cost for Plan'!$B$37)*'Total Cost for Plan'!$B$38))*ROUNDDOWN($B$1/'Scheduled Intervals'!X34,0),2),0)</f>
        <v>0</v>
      </c>
      <c r="Y34" s="246">
        <f>IF('Scheduled Intervals'!Y34&gt;0,ROUND(('Hours Per Job'!Y34*'Total Cost for Plan'!$B$36+'Parts Cost Per Job'!Y34*((1+'Total Cost for Plan'!$B$37)*'Total Cost for Plan'!$B$38))*ROUNDDOWN($B$1/'Scheduled Intervals'!Y34,0),2),0)</f>
        <v>0</v>
      </c>
      <c r="Z34" s="246">
        <f>IF('Scheduled Intervals'!Z34&gt;0,ROUND(('Hours Per Job'!Z34*'Total Cost for Plan'!$B$36+'Parts Cost Per Job'!Z34*((1+'Total Cost for Plan'!$B$37)*'Total Cost for Plan'!$B$38))*ROUNDDOWN($B$1/'Scheduled Intervals'!Z34,0),2),0)</f>
        <v>0</v>
      </c>
      <c r="AA34" s="246">
        <f>IF('Scheduled Intervals'!AA34&gt;0,ROUND(('Hours Per Job'!AA34*'Total Cost for Plan'!$B$36+'Parts Cost Per Job'!AA34*((1+'Total Cost for Plan'!$B$37)*'Total Cost for Plan'!$B$38))*ROUNDDOWN($B$1/'Scheduled Intervals'!AA34,0),2),0)</f>
        <v>0</v>
      </c>
      <c r="AB34" s="246">
        <f>IF('Scheduled Intervals'!AB34&gt;0,ROUND(('Hours Per Job'!AB34*'Total Cost for Plan'!$B$36+'Parts Cost Per Job'!AB34*((1+'Total Cost for Plan'!$B$37)*'Total Cost for Plan'!$B$38))*ROUNDDOWN($B$1/'Scheduled Intervals'!AB34,0),2),0)</f>
        <v>0</v>
      </c>
      <c r="AC34" s="246">
        <f>IF('Scheduled Intervals'!AC34&gt;0,ROUND(('Hours Per Job'!AC34*'Total Cost for Plan'!$B$36+'Parts Cost Per Job'!AC34*((1+'Total Cost for Plan'!$B$37)*'Total Cost for Plan'!$B$38))*ROUNDDOWN($B$1/'Scheduled Intervals'!AC34,0),2),0)</f>
        <v>90.51</v>
      </c>
      <c r="AD34" s="246">
        <f>IF('Scheduled Intervals'!AD34&gt;0,ROUND(('Hours Per Job'!AD34*'Total Cost for Plan'!$B$36+'Parts Cost Per Job'!AD34*((1+'Total Cost for Plan'!$B$37)*'Total Cost for Plan'!$B$38))*ROUNDDOWN($B$1/'Scheduled Intervals'!AD34,0),2),0)</f>
        <v>0</v>
      </c>
      <c r="AE34" s="246">
        <f>IF('Scheduled Intervals'!AE34&gt;0,ROUND(('Hours Per Job'!AE34*'Total Cost for Plan'!$B$36+'Parts Cost Per Job'!AE34*((1+'Total Cost for Plan'!$B$37)*'Total Cost for Plan'!$B$38))*ROUNDDOWN($B$1/'Scheduled Intervals'!AE34,0),2),0)</f>
        <v>0</v>
      </c>
      <c r="AF34" s="246">
        <f>IF('Scheduled Intervals'!AF34&gt;0,ROUND(('Hours Per Job'!AF34*'Total Cost for Plan'!$B$36+'Parts Cost Per Job'!AF34*((1+'Total Cost for Plan'!$B$37)*'Total Cost for Plan'!$B$38))*ROUNDDOWN($B$1/'Scheduled Intervals'!AF34,0),2),0)</f>
        <v>0</v>
      </c>
      <c r="AG34" s="246">
        <f>IF('Scheduled Intervals'!AG34&gt;0,ROUND(('Hours Per Job'!AG34*'Total Cost for Plan'!$B$36+'Parts Cost Per Job'!AG34*((1+'Total Cost for Plan'!$B$37)*'Total Cost for Plan'!$B$38))*ROUNDDOWN($B$1/'Scheduled Intervals'!AG34,0),2),0)</f>
        <v>0</v>
      </c>
      <c r="AH34" s="246">
        <f>IF('Scheduled Intervals'!AH34&gt;0,ROUND(('Hours Per Job'!AH34*'Total Cost for Plan'!$B$36+'Parts Cost Per Job'!AH34*((1+'Total Cost for Plan'!$B$37)*'Total Cost for Plan'!$B$38))*ROUNDDOWN($B$1/'Scheduled Intervals'!AH34,0),2),0)</f>
        <v>0</v>
      </c>
      <c r="AI34" s="246">
        <f>IF('Scheduled Intervals'!AI34&gt;0,ROUND(('Hours Per Job'!AI34*'Total Cost for Plan'!$B$36+'Parts Cost Per Job'!AI34*((1+'Total Cost for Plan'!$B$37)*'Total Cost for Plan'!$B$38))*ROUNDDOWN($B$1/'Scheduled Intervals'!AI34,0),2),0)</f>
        <v>0</v>
      </c>
      <c r="AJ34" s="246">
        <f>IF('Scheduled Intervals'!AJ34&gt;0,ROUND(('Hours Per Job'!AJ34*'Total Cost for Plan'!$B$36+'Parts Cost Per Job'!AJ34*((1+'Total Cost for Plan'!$B$37)*'Total Cost for Plan'!$B$38))*ROUNDDOWN($B$1/'Scheduled Intervals'!AJ34,0),2),0)</f>
        <v>0</v>
      </c>
      <c r="AK34" s="246">
        <f>IF('Scheduled Intervals'!AK34&gt;0,ROUND(('Hours Per Job'!AK34*'Total Cost for Plan'!$B$36+'Parts Cost Per Job'!AK34*((1+'Total Cost for Plan'!$B$37)*'Total Cost for Plan'!$B$38))*ROUNDDOWN($B$1/'Scheduled Intervals'!AK34,0),2),0)</f>
        <v>0</v>
      </c>
      <c r="AL34" s="246">
        <f>IF('Scheduled Intervals'!AL34&gt;0,ROUND(('Hours Per Job'!AL34*'Total Cost for Plan'!$B$36+'Parts Cost Per Job'!AL34*((1+'Total Cost for Plan'!$B$37)*'Total Cost for Plan'!$B$38))*ROUNDDOWN($B$1/'Scheduled Intervals'!AL34,0),2),0)</f>
        <v>0</v>
      </c>
      <c r="AM34" s="246">
        <f>IF('Scheduled Intervals'!AM34&gt;0,ROUND(('Hours Per Job'!AM34*'Total Cost for Plan'!$B$36+'Parts Cost Per Job'!AM34*((1+'Total Cost for Plan'!$B$37)*'Total Cost for Plan'!$B$38))*ROUNDDOWN($B$1/'Scheduled Intervals'!AM34,0),2),0)</f>
        <v>0</v>
      </c>
      <c r="AN34" s="246">
        <f>IF('Scheduled Intervals'!AN34&gt;0,ROUND(('Hours Per Job'!AN34*'Total Cost for Plan'!$B$36+'Parts Cost Per Job'!AN34*((1+'Total Cost for Plan'!$B$37)*'Total Cost for Plan'!$B$38))*ROUNDDOWN($B$1/'Scheduled Intervals'!AN34,0),2),0)</f>
        <v>0</v>
      </c>
      <c r="AO34" s="246">
        <f>IF('Scheduled Intervals'!AO34&gt;0,ROUND(('Hours Per Job'!AO34*'Total Cost for Plan'!$B$36+'Parts Cost Per Job'!AO34*((1+'Total Cost for Plan'!$B$37)*'Total Cost for Plan'!$B$38))*ROUNDDOWN($B$1/'Scheduled Intervals'!AO34,0),2),0)</f>
        <v>0</v>
      </c>
      <c r="AP34" s="246">
        <f>IF('Scheduled Intervals'!AP34&gt;0,ROUND(('Hours Per Job'!AP34*'Total Cost for Plan'!$B$36+'Parts Cost Per Job'!AP34*((1+'Total Cost for Plan'!$B$37)*'Total Cost for Plan'!$B$38))*ROUNDDOWN($B$1/'Scheduled Intervals'!AP34,0),2),0)</f>
        <v>0</v>
      </c>
      <c r="AQ34" s="246">
        <f>IF('Scheduled Intervals'!AQ34&gt;0,ROUND(('Hours Per Job'!AQ34*'Total Cost for Plan'!$B$36+'Parts Cost Per Job'!AQ34*((1+'Total Cost for Plan'!$B$37)*'Total Cost for Plan'!$B$38))*ROUNDDOWN($B$1/'Scheduled Intervals'!AQ34,0),2),0)</f>
        <v>0</v>
      </c>
      <c r="AR34" s="246">
        <f>IF('Scheduled Intervals'!AR34&gt;0,ROUND(('Hours Per Job'!AR34*'Total Cost for Plan'!$B$36+'Parts Cost Per Job'!AR34*((1+'Total Cost for Plan'!$B$37)*'Total Cost for Plan'!$B$38))*ROUNDDOWN($B$1/'Scheduled Intervals'!AR34,0),2),0)</f>
        <v>0</v>
      </c>
      <c r="AS34" s="246">
        <f>IF('Scheduled Intervals'!AS34&gt;0,ROUND(('Hours Per Job'!AS34*'Total Cost for Plan'!$B$36+'Parts Cost Per Job'!AS34*((1+'Total Cost for Plan'!$B$37)*'Total Cost for Plan'!$B$38))*ROUNDDOWN($B$1/'Scheduled Intervals'!AS34,0),2),0)</f>
        <v>0</v>
      </c>
      <c r="AT34" s="246">
        <f>IF('Scheduled Intervals'!AT34&gt;0,ROUND(('Hours Per Job'!AT34*'Total Cost for Plan'!$B$36+'Parts Cost Per Job'!AT34*((1+'Total Cost for Plan'!$B$37)*'Total Cost for Plan'!$B$38))*ROUNDDOWN($B$1/'Scheduled Intervals'!AT34,0),2),0)</f>
        <v>0</v>
      </c>
      <c r="AU34" s="246">
        <f>IF('Scheduled Intervals'!AU34&gt;0,ROUND(('Hours Per Job'!AU34*'Total Cost for Plan'!$B$36+'Parts Cost Per Job'!AU34*((1+'Total Cost for Plan'!$B$37)*'Total Cost for Plan'!$B$38))*ROUNDDOWN($B$1/'Scheduled Intervals'!AU34,0),2),0)</f>
        <v>0</v>
      </c>
      <c r="AV34" s="246">
        <f>IF('Scheduled Intervals'!AV34&gt;0,ROUND(('Hours Per Job'!AV34*'Total Cost for Plan'!$B$36+'Parts Cost Per Job'!AV34*((1+'Total Cost for Plan'!$B$37)*'Total Cost for Plan'!$B$38))*ROUNDDOWN($B$1/'Scheduled Intervals'!AV34,0),2),0)</f>
        <v>0</v>
      </c>
      <c r="AW34" s="246">
        <f>IF('Scheduled Intervals'!AW34&gt;0,ROUND(('Hours Per Job'!AW34*'Total Cost for Plan'!$B$36+'Parts Cost Per Job'!AW34*((1+'Total Cost for Plan'!$B$37)*'Total Cost for Plan'!$B$38))*ROUNDDOWN($B$1/'Scheduled Intervals'!AW34,0),2),0)</f>
        <v>0</v>
      </c>
      <c r="AX34" s="246">
        <f>IF('Scheduled Intervals'!AX34&gt;0,ROUND(('Hours Per Job'!AX34*'Total Cost for Plan'!$B$36+'Parts Cost Per Job'!AX34*((1+'Total Cost for Plan'!$B$37)*'Total Cost for Plan'!$B$38))*ROUNDDOWN($B$1/'Scheduled Intervals'!AX34,0),2),0)</f>
        <v>0</v>
      </c>
      <c r="AY34" s="246">
        <f>IF('Scheduled Intervals'!AY34&gt;0,ROUND(('Hours Per Job'!AY34*'Total Cost for Plan'!$B$36+'Parts Cost Per Job'!AY34*((1+'Total Cost for Plan'!$B$37)*'Total Cost for Plan'!$B$38))*ROUNDDOWN($B$1/'Scheduled Intervals'!AY34,0),2),0)</f>
        <v>0</v>
      </c>
      <c r="AZ34" s="246">
        <f>IF('Scheduled Intervals'!AZ34&gt;0,ROUND(('Hours Per Job'!AZ34*'Total Cost for Plan'!$B$36+'Parts Cost Per Job'!AZ34*((1+'Total Cost for Plan'!$B$37)*'Total Cost for Plan'!$B$38))*ROUNDDOWN($B$1/'Scheduled Intervals'!AZ34,0),2),0)</f>
        <v>0</v>
      </c>
      <c r="BA34" s="246">
        <f>IF('Scheduled Intervals'!BA34&gt;0,ROUND(('Hours Per Job'!BA34*'Total Cost for Plan'!$B$36+'Parts Cost Per Job'!BA34*((1+'Total Cost for Plan'!$B$37)*'Total Cost for Plan'!$B$38))*ROUNDDOWN($B$1/'Scheduled Intervals'!BA34,0),2),0)</f>
        <v>0</v>
      </c>
      <c r="BB34" s="246">
        <f>IF('Scheduled Intervals'!BB34&gt;0,ROUND(('Hours Per Job'!BB34*'Total Cost for Plan'!$B$36+'Parts Cost Per Job'!BB34*((1+'Total Cost for Plan'!$B$37)*'Total Cost for Plan'!$B$38))*ROUNDDOWN($B$1/'Scheduled Intervals'!BB34,0),2),0)</f>
        <v>0</v>
      </c>
      <c r="BC34" s="246">
        <f>IF('Scheduled Intervals'!BC34&gt;0,ROUND(('Hours Per Job'!BC34*'Total Cost for Plan'!$B$36+'Parts Cost Per Job'!BC34*((1+'Total Cost for Plan'!$B$37)*'Total Cost for Plan'!$B$38))*ROUNDDOWN($B$1/'Scheduled Intervals'!BC34,0),2),0)</f>
        <v>0</v>
      </c>
      <c r="BD34" s="246">
        <f>IF('Scheduled Intervals'!BD34&gt;0,ROUND(('Hours Per Job'!BD34*'Total Cost for Plan'!$B$36+'Parts Cost Per Job'!BD34*((1+'Total Cost for Plan'!$B$37)*'Total Cost for Plan'!$B$38))*ROUNDDOWN($B$1/'Scheduled Intervals'!BD34,0),2),0)</f>
        <v>0</v>
      </c>
      <c r="BE34" s="246">
        <f>IF('Scheduled Intervals'!BE34&gt;0,ROUND(('Hours Per Job'!BE34*'Total Cost for Plan'!$B$36+'Parts Cost Per Job'!BE34*((1+'Total Cost for Plan'!$B$37)*'Total Cost for Plan'!$B$38))*ROUNDDOWN($B$1/'Scheduled Intervals'!BE34,0),2),0)</f>
        <v>0</v>
      </c>
      <c r="BF34" s="246">
        <f>IF('Scheduled Intervals'!BF34&gt;0,ROUND(('Hours Per Job'!BF34*'Total Cost for Plan'!$B$36+'Parts Cost Per Job'!BF34*((1+'Total Cost for Plan'!$B$37)*'Total Cost for Plan'!$B$38))*ROUNDDOWN($B$1/'Scheduled Intervals'!BF34,0),2),0)</f>
        <v>0</v>
      </c>
      <c r="BG34" s="246">
        <f>IF('Scheduled Intervals'!BG34&gt;0,ROUND(('Hours Per Job'!BG34*'Total Cost for Plan'!$B$36+'Parts Cost Per Job'!BG34*((1+'Total Cost for Plan'!$B$37)*'Total Cost for Plan'!$B$38))*ROUNDDOWN($B$1/'Scheduled Intervals'!BG34,0),2),0)</f>
        <v>0</v>
      </c>
      <c r="BH34" s="246">
        <f>IF('Scheduled Intervals'!BH34&gt;0,ROUND(('Hours Per Job'!BH34*'Total Cost for Plan'!$B$36+'Parts Cost Per Job'!BH34*((1+'Total Cost for Plan'!$B$37)*'Total Cost for Plan'!$B$38))*ROUNDDOWN($B$1/'Scheduled Intervals'!BH34,0),2),0)</f>
        <v>0</v>
      </c>
      <c r="BI34" s="246">
        <f>IF('Scheduled Intervals'!BI34&gt;0,ROUND(('Hours Per Job'!BI34*'Total Cost for Plan'!$B$36+'Parts Cost Per Job'!BI34*((1+'Total Cost for Plan'!$B$37)*'Total Cost for Plan'!$B$38))*ROUNDDOWN($B$1/'Scheduled Intervals'!BI34,0),2),0)</f>
        <v>0</v>
      </c>
      <c r="BJ34" s="246">
        <f>IF('Scheduled Intervals'!BJ34&gt;0,ROUND(('Hours Per Job'!BJ34*'Total Cost for Plan'!$B$36+'Parts Cost Per Job'!BJ34*((1+'Total Cost for Plan'!$B$37)*'Total Cost for Plan'!$B$38))*ROUNDDOWN($B$1/'Scheduled Intervals'!BJ34,0),2),0)</f>
        <v>0</v>
      </c>
      <c r="BK34" s="246">
        <f>IF('Scheduled Intervals'!BK34&gt;0,ROUND(('Hours Per Job'!BK34*'Total Cost for Plan'!$B$36+'Parts Cost Per Job'!BK34*((1+'Total Cost for Plan'!$B$37)*'Total Cost for Plan'!$B$38))*ROUNDDOWN($B$1/'Scheduled Intervals'!BK34,0),2),0)</f>
        <v>0</v>
      </c>
      <c r="BL34" s="246">
        <f>IF('Scheduled Intervals'!BL34&gt;0,ROUND(('Hours Per Job'!BL34*'Total Cost for Plan'!$B$36+'Parts Cost Per Job'!BL34*((1+'Total Cost for Plan'!$B$37)*'Total Cost for Plan'!$B$38))*ROUNDDOWN($B$1/'Scheduled Intervals'!BL34,0),2),0)</f>
        <v>0</v>
      </c>
      <c r="BM34" s="246">
        <f>IF('Scheduled Intervals'!BM34&gt;0,ROUND(('Hours Per Job'!BM34*'Total Cost for Plan'!$B$36+'Parts Cost Per Job'!BM34*((1+'Total Cost for Plan'!$B$37)*'Total Cost for Plan'!$B$38))*ROUNDDOWN($B$1/'Scheduled Intervals'!BM34,0),2),0)</f>
        <v>0</v>
      </c>
      <c r="BN34" s="246">
        <f>IF(AND('Scheduled Intervals'!BN$4="annual",'Plan Summary'!$C$5&lt;'Scheduled Intervals'!$U34*('Plan Summary'!$C$9/12)),ROUND(('Hours Per Job'!BN34*'Total Cost for Plan'!$B$36+'Parts Cost Per Job'!BN34*((1+'Total Cost for Plan'!$B$37)*'Total Cost for Plan'!$B$38))*ROUND('Plan Summary'!$C$9/12,0),2),0)</f>
        <v>574.66</v>
      </c>
      <c r="BO34" s="246">
        <f>IF(AND('Scheduled Intervals'!BO$4="annual",'Plan Summary'!$C$5&lt;'Scheduled Intervals'!$U34*('Plan Summary'!$C$9/12)),ROUND(('Hours Per Job'!BO34*'Total Cost for Plan'!$B$36+'Parts Cost Per Job'!BO34*((1+'Total Cost for Plan'!$B$37)*'Total Cost for Plan'!$B$38))*ROUND('Plan Summary'!$C$9/12,0),2),0)</f>
        <v>175.33</v>
      </c>
      <c r="BP34" s="246">
        <f>IF(AND('Scheduled Intervals'!BP$4="annual",'Plan Summary'!$C$5&lt;'Scheduled Intervals'!$U34*('Plan Summary'!$C$9/12)),ROUND(('Hours Per Job'!BP34*'Total Cost for Plan'!$B$36+'Parts Cost Per Job'!BP34*((1+'Total Cost for Plan'!$B$37)*'Total Cost for Plan'!$B$38))*ROUND('Plan Summary'!$C$9/12,0),2),0)</f>
        <v>630</v>
      </c>
      <c r="BQ34" s="246">
        <f t="shared" si="0"/>
        <v>1650.5</v>
      </c>
      <c r="BR34" s="246"/>
    </row>
    <row r="35" spans="1:70" ht="16" x14ac:dyDescent="0.2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R35" s="246"/>
    </row>
    <row r="36" spans="1:70" ht="16" x14ac:dyDescent="0.2">
      <c r="A36" s="133" t="s">
        <v>8</v>
      </c>
      <c r="B36" s="9">
        <f>+'Plan Summary'!$I$9</f>
        <v>120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R36" s="246"/>
    </row>
    <row r="37" spans="1:70" ht="16" x14ac:dyDescent="0.2">
      <c r="A37" s="133" t="s">
        <v>106</v>
      </c>
      <c r="B37" s="247">
        <f>+'Plan Set Up'!$E$3</f>
        <v>0.4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R37" s="246"/>
    </row>
    <row r="38" spans="1:70" ht="16" x14ac:dyDescent="0.2">
      <c r="A38" s="133" t="s">
        <v>107</v>
      </c>
      <c r="B38" s="133">
        <f>+'Plan Set Up'!$E$4</f>
        <v>1.04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R38" s="246"/>
    </row>
    <row r="39" spans="1:70" ht="16" x14ac:dyDescent="0.2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R39" s="246"/>
    </row>
    <row r="40" spans="1:70" ht="16" x14ac:dyDescent="0.2">
      <c r="A40" s="133" t="s">
        <v>110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R40" s="246"/>
    </row>
    <row r="41" spans="1:70" ht="16" x14ac:dyDescent="0.2">
      <c r="A41" s="18" t="str">
        <f>+'Scheduled Intervals'!A4</f>
        <v>RTV</v>
      </c>
      <c r="B41" s="246">
        <f>ROUND(('Hours Per Job'!B4*$B$36),2)</f>
        <v>48</v>
      </c>
      <c r="C41" s="246">
        <f>ROUND(('Hours Per Job'!C4*$B$36),2)</f>
        <v>0</v>
      </c>
      <c r="D41" s="246">
        <f>ROUND(('Hours Per Job'!D4*$B$36),2)</f>
        <v>0</v>
      </c>
      <c r="E41" s="246">
        <f>ROUND(('Hours Per Job'!E4*$B$36),2)</f>
        <v>0</v>
      </c>
      <c r="F41" s="246">
        <f>ROUND(('Hours Per Job'!F4*$B$36),2)</f>
        <v>96</v>
      </c>
      <c r="G41" s="246">
        <f>ROUND(('Hours Per Job'!G4*$B$36),2)</f>
        <v>0</v>
      </c>
      <c r="H41" s="246">
        <f>ROUND(('Hours Per Job'!H4*$B$36),2)</f>
        <v>12</v>
      </c>
      <c r="I41" s="246">
        <f>ROUND(('Hours Per Job'!I4*$B$36),2)</f>
        <v>30</v>
      </c>
      <c r="J41" s="246">
        <f>ROUND(('Hours Per Job'!J4*$B$36),2)</f>
        <v>0</v>
      </c>
      <c r="K41" s="246">
        <f>ROUND(('Hours Per Job'!K4*$B$36),2)</f>
        <v>0</v>
      </c>
      <c r="L41" s="246">
        <f>ROUND(('Hours Per Job'!L4*$B$36),2)</f>
        <v>0</v>
      </c>
      <c r="M41" s="246">
        <f>ROUND(('Hours Per Job'!M4*$B$36),2)</f>
        <v>0</v>
      </c>
      <c r="N41" s="246">
        <f>ROUND(('Hours Per Job'!N4*$B$36),2)</f>
        <v>0</v>
      </c>
      <c r="O41" s="246">
        <f>ROUND(('Hours Per Job'!O4*$B$36),2)</f>
        <v>0</v>
      </c>
      <c r="P41" s="246">
        <f>ROUND(('Hours Per Job'!P4*$B$36),2)</f>
        <v>12</v>
      </c>
      <c r="Q41" s="246">
        <f>ROUND(('Hours Per Job'!Q4*$B$36),2)</f>
        <v>0</v>
      </c>
      <c r="R41" s="246">
        <f>ROUND(('Hours Per Job'!R4*$B$36),2)</f>
        <v>0</v>
      </c>
      <c r="S41" s="246">
        <f>ROUND(('Hours Per Job'!S4*$B$36),2)</f>
        <v>0</v>
      </c>
      <c r="T41" s="246">
        <f>ROUND(('Hours Per Job'!T4*$B$36),2)</f>
        <v>0</v>
      </c>
      <c r="U41" s="246">
        <f>IF('Scheduled Intervals'!U4&gt;0,ROUND('Hours Per Job'!U4*'Total Cost for Plan'!$B$36*ROUNDDOWN($B$1/'Scheduled Intervals'!U4,0),2),0)</f>
        <v>48</v>
      </c>
      <c r="V41" s="246">
        <f>IF('Scheduled Intervals'!V4&gt;0,ROUND('Hours Per Job'!V4*'Total Cost for Plan'!$B$36*ROUNDDOWN($B$1/'Scheduled Intervals'!V4,0),2),0)</f>
        <v>0</v>
      </c>
      <c r="W41" s="246">
        <f>IF('Scheduled Intervals'!W4&gt;0,ROUND('Hours Per Job'!W4*'Total Cost for Plan'!$B$36*ROUNDDOWN($B$1/'Scheduled Intervals'!W4,0),2),0)</f>
        <v>0</v>
      </c>
      <c r="X41" s="246">
        <f>IF('Scheduled Intervals'!X4&gt;0,ROUND('Hours Per Job'!X4*'Total Cost for Plan'!$B$36*ROUNDDOWN($B$1/'Scheduled Intervals'!X4,0),2),0)</f>
        <v>0</v>
      </c>
      <c r="Y41" s="246">
        <f>IF('Scheduled Intervals'!Y4&gt;0,ROUND('Hours Per Job'!Y4*'Total Cost for Plan'!$B$36*ROUNDDOWN($B$1/'Scheduled Intervals'!Y4,0),2),0)</f>
        <v>12</v>
      </c>
      <c r="Z41" s="246">
        <f>IF('Scheduled Intervals'!Z4&gt;0,ROUND('Hours Per Job'!Z4*'Total Cost for Plan'!$B$36*ROUNDDOWN($B$1/'Scheduled Intervals'!Z4,0),2),0)</f>
        <v>0</v>
      </c>
      <c r="AA41" s="246">
        <f>IF('Scheduled Intervals'!AA4&gt;0,ROUND('Hours Per Job'!AA4*'Total Cost for Plan'!$B$36*ROUNDDOWN($B$1/'Scheduled Intervals'!AA4,0),2),0)</f>
        <v>0</v>
      </c>
      <c r="AB41" s="246">
        <f>IF('Scheduled Intervals'!AB4&gt;0,ROUND('Hours Per Job'!AB4*'Total Cost for Plan'!$B$36*ROUNDDOWN($B$1/'Scheduled Intervals'!AB4,0),2),0)</f>
        <v>0</v>
      </c>
      <c r="AC41" s="246">
        <f>IF('Scheduled Intervals'!AC4&gt;0,ROUND('Hours Per Job'!AC4*'Total Cost for Plan'!$B$36*ROUNDDOWN($B$1/'Scheduled Intervals'!AC4,0),2),0)</f>
        <v>24</v>
      </c>
      <c r="AD41" s="246">
        <f>IF('Scheduled Intervals'!AD4&gt;0,ROUND('Hours Per Job'!AD4*'Total Cost for Plan'!$B$36*ROUNDDOWN($B$1/'Scheduled Intervals'!AD4,0),2),0)</f>
        <v>0</v>
      </c>
      <c r="AE41" s="246">
        <f>IF('Scheduled Intervals'!AE4&gt;0,ROUND('Hours Per Job'!AE4*'Total Cost for Plan'!$B$36*ROUNDDOWN($B$1/'Scheduled Intervals'!AE4,0),2),0)</f>
        <v>24</v>
      </c>
      <c r="AF41" s="246">
        <f>IF('Scheduled Intervals'!AF4&gt;0,ROUND('Hours Per Job'!AF4*'Total Cost for Plan'!$B$36*ROUNDDOWN($B$1/'Scheduled Intervals'!AF4,0),2),0)</f>
        <v>0</v>
      </c>
      <c r="AG41" s="246">
        <f>IF('Scheduled Intervals'!AG4&gt;0,ROUND('Hours Per Job'!AG4*'Total Cost for Plan'!$B$36*ROUNDDOWN($B$1/'Scheduled Intervals'!AG4,0),2),0)</f>
        <v>0</v>
      </c>
      <c r="AH41" s="246">
        <f>IF('Scheduled Intervals'!AH4&gt;0,ROUND('Hours Per Job'!AH4*'Total Cost for Plan'!$B$36*ROUNDDOWN($B$1/'Scheduled Intervals'!AH4,0),2),0)</f>
        <v>0</v>
      </c>
      <c r="AI41" s="246">
        <f>IF('Scheduled Intervals'!AI4&gt;0,ROUND('Hours Per Job'!AI4*'Total Cost for Plan'!$B$36*ROUNDDOWN($B$1/'Scheduled Intervals'!AI4,0),2),0)</f>
        <v>108</v>
      </c>
      <c r="AJ41" s="246">
        <f>IF('Scheduled Intervals'!AJ4&gt;0,ROUND('Hours Per Job'!AJ4*'Total Cost for Plan'!$B$36*ROUNDDOWN($B$1/'Scheduled Intervals'!AJ4,0),2),0)</f>
        <v>0</v>
      </c>
      <c r="AK41" s="246">
        <f>IF('Scheduled Intervals'!AK4&gt;0,ROUND('Hours Per Job'!AK4*'Total Cost for Plan'!$B$36*ROUNDDOWN($B$1/'Scheduled Intervals'!AK4,0),2),0)</f>
        <v>0</v>
      </c>
      <c r="AL41" s="246">
        <f>IF('Scheduled Intervals'!AL4&gt;0,ROUND('Hours Per Job'!AL4*'Total Cost for Plan'!$B$36*ROUNDDOWN($B$1/'Scheduled Intervals'!AL4,0),2),0)</f>
        <v>0</v>
      </c>
      <c r="AM41" s="246">
        <f>IF('Scheduled Intervals'!AM4&gt;0,ROUND('Hours Per Job'!AM4*'Total Cost for Plan'!$B$36*ROUNDDOWN($B$1/'Scheduled Intervals'!AM4,0),2),0)</f>
        <v>0</v>
      </c>
      <c r="AN41" s="246">
        <f>IF('Scheduled Intervals'!AN4&gt;0,ROUND('Hours Per Job'!AN4*'Total Cost for Plan'!$B$36*ROUNDDOWN($B$1/'Scheduled Intervals'!AN4,0),2),0)</f>
        <v>0</v>
      </c>
      <c r="AO41" s="246">
        <f>IF('Scheduled Intervals'!AO4&gt;0,ROUND('Hours Per Job'!AO4*'Total Cost for Plan'!$B$36*ROUNDDOWN($B$1/'Scheduled Intervals'!AO4,0),2),0)</f>
        <v>0</v>
      </c>
      <c r="AP41" s="246">
        <f>IF('Scheduled Intervals'!AP4&gt;0,ROUND('Hours Per Job'!AP4*'Total Cost for Plan'!$B$36*ROUNDDOWN($B$1/'Scheduled Intervals'!AP4,0),2),0)</f>
        <v>0</v>
      </c>
      <c r="AQ41" s="246">
        <f>IF('Scheduled Intervals'!AQ4&gt;0,ROUND('Hours Per Job'!AQ4*'Total Cost for Plan'!$B$36*ROUNDDOWN($B$1/'Scheduled Intervals'!AQ4,0),2),0)</f>
        <v>0</v>
      </c>
      <c r="AR41" s="246">
        <f>IF('Scheduled Intervals'!AR4&gt;0,ROUND('Hours Per Job'!AR4*'Total Cost for Plan'!$B$36*ROUNDDOWN($B$1/'Scheduled Intervals'!AR4,0),2),0)</f>
        <v>0</v>
      </c>
      <c r="AS41" s="246">
        <f>IF('Scheduled Intervals'!AS4&gt;0,ROUND('Hours Per Job'!AS4*'Total Cost for Plan'!$B$36*ROUNDDOWN($B$1/'Scheduled Intervals'!AS4,0),2),0)</f>
        <v>0</v>
      </c>
      <c r="AT41" s="246">
        <f>IF('Scheduled Intervals'!AT4&gt;0,ROUND('Hours Per Job'!AT4*'Total Cost for Plan'!$B$36*ROUNDDOWN($B$1/'Scheduled Intervals'!AT4,0),2),0)</f>
        <v>12</v>
      </c>
      <c r="AU41" s="246">
        <f>IF('Scheduled Intervals'!AU4&gt;0,ROUND('Hours Per Job'!AU4*'Total Cost for Plan'!$B$36*ROUNDDOWN($B$1/'Scheduled Intervals'!AU4,0),2),0)</f>
        <v>0</v>
      </c>
      <c r="AV41" s="246">
        <f>IF('Scheduled Intervals'!AV4&gt;0,ROUND('Hours Per Job'!AV4*'Total Cost for Plan'!$B$36*ROUNDDOWN($B$1/'Scheduled Intervals'!AV4,0),2),0)</f>
        <v>0</v>
      </c>
      <c r="AW41" s="246">
        <f>IF('Scheduled Intervals'!AW4&gt;0,ROUND('Hours Per Job'!AW4*'Total Cost for Plan'!$B$36*ROUNDDOWN($B$1/'Scheduled Intervals'!AW4,0),2),0)</f>
        <v>0</v>
      </c>
      <c r="AX41" s="246">
        <f>IF('Scheduled Intervals'!AX4&gt;0,ROUND('Hours Per Job'!AX4*'Total Cost for Plan'!$B$36*ROUNDDOWN($B$1/'Scheduled Intervals'!AX4,0),2),0)</f>
        <v>0</v>
      </c>
      <c r="AY41" s="246">
        <f>IF('Scheduled Intervals'!AY4&gt;0,ROUND('Hours Per Job'!AY4*'Total Cost for Plan'!$B$36*ROUNDDOWN($B$1/'Scheduled Intervals'!AY4,0),2),0)</f>
        <v>0</v>
      </c>
      <c r="AZ41" s="246">
        <f>IF('Scheduled Intervals'!AZ4&gt;0,ROUND('Hours Per Job'!AZ4*'Total Cost for Plan'!$B$36*ROUNDDOWN($B$1/'Scheduled Intervals'!AZ4,0),2),0)</f>
        <v>0</v>
      </c>
      <c r="BA41" s="246">
        <f>IF('Scheduled Intervals'!BA4&gt;0,ROUND('Hours Per Job'!BA4*'Total Cost for Plan'!$B$36*ROUNDDOWN($B$1/'Scheduled Intervals'!BA4,0),2),0)</f>
        <v>0</v>
      </c>
      <c r="BB41" s="246">
        <f>IF('Scheduled Intervals'!BB4&gt;0,ROUND('Hours Per Job'!BB4*'Total Cost for Plan'!$B$36*ROUNDDOWN($B$1/'Scheduled Intervals'!BB4,0),2),0)</f>
        <v>0</v>
      </c>
      <c r="BC41" s="246">
        <f>IF('Scheduled Intervals'!BC4&gt;0,ROUND('Hours Per Job'!BC4*'Total Cost for Plan'!$B$36*ROUNDDOWN($B$1/'Scheduled Intervals'!BC4,0),2),0)</f>
        <v>0</v>
      </c>
      <c r="BD41" s="246">
        <f>IF('Scheduled Intervals'!BD4&gt;0,ROUND('Hours Per Job'!BD4*'Total Cost for Plan'!$B$36*ROUNDDOWN($B$1/'Scheduled Intervals'!BD4,0),2),0)</f>
        <v>0</v>
      </c>
      <c r="BE41" s="246">
        <f>IF('Scheduled Intervals'!BE4&gt;0,ROUND('Hours Per Job'!BE4*'Total Cost for Plan'!$B$36*ROUNDDOWN($B$1/'Scheduled Intervals'!BE4,0),2),0)</f>
        <v>0</v>
      </c>
      <c r="BF41" s="246">
        <f>IF('Scheduled Intervals'!BF4&gt;0,ROUND('Hours Per Job'!BF4*'Total Cost for Plan'!$B$36*ROUNDDOWN($B$1/'Scheduled Intervals'!BF4,0),2),0)</f>
        <v>0</v>
      </c>
      <c r="BG41" s="246">
        <f>IF('Scheduled Intervals'!BG4&gt;0,ROUND('Hours Per Job'!BG4*'Total Cost for Plan'!$B$36*ROUNDDOWN($B$1/'Scheduled Intervals'!BG4,0),2),0)</f>
        <v>0</v>
      </c>
      <c r="BH41" s="246">
        <f>IF('Scheduled Intervals'!BH4&gt;0,ROUND('Hours Per Job'!BH4*'Total Cost for Plan'!$B$36*ROUNDDOWN($B$1/'Scheduled Intervals'!BH4,0),2),0)</f>
        <v>0</v>
      </c>
      <c r="BI41" s="246">
        <f>IF('Scheduled Intervals'!BI4&gt;0,ROUND('Hours Per Job'!BI4*'Total Cost for Plan'!$B$36*ROUNDDOWN($B$1/'Scheduled Intervals'!BI4,0),2),0)</f>
        <v>0</v>
      </c>
      <c r="BJ41" s="246">
        <f>IF('Scheduled Intervals'!BJ4&gt;0,ROUND('Hours Per Job'!BJ4*'Total Cost for Plan'!$B$36*ROUNDDOWN($B$1/'Scheduled Intervals'!BJ4,0),2),0)</f>
        <v>30</v>
      </c>
      <c r="BK41" s="246">
        <f>IF('Scheduled Intervals'!BK4&gt;0,ROUND('Hours Per Job'!BK4*'Total Cost for Plan'!$B$36*ROUNDDOWN($B$1/'Scheduled Intervals'!BK4,0),2),0)</f>
        <v>0</v>
      </c>
      <c r="BL41" s="246">
        <f>IF('Scheduled Intervals'!BL4&gt;0,ROUND('Hours Per Job'!BL4*'Total Cost for Plan'!$B$36*ROUNDDOWN($B$1/'Scheduled Intervals'!BL4,0),2),0)</f>
        <v>0</v>
      </c>
      <c r="BM41" s="246">
        <f>IF('Scheduled Intervals'!BM4&gt;0,ROUND('Hours Per Job'!BM4*'Total Cost for Plan'!$B$36*ROUNDDOWN($B$1/'Scheduled Intervals'!BM4,0),2),0)</f>
        <v>0</v>
      </c>
      <c r="BN41" s="246">
        <f>IF(AND('Scheduled Intervals'!BN$4="annual",'Plan Summary'!$C$5&lt;'Scheduled Intervals'!$U4*('Plan Summary'!$C$9/12)),ROUND('Hours Per Job'!BN4*'Total Cost for Plan'!$B$36*ROUND('Plan Summary'!$C$9/12,0),2),0)</f>
        <v>240</v>
      </c>
      <c r="BO41" s="246">
        <f>IF(AND('Scheduled Intervals'!BO$4="annual",'Plan Summary'!$C$5&lt;'Scheduled Intervals'!$U4*('Plan Summary'!$C$9/12)),ROUND('Hours Per Job'!BO4*'Total Cost for Plan'!$B$36*ROUND('Plan Summary'!$C$9/12,0),2),0)</f>
        <v>60</v>
      </c>
      <c r="BP41" s="246">
        <f>IF(AND('Scheduled Intervals'!BP$4="annual",'Plan Summary'!$C$5&lt;'Scheduled Intervals'!$U4*('Plan Summary'!$C$9/12)),ROUND('Hours Per Job'!BP4*'Total Cost for Plan'!$B$36*ROUND('Plan Summary'!$C$9/12,0),2),0)</f>
        <v>630</v>
      </c>
      <c r="BQ41" s="246">
        <f t="shared" ref="BQ41:BQ70" si="2">SUM(B41:BP41)</f>
        <v>1386</v>
      </c>
      <c r="BR41" s="246"/>
    </row>
    <row r="42" spans="1:70" ht="16" x14ac:dyDescent="0.2">
      <c r="A42" s="18" t="str">
        <f>+'Scheduled Intervals'!A5</f>
        <v>Zero Turn Gas</v>
      </c>
      <c r="B42" s="246">
        <f>ROUND(('Hours Per Job'!B5*$B$36),2)</f>
        <v>36</v>
      </c>
      <c r="C42" s="246">
        <f>ROUND(('Hours Per Job'!C5*$B$36),2)</f>
        <v>0</v>
      </c>
      <c r="D42" s="246">
        <f>ROUND(('Hours Per Job'!D5*$B$36),2)</f>
        <v>0</v>
      </c>
      <c r="E42" s="246">
        <f>ROUND(('Hours Per Job'!E5*$B$36),2)</f>
        <v>0</v>
      </c>
      <c r="F42" s="246">
        <f>ROUND(('Hours Per Job'!F5*$B$36),2)</f>
        <v>0</v>
      </c>
      <c r="G42" s="246">
        <f>ROUND(('Hours Per Job'!G5*$B$36),2)</f>
        <v>0</v>
      </c>
      <c r="H42" s="246">
        <f>ROUND(('Hours Per Job'!H5*$B$36),2)</f>
        <v>24</v>
      </c>
      <c r="I42" s="246">
        <f>ROUND(('Hours Per Job'!I5*$B$36),2)</f>
        <v>30</v>
      </c>
      <c r="J42" s="246">
        <f>ROUND(('Hours Per Job'!J5*$B$36),2)</f>
        <v>0</v>
      </c>
      <c r="K42" s="246">
        <f>ROUND(('Hours Per Job'!K5*$B$36),2)</f>
        <v>0</v>
      </c>
      <c r="L42" s="246">
        <f>ROUND(('Hours Per Job'!L5*$B$36),2)</f>
        <v>0</v>
      </c>
      <c r="M42" s="246">
        <f>ROUND(('Hours Per Job'!M5*$B$36),2)</f>
        <v>0</v>
      </c>
      <c r="N42" s="246">
        <f>ROUND(('Hours Per Job'!N5*$B$36),2)</f>
        <v>0</v>
      </c>
      <c r="O42" s="246">
        <f>ROUND(('Hours Per Job'!O5*$B$36),2)</f>
        <v>0</v>
      </c>
      <c r="P42" s="246">
        <f>ROUND(('Hours Per Job'!P5*$B$36),2)</f>
        <v>0</v>
      </c>
      <c r="Q42" s="246">
        <f>ROUND(('Hours Per Job'!Q5*$B$36),2)</f>
        <v>0</v>
      </c>
      <c r="R42" s="246">
        <f>ROUND(('Hours Per Job'!R5*$B$36),2)</f>
        <v>0</v>
      </c>
      <c r="S42" s="246">
        <f>ROUND(('Hours Per Job'!S5*$B$36),2)</f>
        <v>108</v>
      </c>
      <c r="T42" s="246">
        <f>ROUND(('Hours Per Job'!T5*$B$36),2)</f>
        <v>0</v>
      </c>
      <c r="U42" s="246">
        <f>IF('Scheduled Intervals'!U5&gt;0,ROUND('Hours Per Job'!U5*'Total Cost for Plan'!$B$36*ROUNDDOWN($B$1/'Scheduled Intervals'!U5,0),2),0)</f>
        <v>108</v>
      </c>
      <c r="V42" s="246">
        <f>IF('Scheduled Intervals'!V5&gt;0,ROUND('Hours Per Job'!V5*'Total Cost for Plan'!$B$36*ROUNDDOWN($B$1/'Scheduled Intervals'!V5,0),2),0)</f>
        <v>0</v>
      </c>
      <c r="W42" s="246">
        <f>IF('Scheduled Intervals'!W5&gt;0,ROUND('Hours Per Job'!W5*'Total Cost for Plan'!$B$36*ROUNDDOWN($B$1/'Scheduled Intervals'!W5,0),2),0)</f>
        <v>0</v>
      </c>
      <c r="X42" s="246">
        <f>IF('Scheduled Intervals'!X5&gt;0,ROUND('Hours Per Job'!X5*'Total Cost for Plan'!$B$36*ROUNDDOWN($B$1/'Scheduled Intervals'!X5,0),2),0)</f>
        <v>0</v>
      </c>
      <c r="Y42" s="246">
        <f>IF('Scheduled Intervals'!Y5&gt;0,ROUND('Hours Per Job'!Y5*'Total Cost for Plan'!$B$36*ROUNDDOWN($B$1/'Scheduled Intervals'!Y5,0),2),0)</f>
        <v>0</v>
      </c>
      <c r="Z42" s="246">
        <f>IF('Scheduled Intervals'!Z5&gt;0,ROUND('Hours Per Job'!Z5*'Total Cost for Plan'!$B$36*ROUNDDOWN($B$1/'Scheduled Intervals'!Z5,0),2),0)</f>
        <v>72</v>
      </c>
      <c r="AA42" s="246">
        <f>IF('Scheduled Intervals'!AA5&gt;0,ROUND('Hours Per Job'!AA5*'Total Cost for Plan'!$B$36*ROUNDDOWN($B$1/'Scheduled Intervals'!AA5,0),2),0)</f>
        <v>0</v>
      </c>
      <c r="AB42" s="246">
        <f>IF('Scheduled Intervals'!AB5&gt;0,ROUND('Hours Per Job'!AB5*'Total Cost for Plan'!$B$36*ROUNDDOWN($B$1/'Scheduled Intervals'!AB5,0),2),0)</f>
        <v>0</v>
      </c>
      <c r="AC42" s="246">
        <f>IF('Scheduled Intervals'!AC5&gt;0,ROUND('Hours Per Job'!AC5*'Total Cost for Plan'!$B$36*ROUNDDOWN($B$1/'Scheduled Intervals'!AC5,0),2),0)</f>
        <v>0</v>
      </c>
      <c r="AD42" s="246">
        <f>IF('Scheduled Intervals'!AD5&gt;0,ROUND('Hours Per Job'!AD5*'Total Cost for Plan'!$B$36*ROUNDDOWN($B$1/'Scheduled Intervals'!AD5,0),2),0)</f>
        <v>0</v>
      </c>
      <c r="AE42" s="246">
        <f>IF('Scheduled Intervals'!AE5&gt;0,ROUND('Hours Per Job'!AE5*'Total Cost for Plan'!$B$36*ROUNDDOWN($B$1/'Scheduled Intervals'!AE5,0),2),0)</f>
        <v>0</v>
      </c>
      <c r="AF42" s="246">
        <f>IF('Scheduled Intervals'!AF5&gt;0,ROUND('Hours Per Job'!AF5*'Total Cost for Plan'!$B$36*ROUNDDOWN($B$1/'Scheduled Intervals'!AF5,0),2),0)</f>
        <v>0</v>
      </c>
      <c r="AG42" s="246">
        <f>IF('Scheduled Intervals'!AG5&gt;0,ROUND('Hours Per Job'!AG5*'Total Cost for Plan'!$B$36*ROUNDDOWN($B$1/'Scheduled Intervals'!AG5,0),2),0)</f>
        <v>0</v>
      </c>
      <c r="AH42" s="246">
        <f>IF('Scheduled Intervals'!AH5&gt;0,ROUND('Hours Per Job'!AH5*'Total Cost for Plan'!$B$36*ROUNDDOWN($B$1/'Scheduled Intervals'!AH5,0),2),0)</f>
        <v>0</v>
      </c>
      <c r="AI42" s="246">
        <f>IF('Scheduled Intervals'!AI5&gt;0,ROUND('Hours Per Job'!AI5*'Total Cost for Plan'!$B$36*ROUNDDOWN($B$1/'Scheduled Intervals'!AI5,0),2),0)</f>
        <v>0</v>
      </c>
      <c r="AJ42" s="246">
        <f>IF('Scheduled Intervals'!AJ5&gt;0,ROUND('Hours Per Job'!AJ5*'Total Cost for Plan'!$B$36*ROUNDDOWN($B$1/'Scheduled Intervals'!AJ5,0),2),0)</f>
        <v>0</v>
      </c>
      <c r="AK42" s="246">
        <f>IF('Scheduled Intervals'!AK5&gt;0,ROUND('Hours Per Job'!AK5*'Total Cost for Plan'!$B$36*ROUNDDOWN($B$1/'Scheduled Intervals'!AK5,0),2),0)</f>
        <v>0</v>
      </c>
      <c r="AL42" s="246">
        <f>IF('Scheduled Intervals'!AL5&gt;0,ROUND('Hours Per Job'!AL5*'Total Cost for Plan'!$B$36*ROUNDDOWN($B$1/'Scheduled Intervals'!AL5,0),2),0)</f>
        <v>0</v>
      </c>
      <c r="AM42" s="246">
        <f>IF('Scheduled Intervals'!AM5&gt;0,ROUND('Hours Per Job'!AM5*'Total Cost for Plan'!$B$36*ROUNDDOWN($B$1/'Scheduled Intervals'!AM5,0),2),0)</f>
        <v>0</v>
      </c>
      <c r="AN42" s="246">
        <f>IF('Scheduled Intervals'!AN5&gt;0,ROUND('Hours Per Job'!AN5*'Total Cost for Plan'!$B$36*ROUNDDOWN($B$1/'Scheduled Intervals'!AN5,0),2),0)</f>
        <v>0</v>
      </c>
      <c r="AO42" s="246">
        <f>IF('Scheduled Intervals'!AO5&gt;0,ROUND('Hours Per Job'!AO5*'Total Cost for Plan'!$B$36*ROUNDDOWN($B$1/'Scheduled Intervals'!AO5,0),2),0)</f>
        <v>0</v>
      </c>
      <c r="AP42" s="246">
        <f>IF('Scheduled Intervals'!AP5&gt;0,ROUND('Hours Per Job'!AP5*'Total Cost for Plan'!$B$36*ROUNDDOWN($B$1/'Scheduled Intervals'!AP5,0),2),0)</f>
        <v>0</v>
      </c>
      <c r="AQ42" s="246">
        <f>IF('Scheduled Intervals'!AQ5&gt;0,ROUND('Hours Per Job'!AQ5*'Total Cost for Plan'!$B$36*ROUNDDOWN($B$1/'Scheduled Intervals'!AQ5,0),2),0)</f>
        <v>0</v>
      </c>
      <c r="AR42" s="246">
        <f>IF('Scheduled Intervals'!AR5&gt;0,ROUND('Hours Per Job'!AR5*'Total Cost for Plan'!$B$36*ROUNDDOWN($B$1/'Scheduled Intervals'!AR5,0),2),0)</f>
        <v>0</v>
      </c>
      <c r="AS42" s="246">
        <f>IF('Scheduled Intervals'!AS5&gt;0,ROUND('Hours Per Job'!AS5*'Total Cost for Plan'!$B$36*ROUNDDOWN($B$1/'Scheduled Intervals'!AS5,0),2),0)</f>
        <v>0</v>
      </c>
      <c r="AT42" s="246">
        <f>IF('Scheduled Intervals'!AT5&gt;0,ROUND('Hours Per Job'!AT5*'Total Cost for Plan'!$B$36*ROUNDDOWN($B$1/'Scheduled Intervals'!AT5,0),2),0)</f>
        <v>72</v>
      </c>
      <c r="AU42" s="246">
        <f>IF('Scheduled Intervals'!AU5&gt;0,ROUND('Hours Per Job'!AU5*'Total Cost for Plan'!$B$36*ROUNDDOWN($B$1/'Scheduled Intervals'!AU5,0),2),0)</f>
        <v>0</v>
      </c>
      <c r="AV42" s="246">
        <f>IF('Scheduled Intervals'!AV5&gt;0,ROUND('Hours Per Job'!AV5*'Total Cost for Plan'!$B$36*ROUNDDOWN($B$1/'Scheduled Intervals'!AV5,0),2),0)</f>
        <v>0</v>
      </c>
      <c r="AW42" s="246">
        <f>IF('Scheduled Intervals'!AW5&gt;0,ROUND('Hours Per Job'!AW5*'Total Cost for Plan'!$B$36*ROUNDDOWN($B$1/'Scheduled Intervals'!AW5,0),2),0)</f>
        <v>0</v>
      </c>
      <c r="AX42" s="246">
        <f>IF('Scheduled Intervals'!AX5&gt;0,ROUND('Hours Per Job'!AX5*'Total Cost for Plan'!$B$36*ROUNDDOWN($B$1/'Scheduled Intervals'!AX5,0),2),0)</f>
        <v>0</v>
      </c>
      <c r="AY42" s="246">
        <f>IF('Scheduled Intervals'!AY5&gt;0,ROUND('Hours Per Job'!AY5*'Total Cost for Plan'!$B$36*ROUNDDOWN($B$1/'Scheduled Intervals'!AY5,0),2),0)</f>
        <v>0</v>
      </c>
      <c r="AZ42" s="246">
        <f>IF('Scheduled Intervals'!AZ5&gt;0,ROUND('Hours Per Job'!AZ5*'Total Cost for Plan'!$B$36*ROUNDDOWN($B$1/'Scheduled Intervals'!AZ5,0),2),0)</f>
        <v>0</v>
      </c>
      <c r="BA42" s="246">
        <f>IF('Scheduled Intervals'!BA5&gt;0,ROUND('Hours Per Job'!BA5*'Total Cost for Plan'!$B$36*ROUNDDOWN($B$1/'Scheduled Intervals'!BA5,0),2),0)</f>
        <v>0</v>
      </c>
      <c r="BB42" s="246">
        <f>IF('Scheduled Intervals'!BB5&gt;0,ROUND('Hours Per Job'!BB5*'Total Cost for Plan'!$B$36*ROUNDDOWN($B$1/'Scheduled Intervals'!BB5,0),2),0)</f>
        <v>36</v>
      </c>
      <c r="BC42" s="246">
        <f>IF('Scheduled Intervals'!BC5&gt;0,ROUND('Hours Per Job'!BC5*'Total Cost for Plan'!$B$36*ROUNDDOWN($B$1/'Scheduled Intervals'!BC5,0),2),0)</f>
        <v>0</v>
      </c>
      <c r="BD42" s="246">
        <f>IF('Scheduled Intervals'!BD5&gt;0,ROUND('Hours Per Job'!BD5*'Total Cost for Plan'!$B$36*ROUNDDOWN($B$1/'Scheduled Intervals'!BD5,0),2),0)</f>
        <v>0</v>
      </c>
      <c r="BE42" s="246">
        <f>IF('Scheduled Intervals'!BE5&gt;0,ROUND('Hours Per Job'!BE5*'Total Cost for Plan'!$B$36*ROUNDDOWN($B$1/'Scheduled Intervals'!BE5,0),2),0)</f>
        <v>0</v>
      </c>
      <c r="BF42" s="246">
        <f>IF('Scheduled Intervals'!BF5&gt;0,ROUND('Hours Per Job'!BF5*'Total Cost for Plan'!$B$36*ROUNDDOWN($B$1/'Scheduled Intervals'!BF5,0),2),0)</f>
        <v>0</v>
      </c>
      <c r="BG42" s="246">
        <f>IF('Scheduled Intervals'!BG5&gt;0,ROUND('Hours Per Job'!BG5*'Total Cost for Plan'!$B$36*ROUNDDOWN($B$1/'Scheduled Intervals'!BG5,0),2),0)</f>
        <v>0</v>
      </c>
      <c r="BH42" s="246">
        <f>IF('Scheduled Intervals'!BH5&gt;0,ROUND('Hours Per Job'!BH5*'Total Cost for Plan'!$B$36*ROUNDDOWN($B$1/'Scheduled Intervals'!BH5,0),2),0)</f>
        <v>108</v>
      </c>
      <c r="BI42" s="246">
        <f>IF('Scheduled Intervals'!BI5&gt;0,ROUND('Hours Per Job'!BI5*'Total Cost for Plan'!$B$36*ROUNDDOWN($B$1/'Scheduled Intervals'!BI5,0),2),0)</f>
        <v>36</v>
      </c>
      <c r="BJ42" s="246">
        <f>IF('Scheduled Intervals'!BJ5&gt;0,ROUND('Hours Per Job'!BJ5*'Total Cost for Plan'!$B$36*ROUNDDOWN($B$1/'Scheduled Intervals'!BJ5,0),2),0)</f>
        <v>90</v>
      </c>
      <c r="BK42" s="246">
        <f>IF('Scheduled Intervals'!BK5&gt;0,ROUND('Hours Per Job'!BK5*'Total Cost for Plan'!$B$36*ROUNDDOWN($B$1/'Scheduled Intervals'!BK5,0),2),0)</f>
        <v>0</v>
      </c>
      <c r="BL42" s="246">
        <f>IF('Scheduled Intervals'!BL5&gt;0,ROUND('Hours Per Job'!BL5*'Total Cost for Plan'!$B$36*ROUNDDOWN($B$1/'Scheduled Intervals'!BL5,0),2),0)</f>
        <v>0</v>
      </c>
      <c r="BM42" s="246">
        <f>IF('Scheduled Intervals'!BM5&gt;0,ROUND('Hours Per Job'!BM5*'Total Cost for Plan'!$B$36*ROUNDDOWN($B$1/'Scheduled Intervals'!BM5,0),2),0)</f>
        <v>0</v>
      </c>
      <c r="BN42" s="246">
        <f>IF(AND('Scheduled Intervals'!BN$4="annual",'Plan Summary'!$C$5&lt;'Scheduled Intervals'!$U5*('Plan Summary'!$C$9/12)),ROUND('Hours Per Job'!BN5*'Total Cost for Plan'!$B$36*ROUND('Plan Summary'!$C$9/12,0),2),0)</f>
        <v>180</v>
      </c>
      <c r="BO42" s="246">
        <f>IF(AND('Scheduled Intervals'!BO$4="annual",'Plan Summary'!$C$5&lt;'Scheduled Intervals'!$U5*('Plan Summary'!$C$9/12)),ROUND('Hours Per Job'!BO5*'Total Cost for Plan'!$B$36*ROUND('Plan Summary'!$C$9/12,0),2),0)</f>
        <v>120</v>
      </c>
      <c r="BP42" s="246">
        <f>IF(AND('Scheduled Intervals'!BP$4="annual",'Plan Summary'!$C$5&lt;'Scheduled Intervals'!$U5*('Plan Summary'!$C$9/12)),ROUND('Hours Per Job'!BP5*'Total Cost for Plan'!$B$36*ROUND('Plan Summary'!$C$9/12,0),2),0)</f>
        <v>630</v>
      </c>
      <c r="BQ42" s="246">
        <f t="shared" si="2"/>
        <v>1650</v>
      </c>
      <c r="BR42" s="246"/>
    </row>
    <row r="43" spans="1:70" ht="16" x14ac:dyDescent="0.2">
      <c r="A43" s="18" t="str">
        <f>+'Scheduled Intervals'!A6</f>
        <v>Zero Turn Diesel</v>
      </c>
      <c r="B43" s="246">
        <f>ROUND(('Hours Per Job'!B6*$B$36),2)</f>
        <v>36</v>
      </c>
      <c r="C43" s="246">
        <f>ROUND(('Hours Per Job'!C6*$B$36),2)</f>
        <v>0</v>
      </c>
      <c r="D43" s="246">
        <f>ROUND(('Hours Per Job'!D6*$B$36),2)</f>
        <v>0</v>
      </c>
      <c r="E43" s="246">
        <f>ROUND(('Hours Per Job'!E6*$B$36),2)</f>
        <v>0</v>
      </c>
      <c r="F43" s="246">
        <f>ROUND(('Hours Per Job'!F6*$B$36),2)</f>
        <v>48</v>
      </c>
      <c r="G43" s="246">
        <f>ROUND(('Hours Per Job'!G6*$B$36),2)</f>
        <v>0</v>
      </c>
      <c r="H43" s="246">
        <f>ROUND(('Hours Per Job'!H6*$B$36),2)</f>
        <v>24</v>
      </c>
      <c r="I43" s="246">
        <f>ROUND(('Hours Per Job'!I6*$B$36),2)</f>
        <v>30</v>
      </c>
      <c r="J43" s="246">
        <f>ROUND(('Hours Per Job'!J6*$B$36),2)</f>
        <v>0</v>
      </c>
      <c r="K43" s="246">
        <f>ROUND(('Hours Per Job'!K6*$B$36),2)</f>
        <v>0</v>
      </c>
      <c r="L43" s="246">
        <f>ROUND(('Hours Per Job'!L6*$B$36),2)</f>
        <v>0</v>
      </c>
      <c r="M43" s="246">
        <f>ROUND(('Hours Per Job'!M6*$B$36),2)</f>
        <v>0</v>
      </c>
      <c r="N43" s="246">
        <f>ROUND(('Hours Per Job'!N6*$B$36),2)</f>
        <v>0</v>
      </c>
      <c r="O43" s="246">
        <f>ROUND(('Hours Per Job'!O6*$B$36),2)</f>
        <v>0</v>
      </c>
      <c r="P43" s="246">
        <f>ROUND(('Hours Per Job'!P6*$B$36),2)</f>
        <v>0</v>
      </c>
      <c r="Q43" s="246">
        <f>ROUND(('Hours Per Job'!Q6*$B$36),2)</f>
        <v>0</v>
      </c>
      <c r="R43" s="246">
        <f>ROUND(('Hours Per Job'!R6*$B$36),2)</f>
        <v>0</v>
      </c>
      <c r="S43" s="246">
        <f>ROUND(('Hours Per Job'!S6*$B$36),2)</f>
        <v>0</v>
      </c>
      <c r="T43" s="246">
        <f>ROUND(('Hours Per Job'!T6*$B$36),2)</f>
        <v>0</v>
      </c>
      <c r="U43" s="246">
        <f>IF('Scheduled Intervals'!U6&gt;0,ROUND('Hours Per Job'!U6*'Total Cost for Plan'!$B$36*ROUNDDOWN($B$1/'Scheduled Intervals'!U6,0),2),0)</f>
        <v>36</v>
      </c>
      <c r="V43" s="246">
        <f>IF('Scheduled Intervals'!V6&gt;0,ROUND('Hours Per Job'!V6*'Total Cost for Plan'!$B$36*ROUNDDOWN($B$1/'Scheduled Intervals'!V6,0),2),0)</f>
        <v>0</v>
      </c>
      <c r="W43" s="246">
        <f>IF('Scheduled Intervals'!W6&gt;0,ROUND('Hours Per Job'!W6*'Total Cost for Plan'!$B$36*ROUNDDOWN($B$1/'Scheduled Intervals'!W6,0),2),0)</f>
        <v>0</v>
      </c>
      <c r="X43" s="246">
        <f>IF('Scheduled Intervals'!X6&gt;0,ROUND('Hours Per Job'!X6*'Total Cost for Plan'!$B$36*ROUNDDOWN($B$1/'Scheduled Intervals'!X6,0),2),0)</f>
        <v>0</v>
      </c>
      <c r="Y43" s="246">
        <f>IF('Scheduled Intervals'!Y6&gt;0,ROUND('Hours Per Job'!Y6*'Total Cost for Plan'!$B$36*ROUNDDOWN($B$1/'Scheduled Intervals'!Y6,0),2),0)</f>
        <v>0</v>
      </c>
      <c r="Z43" s="246">
        <f>IF('Scheduled Intervals'!Z6&gt;0,ROUND('Hours Per Job'!Z6*'Total Cost for Plan'!$B$36*ROUNDDOWN($B$1/'Scheduled Intervals'!Z6,0),2),0)</f>
        <v>0</v>
      </c>
      <c r="AA43" s="246">
        <f>IF('Scheduled Intervals'!AA6&gt;0,ROUND('Hours Per Job'!AA6*'Total Cost for Plan'!$B$36*ROUNDDOWN($B$1/'Scheduled Intervals'!AA6,0),2),0)</f>
        <v>0</v>
      </c>
      <c r="AB43" s="246">
        <f>IF('Scheduled Intervals'!AB6&gt;0,ROUND('Hours Per Job'!AB6*'Total Cost for Plan'!$B$36*ROUNDDOWN($B$1/'Scheduled Intervals'!AB6,0),2),0)</f>
        <v>0</v>
      </c>
      <c r="AC43" s="246">
        <f>IF('Scheduled Intervals'!AC6&gt;0,ROUND('Hours Per Job'!AC6*'Total Cost for Plan'!$B$36*ROUNDDOWN($B$1/'Scheduled Intervals'!AC6,0),2),0)</f>
        <v>24</v>
      </c>
      <c r="AD43" s="246">
        <f>IF('Scheduled Intervals'!AD6&gt;0,ROUND('Hours Per Job'!AD6*'Total Cost for Plan'!$B$36*ROUNDDOWN($B$1/'Scheduled Intervals'!AD6,0),2),0)</f>
        <v>0</v>
      </c>
      <c r="AE43" s="246">
        <f>IF('Scheduled Intervals'!AE6&gt;0,ROUND('Hours Per Job'!AE6*'Total Cost for Plan'!$B$36*ROUNDDOWN($B$1/'Scheduled Intervals'!AE6,0),2),0)</f>
        <v>0</v>
      </c>
      <c r="AF43" s="246">
        <f>IF('Scheduled Intervals'!AF6&gt;0,ROUND('Hours Per Job'!AF6*'Total Cost for Plan'!$B$36*ROUNDDOWN($B$1/'Scheduled Intervals'!AF6,0),2),0)</f>
        <v>0</v>
      </c>
      <c r="AG43" s="246">
        <f>IF('Scheduled Intervals'!AG6&gt;0,ROUND('Hours Per Job'!AG6*'Total Cost for Plan'!$B$36*ROUNDDOWN($B$1/'Scheduled Intervals'!AG6,0),2),0)</f>
        <v>0</v>
      </c>
      <c r="AH43" s="246">
        <f>IF('Scheduled Intervals'!AH6&gt;0,ROUND('Hours Per Job'!AH6*'Total Cost for Plan'!$B$36*ROUNDDOWN($B$1/'Scheduled Intervals'!AH6,0),2),0)</f>
        <v>0</v>
      </c>
      <c r="AI43" s="246">
        <f>IF('Scheduled Intervals'!AI6&gt;0,ROUND('Hours Per Job'!AI6*'Total Cost for Plan'!$B$36*ROUNDDOWN($B$1/'Scheduled Intervals'!AI6,0),2),0)</f>
        <v>0</v>
      </c>
      <c r="AJ43" s="246">
        <f>IF('Scheduled Intervals'!AJ6&gt;0,ROUND('Hours Per Job'!AJ6*'Total Cost for Plan'!$B$36*ROUNDDOWN($B$1/'Scheduled Intervals'!AJ6,0),2),0)</f>
        <v>0</v>
      </c>
      <c r="AK43" s="246">
        <f>IF('Scheduled Intervals'!AK6&gt;0,ROUND('Hours Per Job'!AK6*'Total Cost for Plan'!$B$36*ROUNDDOWN($B$1/'Scheduled Intervals'!AK6,0),2),0)</f>
        <v>0</v>
      </c>
      <c r="AL43" s="246">
        <f>IF('Scheduled Intervals'!AL6&gt;0,ROUND('Hours Per Job'!AL6*'Total Cost for Plan'!$B$36*ROUNDDOWN($B$1/'Scheduled Intervals'!AL6,0),2),0)</f>
        <v>0</v>
      </c>
      <c r="AM43" s="246">
        <f>IF('Scheduled Intervals'!AM6&gt;0,ROUND('Hours Per Job'!AM6*'Total Cost for Plan'!$B$36*ROUNDDOWN($B$1/'Scheduled Intervals'!AM6,0),2),0)</f>
        <v>0</v>
      </c>
      <c r="AN43" s="246">
        <f>IF('Scheduled Intervals'!AN6&gt;0,ROUND('Hours Per Job'!AN6*'Total Cost for Plan'!$B$36*ROUNDDOWN($B$1/'Scheduled Intervals'!AN6,0),2),0)</f>
        <v>0</v>
      </c>
      <c r="AO43" s="246">
        <f>IF('Scheduled Intervals'!AO6&gt;0,ROUND('Hours Per Job'!AO6*'Total Cost for Plan'!$B$36*ROUNDDOWN($B$1/'Scheduled Intervals'!AO6,0),2),0)</f>
        <v>0</v>
      </c>
      <c r="AP43" s="246">
        <f>IF('Scheduled Intervals'!AP6&gt;0,ROUND('Hours Per Job'!AP6*'Total Cost for Plan'!$B$36*ROUNDDOWN($B$1/'Scheduled Intervals'!AP6,0),2),0)</f>
        <v>0</v>
      </c>
      <c r="AQ43" s="246">
        <f>IF('Scheduled Intervals'!AQ6&gt;0,ROUND('Hours Per Job'!AQ6*'Total Cost for Plan'!$B$36*ROUNDDOWN($B$1/'Scheduled Intervals'!AQ6,0),2),0)</f>
        <v>0</v>
      </c>
      <c r="AR43" s="246">
        <f>IF('Scheduled Intervals'!AR6&gt;0,ROUND('Hours Per Job'!AR6*'Total Cost for Plan'!$B$36*ROUNDDOWN($B$1/'Scheduled Intervals'!AR6,0),2),0)</f>
        <v>0</v>
      </c>
      <c r="AS43" s="246">
        <f>IF('Scheduled Intervals'!AS6&gt;0,ROUND('Hours Per Job'!AS6*'Total Cost for Plan'!$B$36*ROUNDDOWN($B$1/'Scheduled Intervals'!AS6,0),2),0)</f>
        <v>0</v>
      </c>
      <c r="AT43" s="246">
        <f>IF('Scheduled Intervals'!AT6&gt;0,ROUND('Hours Per Job'!AT6*'Total Cost for Plan'!$B$36*ROUNDDOWN($B$1/'Scheduled Intervals'!AT6,0),2),0)</f>
        <v>24</v>
      </c>
      <c r="AU43" s="246">
        <f>IF('Scheduled Intervals'!AU6&gt;0,ROUND('Hours Per Job'!AU6*'Total Cost for Plan'!$B$36*ROUNDDOWN($B$1/'Scheduled Intervals'!AU6,0),2),0)</f>
        <v>0</v>
      </c>
      <c r="AV43" s="246">
        <f>IF('Scheduled Intervals'!AV6&gt;0,ROUND('Hours Per Job'!AV6*'Total Cost for Plan'!$B$36*ROUNDDOWN($B$1/'Scheduled Intervals'!AV6,0),2),0)</f>
        <v>0</v>
      </c>
      <c r="AW43" s="246">
        <f>IF('Scheduled Intervals'!AW6&gt;0,ROUND('Hours Per Job'!AW6*'Total Cost for Plan'!$B$36*ROUNDDOWN($B$1/'Scheduled Intervals'!AW6,0),2),0)</f>
        <v>0</v>
      </c>
      <c r="AX43" s="246">
        <f>IF('Scheduled Intervals'!AX6&gt;0,ROUND('Hours Per Job'!AX6*'Total Cost for Plan'!$B$36*ROUNDDOWN($B$1/'Scheduled Intervals'!AX6,0),2),0)</f>
        <v>0</v>
      </c>
      <c r="AY43" s="246">
        <f>IF('Scheduled Intervals'!AY6&gt;0,ROUND('Hours Per Job'!AY6*'Total Cost for Plan'!$B$36*ROUNDDOWN($B$1/'Scheduled Intervals'!AY6,0),2),0)</f>
        <v>0</v>
      </c>
      <c r="AZ43" s="246">
        <f>IF('Scheduled Intervals'!AZ6&gt;0,ROUND('Hours Per Job'!AZ6*'Total Cost for Plan'!$B$36*ROUNDDOWN($B$1/'Scheduled Intervals'!AZ6,0),2),0)</f>
        <v>0</v>
      </c>
      <c r="BA43" s="246">
        <f>IF('Scheduled Intervals'!BA6&gt;0,ROUND('Hours Per Job'!BA6*'Total Cost for Plan'!$B$36*ROUNDDOWN($B$1/'Scheduled Intervals'!BA6,0),2),0)</f>
        <v>0</v>
      </c>
      <c r="BB43" s="246">
        <f>IF('Scheduled Intervals'!BB6&gt;0,ROUND('Hours Per Job'!BB6*'Total Cost for Plan'!$B$36*ROUNDDOWN($B$1/'Scheduled Intervals'!BB6,0),2),0)</f>
        <v>0</v>
      </c>
      <c r="BC43" s="246">
        <f>IF('Scheduled Intervals'!BC6&gt;0,ROUND('Hours Per Job'!BC6*'Total Cost for Plan'!$B$36*ROUNDDOWN($B$1/'Scheduled Intervals'!BC6,0),2),0)</f>
        <v>0</v>
      </c>
      <c r="BD43" s="246">
        <f>IF('Scheduled Intervals'!BD6&gt;0,ROUND('Hours Per Job'!BD6*'Total Cost for Plan'!$B$36*ROUNDDOWN($B$1/'Scheduled Intervals'!BD6,0),2),0)</f>
        <v>0</v>
      </c>
      <c r="BE43" s="246">
        <f>IF('Scheduled Intervals'!BE6&gt;0,ROUND('Hours Per Job'!BE6*'Total Cost for Plan'!$B$36*ROUNDDOWN($B$1/'Scheduled Intervals'!BE6,0),2),0)</f>
        <v>0</v>
      </c>
      <c r="BF43" s="246">
        <f>IF('Scheduled Intervals'!BF6&gt;0,ROUND('Hours Per Job'!BF6*'Total Cost for Plan'!$B$36*ROUNDDOWN($B$1/'Scheduled Intervals'!BF6,0),2),0)</f>
        <v>0</v>
      </c>
      <c r="BG43" s="246">
        <f>IF('Scheduled Intervals'!BG6&gt;0,ROUND('Hours Per Job'!BG6*'Total Cost for Plan'!$B$36*ROUNDDOWN($B$1/'Scheduled Intervals'!BG6,0),2),0)</f>
        <v>0</v>
      </c>
      <c r="BH43" s="246">
        <f>IF('Scheduled Intervals'!BH6&gt;0,ROUND('Hours Per Job'!BH6*'Total Cost for Plan'!$B$36*ROUNDDOWN($B$1/'Scheduled Intervals'!BH6,0),2),0)</f>
        <v>0</v>
      </c>
      <c r="BI43" s="246">
        <f>IF('Scheduled Intervals'!BI6&gt;0,ROUND('Hours Per Job'!BI6*'Total Cost for Plan'!$B$36*ROUNDDOWN($B$1/'Scheduled Intervals'!BI6,0),2),0)</f>
        <v>12</v>
      </c>
      <c r="BJ43" s="246">
        <f>IF('Scheduled Intervals'!BJ6&gt;0,ROUND('Hours Per Job'!BJ6*'Total Cost for Plan'!$B$36*ROUNDDOWN($B$1/'Scheduled Intervals'!BJ6,0),2),0)</f>
        <v>30</v>
      </c>
      <c r="BK43" s="246">
        <f>IF('Scheduled Intervals'!BK6&gt;0,ROUND('Hours Per Job'!BK6*'Total Cost for Plan'!$B$36*ROUNDDOWN($B$1/'Scheduled Intervals'!BK6,0),2),0)</f>
        <v>0</v>
      </c>
      <c r="BL43" s="246">
        <f>IF('Scheduled Intervals'!BL6&gt;0,ROUND('Hours Per Job'!BL6*'Total Cost for Plan'!$B$36*ROUNDDOWN($B$1/'Scheduled Intervals'!BL6,0),2),0)</f>
        <v>0</v>
      </c>
      <c r="BM43" s="246">
        <f>IF('Scheduled Intervals'!BM6&gt;0,ROUND('Hours Per Job'!BM6*'Total Cost for Plan'!$B$36*ROUNDDOWN($B$1/'Scheduled Intervals'!BM6,0),2),0)</f>
        <v>0</v>
      </c>
      <c r="BN43" s="246">
        <f>IF(AND('Scheduled Intervals'!BN$4="annual",'Plan Summary'!$C$5&lt;'Scheduled Intervals'!$U6*('Plan Summary'!$C$9/12)),ROUND('Hours Per Job'!BN6*'Total Cost for Plan'!$B$36*ROUND('Plan Summary'!$C$9/12,0),2),0)</f>
        <v>180</v>
      </c>
      <c r="BO43" s="246">
        <f>IF(AND('Scheduled Intervals'!BO$4="annual",'Plan Summary'!$C$5&lt;'Scheduled Intervals'!$U6*('Plan Summary'!$C$9/12)),ROUND('Hours Per Job'!BO6*'Total Cost for Plan'!$B$36*ROUND('Plan Summary'!$C$9/12,0),2),0)</f>
        <v>120</v>
      </c>
      <c r="BP43" s="246">
        <f>IF(AND('Scheduled Intervals'!BP$4="annual",'Plan Summary'!$C$5&lt;'Scheduled Intervals'!$U6*('Plan Summary'!$C$9/12)),ROUND('Hours Per Job'!BP6*'Total Cost for Plan'!$B$36*ROUND('Plan Summary'!$C$9/12,0),2),0)</f>
        <v>630</v>
      </c>
      <c r="BQ43" s="246">
        <f t="shared" si="2"/>
        <v>1194</v>
      </c>
      <c r="BR43" s="246"/>
    </row>
    <row r="44" spans="1:70" ht="16" x14ac:dyDescent="0.2">
      <c r="A44" s="18" t="str">
        <f>+'Scheduled Intervals'!A7</f>
        <v>Compact L series</v>
      </c>
      <c r="B44" s="246">
        <f>ROUND(('Hours Per Job'!B7*$B$36),2)</f>
        <v>48</v>
      </c>
      <c r="C44" s="246">
        <f>ROUND(('Hours Per Job'!C7*$B$36),2)</f>
        <v>0</v>
      </c>
      <c r="D44" s="246">
        <f>ROUND(('Hours Per Job'!D7*$B$36),2)</f>
        <v>0</v>
      </c>
      <c r="E44" s="246">
        <f>ROUND(('Hours Per Job'!E7*$B$36),2)</f>
        <v>0</v>
      </c>
      <c r="F44" s="246">
        <f>ROUND(('Hours Per Job'!F7*$B$36),2)</f>
        <v>60</v>
      </c>
      <c r="G44" s="246">
        <f>ROUND(('Hours Per Job'!G7*$B$36),2)</f>
        <v>0</v>
      </c>
      <c r="H44" s="246">
        <f>ROUND(('Hours Per Job'!H7*$B$36),2)</f>
        <v>24</v>
      </c>
      <c r="I44" s="246">
        <f>ROUND(('Hours Per Job'!I7*$B$36),2)</f>
        <v>30</v>
      </c>
      <c r="J44" s="246">
        <f>ROUND(('Hours Per Job'!J7*$B$36),2)</f>
        <v>0</v>
      </c>
      <c r="K44" s="246">
        <f>ROUND(('Hours Per Job'!K7*$B$36),2)</f>
        <v>0</v>
      </c>
      <c r="L44" s="246">
        <f>ROUND(('Hours Per Job'!L7*$B$36),2)</f>
        <v>0</v>
      </c>
      <c r="M44" s="246">
        <f>ROUND(('Hours Per Job'!M7*$B$36),2)</f>
        <v>72</v>
      </c>
      <c r="N44" s="246">
        <f>ROUND(('Hours Per Job'!N7*$B$36),2)</f>
        <v>0</v>
      </c>
      <c r="O44" s="246">
        <f>ROUND(('Hours Per Job'!O7*$B$36),2)</f>
        <v>0</v>
      </c>
      <c r="P44" s="246">
        <f>ROUND(('Hours Per Job'!P7*$B$36),2)</f>
        <v>0</v>
      </c>
      <c r="Q44" s="246">
        <f>ROUND(('Hours Per Job'!Q7*$B$36),2)</f>
        <v>0</v>
      </c>
      <c r="R44" s="246">
        <f>ROUND(('Hours Per Job'!R7*$B$36),2)</f>
        <v>0</v>
      </c>
      <c r="S44" s="246">
        <f>ROUND(('Hours Per Job'!S7*$B$36),2)</f>
        <v>0</v>
      </c>
      <c r="T44" s="246">
        <f>ROUND(('Hours Per Job'!T7*$B$36),2)</f>
        <v>0</v>
      </c>
      <c r="U44" s="246">
        <f>IF('Scheduled Intervals'!U7&gt;0,ROUND('Hours Per Job'!U7*'Total Cost for Plan'!$B$36*ROUNDDOWN($B$1/'Scheduled Intervals'!U7,0),2),0)</f>
        <v>48</v>
      </c>
      <c r="V44" s="246">
        <f>IF('Scheduled Intervals'!V7&gt;0,ROUND('Hours Per Job'!V7*'Total Cost for Plan'!$B$36*ROUNDDOWN($B$1/'Scheduled Intervals'!V7,0),2),0)</f>
        <v>0</v>
      </c>
      <c r="W44" s="246">
        <f>IF('Scheduled Intervals'!W7&gt;0,ROUND('Hours Per Job'!W7*'Total Cost for Plan'!$B$36*ROUNDDOWN($B$1/'Scheduled Intervals'!W7,0),2),0)</f>
        <v>0</v>
      </c>
      <c r="X44" s="246">
        <f>IF('Scheduled Intervals'!X7&gt;0,ROUND('Hours Per Job'!X7*'Total Cost for Plan'!$B$36*ROUNDDOWN($B$1/'Scheduled Intervals'!X7,0),2),0)</f>
        <v>0</v>
      </c>
      <c r="Y44" s="246">
        <f>IF('Scheduled Intervals'!Y7&gt;0,ROUND('Hours Per Job'!Y7*'Total Cost for Plan'!$B$36*ROUNDDOWN($B$1/'Scheduled Intervals'!Y7,0),2),0)</f>
        <v>0</v>
      </c>
      <c r="Z44" s="246">
        <f>IF('Scheduled Intervals'!Z7&gt;0,ROUND('Hours Per Job'!Z7*'Total Cost for Plan'!$B$36*ROUNDDOWN($B$1/'Scheduled Intervals'!Z7,0),2),0)</f>
        <v>0</v>
      </c>
      <c r="AA44" s="246">
        <f>IF('Scheduled Intervals'!AA7&gt;0,ROUND('Hours Per Job'!AA7*'Total Cost for Plan'!$B$36*ROUNDDOWN($B$1/'Scheduled Intervals'!AA7,0),2),0)</f>
        <v>0</v>
      </c>
      <c r="AB44" s="246">
        <f>IF('Scheduled Intervals'!AB7&gt;0,ROUND('Hours Per Job'!AB7*'Total Cost for Plan'!$B$36*ROUNDDOWN($B$1/'Scheduled Intervals'!AB7,0),2),0)</f>
        <v>0</v>
      </c>
      <c r="AC44" s="246">
        <f>IF('Scheduled Intervals'!AC7&gt;0,ROUND('Hours Per Job'!AC7*'Total Cost for Plan'!$B$36*ROUNDDOWN($B$1/'Scheduled Intervals'!AC7,0),2),0)</f>
        <v>24</v>
      </c>
      <c r="AD44" s="246">
        <f>IF('Scheduled Intervals'!AD7&gt;0,ROUND('Hours Per Job'!AD7*'Total Cost for Plan'!$B$36*ROUNDDOWN($B$1/'Scheduled Intervals'!AD7,0),2),0)</f>
        <v>0</v>
      </c>
      <c r="AE44" s="246">
        <f>IF('Scheduled Intervals'!AE7&gt;0,ROUND('Hours Per Job'!AE7*'Total Cost for Plan'!$B$36*ROUNDDOWN($B$1/'Scheduled Intervals'!AE7,0),2),0)</f>
        <v>0</v>
      </c>
      <c r="AF44" s="246">
        <f>IF('Scheduled Intervals'!AF7&gt;0,ROUND('Hours Per Job'!AF7*'Total Cost for Plan'!$B$36*ROUNDDOWN($B$1/'Scheduled Intervals'!AF7,0),2),0)</f>
        <v>0</v>
      </c>
      <c r="AG44" s="246">
        <f>IF('Scheduled Intervals'!AG7&gt;0,ROUND('Hours Per Job'!AG7*'Total Cost for Plan'!$B$36*ROUNDDOWN($B$1/'Scheduled Intervals'!AG7,0),2),0)</f>
        <v>0</v>
      </c>
      <c r="AH44" s="246">
        <f>IF('Scheduled Intervals'!AH7&gt;0,ROUND('Hours Per Job'!AH7*'Total Cost for Plan'!$B$36*ROUNDDOWN($B$1/'Scheduled Intervals'!AH7,0),2),0)</f>
        <v>0</v>
      </c>
      <c r="AI44" s="246">
        <f>IF('Scheduled Intervals'!AI7&gt;0,ROUND('Hours Per Job'!AI7*'Total Cost for Plan'!$B$36*ROUNDDOWN($B$1/'Scheduled Intervals'!AI7,0),2),0)</f>
        <v>0</v>
      </c>
      <c r="AJ44" s="246">
        <f>IF('Scheduled Intervals'!AJ7&gt;0,ROUND('Hours Per Job'!AJ7*'Total Cost for Plan'!$B$36*ROUNDDOWN($B$1/'Scheduled Intervals'!AJ7,0),2),0)</f>
        <v>0</v>
      </c>
      <c r="AK44" s="246">
        <f>IF('Scheduled Intervals'!AK7&gt;0,ROUND('Hours Per Job'!AK7*'Total Cost for Plan'!$B$36*ROUNDDOWN($B$1/'Scheduled Intervals'!AK7,0),2),0)</f>
        <v>0</v>
      </c>
      <c r="AL44" s="246">
        <f>IF('Scheduled Intervals'!AL7&gt;0,ROUND('Hours Per Job'!AL7*'Total Cost for Plan'!$B$36*ROUNDDOWN($B$1/'Scheduled Intervals'!AL7,0),2),0)</f>
        <v>0</v>
      </c>
      <c r="AM44" s="246">
        <f>IF('Scheduled Intervals'!AM7&gt;0,ROUND('Hours Per Job'!AM7*'Total Cost for Plan'!$B$36*ROUNDDOWN($B$1/'Scheduled Intervals'!AM7,0),2),0)</f>
        <v>0</v>
      </c>
      <c r="AN44" s="246">
        <f>IF('Scheduled Intervals'!AN7&gt;0,ROUND('Hours Per Job'!AN7*'Total Cost for Plan'!$B$36*ROUNDDOWN($B$1/'Scheduled Intervals'!AN7,0),2),0)</f>
        <v>0</v>
      </c>
      <c r="AO44" s="246">
        <f>IF('Scheduled Intervals'!AO7&gt;0,ROUND('Hours Per Job'!AO7*'Total Cost for Plan'!$B$36*ROUNDDOWN($B$1/'Scheduled Intervals'!AO7,0),2),0)</f>
        <v>0</v>
      </c>
      <c r="AP44" s="246">
        <f>IF('Scheduled Intervals'!AP7&gt;0,ROUND('Hours Per Job'!AP7*'Total Cost for Plan'!$B$36*ROUNDDOWN($B$1/'Scheduled Intervals'!AP7,0),2),0)</f>
        <v>36</v>
      </c>
      <c r="AQ44" s="246">
        <f>IF('Scheduled Intervals'!AQ7&gt;0,ROUND('Hours Per Job'!AQ7*'Total Cost for Plan'!$B$36*ROUNDDOWN($B$1/'Scheduled Intervals'!AQ7,0),2),0)</f>
        <v>24</v>
      </c>
      <c r="AR44" s="246">
        <f>IF('Scheduled Intervals'!AR7&gt;0,ROUND('Hours Per Job'!AR7*'Total Cost for Plan'!$B$36*ROUNDDOWN($B$1/'Scheduled Intervals'!AR7,0),2),0)</f>
        <v>0</v>
      </c>
      <c r="AS44" s="246">
        <f>IF('Scheduled Intervals'!AS7&gt;0,ROUND('Hours Per Job'!AS7*'Total Cost for Plan'!$B$36*ROUNDDOWN($B$1/'Scheduled Intervals'!AS7,0),2),0)</f>
        <v>0</v>
      </c>
      <c r="AT44" s="246">
        <f>IF('Scheduled Intervals'!AT7&gt;0,ROUND('Hours Per Job'!AT7*'Total Cost for Plan'!$B$36*ROUNDDOWN($B$1/'Scheduled Intervals'!AT7,0),2),0)</f>
        <v>24</v>
      </c>
      <c r="AU44" s="246">
        <f>IF('Scheduled Intervals'!AU7&gt;0,ROUND('Hours Per Job'!AU7*'Total Cost for Plan'!$B$36*ROUNDDOWN($B$1/'Scheduled Intervals'!AU7,0),2),0)</f>
        <v>0</v>
      </c>
      <c r="AV44" s="246">
        <f>IF('Scheduled Intervals'!AV7&gt;0,ROUND('Hours Per Job'!AV7*'Total Cost for Plan'!$B$36*ROUNDDOWN($B$1/'Scheduled Intervals'!AV7,0),2),0)</f>
        <v>0</v>
      </c>
      <c r="AW44" s="246">
        <f>IF('Scheduled Intervals'!AW7&gt;0,ROUND('Hours Per Job'!AW7*'Total Cost for Plan'!$B$36*ROUNDDOWN($B$1/'Scheduled Intervals'!AW7,0),2),0)</f>
        <v>0</v>
      </c>
      <c r="AX44" s="246">
        <f>IF('Scheduled Intervals'!AX7&gt;0,ROUND('Hours Per Job'!AX7*'Total Cost for Plan'!$B$36*ROUNDDOWN($B$1/'Scheduled Intervals'!AX7,0),2),0)</f>
        <v>0</v>
      </c>
      <c r="AY44" s="246">
        <f>IF('Scheduled Intervals'!AY7&gt;0,ROUND('Hours Per Job'!AY7*'Total Cost for Plan'!$B$36*ROUNDDOWN($B$1/'Scheduled Intervals'!AY7,0),2),0)</f>
        <v>0</v>
      </c>
      <c r="AZ44" s="246">
        <f>IF('Scheduled Intervals'!AZ7&gt;0,ROUND('Hours Per Job'!AZ7*'Total Cost for Plan'!$B$36*ROUNDDOWN($B$1/'Scheduled Intervals'!AZ7,0),2),0)</f>
        <v>0</v>
      </c>
      <c r="BA44" s="246">
        <f>IF('Scheduled Intervals'!BA7&gt;0,ROUND('Hours Per Job'!BA7*'Total Cost for Plan'!$B$36*ROUNDDOWN($B$1/'Scheduled Intervals'!BA7,0),2),0)</f>
        <v>0</v>
      </c>
      <c r="BB44" s="246">
        <f>IF('Scheduled Intervals'!BB7&gt;0,ROUND('Hours Per Job'!BB7*'Total Cost for Plan'!$B$36*ROUNDDOWN($B$1/'Scheduled Intervals'!BB7,0),2),0)</f>
        <v>0</v>
      </c>
      <c r="BC44" s="246">
        <f>IF('Scheduled Intervals'!BC7&gt;0,ROUND('Hours Per Job'!BC7*'Total Cost for Plan'!$B$36*ROUNDDOWN($B$1/'Scheduled Intervals'!BC7,0),2),0)</f>
        <v>0</v>
      </c>
      <c r="BD44" s="246">
        <f>IF('Scheduled Intervals'!BD7&gt;0,ROUND('Hours Per Job'!BD7*'Total Cost for Plan'!$B$36*ROUNDDOWN($B$1/'Scheduled Intervals'!BD7,0),2),0)</f>
        <v>0</v>
      </c>
      <c r="BE44" s="246">
        <f>IF('Scheduled Intervals'!BE7&gt;0,ROUND('Hours Per Job'!BE7*'Total Cost for Plan'!$B$36*ROUNDDOWN($B$1/'Scheduled Intervals'!BE7,0),2),0)</f>
        <v>0</v>
      </c>
      <c r="BF44" s="246">
        <f>IF('Scheduled Intervals'!BF7&gt;0,ROUND('Hours Per Job'!BF7*'Total Cost for Plan'!$B$36*ROUNDDOWN($B$1/'Scheduled Intervals'!BF7,0),2),0)</f>
        <v>0</v>
      </c>
      <c r="BG44" s="246">
        <f>IF('Scheduled Intervals'!BG7&gt;0,ROUND('Hours Per Job'!BG7*'Total Cost for Plan'!$B$36*ROUNDDOWN($B$1/'Scheduled Intervals'!BG7,0),2),0)</f>
        <v>0</v>
      </c>
      <c r="BH44" s="246">
        <f>IF('Scheduled Intervals'!BH7&gt;0,ROUND('Hours Per Job'!BH7*'Total Cost for Plan'!$B$36*ROUNDDOWN($B$1/'Scheduled Intervals'!BH7,0),2),0)</f>
        <v>0</v>
      </c>
      <c r="BI44" s="246">
        <f>IF('Scheduled Intervals'!BI7&gt;0,ROUND('Hours Per Job'!BI7*'Total Cost for Plan'!$B$36*ROUNDDOWN($B$1/'Scheduled Intervals'!BI7,0),2),0)</f>
        <v>0</v>
      </c>
      <c r="BJ44" s="246">
        <f>IF('Scheduled Intervals'!BJ7&gt;0,ROUND('Hours Per Job'!BJ7*'Total Cost for Plan'!$B$36*ROUNDDOWN($B$1/'Scheduled Intervals'!BJ7,0),2),0)</f>
        <v>30</v>
      </c>
      <c r="BK44" s="246">
        <f>IF('Scheduled Intervals'!BK7&gt;0,ROUND('Hours Per Job'!BK7*'Total Cost for Plan'!$B$36*ROUNDDOWN($B$1/'Scheduled Intervals'!BK7,0),2),0)</f>
        <v>0</v>
      </c>
      <c r="BL44" s="246">
        <f>IF('Scheduled Intervals'!BL7&gt;0,ROUND('Hours Per Job'!BL7*'Total Cost for Plan'!$B$36*ROUNDDOWN($B$1/'Scheduled Intervals'!BL7,0),2),0)</f>
        <v>0</v>
      </c>
      <c r="BM44" s="246">
        <f>IF('Scheduled Intervals'!BM7&gt;0,ROUND('Hours Per Job'!BM7*'Total Cost for Plan'!$B$36*ROUNDDOWN($B$1/'Scheduled Intervals'!BM7,0),2),0)</f>
        <v>0</v>
      </c>
      <c r="BN44" s="246">
        <f>IF(AND('Scheduled Intervals'!BN$4="annual",'Plan Summary'!$C$5&lt;'Scheduled Intervals'!$U7*('Plan Summary'!$C$9/12)),ROUND('Hours Per Job'!BN7*'Total Cost for Plan'!$B$36*ROUND('Plan Summary'!$C$9/12,0),2),0)</f>
        <v>240</v>
      </c>
      <c r="BO44" s="246">
        <f>IF(AND('Scheduled Intervals'!BO$4="annual",'Plan Summary'!$C$5&lt;'Scheduled Intervals'!$U7*('Plan Summary'!$C$9/12)),ROUND('Hours Per Job'!BO7*'Total Cost for Plan'!$B$36*ROUND('Plan Summary'!$C$9/12,0),2),0)</f>
        <v>120</v>
      </c>
      <c r="BP44" s="246">
        <f>IF(AND('Scheduled Intervals'!BP$4="annual",'Plan Summary'!$C$5&lt;'Scheduled Intervals'!$U7*('Plan Summary'!$C$9/12)),ROUND('Hours Per Job'!BP7*'Total Cost for Plan'!$B$36*ROUND('Plan Summary'!$C$9/12,0),2),0)</f>
        <v>630</v>
      </c>
      <c r="BQ44" s="246">
        <f t="shared" si="2"/>
        <v>1410</v>
      </c>
      <c r="BR44" s="246"/>
    </row>
    <row r="45" spans="1:70" ht="16" x14ac:dyDescent="0.2">
      <c r="A45" s="18" t="str">
        <f>+'Scheduled Intervals'!A8</f>
        <v>Utility under 75 MX&amp;M</v>
      </c>
      <c r="B45" s="246">
        <f>ROUND(('Hours Per Job'!B8*$B$36),2)</f>
        <v>48</v>
      </c>
      <c r="C45" s="246">
        <f>ROUND(('Hours Per Job'!C8*$B$36),2)</f>
        <v>0</v>
      </c>
      <c r="D45" s="246">
        <f>ROUND(('Hours Per Job'!D8*$B$36),2)</f>
        <v>0</v>
      </c>
      <c r="E45" s="246">
        <f>ROUND(('Hours Per Job'!E8*$B$36),2)</f>
        <v>0</v>
      </c>
      <c r="F45" s="246">
        <f>ROUND(('Hours Per Job'!F8*$B$36),2)</f>
        <v>84</v>
      </c>
      <c r="G45" s="246">
        <f>ROUND(('Hours Per Job'!G8*$B$36),2)</f>
        <v>0</v>
      </c>
      <c r="H45" s="246">
        <f>ROUND(('Hours Per Job'!H8*$B$36),2)</f>
        <v>24</v>
      </c>
      <c r="I45" s="246">
        <f>ROUND(('Hours Per Job'!I8*$B$36),2)</f>
        <v>30</v>
      </c>
      <c r="J45" s="246">
        <f>ROUND(('Hours Per Job'!J8*$B$36),2)</f>
        <v>0</v>
      </c>
      <c r="K45" s="246">
        <f>ROUND(('Hours Per Job'!K8*$B$36),2)</f>
        <v>0</v>
      </c>
      <c r="L45" s="246">
        <f>ROUND(('Hours Per Job'!L8*$B$36),2)</f>
        <v>0</v>
      </c>
      <c r="M45" s="246">
        <f>ROUND(('Hours Per Job'!M8*$B$36),2)</f>
        <v>0</v>
      </c>
      <c r="N45" s="246">
        <f>ROUND(('Hours Per Job'!N8*$B$36),2)</f>
        <v>0</v>
      </c>
      <c r="O45" s="246">
        <f>ROUND(('Hours Per Job'!O8*$B$36),2)</f>
        <v>0</v>
      </c>
      <c r="P45" s="246">
        <f>ROUND(('Hours Per Job'!P8*$B$36),2)</f>
        <v>0</v>
      </c>
      <c r="Q45" s="246">
        <f>ROUND(('Hours Per Job'!Q8*$B$36),2)</f>
        <v>0</v>
      </c>
      <c r="R45" s="246">
        <f>ROUND(('Hours Per Job'!R8*$B$36),2)</f>
        <v>0</v>
      </c>
      <c r="S45" s="246">
        <f>ROUND(('Hours Per Job'!S8*$B$36),2)</f>
        <v>0</v>
      </c>
      <c r="T45" s="246">
        <f>ROUND(('Hours Per Job'!T8*$B$36),2)</f>
        <v>0</v>
      </c>
      <c r="U45" s="246">
        <f>IF('Scheduled Intervals'!U8&gt;0,ROUND('Hours Per Job'!U8*'Total Cost for Plan'!$B$36*ROUNDDOWN($B$1/'Scheduled Intervals'!U8,0),2),0)</f>
        <v>0</v>
      </c>
      <c r="V45" s="246">
        <f>IF('Scheduled Intervals'!V8&gt;0,ROUND('Hours Per Job'!V8*'Total Cost for Plan'!$B$36*ROUNDDOWN($B$1/'Scheduled Intervals'!V8,0),2),0)</f>
        <v>0</v>
      </c>
      <c r="W45" s="246">
        <f>IF('Scheduled Intervals'!W8&gt;0,ROUND('Hours Per Job'!W8*'Total Cost for Plan'!$B$36*ROUNDDOWN($B$1/'Scheduled Intervals'!W8,0),2),0)</f>
        <v>0</v>
      </c>
      <c r="X45" s="246">
        <f>IF('Scheduled Intervals'!X8&gt;0,ROUND('Hours Per Job'!X8*'Total Cost for Plan'!$B$36*ROUNDDOWN($B$1/'Scheduled Intervals'!X8,0),2),0)</f>
        <v>0</v>
      </c>
      <c r="Y45" s="246">
        <f>IF('Scheduled Intervals'!Y8&gt;0,ROUND('Hours Per Job'!Y8*'Total Cost for Plan'!$B$36*ROUNDDOWN($B$1/'Scheduled Intervals'!Y8,0),2),0)</f>
        <v>0</v>
      </c>
      <c r="Z45" s="246">
        <f>IF('Scheduled Intervals'!Z8&gt;0,ROUND('Hours Per Job'!Z8*'Total Cost for Plan'!$B$36*ROUNDDOWN($B$1/'Scheduled Intervals'!Z8,0),2),0)</f>
        <v>0</v>
      </c>
      <c r="AA45" s="246">
        <f>IF('Scheduled Intervals'!AA8&gt;0,ROUND('Hours Per Job'!AA8*'Total Cost for Plan'!$B$36*ROUNDDOWN($B$1/'Scheduled Intervals'!AA8,0),2),0)</f>
        <v>0</v>
      </c>
      <c r="AB45" s="246">
        <f>IF('Scheduled Intervals'!AB8&gt;0,ROUND('Hours Per Job'!AB8*'Total Cost for Plan'!$B$36*ROUNDDOWN($B$1/'Scheduled Intervals'!AB8,0),2),0)</f>
        <v>0</v>
      </c>
      <c r="AC45" s="246">
        <f>IF('Scheduled Intervals'!AC8&gt;0,ROUND('Hours Per Job'!AC8*'Total Cost for Plan'!$B$36*ROUNDDOWN($B$1/'Scheduled Intervals'!AC8,0),2),0)</f>
        <v>0</v>
      </c>
      <c r="AD45" s="246">
        <f>IF('Scheduled Intervals'!AD8&gt;0,ROUND('Hours Per Job'!AD8*'Total Cost for Plan'!$B$36*ROUNDDOWN($B$1/'Scheduled Intervals'!AD8,0),2),0)</f>
        <v>0</v>
      </c>
      <c r="AE45" s="246">
        <f>IF('Scheduled Intervals'!AE8&gt;0,ROUND('Hours Per Job'!AE8*'Total Cost for Plan'!$B$36*ROUNDDOWN($B$1/'Scheduled Intervals'!AE8,0),2),0)</f>
        <v>0</v>
      </c>
      <c r="AF45" s="246">
        <f>IF('Scheduled Intervals'!AF8&gt;0,ROUND('Hours Per Job'!AF8*'Total Cost for Plan'!$B$36*ROUNDDOWN($B$1/'Scheduled Intervals'!AF8,0),2),0)</f>
        <v>0</v>
      </c>
      <c r="AG45" s="246">
        <f>IF('Scheduled Intervals'!AG8&gt;0,ROUND('Hours Per Job'!AG8*'Total Cost for Plan'!$B$36*ROUNDDOWN($B$1/'Scheduled Intervals'!AG8,0),2),0)</f>
        <v>0</v>
      </c>
      <c r="AH45" s="246">
        <f>IF('Scheduled Intervals'!AH8&gt;0,ROUND('Hours Per Job'!AH8*'Total Cost for Plan'!$B$36*ROUNDDOWN($B$1/'Scheduled Intervals'!AH8,0),2),0)</f>
        <v>0</v>
      </c>
      <c r="AI45" s="246">
        <f>IF('Scheduled Intervals'!AI8&gt;0,ROUND('Hours Per Job'!AI8*'Total Cost for Plan'!$B$36*ROUNDDOWN($B$1/'Scheduled Intervals'!AI8,0),2),0)</f>
        <v>0</v>
      </c>
      <c r="AJ45" s="246">
        <f>IF('Scheduled Intervals'!AJ8&gt;0,ROUND('Hours Per Job'!AJ8*'Total Cost for Plan'!$B$36*ROUNDDOWN($B$1/'Scheduled Intervals'!AJ8,0),2),0)</f>
        <v>0</v>
      </c>
      <c r="AK45" s="246">
        <f>IF('Scheduled Intervals'!AK8&gt;0,ROUND('Hours Per Job'!AK8*'Total Cost for Plan'!$B$36*ROUNDDOWN($B$1/'Scheduled Intervals'!AK8,0),2),0)</f>
        <v>0</v>
      </c>
      <c r="AL45" s="246">
        <f>IF('Scheduled Intervals'!AL8&gt;0,ROUND('Hours Per Job'!AL8*'Total Cost for Plan'!$B$36*ROUNDDOWN($B$1/'Scheduled Intervals'!AL8,0),2),0)</f>
        <v>0</v>
      </c>
      <c r="AM45" s="246">
        <f>IF('Scheduled Intervals'!AM8&gt;0,ROUND('Hours Per Job'!AM8*'Total Cost for Plan'!$B$36*ROUNDDOWN($B$1/'Scheduled Intervals'!AM8,0),2),0)</f>
        <v>0</v>
      </c>
      <c r="AN45" s="246">
        <f>IF('Scheduled Intervals'!AN8&gt;0,ROUND('Hours Per Job'!AN8*'Total Cost for Plan'!$B$36*ROUNDDOWN($B$1/'Scheduled Intervals'!AN8,0),2),0)</f>
        <v>0</v>
      </c>
      <c r="AO45" s="246">
        <f>IF('Scheduled Intervals'!AO8&gt;0,ROUND('Hours Per Job'!AO8*'Total Cost for Plan'!$B$36*ROUNDDOWN($B$1/'Scheduled Intervals'!AO8,0),2),0)</f>
        <v>0</v>
      </c>
      <c r="AP45" s="246">
        <f>IF('Scheduled Intervals'!AP8&gt;0,ROUND('Hours Per Job'!AP8*'Total Cost for Plan'!$B$36*ROUNDDOWN($B$1/'Scheduled Intervals'!AP8,0),2),0)</f>
        <v>0</v>
      </c>
      <c r="AQ45" s="246">
        <f>IF('Scheduled Intervals'!AQ8&gt;0,ROUND('Hours Per Job'!AQ8*'Total Cost for Plan'!$B$36*ROUNDDOWN($B$1/'Scheduled Intervals'!AQ8,0),2),0)</f>
        <v>0</v>
      </c>
      <c r="AR45" s="246">
        <f>IF('Scheduled Intervals'!AR8&gt;0,ROUND('Hours Per Job'!AR8*'Total Cost for Plan'!$B$36*ROUNDDOWN($B$1/'Scheduled Intervals'!AR8,0),2),0)</f>
        <v>0</v>
      </c>
      <c r="AS45" s="246">
        <f>IF('Scheduled Intervals'!AS8&gt;0,ROUND('Hours Per Job'!AS8*'Total Cost for Plan'!$B$36*ROUNDDOWN($B$1/'Scheduled Intervals'!AS8,0),2),0)</f>
        <v>0</v>
      </c>
      <c r="AT45" s="246">
        <f>IF('Scheduled Intervals'!AT8&gt;0,ROUND('Hours Per Job'!AT8*'Total Cost for Plan'!$B$36*ROUNDDOWN($B$1/'Scheduled Intervals'!AT8,0),2),0)</f>
        <v>0</v>
      </c>
      <c r="AU45" s="246">
        <f>IF('Scheduled Intervals'!AU8&gt;0,ROUND('Hours Per Job'!AU8*'Total Cost for Plan'!$B$36*ROUNDDOWN($B$1/'Scheduled Intervals'!AU8,0),2),0)</f>
        <v>0</v>
      </c>
      <c r="AV45" s="246">
        <f>IF('Scheduled Intervals'!AV8&gt;0,ROUND('Hours Per Job'!AV8*'Total Cost for Plan'!$B$36*ROUNDDOWN($B$1/'Scheduled Intervals'!AV8,0),2),0)</f>
        <v>0</v>
      </c>
      <c r="AW45" s="246">
        <f>IF('Scheduled Intervals'!AW8&gt;0,ROUND('Hours Per Job'!AW8*'Total Cost for Plan'!$B$36*ROUNDDOWN($B$1/'Scheduled Intervals'!AW8,0),2),0)</f>
        <v>0</v>
      </c>
      <c r="AX45" s="246">
        <f>IF('Scheduled Intervals'!AX8&gt;0,ROUND('Hours Per Job'!AX8*'Total Cost for Plan'!$B$36*ROUNDDOWN($B$1/'Scheduled Intervals'!AX8,0),2),0)</f>
        <v>0</v>
      </c>
      <c r="AY45" s="246">
        <f>IF('Scheduled Intervals'!AY8&gt;0,ROUND('Hours Per Job'!AY8*'Total Cost for Plan'!$B$36*ROUNDDOWN($B$1/'Scheduled Intervals'!AY8,0),2),0)</f>
        <v>0</v>
      </c>
      <c r="AZ45" s="246">
        <f>IF('Scheduled Intervals'!AZ8&gt;0,ROUND('Hours Per Job'!AZ8*'Total Cost for Plan'!$B$36*ROUNDDOWN($B$1/'Scheduled Intervals'!AZ8,0),2),0)</f>
        <v>0</v>
      </c>
      <c r="BA45" s="246">
        <f>IF('Scheduled Intervals'!BA8&gt;0,ROUND('Hours Per Job'!BA8*'Total Cost for Plan'!$B$36*ROUNDDOWN($B$1/'Scheduled Intervals'!BA8,0),2),0)</f>
        <v>0</v>
      </c>
      <c r="BB45" s="246">
        <f>IF('Scheduled Intervals'!BB8&gt;0,ROUND('Hours Per Job'!BB8*'Total Cost for Plan'!$B$36*ROUNDDOWN($B$1/'Scheduled Intervals'!BB8,0),2),0)</f>
        <v>0</v>
      </c>
      <c r="BC45" s="246">
        <f>IF('Scheduled Intervals'!BC8&gt;0,ROUND('Hours Per Job'!BC8*'Total Cost for Plan'!$B$36*ROUNDDOWN($B$1/'Scheduled Intervals'!BC8,0),2),0)</f>
        <v>0</v>
      </c>
      <c r="BD45" s="246">
        <f>IF('Scheduled Intervals'!BD8&gt;0,ROUND('Hours Per Job'!BD8*'Total Cost for Plan'!$B$36*ROUNDDOWN($B$1/'Scheduled Intervals'!BD8,0),2),0)</f>
        <v>0</v>
      </c>
      <c r="BE45" s="246">
        <f>IF('Scheduled Intervals'!BE8&gt;0,ROUND('Hours Per Job'!BE8*'Total Cost for Plan'!$B$36*ROUNDDOWN($B$1/'Scheduled Intervals'!BE8,0),2),0)</f>
        <v>0</v>
      </c>
      <c r="BF45" s="246">
        <f>IF('Scheduled Intervals'!BF8&gt;0,ROUND('Hours Per Job'!BF8*'Total Cost for Plan'!$B$36*ROUNDDOWN($B$1/'Scheduled Intervals'!BF8,0),2),0)</f>
        <v>0</v>
      </c>
      <c r="BG45" s="246">
        <f>IF('Scheduled Intervals'!BG8&gt;0,ROUND('Hours Per Job'!BG8*'Total Cost for Plan'!$B$36*ROUNDDOWN($B$1/'Scheduled Intervals'!BG8,0),2),0)</f>
        <v>0</v>
      </c>
      <c r="BH45" s="246">
        <f>IF('Scheduled Intervals'!BH8&gt;0,ROUND('Hours Per Job'!BH8*'Total Cost for Plan'!$B$36*ROUNDDOWN($B$1/'Scheduled Intervals'!BH8,0),2),0)</f>
        <v>0</v>
      </c>
      <c r="BI45" s="246">
        <f>IF('Scheduled Intervals'!BI8&gt;0,ROUND('Hours Per Job'!BI8*'Total Cost for Plan'!$B$36*ROUNDDOWN($B$1/'Scheduled Intervals'!BI8,0),2),0)</f>
        <v>0</v>
      </c>
      <c r="BJ45" s="246">
        <f>IF('Scheduled Intervals'!BJ8&gt;0,ROUND('Hours Per Job'!BJ8*'Total Cost for Plan'!$B$36*ROUNDDOWN($B$1/'Scheduled Intervals'!BJ8,0),2),0)</f>
        <v>0</v>
      </c>
      <c r="BK45" s="246">
        <f>IF('Scheduled Intervals'!BK8&gt;0,ROUND('Hours Per Job'!BK8*'Total Cost for Plan'!$B$36*ROUNDDOWN($B$1/'Scheduled Intervals'!BK8,0),2),0)</f>
        <v>0</v>
      </c>
      <c r="BL45" s="246">
        <f>IF('Scheduled Intervals'!BL8&gt;0,ROUND('Hours Per Job'!BL8*'Total Cost for Plan'!$B$36*ROUNDDOWN($B$1/'Scheduled Intervals'!BL8,0),2),0)</f>
        <v>0</v>
      </c>
      <c r="BM45" s="246">
        <f>IF('Scheduled Intervals'!BM8&gt;0,ROUND('Hours Per Job'!BM8*'Total Cost for Plan'!$B$36*ROUNDDOWN($B$1/'Scheduled Intervals'!BM8,0),2),0)</f>
        <v>0</v>
      </c>
      <c r="BN45" s="246">
        <f>IF(AND('Scheduled Intervals'!BN$4="annual",'Plan Summary'!$C$5&lt;'Scheduled Intervals'!$U8*('Plan Summary'!$C$9/12)),ROUND('Hours Per Job'!BN8*'Total Cost for Plan'!$B$36*ROUND('Plan Summary'!$C$9/12,0),2),0)</f>
        <v>240</v>
      </c>
      <c r="BO45" s="246">
        <f>IF(AND('Scheduled Intervals'!BO$4="annual",'Plan Summary'!$C$5&lt;'Scheduled Intervals'!$U8*('Plan Summary'!$C$9/12)),ROUND('Hours Per Job'!BO8*'Total Cost for Plan'!$B$36*ROUND('Plan Summary'!$C$9/12,0),2),0)</f>
        <v>120</v>
      </c>
      <c r="BP45" s="246">
        <f>IF(AND('Scheduled Intervals'!BP$4="annual",'Plan Summary'!$C$5&lt;'Scheduled Intervals'!$U8*('Plan Summary'!$C$9/12)),ROUND('Hours Per Job'!BP8*'Total Cost for Plan'!$B$36*ROUND('Plan Summary'!$C$9/12,0),2),0)</f>
        <v>630</v>
      </c>
      <c r="BQ45" s="246">
        <f t="shared" si="2"/>
        <v>1176</v>
      </c>
      <c r="BR45" s="246"/>
    </row>
    <row r="46" spans="1:70" ht="16" x14ac:dyDescent="0.2">
      <c r="A46" s="18" t="str">
        <f>+'Scheduled Intervals'!A9</f>
        <v>Utility over 75 M4 class</v>
      </c>
      <c r="B46" s="246">
        <f>ROUND(('Hours Per Job'!B9*$B$36),2)</f>
        <v>48</v>
      </c>
      <c r="C46" s="246">
        <f>ROUND(('Hours Per Job'!C9*$B$36),2)</f>
        <v>0</v>
      </c>
      <c r="D46" s="246">
        <f>ROUND(('Hours Per Job'!D9*$B$36),2)</f>
        <v>0</v>
      </c>
      <c r="E46" s="246">
        <f>ROUND(('Hours Per Job'!E9*$B$36),2)</f>
        <v>0</v>
      </c>
      <c r="F46" s="246">
        <f>ROUND(('Hours Per Job'!F9*$B$36),2)</f>
        <v>0</v>
      </c>
      <c r="G46" s="246">
        <f>ROUND(('Hours Per Job'!G9*$B$36),2)</f>
        <v>0</v>
      </c>
      <c r="H46" s="246">
        <f>ROUND(('Hours Per Job'!H9*$B$36),2)</f>
        <v>24</v>
      </c>
      <c r="I46" s="246">
        <f>ROUND(('Hours Per Job'!I9*$B$36),2)</f>
        <v>30</v>
      </c>
      <c r="J46" s="246">
        <f>ROUND(('Hours Per Job'!J9*$B$36),2)</f>
        <v>0</v>
      </c>
      <c r="K46" s="246">
        <f>ROUND(('Hours Per Job'!K9*$B$36),2)</f>
        <v>0</v>
      </c>
      <c r="L46" s="246">
        <f>ROUND(('Hours Per Job'!L9*$B$36),2)</f>
        <v>0</v>
      </c>
      <c r="M46" s="246">
        <f>ROUND(('Hours Per Job'!M9*$B$36),2)</f>
        <v>0</v>
      </c>
      <c r="N46" s="246">
        <f>ROUND(('Hours Per Job'!N9*$B$36),2)</f>
        <v>0</v>
      </c>
      <c r="O46" s="246">
        <f>ROUND(('Hours Per Job'!O9*$B$36),2)</f>
        <v>0</v>
      </c>
      <c r="P46" s="246">
        <f>ROUND(('Hours Per Job'!P9*$B$36),2)</f>
        <v>0</v>
      </c>
      <c r="Q46" s="246">
        <f>ROUND(('Hours Per Job'!Q9*$B$36),2)</f>
        <v>0</v>
      </c>
      <c r="R46" s="246">
        <f>ROUND(('Hours Per Job'!R9*$B$36),2)</f>
        <v>0</v>
      </c>
      <c r="S46" s="246">
        <f>ROUND(('Hours Per Job'!S9*$B$36),2)</f>
        <v>0</v>
      </c>
      <c r="T46" s="246">
        <f>ROUND(('Hours Per Job'!T9*$B$36),2)</f>
        <v>0</v>
      </c>
      <c r="U46" s="246">
        <f>IF('Scheduled Intervals'!U9&gt;0,ROUND('Hours Per Job'!U9*'Total Cost for Plan'!$B$36*ROUNDDOWN($B$1/'Scheduled Intervals'!U9,0),2),0)</f>
        <v>0</v>
      </c>
      <c r="V46" s="246">
        <f>IF('Scheduled Intervals'!V9&gt;0,ROUND('Hours Per Job'!V9*'Total Cost for Plan'!$B$36*ROUNDDOWN($B$1/'Scheduled Intervals'!V9,0),2),0)</f>
        <v>0</v>
      </c>
      <c r="W46" s="246">
        <f>IF('Scheduled Intervals'!W9&gt;0,ROUND('Hours Per Job'!W9*'Total Cost for Plan'!$B$36*ROUNDDOWN($B$1/'Scheduled Intervals'!W9,0),2),0)</f>
        <v>0</v>
      </c>
      <c r="X46" s="246">
        <f>IF('Scheduled Intervals'!X9&gt;0,ROUND('Hours Per Job'!X9*'Total Cost for Plan'!$B$36*ROUNDDOWN($B$1/'Scheduled Intervals'!X9,0),2),0)</f>
        <v>0</v>
      </c>
      <c r="Y46" s="246">
        <f>IF('Scheduled Intervals'!Y9&gt;0,ROUND('Hours Per Job'!Y9*'Total Cost for Plan'!$B$36*ROUNDDOWN($B$1/'Scheduled Intervals'!Y9,0),2),0)</f>
        <v>0</v>
      </c>
      <c r="Z46" s="246">
        <f>IF('Scheduled Intervals'!Z9&gt;0,ROUND('Hours Per Job'!Z9*'Total Cost for Plan'!$B$36*ROUNDDOWN($B$1/'Scheduled Intervals'!Z9,0),2),0)</f>
        <v>0</v>
      </c>
      <c r="AA46" s="246">
        <f>IF('Scheduled Intervals'!AA9&gt;0,ROUND('Hours Per Job'!AA9*'Total Cost for Plan'!$B$36*ROUNDDOWN($B$1/'Scheduled Intervals'!AA9,0),2),0)</f>
        <v>0</v>
      </c>
      <c r="AB46" s="246">
        <f>IF('Scheduled Intervals'!AB9&gt;0,ROUND('Hours Per Job'!AB9*'Total Cost for Plan'!$B$36*ROUNDDOWN($B$1/'Scheduled Intervals'!AB9,0),2),0)</f>
        <v>0</v>
      </c>
      <c r="AC46" s="246">
        <f>IF('Scheduled Intervals'!AC9&gt;0,ROUND('Hours Per Job'!AC9*'Total Cost for Plan'!$B$36*ROUNDDOWN($B$1/'Scheduled Intervals'!AC9,0),2),0)</f>
        <v>0</v>
      </c>
      <c r="AD46" s="246">
        <f>IF('Scheduled Intervals'!AD9&gt;0,ROUND('Hours Per Job'!AD9*'Total Cost for Plan'!$B$36*ROUNDDOWN($B$1/'Scheduled Intervals'!AD9,0),2),0)</f>
        <v>0</v>
      </c>
      <c r="AE46" s="246">
        <f>IF('Scheduled Intervals'!AE9&gt;0,ROUND('Hours Per Job'!AE9*'Total Cost for Plan'!$B$36*ROUNDDOWN($B$1/'Scheduled Intervals'!AE9,0),2),0)</f>
        <v>0</v>
      </c>
      <c r="AF46" s="246">
        <f>IF('Scheduled Intervals'!AF9&gt;0,ROUND('Hours Per Job'!AF9*'Total Cost for Plan'!$B$36*ROUNDDOWN($B$1/'Scheduled Intervals'!AF9,0),2),0)</f>
        <v>0</v>
      </c>
      <c r="AG46" s="246">
        <f>IF('Scheduled Intervals'!AG9&gt;0,ROUND('Hours Per Job'!AG9*'Total Cost for Plan'!$B$36*ROUNDDOWN($B$1/'Scheduled Intervals'!AG9,0),2),0)</f>
        <v>0</v>
      </c>
      <c r="AH46" s="246">
        <f>IF('Scheduled Intervals'!AH9&gt;0,ROUND('Hours Per Job'!AH9*'Total Cost for Plan'!$B$36*ROUNDDOWN($B$1/'Scheduled Intervals'!AH9,0),2),0)</f>
        <v>0</v>
      </c>
      <c r="AI46" s="246">
        <f>IF('Scheduled Intervals'!AI9&gt;0,ROUND('Hours Per Job'!AI9*'Total Cost for Plan'!$B$36*ROUNDDOWN($B$1/'Scheduled Intervals'!AI9,0),2),0)</f>
        <v>0</v>
      </c>
      <c r="AJ46" s="246">
        <f>IF('Scheduled Intervals'!AJ9&gt;0,ROUND('Hours Per Job'!AJ9*'Total Cost for Plan'!$B$36*ROUNDDOWN($B$1/'Scheduled Intervals'!AJ9,0),2),0)</f>
        <v>0</v>
      </c>
      <c r="AK46" s="246">
        <f>IF('Scheduled Intervals'!AK9&gt;0,ROUND('Hours Per Job'!AK9*'Total Cost for Plan'!$B$36*ROUNDDOWN($B$1/'Scheduled Intervals'!AK9,0),2),0)</f>
        <v>0</v>
      </c>
      <c r="AL46" s="246">
        <f>IF('Scheduled Intervals'!AL9&gt;0,ROUND('Hours Per Job'!AL9*'Total Cost for Plan'!$B$36*ROUNDDOWN($B$1/'Scheduled Intervals'!AL9,0),2),0)</f>
        <v>0</v>
      </c>
      <c r="AM46" s="246">
        <f>IF('Scheduled Intervals'!AM9&gt;0,ROUND('Hours Per Job'!AM9*'Total Cost for Plan'!$B$36*ROUNDDOWN($B$1/'Scheduled Intervals'!AM9,0),2),0)</f>
        <v>0</v>
      </c>
      <c r="AN46" s="246">
        <f>IF('Scheduled Intervals'!AN9&gt;0,ROUND('Hours Per Job'!AN9*'Total Cost for Plan'!$B$36*ROUNDDOWN($B$1/'Scheduled Intervals'!AN9,0),2),0)</f>
        <v>0</v>
      </c>
      <c r="AO46" s="246">
        <f>IF('Scheduled Intervals'!AO9&gt;0,ROUND('Hours Per Job'!AO9*'Total Cost for Plan'!$B$36*ROUNDDOWN($B$1/'Scheduled Intervals'!AO9,0),2),0)</f>
        <v>0</v>
      </c>
      <c r="AP46" s="246">
        <f>IF('Scheduled Intervals'!AP9&gt;0,ROUND('Hours Per Job'!AP9*'Total Cost for Plan'!$B$36*ROUNDDOWN($B$1/'Scheduled Intervals'!AP9,0),2),0)</f>
        <v>0</v>
      </c>
      <c r="AQ46" s="246">
        <f>IF('Scheduled Intervals'!AQ9&gt;0,ROUND('Hours Per Job'!AQ9*'Total Cost for Plan'!$B$36*ROUNDDOWN($B$1/'Scheduled Intervals'!AQ9,0),2),0)</f>
        <v>0</v>
      </c>
      <c r="AR46" s="246">
        <f>IF('Scheduled Intervals'!AR9&gt;0,ROUND('Hours Per Job'!AR9*'Total Cost for Plan'!$B$36*ROUNDDOWN($B$1/'Scheduled Intervals'!AR9,0),2),0)</f>
        <v>0</v>
      </c>
      <c r="AS46" s="246">
        <f>IF('Scheduled Intervals'!AS9&gt;0,ROUND('Hours Per Job'!AS9*'Total Cost for Plan'!$B$36*ROUNDDOWN($B$1/'Scheduled Intervals'!AS9,0),2),0)</f>
        <v>0</v>
      </c>
      <c r="AT46" s="246">
        <f>IF('Scheduled Intervals'!AT9&gt;0,ROUND('Hours Per Job'!AT9*'Total Cost for Plan'!$B$36*ROUNDDOWN($B$1/'Scheduled Intervals'!AT9,0),2),0)</f>
        <v>0</v>
      </c>
      <c r="AU46" s="246">
        <f>IF('Scheduled Intervals'!AU9&gt;0,ROUND('Hours Per Job'!AU9*'Total Cost for Plan'!$B$36*ROUNDDOWN($B$1/'Scheduled Intervals'!AU9,0),2),0)</f>
        <v>0</v>
      </c>
      <c r="AV46" s="246">
        <f>IF('Scheduled Intervals'!AV9&gt;0,ROUND('Hours Per Job'!AV9*'Total Cost for Plan'!$B$36*ROUNDDOWN($B$1/'Scheduled Intervals'!AV9,0),2),0)</f>
        <v>0</v>
      </c>
      <c r="AW46" s="246">
        <f>IF('Scheduled Intervals'!AW9&gt;0,ROUND('Hours Per Job'!AW9*'Total Cost for Plan'!$B$36*ROUNDDOWN($B$1/'Scheduled Intervals'!AW9,0),2),0)</f>
        <v>0</v>
      </c>
      <c r="AX46" s="246">
        <f>IF('Scheduled Intervals'!AX9&gt;0,ROUND('Hours Per Job'!AX9*'Total Cost for Plan'!$B$36*ROUNDDOWN($B$1/'Scheduled Intervals'!AX9,0),2),0)</f>
        <v>0</v>
      </c>
      <c r="AY46" s="246">
        <f>IF('Scheduled Intervals'!AY9&gt;0,ROUND('Hours Per Job'!AY9*'Total Cost for Plan'!$B$36*ROUNDDOWN($B$1/'Scheduled Intervals'!AY9,0),2),0)</f>
        <v>0</v>
      </c>
      <c r="AZ46" s="246">
        <f>IF('Scheduled Intervals'!AZ9&gt;0,ROUND('Hours Per Job'!AZ9*'Total Cost for Plan'!$B$36*ROUNDDOWN($B$1/'Scheduled Intervals'!AZ9,0),2),0)</f>
        <v>0</v>
      </c>
      <c r="BA46" s="246">
        <f>IF('Scheduled Intervals'!BA9&gt;0,ROUND('Hours Per Job'!BA9*'Total Cost for Plan'!$B$36*ROUNDDOWN($B$1/'Scheduled Intervals'!BA9,0),2),0)</f>
        <v>0</v>
      </c>
      <c r="BB46" s="246">
        <f>IF('Scheduled Intervals'!BB9&gt;0,ROUND('Hours Per Job'!BB9*'Total Cost for Plan'!$B$36*ROUNDDOWN($B$1/'Scheduled Intervals'!BB9,0),2),0)</f>
        <v>0</v>
      </c>
      <c r="BC46" s="246">
        <f>IF('Scheduled Intervals'!BC9&gt;0,ROUND('Hours Per Job'!BC9*'Total Cost for Plan'!$B$36*ROUNDDOWN($B$1/'Scheduled Intervals'!BC9,0),2),0)</f>
        <v>0</v>
      </c>
      <c r="BD46" s="246">
        <f>IF('Scheduled Intervals'!BD9&gt;0,ROUND('Hours Per Job'!BD9*'Total Cost for Plan'!$B$36*ROUNDDOWN($B$1/'Scheduled Intervals'!BD9,0),2),0)</f>
        <v>0</v>
      </c>
      <c r="BE46" s="246">
        <f>IF('Scheduled Intervals'!BE9&gt;0,ROUND('Hours Per Job'!BE9*'Total Cost for Plan'!$B$36*ROUNDDOWN($B$1/'Scheduled Intervals'!BE9,0),2),0)</f>
        <v>0</v>
      </c>
      <c r="BF46" s="246">
        <f>IF('Scheduled Intervals'!BF9&gt;0,ROUND('Hours Per Job'!BF9*'Total Cost for Plan'!$B$36*ROUNDDOWN($B$1/'Scheduled Intervals'!BF9,0),2),0)</f>
        <v>0</v>
      </c>
      <c r="BG46" s="246">
        <f>IF('Scheduled Intervals'!BG9&gt;0,ROUND('Hours Per Job'!BG9*'Total Cost for Plan'!$B$36*ROUNDDOWN($B$1/'Scheduled Intervals'!BG9,0),2),0)</f>
        <v>0</v>
      </c>
      <c r="BH46" s="246">
        <f>IF('Scheduled Intervals'!BH9&gt;0,ROUND('Hours Per Job'!BH9*'Total Cost for Plan'!$B$36*ROUNDDOWN($B$1/'Scheduled Intervals'!BH9,0),2),0)</f>
        <v>0</v>
      </c>
      <c r="BI46" s="246">
        <f>IF('Scheduled Intervals'!BI9&gt;0,ROUND('Hours Per Job'!BI9*'Total Cost for Plan'!$B$36*ROUNDDOWN($B$1/'Scheduled Intervals'!BI9,0),2),0)</f>
        <v>0</v>
      </c>
      <c r="BJ46" s="246">
        <f>IF('Scheduled Intervals'!BJ9&gt;0,ROUND('Hours Per Job'!BJ9*'Total Cost for Plan'!$B$36*ROUNDDOWN($B$1/'Scheduled Intervals'!BJ9,0),2),0)</f>
        <v>0</v>
      </c>
      <c r="BK46" s="246">
        <f>IF('Scheduled Intervals'!BK9&gt;0,ROUND('Hours Per Job'!BK9*'Total Cost for Plan'!$B$36*ROUNDDOWN($B$1/'Scheduled Intervals'!BK9,0),2),0)</f>
        <v>0</v>
      </c>
      <c r="BL46" s="246">
        <f>IF('Scheduled Intervals'!BL9&gt;0,ROUND('Hours Per Job'!BL9*'Total Cost for Plan'!$B$36*ROUNDDOWN($B$1/'Scheduled Intervals'!BL9,0),2),0)</f>
        <v>0</v>
      </c>
      <c r="BM46" s="246">
        <f>IF('Scheduled Intervals'!BM9&gt;0,ROUND('Hours Per Job'!BM9*'Total Cost for Plan'!$B$36*ROUNDDOWN($B$1/'Scheduled Intervals'!BM9,0),2),0)</f>
        <v>0</v>
      </c>
      <c r="BN46" s="246">
        <f>IF(AND('Scheduled Intervals'!BN$4="annual",'Plan Summary'!$C$5&lt;'Scheduled Intervals'!$U9*('Plan Summary'!$C$9/12)),ROUND('Hours Per Job'!BN9*'Total Cost for Plan'!$B$36*ROUND('Plan Summary'!$C$9/12,0),2),0)</f>
        <v>240</v>
      </c>
      <c r="BO46" s="246">
        <f>IF(AND('Scheduled Intervals'!BO$4="annual",'Plan Summary'!$C$5&lt;'Scheduled Intervals'!$U9*('Plan Summary'!$C$9/12)),ROUND('Hours Per Job'!BO9*'Total Cost for Plan'!$B$36*ROUND('Plan Summary'!$C$9/12,0),2),0)</f>
        <v>120</v>
      </c>
      <c r="BP46" s="246">
        <f>IF(AND('Scheduled Intervals'!BP$4="annual",'Plan Summary'!$C$5&lt;'Scheduled Intervals'!$U9*('Plan Summary'!$C$9/12)),ROUND('Hours Per Job'!BP9*'Total Cost for Plan'!$B$36*ROUND('Plan Summary'!$C$9/12,0),2),0)</f>
        <v>630</v>
      </c>
      <c r="BQ46" s="246">
        <f t="shared" si="2"/>
        <v>1092</v>
      </c>
      <c r="BR46" s="246"/>
    </row>
    <row r="47" spans="1:70" ht="16" x14ac:dyDescent="0.2">
      <c r="A47" s="18" t="str">
        <f>+'Scheduled Intervals'!A10</f>
        <v>Large Ag M6</v>
      </c>
      <c r="B47" s="246">
        <f>ROUND(('Hours Per Job'!B10*$B$36),2)</f>
        <v>72</v>
      </c>
      <c r="C47" s="246">
        <f>ROUND(('Hours Per Job'!C10*$B$36),2)</f>
        <v>48</v>
      </c>
      <c r="D47" s="246">
        <f>ROUND(('Hours Per Job'!D10*$B$36),2)</f>
        <v>0</v>
      </c>
      <c r="E47" s="246">
        <f>ROUND(('Hours Per Job'!E10*$B$36),2)</f>
        <v>0</v>
      </c>
      <c r="F47" s="246">
        <f>ROUND(('Hours Per Job'!F10*$B$36),2)</f>
        <v>60</v>
      </c>
      <c r="G47" s="246">
        <f>ROUND(('Hours Per Job'!G10*$B$36),2)</f>
        <v>0</v>
      </c>
      <c r="H47" s="246">
        <f>ROUND(('Hours Per Job'!H10*$B$36),2)</f>
        <v>60</v>
      </c>
      <c r="I47" s="246">
        <f>ROUND(('Hours Per Job'!I10*$B$36),2)</f>
        <v>30</v>
      </c>
      <c r="J47" s="246">
        <f>ROUND(('Hours Per Job'!J10*$B$36),2)</f>
        <v>0</v>
      </c>
      <c r="K47" s="246">
        <f>ROUND(('Hours Per Job'!K10*$B$36),2)</f>
        <v>0</v>
      </c>
      <c r="L47" s="246">
        <f>ROUND(('Hours Per Job'!L10*$B$36),2)</f>
        <v>0</v>
      </c>
      <c r="M47" s="246">
        <f>ROUND(('Hours Per Job'!M10*$B$36),2)</f>
        <v>0</v>
      </c>
      <c r="N47" s="246">
        <f>ROUND(('Hours Per Job'!N10*$B$36),2)</f>
        <v>0</v>
      </c>
      <c r="O47" s="246">
        <f>ROUND(('Hours Per Job'!O10*$B$36),2)</f>
        <v>0</v>
      </c>
      <c r="P47" s="246">
        <f>ROUND(('Hours Per Job'!P10*$B$36),2)</f>
        <v>0</v>
      </c>
      <c r="Q47" s="246">
        <f>ROUND(('Hours Per Job'!Q10*$B$36),2)</f>
        <v>0</v>
      </c>
      <c r="R47" s="246">
        <f>ROUND(('Hours Per Job'!R10*$B$36),2)</f>
        <v>0</v>
      </c>
      <c r="S47" s="246">
        <f>ROUND(('Hours Per Job'!S10*$B$36),2)</f>
        <v>0</v>
      </c>
      <c r="T47" s="246">
        <f>ROUND(('Hours Per Job'!T10*$B$36),2)</f>
        <v>0</v>
      </c>
      <c r="U47" s="246">
        <f>IF('Scheduled Intervals'!U10&gt;0,ROUND('Hours Per Job'!U10*'Total Cost for Plan'!$B$36*ROUNDDOWN($B$1/'Scheduled Intervals'!U10,0),2),0)</f>
        <v>0</v>
      </c>
      <c r="V47" s="246">
        <f>IF('Scheduled Intervals'!V10&gt;0,ROUND('Hours Per Job'!V10*'Total Cost for Plan'!$B$36*ROUNDDOWN($B$1/'Scheduled Intervals'!V10,0),2),0)</f>
        <v>0</v>
      </c>
      <c r="W47" s="246">
        <f>IF('Scheduled Intervals'!W10&gt;0,ROUND('Hours Per Job'!W10*'Total Cost for Plan'!$B$36*ROUNDDOWN($B$1/'Scheduled Intervals'!W10,0),2),0)</f>
        <v>0</v>
      </c>
      <c r="X47" s="246">
        <f>IF('Scheduled Intervals'!X10&gt;0,ROUND('Hours Per Job'!X10*'Total Cost for Plan'!$B$36*ROUNDDOWN($B$1/'Scheduled Intervals'!X10,0),2),0)</f>
        <v>0</v>
      </c>
      <c r="Y47" s="246">
        <f>IF('Scheduled Intervals'!Y10&gt;0,ROUND('Hours Per Job'!Y10*'Total Cost for Plan'!$B$36*ROUNDDOWN($B$1/'Scheduled Intervals'!Y10,0),2),0)</f>
        <v>0</v>
      </c>
      <c r="Z47" s="246">
        <f>IF('Scheduled Intervals'!Z10&gt;0,ROUND('Hours Per Job'!Z10*'Total Cost for Plan'!$B$36*ROUNDDOWN($B$1/'Scheduled Intervals'!Z10,0),2),0)</f>
        <v>0</v>
      </c>
      <c r="AA47" s="246">
        <f>IF('Scheduled Intervals'!AA10&gt;0,ROUND('Hours Per Job'!AA10*'Total Cost for Plan'!$B$36*ROUNDDOWN($B$1/'Scheduled Intervals'!AA10,0),2),0)</f>
        <v>0</v>
      </c>
      <c r="AB47" s="246">
        <f>IF('Scheduled Intervals'!AB10&gt;0,ROUND('Hours Per Job'!AB10*'Total Cost for Plan'!$B$36*ROUNDDOWN($B$1/'Scheduled Intervals'!AB10,0),2),0)</f>
        <v>0</v>
      </c>
      <c r="AC47" s="246">
        <f>IF('Scheduled Intervals'!AC10&gt;0,ROUND('Hours Per Job'!AC10*'Total Cost for Plan'!$B$36*ROUNDDOWN($B$1/'Scheduled Intervals'!AC10,0),2),0)</f>
        <v>0</v>
      </c>
      <c r="AD47" s="246">
        <f>IF('Scheduled Intervals'!AD10&gt;0,ROUND('Hours Per Job'!AD10*'Total Cost for Plan'!$B$36*ROUNDDOWN($B$1/'Scheduled Intervals'!AD10,0),2),0)</f>
        <v>0</v>
      </c>
      <c r="AE47" s="246">
        <f>IF('Scheduled Intervals'!AE10&gt;0,ROUND('Hours Per Job'!AE10*'Total Cost for Plan'!$B$36*ROUNDDOWN($B$1/'Scheduled Intervals'!AE10,0),2),0)</f>
        <v>0</v>
      </c>
      <c r="AF47" s="246">
        <f>IF('Scheduled Intervals'!AF10&gt;0,ROUND('Hours Per Job'!AF10*'Total Cost for Plan'!$B$36*ROUNDDOWN($B$1/'Scheduled Intervals'!AF10,0),2),0)</f>
        <v>0</v>
      </c>
      <c r="AG47" s="246">
        <f>IF('Scheduled Intervals'!AG10&gt;0,ROUND('Hours Per Job'!AG10*'Total Cost for Plan'!$B$36*ROUNDDOWN($B$1/'Scheduled Intervals'!AG10,0),2),0)</f>
        <v>0</v>
      </c>
      <c r="AH47" s="246">
        <f>IF('Scheduled Intervals'!AH10&gt;0,ROUND('Hours Per Job'!AH10*'Total Cost for Plan'!$B$36*ROUNDDOWN($B$1/'Scheduled Intervals'!AH10,0),2),0)</f>
        <v>0</v>
      </c>
      <c r="AI47" s="246">
        <f>IF('Scheduled Intervals'!AI10&gt;0,ROUND('Hours Per Job'!AI10*'Total Cost for Plan'!$B$36*ROUNDDOWN($B$1/'Scheduled Intervals'!AI10,0),2),0)</f>
        <v>0</v>
      </c>
      <c r="AJ47" s="246">
        <f>IF('Scheduled Intervals'!AJ10&gt;0,ROUND('Hours Per Job'!AJ10*'Total Cost for Plan'!$B$36*ROUNDDOWN($B$1/'Scheduled Intervals'!AJ10,0),2),0)</f>
        <v>0</v>
      </c>
      <c r="AK47" s="246">
        <f>IF('Scheduled Intervals'!AK10&gt;0,ROUND('Hours Per Job'!AK10*'Total Cost for Plan'!$B$36*ROUNDDOWN($B$1/'Scheduled Intervals'!AK10,0),2),0)</f>
        <v>0</v>
      </c>
      <c r="AL47" s="246">
        <f>IF('Scheduled Intervals'!AL10&gt;0,ROUND('Hours Per Job'!AL10*'Total Cost for Plan'!$B$36*ROUNDDOWN($B$1/'Scheduled Intervals'!AL10,0),2),0)</f>
        <v>0</v>
      </c>
      <c r="AM47" s="246">
        <f>IF('Scheduled Intervals'!AM10&gt;0,ROUND('Hours Per Job'!AM10*'Total Cost for Plan'!$B$36*ROUNDDOWN($B$1/'Scheduled Intervals'!AM10,0),2),0)</f>
        <v>0</v>
      </c>
      <c r="AN47" s="246">
        <f>IF('Scheduled Intervals'!AN10&gt;0,ROUND('Hours Per Job'!AN10*'Total Cost for Plan'!$B$36*ROUNDDOWN($B$1/'Scheduled Intervals'!AN10,0),2),0)</f>
        <v>0</v>
      </c>
      <c r="AO47" s="246">
        <f>IF('Scheduled Intervals'!AO10&gt;0,ROUND('Hours Per Job'!AO10*'Total Cost for Plan'!$B$36*ROUNDDOWN($B$1/'Scheduled Intervals'!AO10,0),2),0)</f>
        <v>0</v>
      </c>
      <c r="AP47" s="246">
        <f>IF('Scheduled Intervals'!AP10&gt;0,ROUND('Hours Per Job'!AP10*'Total Cost for Plan'!$B$36*ROUNDDOWN($B$1/'Scheduled Intervals'!AP10,0),2),0)</f>
        <v>0</v>
      </c>
      <c r="AQ47" s="246">
        <f>IF('Scheduled Intervals'!AQ10&gt;0,ROUND('Hours Per Job'!AQ10*'Total Cost for Plan'!$B$36*ROUNDDOWN($B$1/'Scheduled Intervals'!AQ10,0),2),0)</f>
        <v>0</v>
      </c>
      <c r="AR47" s="246">
        <f>IF('Scheduled Intervals'!AR10&gt;0,ROUND('Hours Per Job'!AR10*'Total Cost for Plan'!$B$36*ROUNDDOWN($B$1/'Scheduled Intervals'!AR10,0),2),0)</f>
        <v>0</v>
      </c>
      <c r="AS47" s="246">
        <f>IF('Scheduled Intervals'!AS10&gt;0,ROUND('Hours Per Job'!AS10*'Total Cost for Plan'!$B$36*ROUNDDOWN($B$1/'Scheduled Intervals'!AS10,0),2),0)</f>
        <v>0</v>
      </c>
      <c r="AT47" s="246">
        <f>IF('Scheduled Intervals'!AT10&gt;0,ROUND('Hours Per Job'!AT10*'Total Cost for Plan'!$B$36*ROUNDDOWN($B$1/'Scheduled Intervals'!AT10,0),2),0)</f>
        <v>0</v>
      </c>
      <c r="AU47" s="246">
        <f>IF('Scheduled Intervals'!AU10&gt;0,ROUND('Hours Per Job'!AU10*'Total Cost for Plan'!$B$36*ROUNDDOWN($B$1/'Scheduled Intervals'!AU10,0),2),0)</f>
        <v>0</v>
      </c>
      <c r="AV47" s="246">
        <f>IF('Scheduled Intervals'!AV10&gt;0,ROUND('Hours Per Job'!AV10*'Total Cost for Plan'!$B$36*ROUNDDOWN($B$1/'Scheduled Intervals'!AV10,0),2),0)</f>
        <v>0</v>
      </c>
      <c r="AW47" s="246">
        <f>IF('Scheduled Intervals'!AW10&gt;0,ROUND('Hours Per Job'!AW10*'Total Cost for Plan'!$B$36*ROUNDDOWN($B$1/'Scheduled Intervals'!AW10,0),2),0)</f>
        <v>0</v>
      </c>
      <c r="AX47" s="246">
        <f>IF('Scheduled Intervals'!AX10&gt;0,ROUND('Hours Per Job'!AX10*'Total Cost for Plan'!$B$36*ROUNDDOWN($B$1/'Scheduled Intervals'!AX10,0),2),0)</f>
        <v>0</v>
      </c>
      <c r="AY47" s="246">
        <f>IF('Scheduled Intervals'!AY10&gt;0,ROUND('Hours Per Job'!AY10*'Total Cost for Plan'!$B$36*ROUNDDOWN($B$1/'Scheduled Intervals'!AY10,0),2),0)</f>
        <v>0</v>
      </c>
      <c r="AZ47" s="246">
        <f>IF('Scheduled Intervals'!AZ10&gt;0,ROUND('Hours Per Job'!AZ10*'Total Cost for Plan'!$B$36*ROUNDDOWN($B$1/'Scheduled Intervals'!AZ10,0),2),0)</f>
        <v>0</v>
      </c>
      <c r="BA47" s="246">
        <f>IF('Scheduled Intervals'!BA10&gt;0,ROUND('Hours Per Job'!BA10*'Total Cost for Plan'!$B$36*ROUNDDOWN($B$1/'Scheduled Intervals'!BA10,0),2),0)</f>
        <v>0</v>
      </c>
      <c r="BB47" s="246">
        <f>IF('Scheduled Intervals'!BB10&gt;0,ROUND('Hours Per Job'!BB10*'Total Cost for Plan'!$B$36*ROUNDDOWN($B$1/'Scheduled Intervals'!BB10,0),2),0)</f>
        <v>0</v>
      </c>
      <c r="BC47" s="246">
        <f>IF('Scheduled Intervals'!BC10&gt;0,ROUND('Hours Per Job'!BC10*'Total Cost for Plan'!$B$36*ROUNDDOWN($B$1/'Scheduled Intervals'!BC10,0),2),0)</f>
        <v>0</v>
      </c>
      <c r="BD47" s="246">
        <f>IF('Scheduled Intervals'!BD10&gt;0,ROUND('Hours Per Job'!BD10*'Total Cost for Plan'!$B$36*ROUNDDOWN($B$1/'Scheduled Intervals'!BD10,0),2),0)</f>
        <v>0</v>
      </c>
      <c r="BE47" s="246">
        <f>IF('Scheduled Intervals'!BE10&gt;0,ROUND('Hours Per Job'!BE10*'Total Cost for Plan'!$B$36*ROUNDDOWN($B$1/'Scheduled Intervals'!BE10,0),2),0)</f>
        <v>0</v>
      </c>
      <c r="BF47" s="246">
        <f>IF('Scheduled Intervals'!BF10&gt;0,ROUND('Hours Per Job'!BF10*'Total Cost for Plan'!$B$36*ROUNDDOWN($B$1/'Scheduled Intervals'!BF10,0),2),0)</f>
        <v>0</v>
      </c>
      <c r="BG47" s="246">
        <f>IF('Scheduled Intervals'!BG10&gt;0,ROUND('Hours Per Job'!BG10*'Total Cost for Plan'!$B$36*ROUNDDOWN($B$1/'Scheduled Intervals'!BG10,0),2),0)</f>
        <v>0</v>
      </c>
      <c r="BH47" s="246">
        <f>IF('Scheduled Intervals'!BH10&gt;0,ROUND('Hours Per Job'!BH10*'Total Cost for Plan'!$B$36*ROUNDDOWN($B$1/'Scheduled Intervals'!BH10,0),2),0)</f>
        <v>0</v>
      </c>
      <c r="BI47" s="246">
        <f>IF('Scheduled Intervals'!BI10&gt;0,ROUND('Hours Per Job'!BI10*'Total Cost for Plan'!$B$36*ROUNDDOWN($B$1/'Scheduled Intervals'!BI10,0),2),0)</f>
        <v>0</v>
      </c>
      <c r="BJ47" s="246">
        <f>IF('Scheduled Intervals'!BJ10&gt;0,ROUND('Hours Per Job'!BJ10*'Total Cost for Plan'!$B$36*ROUNDDOWN($B$1/'Scheduled Intervals'!BJ10,0),2),0)</f>
        <v>0</v>
      </c>
      <c r="BK47" s="246">
        <f>IF('Scheduled Intervals'!BK10&gt;0,ROUND('Hours Per Job'!BK10*'Total Cost for Plan'!$B$36*ROUNDDOWN($B$1/'Scheduled Intervals'!BK10,0),2),0)</f>
        <v>0</v>
      </c>
      <c r="BL47" s="246">
        <f>IF('Scheduled Intervals'!BL10&gt;0,ROUND('Hours Per Job'!BL10*'Total Cost for Plan'!$B$36*ROUNDDOWN($B$1/'Scheduled Intervals'!BL10,0),2),0)</f>
        <v>0</v>
      </c>
      <c r="BM47" s="246">
        <f>IF('Scheduled Intervals'!BM10&gt;0,ROUND('Hours Per Job'!BM10*'Total Cost for Plan'!$B$36*ROUNDDOWN($B$1/'Scheduled Intervals'!BM10,0),2),0)</f>
        <v>0</v>
      </c>
      <c r="BN47" s="246">
        <f>IF(AND('Scheduled Intervals'!BN$4="annual",'Plan Summary'!$C$5&lt;'Scheduled Intervals'!$U10*('Plan Summary'!$C$9/12)),ROUND('Hours Per Job'!BN10*'Total Cost for Plan'!$B$36*ROUND('Plan Summary'!$C$9/12,0),2),0)</f>
        <v>360</v>
      </c>
      <c r="BO47" s="246">
        <f>IF(AND('Scheduled Intervals'!BO$4="annual",'Plan Summary'!$C$5&lt;'Scheduled Intervals'!$U10*('Plan Summary'!$C$9/12)),ROUND('Hours Per Job'!BO10*'Total Cost for Plan'!$B$36*ROUND('Plan Summary'!$C$9/12,0),2),0)</f>
        <v>300</v>
      </c>
      <c r="BP47" s="246">
        <f>IF(AND('Scheduled Intervals'!BP$4="annual",'Plan Summary'!$C$5&lt;'Scheduled Intervals'!$U10*('Plan Summary'!$C$9/12)),ROUND('Hours Per Job'!BP10*'Total Cost for Plan'!$B$36*ROUND('Plan Summary'!$C$9/12,0),2),0)</f>
        <v>630</v>
      </c>
      <c r="BQ47" s="246">
        <f t="shared" si="2"/>
        <v>1560</v>
      </c>
      <c r="BR47" s="246"/>
    </row>
    <row r="48" spans="1:70" ht="16" x14ac:dyDescent="0.2">
      <c r="A48" s="18" t="str">
        <f>+'Scheduled Intervals'!A11</f>
        <v>Skid Steer</v>
      </c>
      <c r="B48" s="246">
        <f>ROUND(('Hours Per Job'!B11*$B$36),2)</f>
        <v>96</v>
      </c>
      <c r="C48" s="246">
        <f>ROUND(('Hours Per Job'!C11*$B$36),2)</f>
        <v>0</v>
      </c>
      <c r="D48" s="246">
        <f>ROUND(('Hours Per Job'!D11*$B$36),2)</f>
        <v>36</v>
      </c>
      <c r="E48" s="246">
        <f>ROUND(('Hours Per Job'!E11*$B$36),2)</f>
        <v>0</v>
      </c>
      <c r="F48" s="246">
        <f>ROUND(('Hours Per Job'!F11*$B$36),2)</f>
        <v>60</v>
      </c>
      <c r="G48" s="246">
        <f>ROUND(('Hours Per Job'!G11*$B$36),2)</f>
        <v>0</v>
      </c>
      <c r="H48" s="246">
        <f>ROUND(('Hours Per Job'!H11*$B$36),2)</f>
        <v>60</v>
      </c>
      <c r="I48" s="246">
        <f>ROUND(('Hours Per Job'!I11*$B$36),2)</f>
        <v>30</v>
      </c>
      <c r="J48" s="246">
        <f>ROUND(('Hours Per Job'!J11*$B$36),2)</f>
        <v>60</v>
      </c>
      <c r="K48" s="246">
        <f>ROUND(('Hours Per Job'!K11*$B$36),2)</f>
        <v>0</v>
      </c>
      <c r="L48" s="246">
        <f>ROUND(('Hours Per Job'!L11*$B$36),2)</f>
        <v>0</v>
      </c>
      <c r="M48" s="246">
        <f>ROUND(('Hours Per Job'!M11*$B$36),2)</f>
        <v>0</v>
      </c>
      <c r="N48" s="246">
        <f>ROUND(('Hours Per Job'!N11*$B$36),2)</f>
        <v>0</v>
      </c>
      <c r="O48" s="246">
        <f>ROUND(('Hours Per Job'!O11*$B$36),2)</f>
        <v>0</v>
      </c>
      <c r="P48" s="246">
        <f>ROUND(('Hours Per Job'!P11*$B$36),2)</f>
        <v>0</v>
      </c>
      <c r="Q48" s="246">
        <f>ROUND(('Hours Per Job'!Q11*$B$36),2)</f>
        <v>120</v>
      </c>
      <c r="R48" s="246">
        <f>ROUND(('Hours Per Job'!R11*$B$36),2)</f>
        <v>0</v>
      </c>
      <c r="S48" s="246">
        <f>ROUND(('Hours Per Job'!S11*$B$36),2)</f>
        <v>0</v>
      </c>
      <c r="T48" s="246">
        <f>ROUND(('Hours Per Job'!T11*$B$36),2)</f>
        <v>0</v>
      </c>
      <c r="U48" s="246">
        <f>IF('Scheduled Intervals'!U11&gt;0,ROUND('Hours Per Job'!U11*'Total Cost for Plan'!$B$36*ROUNDDOWN($B$1/'Scheduled Intervals'!U11,0),2),0)</f>
        <v>0</v>
      </c>
      <c r="V48" s="246">
        <f>IF('Scheduled Intervals'!V11&gt;0,ROUND('Hours Per Job'!V11*'Total Cost for Plan'!$B$36*ROUNDDOWN($B$1/'Scheduled Intervals'!V11,0),2),0)</f>
        <v>0</v>
      </c>
      <c r="W48" s="246">
        <f>IF('Scheduled Intervals'!W11&gt;0,ROUND('Hours Per Job'!W11*'Total Cost for Plan'!$B$36*ROUNDDOWN($B$1/'Scheduled Intervals'!W11,0),2),0)</f>
        <v>0</v>
      </c>
      <c r="X48" s="246">
        <f>IF('Scheduled Intervals'!X11&gt;0,ROUND('Hours Per Job'!X11*'Total Cost for Plan'!$B$36*ROUNDDOWN($B$1/'Scheduled Intervals'!X11,0),2),0)</f>
        <v>0</v>
      </c>
      <c r="Y48" s="246">
        <f>IF('Scheduled Intervals'!Y11&gt;0,ROUND('Hours Per Job'!Y11*'Total Cost for Plan'!$B$36*ROUNDDOWN($B$1/'Scheduled Intervals'!Y11,0),2),0)</f>
        <v>0</v>
      </c>
      <c r="Z48" s="246">
        <f>IF('Scheduled Intervals'!Z11&gt;0,ROUND('Hours Per Job'!Z11*'Total Cost for Plan'!$B$36*ROUNDDOWN($B$1/'Scheduled Intervals'!Z11,0),2),0)</f>
        <v>0</v>
      </c>
      <c r="AA48" s="246">
        <f>IF('Scheduled Intervals'!AA11&gt;0,ROUND('Hours Per Job'!AA11*'Total Cost for Plan'!$B$36*ROUNDDOWN($B$1/'Scheduled Intervals'!AA11,0),2),0)</f>
        <v>0</v>
      </c>
      <c r="AB48" s="246">
        <f>IF('Scheduled Intervals'!AB11&gt;0,ROUND('Hours Per Job'!AB11*'Total Cost for Plan'!$B$36*ROUNDDOWN($B$1/'Scheduled Intervals'!AB11,0),2),0)</f>
        <v>0</v>
      </c>
      <c r="AC48" s="246">
        <f>IF('Scheduled Intervals'!AC11&gt;0,ROUND('Hours Per Job'!AC11*'Total Cost for Plan'!$B$36*ROUNDDOWN($B$1/'Scheduled Intervals'!AC11,0),2),0)</f>
        <v>0</v>
      </c>
      <c r="AD48" s="246">
        <f>IF('Scheduled Intervals'!AD11&gt;0,ROUND('Hours Per Job'!AD11*'Total Cost for Plan'!$B$36*ROUNDDOWN($B$1/'Scheduled Intervals'!AD11,0),2),0)</f>
        <v>0</v>
      </c>
      <c r="AE48" s="246">
        <f>IF('Scheduled Intervals'!AE11&gt;0,ROUND('Hours Per Job'!AE11*'Total Cost for Plan'!$B$36*ROUNDDOWN($B$1/'Scheduled Intervals'!AE11,0),2),0)</f>
        <v>0</v>
      </c>
      <c r="AF48" s="246">
        <f>IF('Scheduled Intervals'!AF11&gt;0,ROUND('Hours Per Job'!AF11*'Total Cost for Plan'!$B$36*ROUNDDOWN($B$1/'Scheduled Intervals'!AF11,0),2),0)</f>
        <v>0</v>
      </c>
      <c r="AG48" s="246">
        <f>IF('Scheduled Intervals'!AG11&gt;0,ROUND('Hours Per Job'!AG11*'Total Cost for Plan'!$B$36*ROUNDDOWN($B$1/'Scheduled Intervals'!AG11,0),2),0)</f>
        <v>0</v>
      </c>
      <c r="AH48" s="246">
        <f>IF('Scheduled Intervals'!AH11&gt;0,ROUND('Hours Per Job'!AH11*'Total Cost for Plan'!$B$36*ROUNDDOWN($B$1/'Scheduled Intervals'!AH11,0),2),0)</f>
        <v>0</v>
      </c>
      <c r="AI48" s="246">
        <f>IF('Scheduled Intervals'!AI11&gt;0,ROUND('Hours Per Job'!AI11*'Total Cost for Plan'!$B$36*ROUNDDOWN($B$1/'Scheduled Intervals'!AI11,0),2),0)</f>
        <v>0</v>
      </c>
      <c r="AJ48" s="246">
        <f>IF('Scheduled Intervals'!AJ11&gt;0,ROUND('Hours Per Job'!AJ11*'Total Cost for Plan'!$B$36*ROUNDDOWN($B$1/'Scheduled Intervals'!AJ11,0),2),0)</f>
        <v>0</v>
      </c>
      <c r="AK48" s="246">
        <f>IF('Scheduled Intervals'!AK11&gt;0,ROUND('Hours Per Job'!AK11*'Total Cost for Plan'!$B$36*ROUNDDOWN($B$1/'Scheduled Intervals'!AK11,0),2),0)</f>
        <v>0</v>
      </c>
      <c r="AL48" s="246">
        <f>IF('Scheduled Intervals'!AL11&gt;0,ROUND('Hours Per Job'!AL11*'Total Cost for Plan'!$B$36*ROUNDDOWN($B$1/'Scheduled Intervals'!AL11,0),2),0)</f>
        <v>0</v>
      </c>
      <c r="AM48" s="246">
        <f>IF('Scheduled Intervals'!AM11&gt;0,ROUND('Hours Per Job'!AM11*'Total Cost for Plan'!$B$36*ROUNDDOWN($B$1/'Scheduled Intervals'!AM11,0),2),0)</f>
        <v>0</v>
      </c>
      <c r="AN48" s="246">
        <f>IF('Scheduled Intervals'!AN11&gt;0,ROUND('Hours Per Job'!AN11*'Total Cost for Plan'!$B$36*ROUNDDOWN($B$1/'Scheduled Intervals'!AN11,0),2),0)</f>
        <v>0</v>
      </c>
      <c r="AO48" s="246">
        <f>IF('Scheduled Intervals'!AO11&gt;0,ROUND('Hours Per Job'!AO11*'Total Cost for Plan'!$B$36*ROUNDDOWN($B$1/'Scheduled Intervals'!AO11,0),2),0)</f>
        <v>0</v>
      </c>
      <c r="AP48" s="246">
        <f>IF('Scheduled Intervals'!AP11&gt;0,ROUND('Hours Per Job'!AP11*'Total Cost for Plan'!$B$36*ROUNDDOWN($B$1/'Scheduled Intervals'!AP11,0),2),0)</f>
        <v>0</v>
      </c>
      <c r="AQ48" s="246">
        <f>IF('Scheduled Intervals'!AQ11&gt;0,ROUND('Hours Per Job'!AQ11*'Total Cost for Plan'!$B$36*ROUNDDOWN($B$1/'Scheduled Intervals'!AQ11,0),2),0)</f>
        <v>0</v>
      </c>
      <c r="AR48" s="246">
        <f>IF('Scheduled Intervals'!AR11&gt;0,ROUND('Hours Per Job'!AR11*'Total Cost for Plan'!$B$36*ROUNDDOWN($B$1/'Scheduled Intervals'!AR11,0),2),0)</f>
        <v>0</v>
      </c>
      <c r="AS48" s="246">
        <f>IF('Scheduled Intervals'!AS11&gt;0,ROUND('Hours Per Job'!AS11*'Total Cost for Plan'!$B$36*ROUNDDOWN($B$1/'Scheduled Intervals'!AS11,0),2),0)</f>
        <v>0</v>
      </c>
      <c r="AT48" s="246">
        <f>IF('Scheduled Intervals'!AT11&gt;0,ROUND('Hours Per Job'!AT11*'Total Cost for Plan'!$B$36*ROUNDDOWN($B$1/'Scheduled Intervals'!AT11,0),2),0)</f>
        <v>0</v>
      </c>
      <c r="AU48" s="246">
        <f>IF('Scheduled Intervals'!AU11&gt;0,ROUND('Hours Per Job'!AU11*'Total Cost for Plan'!$B$36*ROUNDDOWN($B$1/'Scheduled Intervals'!AU11,0),2),0)</f>
        <v>0</v>
      </c>
      <c r="AV48" s="246">
        <f>IF('Scheduled Intervals'!AV11&gt;0,ROUND('Hours Per Job'!AV11*'Total Cost for Plan'!$B$36*ROUNDDOWN($B$1/'Scheduled Intervals'!AV11,0),2),0)</f>
        <v>0</v>
      </c>
      <c r="AW48" s="246">
        <f>IF('Scheduled Intervals'!AW11&gt;0,ROUND('Hours Per Job'!AW11*'Total Cost for Plan'!$B$36*ROUNDDOWN($B$1/'Scheduled Intervals'!AW11,0),2),0)</f>
        <v>0</v>
      </c>
      <c r="AX48" s="246">
        <f>IF('Scheduled Intervals'!AX11&gt;0,ROUND('Hours Per Job'!AX11*'Total Cost for Plan'!$B$36*ROUNDDOWN($B$1/'Scheduled Intervals'!AX11,0),2),0)</f>
        <v>0</v>
      </c>
      <c r="AY48" s="246">
        <f>IF('Scheduled Intervals'!AY11&gt;0,ROUND('Hours Per Job'!AY11*'Total Cost for Plan'!$B$36*ROUNDDOWN($B$1/'Scheduled Intervals'!AY11,0),2),0)</f>
        <v>0</v>
      </c>
      <c r="AZ48" s="246">
        <f>IF('Scheduled Intervals'!AZ11&gt;0,ROUND('Hours Per Job'!AZ11*'Total Cost for Plan'!$B$36*ROUNDDOWN($B$1/'Scheduled Intervals'!AZ11,0),2),0)</f>
        <v>0</v>
      </c>
      <c r="BA48" s="246">
        <f>IF('Scheduled Intervals'!BA11&gt;0,ROUND('Hours Per Job'!BA11*'Total Cost for Plan'!$B$36*ROUNDDOWN($B$1/'Scheduled Intervals'!BA11,0),2),0)</f>
        <v>0</v>
      </c>
      <c r="BB48" s="246">
        <f>IF('Scheduled Intervals'!BB11&gt;0,ROUND('Hours Per Job'!BB11*'Total Cost for Plan'!$B$36*ROUNDDOWN($B$1/'Scheduled Intervals'!BB11,0),2),0)</f>
        <v>0</v>
      </c>
      <c r="BC48" s="246">
        <f>IF('Scheduled Intervals'!BC11&gt;0,ROUND('Hours Per Job'!BC11*'Total Cost for Plan'!$B$36*ROUNDDOWN($B$1/'Scheduled Intervals'!BC11,0),2),0)</f>
        <v>0</v>
      </c>
      <c r="BD48" s="246">
        <f>IF('Scheduled Intervals'!BD11&gt;0,ROUND('Hours Per Job'!BD11*'Total Cost for Plan'!$B$36*ROUNDDOWN($B$1/'Scheduled Intervals'!BD11,0),2),0)</f>
        <v>0</v>
      </c>
      <c r="BE48" s="246">
        <f>IF('Scheduled Intervals'!BE11&gt;0,ROUND('Hours Per Job'!BE11*'Total Cost for Plan'!$B$36*ROUNDDOWN($B$1/'Scheduled Intervals'!BE11,0),2),0)</f>
        <v>0</v>
      </c>
      <c r="BF48" s="246">
        <f>IF('Scheduled Intervals'!BF11&gt;0,ROUND('Hours Per Job'!BF11*'Total Cost for Plan'!$B$36*ROUNDDOWN($B$1/'Scheduled Intervals'!BF11,0),2),0)</f>
        <v>0</v>
      </c>
      <c r="BG48" s="246">
        <f>IF('Scheduled Intervals'!BG11&gt;0,ROUND('Hours Per Job'!BG11*'Total Cost for Plan'!$B$36*ROUNDDOWN($B$1/'Scheduled Intervals'!BG11,0),2),0)</f>
        <v>0</v>
      </c>
      <c r="BH48" s="246">
        <f>IF('Scheduled Intervals'!BH11&gt;0,ROUND('Hours Per Job'!BH11*'Total Cost for Plan'!$B$36*ROUNDDOWN($B$1/'Scheduled Intervals'!BH11,0),2),0)</f>
        <v>0</v>
      </c>
      <c r="BI48" s="246">
        <f>IF('Scheduled Intervals'!BI11&gt;0,ROUND('Hours Per Job'!BI11*'Total Cost for Plan'!$B$36*ROUNDDOWN($B$1/'Scheduled Intervals'!BI11,0),2),0)</f>
        <v>0</v>
      </c>
      <c r="BJ48" s="246">
        <f>IF('Scheduled Intervals'!BJ11&gt;0,ROUND('Hours Per Job'!BJ11*'Total Cost for Plan'!$B$36*ROUNDDOWN($B$1/'Scheduled Intervals'!BJ11,0),2),0)</f>
        <v>0</v>
      </c>
      <c r="BK48" s="246">
        <f>IF('Scheduled Intervals'!BK11&gt;0,ROUND('Hours Per Job'!BK11*'Total Cost for Plan'!$B$36*ROUNDDOWN($B$1/'Scheduled Intervals'!BK11,0),2),0)</f>
        <v>0</v>
      </c>
      <c r="BL48" s="246">
        <f>IF('Scheduled Intervals'!BL11&gt;0,ROUND('Hours Per Job'!BL11*'Total Cost for Plan'!$B$36*ROUNDDOWN($B$1/'Scheduled Intervals'!BL11,0),2),0)</f>
        <v>0</v>
      </c>
      <c r="BM48" s="246">
        <f>IF('Scheduled Intervals'!BM11&gt;0,ROUND('Hours Per Job'!BM11*'Total Cost for Plan'!$B$36*ROUNDDOWN($B$1/'Scheduled Intervals'!BM11,0),2),0)</f>
        <v>0</v>
      </c>
      <c r="BN48" s="246">
        <f>IF(AND('Scheduled Intervals'!BN$4="annual",'Plan Summary'!$C$5&lt;'Scheduled Intervals'!$U11*('Plan Summary'!$C$9/12)),ROUND('Hours Per Job'!BN11*'Total Cost for Plan'!$B$36*ROUND('Plan Summary'!$C$9/12,0),2),0)</f>
        <v>480</v>
      </c>
      <c r="BO48" s="246">
        <f>IF(AND('Scheduled Intervals'!BO$4="annual",'Plan Summary'!$C$5&lt;'Scheduled Intervals'!$U11*('Plan Summary'!$C$9/12)),ROUND('Hours Per Job'!BO11*'Total Cost for Plan'!$B$36*ROUND('Plan Summary'!$C$9/12,0),2),0)</f>
        <v>300</v>
      </c>
      <c r="BP48" s="246">
        <f>IF(AND('Scheduled Intervals'!BP$4="annual",'Plan Summary'!$C$5&lt;'Scheduled Intervals'!$U11*('Plan Summary'!$C$9/12)),ROUND('Hours Per Job'!BP11*'Total Cost for Plan'!$B$36*ROUND('Plan Summary'!$C$9/12,0),2),0)</f>
        <v>630</v>
      </c>
      <c r="BQ48" s="246">
        <f t="shared" si="2"/>
        <v>1872</v>
      </c>
      <c r="BR48" s="246"/>
    </row>
    <row r="49" spans="1:70" ht="16" x14ac:dyDescent="0.2">
      <c r="A49" s="18" t="str">
        <f>+'Scheduled Intervals'!A12</f>
        <v>Excavator - under 3.5 ton</v>
      </c>
      <c r="B49" s="246">
        <f>ROUND(('Hours Per Job'!B12*$B$36),2)</f>
        <v>84</v>
      </c>
      <c r="C49" s="246">
        <f>ROUND(('Hours Per Job'!C12*$B$36),2)</f>
        <v>36</v>
      </c>
      <c r="D49" s="246">
        <f>ROUND(('Hours Per Job'!D12*$B$36),2)</f>
        <v>12</v>
      </c>
      <c r="E49" s="246">
        <f>ROUND(('Hours Per Job'!E12*$B$36),2)</f>
        <v>0</v>
      </c>
      <c r="F49" s="246">
        <f>ROUND(('Hours Per Job'!F12*$B$36),2)</f>
        <v>0</v>
      </c>
      <c r="G49" s="246">
        <f>ROUND(('Hours Per Job'!G12*$B$36),2)</f>
        <v>0</v>
      </c>
      <c r="H49" s="246">
        <f>ROUND(('Hours Per Job'!H12*$B$36),2)</f>
        <v>60</v>
      </c>
      <c r="I49" s="246">
        <f>ROUND(('Hours Per Job'!I12*$B$36),2)</f>
        <v>30</v>
      </c>
      <c r="J49" s="246">
        <f>ROUND(('Hours Per Job'!J12*$B$36),2)</f>
        <v>0</v>
      </c>
      <c r="K49" s="246">
        <f>ROUND(('Hours Per Job'!K12*$B$36),2)</f>
        <v>0</v>
      </c>
      <c r="L49" s="246">
        <f>ROUND(('Hours Per Job'!L12*$B$36),2)</f>
        <v>0</v>
      </c>
      <c r="M49" s="246">
        <f>ROUND(('Hours Per Job'!M12*$B$36),2)</f>
        <v>0</v>
      </c>
      <c r="N49" s="246">
        <f>ROUND(('Hours Per Job'!N12*$B$36),2)</f>
        <v>0</v>
      </c>
      <c r="O49" s="246">
        <f>ROUND(('Hours Per Job'!O12*$B$36),2)</f>
        <v>0</v>
      </c>
      <c r="P49" s="246">
        <f>ROUND(('Hours Per Job'!P12*$B$36),2)</f>
        <v>0</v>
      </c>
      <c r="Q49" s="246">
        <f>ROUND(('Hours Per Job'!Q12*$B$36),2)</f>
        <v>120</v>
      </c>
      <c r="R49" s="246">
        <f>ROUND(('Hours Per Job'!R12*$B$36),2)</f>
        <v>0</v>
      </c>
      <c r="S49" s="246">
        <f>ROUND(('Hours Per Job'!S12*$B$36),2)</f>
        <v>0</v>
      </c>
      <c r="T49" s="246">
        <f>ROUND(('Hours Per Job'!T12*$B$36),2)</f>
        <v>0</v>
      </c>
      <c r="U49" s="246">
        <f>IF('Scheduled Intervals'!U12&gt;0,ROUND('Hours Per Job'!U12*'Total Cost for Plan'!$B$36*ROUNDDOWN($B$1/'Scheduled Intervals'!U12,0),2),0)</f>
        <v>0</v>
      </c>
      <c r="V49" s="246">
        <f>IF('Scheduled Intervals'!V12&gt;0,ROUND('Hours Per Job'!V12*'Total Cost for Plan'!$B$36*ROUNDDOWN($B$1/'Scheduled Intervals'!V12,0),2),0)</f>
        <v>0</v>
      </c>
      <c r="W49" s="246">
        <f>IF('Scheduled Intervals'!W12&gt;0,ROUND('Hours Per Job'!W12*'Total Cost for Plan'!$B$36*ROUNDDOWN($B$1/'Scheduled Intervals'!W12,0),2),0)</f>
        <v>0</v>
      </c>
      <c r="X49" s="246">
        <f>IF('Scheduled Intervals'!X12&gt;0,ROUND('Hours Per Job'!X12*'Total Cost for Plan'!$B$36*ROUNDDOWN($B$1/'Scheduled Intervals'!X12,0),2),0)</f>
        <v>0</v>
      </c>
      <c r="Y49" s="246">
        <f>IF('Scheduled Intervals'!Y12&gt;0,ROUND('Hours Per Job'!Y12*'Total Cost for Plan'!$B$36*ROUNDDOWN($B$1/'Scheduled Intervals'!Y12,0),2),0)</f>
        <v>0</v>
      </c>
      <c r="Z49" s="246">
        <f>IF('Scheduled Intervals'!Z12&gt;0,ROUND('Hours Per Job'!Z12*'Total Cost for Plan'!$B$36*ROUNDDOWN($B$1/'Scheduled Intervals'!Z12,0),2),0)</f>
        <v>0</v>
      </c>
      <c r="AA49" s="246">
        <f>IF('Scheduled Intervals'!AA12&gt;0,ROUND('Hours Per Job'!AA12*'Total Cost for Plan'!$B$36*ROUNDDOWN($B$1/'Scheduled Intervals'!AA12,0),2),0)</f>
        <v>0</v>
      </c>
      <c r="AB49" s="246">
        <f>IF('Scheduled Intervals'!AB12&gt;0,ROUND('Hours Per Job'!AB12*'Total Cost for Plan'!$B$36*ROUNDDOWN($B$1/'Scheduled Intervals'!AB12,0),2),0)</f>
        <v>0</v>
      </c>
      <c r="AC49" s="246">
        <f>IF('Scheduled Intervals'!AC12&gt;0,ROUND('Hours Per Job'!AC12*'Total Cost for Plan'!$B$36*ROUNDDOWN($B$1/'Scheduled Intervals'!AC12,0),2),0)</f>
        <v>0</v>
      </c>
      <c r="AD49" s="246">
        <f>IF('Scheduled Intervals'!AD12&gt;0,ROUND('Hours Per Job'!AD12*'Total Cost for Plan'!$B$36*ROUNDDOWN($B$1/'Scheduled Intervals'!AD12,0),2),0)</f>
        <v>0</v>
      </c>
      <c r="AE49" s="246">
        <f>IF('Scheduled Intervals'!AE12&gt;0,ROUND('Hours Per Job'!AE12*'Total Cost for Plan'!$B$36*ROUNDDOWN($B$1/'Scheduled Intervals'!AE12,0),2),0)</f>
        <v>0</v>
      </c>
      <c r="AF49" s="246">
        <f>IF('Scheduled Intervals'!AF12&gt;0,ROUND('Hours Per Job'!AF12*'Total Cost for Plan'!$B$36*ROUNDDOWN($B$1/'Scheduled Intervals'!AF12,0),2),0)</f>
        <v>0</v>
      </c>
      <c r="AG49" s="246">
        <f>IF('Scheduled Intervals'!AG12&gt;0,ROUND('Hours Per Job'!AG12*'Total Cost for Plan'!$B$36*ROUNDDOWN($B$1/'Scheduled Intervals'!AG12,0),2),0)</f>
        <v>0</v>
      </c>
      <c r="AH49" s="246">
        <f>IF('Scheduled Intervals'!AH12&gt;0,ROUND('Hours Per Job'!AH12*'Total Cost for Plan'!$B$36*ROUNDDOWN($B$1/'Scheduled Intervals'!AH12,0),2),0)</f>
        <v>0</v>
      </c>
      <c r="AI49" s="246">
        <f>IF('Scheduled Intervals'!AI12&gt;0,ROUND('Hours Per Job'!AI12*'Total Cost for Plan'!$B$36*ROUNDDOWN($B$1/'Scheduled Intervals'!AI12,0),2),0)</f>
        <v>0</v>
      </c>
      <c r="AJ49" s="246">
        <f>IF('Scheduled Intervals'!AJ12&gt;0,ROUND('Hours Per Job'!AJ12*'Total Cost for Plan'!$B$36*ROUNDDOWN($B$1/'Scheduled Intervals'!AJ12,0),2),0)</f>
        <v>0</v>
      </c>
      <c r="AK49" s="246">
        <f>IF('Scheduled Intervals'!AK12&gt;0,ROUND('Hours Per Job'!AK12*'Total Cost for Plan'!$B$36*ROUNDDOWN($B$1/'Scheduled Intervals'!AK12,0),2),0)</f>
        <v>0</v>
      </c>
      <c r="AL49" s="246">
        <f>IF('Scheduled Intervals'!AL12&gt;0,ROUND('Hours Per Job'!AL12*'Total Cost for Plan'!$B$36*ROUNDDOWN($B$1/'Scheduled Intervals'!AL12,0),2),0)</f>
        <v>0</v>
      </c>
      <c r="AM49" s="246">
        <f>IF('Scheduled Intervals'!AM12&gt;0,ROUND('Hours Per Job'!AM12*'Total Cost for Plan'!$B$36*ROUNDDOWN($B$1/'Scheduled Intervals'!AM12,0),2),0)</f>
        <v>0</v>
      </c>
      <c r="AN49" s="246">
        <f>IF('Scheduled Intervals'!AN12&gt;0,ROUND('Hours Per Job'!AN12*'Total Cost for Plan'!$B$36*ROUNDDOWN($B$1/'Scheduled Intervals'!AN12,0),2),0)</f>
        <v>0</v>
      </c>
      <c r="AO49" s="246">
        <f>IF('Scheduled Intervals'!AO12&gt;0,ROUND('Hours Per Job'!AO12*'Total Cost for Plan'!$B$36*ROUNDDOWN($B$1/'Scheduled Intervals'!AO12,0),2),0)</f>
        <v>0</v>
      </c>
      <c r="AP49" s="246">
        <f>IF('Scheduled Intervals'!AP12&gt;0,ROUND('Hours Per Job'!AP12*'Total Cost for Plan'!$B$36*ROUNDDOWN($B$1/'Scheduled Intervals'!AP12,0),2),0)</f>
        <v>0</v>
      </c>
      <c r="AQ49" s="246">
        <f>IF('Scheduled Intervals'!AQ12&gt;0,ROUND('Hours Per Job'!AQ12*'Total Cost for Plan'!$B$36*ROUNDDOWN($B$1/'Scheduled Intervals'!AQ12,0),2),0)</f>
        <v>0</v>
      </c>
      <c r="AR49" s="246">
        <f>IF('Scheduled Intervals'!AR12&gt;0,ROUND('Hours Per Job'!AR12*'Total Cost for Plan'!$B$36*ROUNDDOWN($B$1/'Scheduled Intervals'!AR12,0),2),0)</f>
        <v>0</v>
      </c>
      <c r="AS49" s="246">
        <f>IF('Scheduled Intervals'!AS12&gt;0,ROUND('Hours Per Job'!AS12*'Total Cost for Plan'!$B$36*ROUNDDOWN($B$1/'Scheduled Intervals'!AS12,0),2),0)</f>
        <v>0</v>
      </c>
      <c r="AT49" s="246">
        <f>IF('Scheduled Intervals'!AT12&gt;0,ROUND('Hours Per Job'!AT12*'Total Cost for Plan'!$B$36*ROUNDDOWN($B$1/'Scheduled Intervals'!AT12,0),2),0)</f>
        <v>0</v>
      </c>
      <c r="AU49" s="246">
        <f>IF('Scheduled Intervals'!AU12&gt;0,ROUND('Hours Per Job'!AU12*'Total Cost for Plan'!$B$36*ROUNDDOWN($B$1/'Scheduled Intervals'!AU12,0),2),0)</f>
        <v>0</v>
      </c>
      <c r="AV49" s="246">
        <f>IF('Scheduled Intervals'!AV12&gt;0,ROUND('Hours Per Job'!AV12*'Total Cost for Plan'!$B$36*ROUNDDOWN($B$1/'Scheduled Intervals'!AV12,0),2),0)</f>
        <v>0</v>
      </c>
      <c r="AW49" s="246">
        <f>IF('Scheduled Intervals'!AW12&gt;0,ROUND('Hours Per Job'!AW12*'Total Cost for Plan'!$B$36*ROUNDDOWN($B$1/'Scheduled Intervals'!AW12,0),2),0)</f>
        <v>0</v>
      </c>
      <c r="AX49" s="246">
        <f>IF('Scheduled Intervals'!AX12&gt;0,ROUND('Hours Per Job'!AX12*'Total Cost for Plan'!$B$36*ROUNDDOWN($B$1/'Scheduled Intervals'!AX12,0),2),0)</f>
        <v>0</v>
      </c>
      <c r="AY49" s="246">
        <f>IF('Scheduled Intervals'!AY12&gt;0,ROUND('Hours Per Job'!AY12*'Total Cost for Plan'!$B$36*ROUNDDOWN($B$1/'Scheduled Intervals'!AY12,0),2),0)</f>
        <v>0</v>
      </c>
      <c r="AZ49" s="246">
        <f>IF('Scheduled Intervals'!AZ12&gt;0,ROUND('Hours Per Job'!AZ12*'Total Cost for Plan'!$B$36*ROUNDDOWN($B$1/'Scheduled Intervals'!AZ12,0),2),0)</f>
        <v>0</v>
      </c>
      <c r="BA49" s="246">
        <f>IF('Scheduled Intervals'!BA12&gt;0,ROUND('Hours Per Job'!BA12*'Total Cost for Plan'!$B$36*ROUNDDOWN($B$1/'Scheduled Intervals'!BA12,0),2),0)</f>
        <v>0</v>
      </c>
      <c r="BB49" s="246">
        <f>IF('Scheduled Intervals'!BB12&gt;0,ROUND('Hours Per Job'!BB12*'Total Cost for Plan'!$B$36*ROUNDDOWN($B$1/'Scheduled Intervals'!BB12,0),2),0)</f>
        <v>0</v>
      </c>
      <c r="BC49" s="246">
        <f>IF('Scheduled Intervals'!BC12&gt;0,ROUND('Hours Per Job'!BC12*'Total Cost for Plan'!$B$36*ROUNDDOWN($B$1/'Scheduled Intervals'!BC12,0),2),0)</f>
        <v>0</v>
      </c>
      <c r="BD49" s="246">
        <f>IF('Scheduled Intervals'!BD12&gt;0,ROUND('Hours Per Job'!BD12*'Total Cost for Plan'!$B$36*ROUNDDOWN($B$1/'Scheduled Intervals'!BD12,0),2),0)</f>
        <v>0</v>
      </c>
      <c r="BE49" s="246">
        <f>IF('Scheduled Intervals'!BE12&gt;0,ROUND('Hours Per Job'!BE12*'Total Cost for Plan'!$B$36*ROUNDDOWN($B$1/'Scheduled Intervals'!BE12,0),2),0)</f>
        <v>0</v>
      </c>
      <c r="BF49" s="246">
        <f>IF('Scheduled Intervals'!BF12&gt;0,ROUND('Hours Per Job'!BF12*'Total Cost for Plan'!$B$36*ROUNDDOWN($B$1/'Scheduled Intervals'!BF12,0),2),0)</f>
        <v>0</v>
      </c>
      <c r="BG49" s="246">
        <f>IF('Scheduled Intervals'!BG12&gt;0,ROUND('Hours Per Job'!BG12*'Total Cost for Plan'!$B$36*ROUNDDOWN($B$1/'Scheduled Intervals'!BG12,0),2),0)</f>
        <v>0</v>
      </c>
      <c r="BH49" s="246">
        <f>IF('Scheduled Intervals'!BH12&gt;0,ROUND('Hours Per Job'!BH12*'Total Cost for Plan'!$B$36*ROUNDDOWN($B$1/'Scheduled Intervals'!BH12,0),2),0)</f>
        <v>0</v>
      </c>
      <c r="BI49" s="246">
        <f>IF('Scheduled Intervals'!BI12&gt;0,ROUND('Hours Per Job'!BI12*'Total Cost for Plan'!$B$36*ROUNDDOWN($B$1/'Scheduled Intervals'!BI12,0),2),0)</f>
        <v>0</v>
      </c>
      <c r="BJ49" s="246">
        <f>IF('Scheduled Intervals'!BJ12&gt;0,ROUND('Hours Per Job'!BJ12*'Total Cost for Plan'!$B$36*ROUNDDOWN($B$1/'Scheduled Intervals'!BJ12,0),2),0)</f>
        <v>0</v>
      </c>
      <c r="BK49" s="246">
        <f>IF('Scheduled Intervals'!BK12&gt;0,ROUND('Hours Per Job'!BK12*'Total Cost for Plan'!$B$36*ROUNDDOWN($B$1/'Scheduled Intervals'!BK12,0),2),0)</f>
        <v>0</v>
      </c>
      <c r="BL49" s="246">
        <f>IF('Scheduled Intervals'!BL12&gt;0,ROUND('Hours Per Job'!BL12*'Total Cost for Plan'!$B$36*ROUNDDOWN($B$1/'Scheduled Intervals'!BL12,0),2),0)</f>
        <v>0</v>
      </c>
      <c r="BM49" s="246">
        <f>IF('Scheduled Intervals'!BM12&gt;0,ROUND('Hours Per Job'!BM12*'Total Cost for Plan'!$B$36*ROUNDDOWN($B$1/'Scheduled Intervals'!BM12,0),2),0)</f>
        <v>0</v>
      </c>
      <c r="BN49" s="246">
        <f>IF(AND('Scheduled Intervals'!BN$4="annual",'Plan Summary'!$C$5&lt;'Scheduled Intervals'!$U12*('Plan Summary'!$C$9/12)),ROUND('Hours Per Job'!BN12*'Total Cost for Plan'!$B$36*ROUND('Plan Summary'!$C$9/12,0),2),0)</f>
        <v>420</v>
      </c>
      <c r="BO49" s="246">
        <f>IF(AND('Scheduled Intervals'!BO$4="annual",'Plan Summary'!$C$5&lt;'Scheduled Intervals'!$U12*('Plan Summary'!$C$9/12)),ROUND('Hours Per Job'!BO12*'Total Cost for Plan'!$B$36*ROUND('Plan Summary'!$C$9/12,0),2),0)</f>
        <v>300</v>
      </c>
      <c r="BP49" s="246">
        <f>IF(AND('Scheduled Intervals'!BP$4="annual",'Plan Summary'!$C$5&lt;'Scheduled Intervals'!$U12*('Plan Summary'!$C$9/12)),ROUND('Hours Per Job'!BP12*'Total Cost for Plan'!$B$36*ROUND('Plan Summary'!$C$9/12,0),2),0)</f>
        <v>630</v>
      </c>
      <c r="BQ49" s="246">
        <f t="shared" si="2"/>
        <v>1692</v>
      </c>
      <c r="BR49" s="246"/>
    </row>
    <row r="50" spans="1:70" ht="16" x14ac:dyDescent="0.2">
      <c r="A50" s="18" t="str">
        <f>+'Scheduled Intervals'!A13</f>
        <v>Excavator - over 3.5 ton</v>
      </c>
      <c r="B50" s="246">
        <f>ROUND(('Hours Per Job'!B13*$B$36),2)</f>
        <v>120</v>
      </c>
      <c r="C50" s="246">
        <f>ROUND(('Hours Per Job'!C13*$B$36),2)</f>
        <v>36</v>
      </c>
      <c r="D50" s="246">
        <f>ROUND(('Hours Per Job'!D13*$B$36),2)</f>
        <v>12</v>
      </c>
      <c r="E50" s="246">
        <f>ROUND(('Hours Per Job'!E13*$B$36),2)</f>
        <v>0</v>
      </c>
      <c r="F50" s="246">
        <f>ROUND(('Hours Per Job'!F13*$B$36),2)</f>
        <v>0</v>
      </c>
      <c r="G50" s="246">
        <f>ROUND(('Hours Per Job'!G13*$B$36),2)</f>
        <v>0</v>
      </c>
      <c r="H50" s="246">
        <f>ROUND(('Hours Per Job'!H13*$B$36),2)</f>
        <v>60</v>
      </c>
      <c r="I50" s="246">
        <f>ROUND(('Hours Per Job'!I13*$B$36),2)</f>
        <v>30</v>
      </c>
      <c r="J50" s="246">
        <f>ROUND(('Hours Per Job'!J13*$B$36),2)</f>
        <v>0</v>
      </c>
      <c r="K50" s="246">
        <f>ROUND(('Hours Per Job'!K13*$B$36),2)</f>
        <v>0</v>
      </c>
      <c r="L50" s="246">
        <f>ROUND(('Hours Per Job'!L13*$B$36),2)</f>
        <v>0</v>
      </c>
      <c r="M50" s="246">
        <f>ROUND(('Hours Per Job'!M13*$B$36),2)</f>
        <v>0</v>
      </c>
      <c r="N50" s="246">
        <f>ROUND(('Hours Per Job'!N13*$B$36),2)</f>
        <v>0</v>
      </c>
      <c r="O50" s="246">
        <f>ROUND(('Hours Per Job'!O13*$B$36),2)</f>
        <v>0</v>
      </c>
      <c r="P50" s="246">
        <f>ROUND(('Hours Per Job'!P13*$B$36),2)</f>
        <v>0</v>
      </c>
      <c r="Q50" s="246">
        <f>ROUND(('Hours Per Job'!Q13*$B$36),2)</f>
        <v>120</v>
      </c>
      <c r="R50" s="246">
        <f>ROUND(('Hours Per Job'!R13*$B$36),2)</f>
        <v>0</v>
      </c>
      <c r="S50" s="246">
        <f>ROUND(('Hours Per Job'!S13*$B$36),2)</f>
        <v>0</v>
      </c>
      <c r="T50" s="246">
        <f>ROUND(('Hours Per Job'!T13*$B$36),2)</f>
        <v>0</v>
      </c>
      <c r="U50" s="246">
        <f>IF('Scheduled Intervals'!U13&gt;0,ROUND('Hours Per Job'!U13*'Total Cost for Plan'!$B$36*ROUNDDOWN($B$1/'Scheduled Intervals'!U13,0),2),0)</f>
        <v>0</v>
      </c>
      <c r="V50" s="246">
        <f>IF('Scheduled Intervals'!V13&gt;0,ROUND('Hours Per Job'!V13*'Total Cost for Plan'!$B$36*ROUNDDOWN($B$1/'Scheduled Intervals'!V13,0),2),0)</f>
        <v>0</v>
      </c>
      <c r="W50" s="246">
        <f>IF('Scheduled Intervals'!W13&gt;0,ROUND('Hours Per Job'!W13*'Total Cost for Plan'!$B$36*ROUNDDOWN($B$1/'Scheduled Intervals'!W13,0),2),0)</f>
        <v>0</v>
      </c>
      <c r="X50" s="246">
        <f>IF('Scheduled Intervals'!X13&gt;0,ROUND('Hours Per Job'!X13*'Total Cost for Plan'!$B$36*ROUNDDOWN($B$1/'Scheduled Intervals'!X13,0),2),0)</f>
        <v>0</v>
      </c>
      <c r="Y50" s="246">
        <f>IF('Scheduled Intervals'!Y13&gt;0,ROUND('Hours Per Job'!Y13*'Total Cost for Plan'!$B$36*ROUNDDOWN($B$1/'Scheduled Intervals'!Y13,0),2),0)</f>
        <v>0</v>
      </c>
      <c r="Z50" s="246">
        <f>IF('Scheduled Intervals'!Z13&gt;0,ROUND('Hours Per Job'!Z13*'Total Cost for Plan'!$B$36*ROUNDDOWN($B$1/'Scheduled Intervals'!Z13,0),2),0)</f>
        <v>0</v>
      </c>
      <c r="AA50" s="246">
        <f>IF('Scheduled Intervals'!AA13&gt;0,ROUND('Hours Per Job'!AA13*'Total Cost for Plan'!$B$36*ROUNDDOWN($B$1/'Scheduled Intervals'!AA13,0),2),0)</f>
        <v>0</v>
      </c>
      <c r="AB50" s="246">
        <f>IF('Scheduled Intervals'!AB13&gt;0,ROUND('Hours Per Job'!AB13*'Total Cost for Plan'!$B$36*ROUNDDOWN($B$1/'Scheduled Intervals'!AB13,0),2),0)</f>
        <v>0</v>
      </c>
      <c r="AC50" s="246">
        <f>IF('Scheduled Intervals'!AC13&gt;0,ROUND('Hours Per Job'!AC13*'Total Cost for Plan'!$B$36*ROUNDDOWN($B$1/'Scheduled Intervals'!AC13,0),2),0)</f>
        <v>0</v>
      </c>
      <c r="AD50" s="246">
        <f>IF('Scheduled Intervals'!AD13&gt;0,ROUND('Hours Per Job'!AD13*'Total Cost for Plan'!$B$36*ROUNDDOWN($B$1/'Scheduled Intervals'!AD13,0),2),0)</f>
        <v>0</v>
      </c>
      <c r="AE50" s="246">
        <f>IF('Scheduled Intervals'!AE13&gt;0,ROUND('Hours Per Job'!AE13*'Total Cost for Plan'!$B$36*ROUNDDOWN($B$1/'Scheduled Intervals'!AE13,0),2),0)</f>
        <v>0</v>
      </c>
      <c r="AF50" s="246">
        <f>IF('Scheduled Intervals'!AF13&gt;0,ROUND('Hours Per Job'!AF13*'Total Cost for Plan'!$B$36*ROUNDDOWN($B$1/'Scheduled Intervals'!AF13,0),2),0)</f>
        <v>0</v>
      </c>
      <c r="AG50" s="246">
        <f>IF('Scheduled Intervals'!AG13&gt;0,ROUND('Hours Per Job'!AG13*'Total Cost for Plan'!$B$36*ROUNDDOWN($B$1/'Scheduled Intervals'!AG13,0),2),0)</f>
        <v>0</v>
      </c>
      <c r="AH50" s="246">
        <f>IF('Scheduled Intervals'!AH13&gt;0,ROUND('Hours Per Job'!AH13*'Total Cost for Plan'!$B$36*ROUNDDOWN($B$1/'Scheduled Intervals'!AH13,0),2),0)</f>
        <v>0</v>
      </c>
      <c r="AI50" s="246">
        <f>IF('Scheduled Intervals'!AI13&gt;0,ROUND('Hours Per Job'!AI13*'Total Cost for Plan'!$B$36*ROUNDDOWN($B$1/'Scheduled Intervals'!AI13,0),2),0)</f>
        <v>0</v>
      </c>
      <c r="AJ50" s="246">
        <f>IF('Scheduled Intervals'!AJ13&gt;0,ROUND('Hours Per Job'!AJ13*'Total Cost for Plan'!$B$36*ROUNDDOWN($B$1/'Scheduled Intervals'!AJ13,0),2),0)</f>
        <v>0</v>
      </c>
      <c r="AK50" s="246">
        <f>IF('Scheduled Intervals'!AK13&gt;0,ROUND('Hours Per Job'!AK13*'Total Cost for Plan'!$B$36*ROUNDDOWN($B$1/'Scheduled Intervals'!AK13,0),2),0)</f>
        <v>0</v>
      </c>
      <c r="AL50" s="246">
        <f>IF('Scheduled Intervals'!AL13&gt;0,ROUND('Hours Per Job'!AL13*'Total Cost for Plan'!$B$36*ROUNDDOWN($B$1/'Scheduled Intervals'!AL13,0),2),0)</f>
        <v>0</v>
      </c>
      <c r="AM50" s="246">
        <f>IF('Scheduled Intervals'!AM13&gt;0,ROUND('Hours Per Job'!AM13*'Total Cost for Plan'!$B$36*ROUNDDOWN($B$1/'Scheduled Intervals'!AM13,0),2),0)</f>
        <v>0</v>
      </c>
      <c r="AN50" s="246">
        <f>IF('Scheduled Intervals'!AN13&gt;0,ROUND('Hours Per Job'!AN13*'Total Cost for Plan'!$B$36*ROUNDDOWN($B$1/'Scheduled Intervals'!AN13,0),2),0)</f>
        <v>0</v>
      </c>
      <c r="AO50" s="246">
        <f>IF('Scheduled Intervals'!AO13&gt;0,ROUND('Hours Per Job'!AO13*'Total Cost for Plan'!$B$36*ROUNDDOWN($B$1/'Scheduled Intervals'!AO13,0),2),0)</f>
        <v>0</v>
      </c>
      <c r="AP50" s="246">
        <f>IF('Scheduled Intervals'!AP13&gt;0,ROUND('Hours Per Job'!AP13*'Total Cost for Plan'!$B$36*ROUNDDOWN($B$1/'Scheduled Intervals'!AP13,0),2),0)</f>
        <v>0</v>
      </c>
      <c r="AQ50" s="246">
        <f>IF('Scheduled Intervals'!AQ13&gt;0,ROUND('Hours Per Job'!AQ13*'Total Cost for Plan'!$B$36*ROUNDDOWN($B$1/'Scheduled Intervals'!AQ13,0),2),0)</f>
        <v>0</v>
      </c>
      <c r="AR50" s="246">
        <f>IF('Scheduled Intervals'!AR13&gt;0,ROUND('Hours Per Job'!AR13*'Total Cost for Plan'!$B$36*ROUNDDOWN($B$1/'Scheduled Intervals'!AR13,0),2),0)</f>
        <v>0</v>
      </c>
      <c r="AS50" s="246">
        <f>IF('Scheduled Intervals'!AS13&gt;0,ROUND('Hours Per Job'!AS13*'Total Cost for Plan'!$B$36*ROUNDDOWN($B$1/'Scheduled Intervals'!AS13,0),2),0)</f>
        <v>0</v>
      </c>
      <c r="AT50" s="246">
        <f>IF('Scheduled Intervals'!AT13&gt;0,ROUND('Hours Per Job'!AT13*'Total Cost for Plan'!$B$36*ROUNDDOWN($B$1/'Scheduled Intervals'!AT13,0),2),0)</f>
        <v>0</v>
      </c>
      <c r="AU50" s="246">
        <f>IF('Scheduled Intervals'!AU13&gt;0,ROUND('Hours Per Job'!AU13*'Total Cost for Plan'!$B$36*ROUNDDOWN($B$1/'Scheduled Intervals'!AU13,0),2),0)</f>
        <v>0</v>
      </c>
      <c r="AV50" s="246">
        <f>IF('Scheduled Intervals'!AV13&gt;0,ROUND('Hours Per Job'!AV13*'Total Cost for Plan'!$B$36*ROUNDDOWN($B$1/'Scheduled Intervals'!AV13,0),2),0)</f>
        <v>0</v>
      </c>
      <c r="AW50" s="246">
        <f>IF('Scheduled Intervals'!AW13&gt;0,ROUND('Hours Per Job'!AW13*'Total Cost for Plan'!$B$36*ROUNDDOWN($B$1/'Scheduled Intervals'!AW13,0),2),0)</f>
        <v>0</v>
      </c>
      <c r="AX50" s="246">
        <f>IF('Scheduled Intervals'!AX13&gt;0,ROUND('Hours Per Job'!AX13*'Total Cost for Plan'!$B$36*ROUNDDOWN($B$1/'Scheduled Intervals'!AX13,0),2),0)</f>
        <v>0</v>
      </c>
      <c r="AY50" s="246">
        <f>IF('Scheduled Intervals'!AY13&gt;0,ROUND('Hours Per Job'!AY13*'Total Cost for Plan'!$B$36*ROUNDDOWN($B$1/'Scheduled Intervals'!AY13,0),2),0)</f>
        <v>0</v>
      </c>
      <c r="AZ50" s="246">
        <f>IF('Scheduled Intervals'!AZ13&gt;0,ROUND('Hours Per Job'!AZ13*'Total Cost for Plan'!$B$36*ROUNDDOWN($B$1/'Scheduled Intervals'!AZ13,0),2),0)</f>
        <v>0</v>
      </c>
      <c r="BA50" s="246">
        <f>IF('Scheduled Intervals'!BA13&gt;0,ROUND('Hours Per Job'!BA13*'Total Cost for Plan'!$B$36*ROUNDDOWN($B$1/'Scheduled Intervals'!BA13,0),2),0)</f>
        <v>0</v>
      </c>
      <c r="BB50" s="246">
        <f>IF('Scheduled Intervals'!BB13&gt;0,ROUND('Hours Per Job'!BB13*'Total Cost for Plan'!$B$36*ROUNDDOWN($B$1/'Scheduled Intervals'!BB13,0),2),0)</f>
        <v>0</v>
      </c>
      <c r="BC50" s="246">
        <f>IF('Scheduled Intervals'!BC13&gt;0,ROUND('Hours Per Job'!BC13*'Total Cost for Plan'!$B$36*ROUNDDOWN($B$1/'Scheduled Intervals'!BC13,0),2),0)</f>
        <v>0</v>
      </c>
      <c r="BD50" s="246">
        <f>IF('Scheduled Intervals'!BD13&gt;0,ROUND('Hours Per Job'!BD13*'Total Cost for Plan'!$B$36*ROUNDDOWN($B$1/'Scheduled Intervals'!BD13,0),2),0)</f>
        <v>0</v>
      </c>
      <c r="BE50" s="246">
        <f>IF('Scheduled Intervals'!BE13&gt;0,ROUND('Hours Per Job'!BE13*'Total Cost for Plan'!$B$36*ROUNDDOWN($B$1/'Scheduled Intervals'!BE13,0),2),0)</f>
        <v>0</v>
      </c>
      <c r="BF50" s="246">
        <f>IF('Scheduled Intervals'!BF13&gt;0,ROUND('Hours Per Job'!BF13*'Total Cost for Plan'!$B$36*ROUNDDOWN($B$1/'Scheduled Intervals'!BF13,0),2),0)</f>
        <v>0</v>
      </c>
      <c r="BG50" s="246">
        <f>IF('Scheduled Intervals'!BG13&gt;0,ROUND('Hours Per Job'!BG13*'Total Cost for Plan'!$B$36*ROUNDDOWN($B$1/'Scheduled Intervals'!BG13,0),2),0)</f>
        <v>0</v>
      </c>
      <c r="BH50" s="246">
        <f>IF('Scheduled Intervals'!BH13&gt;0,ROUND('Hours Per Job'!BH13*'Total Cost for Plan'!$B$36*ROUNDDOWN($B$1/'Scheduled Intervals'!BH13,0),2),0)</f>
        <v>0</v>
      </c>
      <c r="BI50" s="246">
        <f>IF('Scheduled Intervals'!BI13&gt;0,ROUND('Hours Per Job'!BI13*'Total Cost for Plan'!$B$36*ROUNDDOWN($B$1/'Scheduled Intervals'!BI13,0),2),0)</f>
        <v>0</v>
      </c>
      <c r="BJ50" s="246">
        <f>IF('Scheduled Intervals'!BJ13&gt;0,ROUND('Hours Per Job'!BJ13*'Total Cost for Plan'!$B$36*ROUNDDOWN($B$1/'Scheduled Intervals'!BJ13,0),2),0)</f>
        <v>0</v>
      </c>
      <c r="BK50" s="246">
        <f>IF('Scheduled Intervals'!BK13&gt;0,ROUND('Hours Per Job'!BK13*'Total Cost for Plan'!$B$36*ROUNDDOWN($B$1/'Scheduled Intervals'!BK13,0),2),0)</f>
        <v>0</v>
      </c>
      <c r="BL50" s="246">
        <f>IF('Scheduled Intervals'!BL13&gt;0,ROUND('Hours Per Job'!BL13*'Total Cost for Plan'!$B$36*ROUNDDOWN($B$1/'Scheduled Intervals'!BL13,0),2),0)</f>
        <v>0</v>
      </c>
      <c r="BM50" s="246">
        <f>IF('Scheduled Intervals'!BM13&gt;0,ROUND('Hours Per Job'!BM13*'Total Cost for Plan'!$B$36*ROUNDDOWN($B$1/'Scheduled Intervals'!BM13,0),2),0)</f>
        <v>0</v>
      </c>
      <c r="BN50" s="246">
        <f>IF(AND('Scheduled Intervals'!BN$4="annual",'Plan Summary'!$C$5&lt;'Scheduled Intervals'!$U13*('Plan Summary'!$C$9/12)),ROUND('Hours Per Job'!BN13*'Total Cost for Plan'!$B$36*ROUND('Plan Summary'!$C$9/12,0),2),0)</f>
        <v>600</v>
      </c>
      <c r="BO50" s="246">
        <f>IF(AND('Scheduled Intervals'!BO$4="annual",'Plan Summary'!$C$5&lt;'Scheduled Intervals'!$U13*('Plan Summary'!$C$9/12)),ROUND('Hours Per Job'!BO13*'Total Cost for Plan'!$B$36*ROUND('Plan Summary'!$C$9/12,0),2),0)</f>
        <v>300</v>
      </c>
      <c r="BP50" s="246">
        <f>IF(AND('Scheduled Intervals'!BP$4="annual",'Plan Summary'!$C$5&lt;'Scheduled Intervals'!$U13*('Plan Summary'!$C$9/12)),ROUND('Hours Per Job'!BP13*'Total Cost for Plan'!$B$36*ROUND('Plan Summary'!$C$9/12,0),2),0)</f>
        <v>630</v>
      </c>
      <c r="BQ50" s="246">
        <f t="shared" si="2"/>
        <v>1908</v>
      </c>
      <c r="BR50" s="246"/>
    </row>
    <row r="51" spans="1:70" ht="16" x14ac:dyDescent="0.2">
      <c r="A51" s="18" t="str">
        <f>+'Scheduled Intervals'!A14</f>
        <v>Wheel Loader</v>
      </c>
      <c r="B51" s="246">
        <f>ROUND(('Hours Per Job'!B14*$B$36),2)</f>
        <v>120</v>
      </c>
      <c r="C51" s="246">
        <f>ROUND(('Hours Per Job'!C14*$B$36),2)</f>
        <v>36</v>
      </c>
      <c r="D51" s="246">
        <f>ROUND(('Hours Per Job'!D14*$B$36),2)</f>
        <v>12</v>
      </c>
      <c r="E51" s="246">
        <f>ROUND(('Hours Per Job'!E14*$B$36),2)</f>
        <v>0</v>
      </c>
      <c r="F51" s="246">
        <f>ROUND(('Hours Per Job'!F14*$B$36),2)</f>
        <v>0</v>
      </c>
      <c r="G51" s="246">
        <f>ROUND(('Hours Per Job'!G14*$B$36),2)</f>
        <v>0</v>
      </c>
      <c r="H51" s="246">
        <f>ROUND(('Hours Per Job'!H14*$B$36),2)</f>
        <v>48</v>
      </c>
      <c r="I51" s="246">
        <f>ROUND(('Hours Per Job'!I14*$B$36),2)</f>
        <v>30</v>
      </c>
      <c r="J51" s="246">
        <f>ROUND(('Hours Per Job'!J14*$B$36),2)</f>
        <v>0</v>
      </c>
      <c r="K51" s="246">
        <f>ROUND(('Hours Per Job'!K14*$B$36),2)</f>
        <v>0</v>
      </c>
      <c r="L51" s="246">
        <f>ROUND(('Hours Per Job'!L14*$B$36),2)</f>
        <v>0</v>
      </c>
      <c r="M51" s="246">
        <f>ROUND(('Hours Per Job'!M14*$B$36),2)</f>
        <v>0</v>
      </c>
      <c r="N51" s="246">
        <f>ROUND(('Hours Per Job'!N14*$B$36),2)</f>
        <v>0</v>
      </c>
      <c r="O51" s="246">
        <f>ROUND(('Hours Per Job'!O14*$B$36),2)</f>
        <v>0</v>
      </c>
      <c r="P51" s="246">
        <f>ROUND(('Hours Per Job'!P14*$B$36),2)</f>
        <v>0</v>
      </c>
      <c r="Q51" s="246">
        <f>ROUND(('Hours Per Job'!Q14*$B$36),2)</f>
        <v>0</v>
      </c>
      <c r="R51" s="246">
        <f>ROUND(('Hours Per Job'!R14*$B$36),2)</f>
        <v>240</v>
      </c>
      <c r="S51" s="246">
        <f>ROUND(('Hours Per Job'!S14*$B$36),2)</f>
        <v>0</v>
      </c>
      <c r="T51" s="246">
        <f>ROUND(('Hours Per Job'!T14*$B$36),2)</f>
        <v>0</v>
      </c>
      <c r="U51" s="246">
        <f>IF('Scheduled Intervals'!U14&gt;0,ROUND('Hours Per Job'!U14*'Total Cost for Plan'!$B$36*ROUNDDOWN($B$1/'Scheduled Intervals'!U14,0),2),0)</f>
        <v>0</v>
      </c>
      <c r="V51" s="246">
        <f>IF('Scheduled Intervals'!V14&gt;0,ROUND('Hours Per Job'!V14*'Total Cost for Plan'!$B$36*ROUNDDOWN($B$1/'Scheduled Intervals'!V14,0),2),0)</f>
        <v>0</v>
      </c>
      <c r="W51" s="246">
        <f>IF('Scheduled Intervals'!W14&gt;0,ROUND('Hours Per Job'!W14*'Total Cost for Plan'!$B$36*ROUNDDOWN($B$1/'Scheduled Intervals'!W14,0),2),0)</f>
        <v>0</v>
      </c>
      <c r="X51" s="246">
        <f>IF('Scheduled Intervals'!X14&gt;0,ROUND('Hours Per Job'!X14*'Total Cost for Plan'!$B$36*ROUNDDOWN($B$1/'Scheduled Intervals'!X14,0),2),0)</f>
        <v>0</v>
      </c>
      <c r="Y51" s="246">
        <f>IF('Scheduled Intervals'!Y14&gt;0,ROUND('Hours Per Job'!Y14*'Total Cost for Plan'!$B$36*ROUNDDOWN($B$1/'Scheduled Intervals'!Y14,0),2),0)</f>
        <v>0</v>
      </c>
      <c r="Z51" s="246">
        <f>IF('Scheduled Intervals'!Z14&gt;0,ROUND('Hours Per Job'!Z14*'Total Cost for Plan'!$B$36*ROUNDDOWN($B$1/'Scheduled Intervals'!Z14,0),2),0)</f>
        <v>0</v>
      </c>
      <c r="AA51" s="246">
        <f>IF('Scheduled Intervals'!AA14&gt;0,ROUND('Hours Per Job'!AA14*'Total Cost for Plan'!$B$36*ROUNDDOWN($B$1/'Scheduled Intervals'!AA14,0),2),0)</f>
        <v>0</v>
      </c>
      <c r="AB51" s="246">
        <f>IF('Scheduled Intervals'!AB14&gt;0,ROUND('Hours Per Job'!AB14*'Total Cost for Plan'!$B$36*ROUNDDOWN($B$1/'Scheduled Intervals'!AB14,0),2),0)</f>
        <v>0</v>
      </c>
      <c r="AC51" s="246">
        <f>IF('Scheduled Intervals'!AC14&gt;0,ROUND('Hours Per Job'!AC14*'Total Cost for Plan'!$B$36*ROUNDDOWN($B$1/'Scheduled Intervals'!AC14,0),2),0)</f>
        <v>0</v>
      </c>
      <c r="AD51" s="246">
        <f>IF('Scheduled Intervals'!AD14&gt;0,ROUND('Hours Per Job'!AD14*'Total Cost for Plan'!$B$36*ROUNDDOWN($B$1/'Scheduled Intervals'!AD14,0),2),0)</f>
        <v>0</v>
      </c>
      <c r="AE51" s="246">
        <f>IF('Scheduled Intervals'!AE14&gt;0,ROUND('Hours Per Job'!AE14*'Total Cost for Plan'!$B$36*ROUNDDOWN($B$1/'Scheduled Intervals'!AE14,0),2),0)</f>
        <v>0</v>
      </c>
      <c r="AF51" s="246">
        <f>IF('Scheduled Intervals'!AF14&gt;0,ROUND('Hours Per Job'!AF14*'Total Cost for Plan'!$B$36*ROUNDDOWN($B$1/'Scheduled Intervals'!AF14,0),2),0)</f>
        <v>0</v>
      </c>
      <c r="AG51" s="246">
        <f>IF('Scheduled Intervals'!AG14&gt;0,ROUND('Hours Per Job'!AG14*'Total Cost for Plan'!$B$36*ROUNDDOWN($B$1/'Scheduled Intervals'!AG14,0),2),0)</f>
        <v>0</v>
      </c>
      <c r="AH51" s="246">
        <f>IF('Scheduled Intervals'!AH14&gt;0,ROUND('Hours Per Job'!AH14*'Total Cost for Plan'!$B$36*ROUNDDOWN($B$1/'Scheduled Intervals'!AH14,0),2),0)</f>
        <v>0</v>
      </c>
      <c r="AI51" s="246">
        <f>IF('Scheduled Intervals'!AI14&gt;0,ROUND('Hours Per Job'!AI14*'Total Cost for Plan'!$B$36*ROUNDDOWN($B$1/'Scheduled Intervals'!AI14,0),2),0)</f>
        <v>0</v>
      </c>
      <c r="AJ51" s="246">
        <f>IF('Scheduled Intervals'!AJ14&gt;0,ROUND('Hours Per Job'!AJ14*'Total Cost for Plan'!$B$36*ROUNDDOWN($B$1/'Scheduled Intervals'!AJ14,0),2),0)</f>
        <v>0</v>
      </c>
      <c r="AK51" s="246">
        <f>IF('Scheduled Intervals'!AK14&gt;0,ROUND('Hours Per Job'!AK14*'Total Cost for Plan'!$B$36*ROUNDDOWN($B$1/'Scheduled Intervals'!AK14,0),2),0)</f>
        <v>0</v>
      </c>
      <c r="AL51" s="246">
        <f>IF('Scheduled Intervals'!AL14&gt;0,ROUND('Hours Per Job'!AL14*'Total Cost for Plan'!$B$36*ROUNDDOWN($B$1/'Scheduled Intervals'!AL14,0),2),0)</f>
        <v>0</v>
      </c>
      <c r="AM51" s="246">
        <f>IF('Scheduled Intervals'!AM14&gt;0,ROUND('Hours Per Job'!AM14*'Total Cost for Plan'!$B$36*ROUNDDOWN($B$1/'Scheduled Intervals'!AM14,0),2),0)</f>
        <v>0</v>
      </c>
      <c r="AN51" s="246">
        <f>IF('Scheduled Intervals'!AN14&gt;0,ROUND('Hours Per Job'!AN14*'Total Cost for Plan'!$B$36*ROUNDDOWN($B$1/'Scheduled Intervals'!AN14,0),2),0)</f>
        <v>0</v>
      </c>
      <c r="AO51" s="246">
        <f>IF('Scheduled Intervals'!AO14&gt;0,ROUND('Hours Per Job'!AO14*'Total Cost for Plan'!$B$36*ROUNDDOWN($B$1/'Scheduled Intervals'!AO14,0),2),0)</f>
        <v>0</v>
      </c>
      <c r="AP51" s="246">
        <f>IF('Scheduled Intervals'!AP14&gt;0,ROUND('Hours Per Job'!AP14*'Total Cost for Plan'!$B$36*ROUNDDOWN($B$1/'Scheduled Intervals'!AP14,0),2),0)</f>
        <v>0</v>
      </c>
      <c r="AQ51" s="246">
        <f>IF('Scheduled Intervals'!AQ14&gt;0,ROUND('Hours Per Job'!AQ14*'Total Cost for Plan'!$B$36*ROUNDDOWN($B$1/'Scheduled Intervals'!AQ14,0),2),0)</f>
        <v>0</v>
      </c>
      <c r="AR51" s="246">
        <f>IF('Scheduled Intervals'!AR14&gt;0,ROUND('Hours Per Job'!AR14*'Total Cost for Plan'!$B$36*ROUNDDOWN($B$1/'Scheduled Intervals'!AR14,0),2),0)</f>
        <v>0</v>
      </c>
      <c r="AS51" s="246">
        <f>IF('Scheduled Intervals'!AS14&gt;0,ROUND('Hours Per Job'!AS14*'Total Cost for Plan'!$B$36*ROUNDDOWN($B$1/'Scheduled Intervals'!AS14,0),2),0)</f>
        <v>0</v>
      </c>
      <c r="AT51" s="246">
        <f>IF('Scheduled Intervals'!AT14&gt;0,ROUND('Hours Per Job'!AT14*'Total Cost for Plan'!$B$36*ROUNDDOWN($B$1/'Scheduled Intervals'!AT14,0),2),0)</f>
        <v>0</v>
      </c>
      <c r="AU51" s="246">
        <f>IF('Scheduled Intervals'!AU14&gt;0,ROUND('Hours Per Job'!AU14*'Total Cost for Plan'!$B$36*ROUNDDOWN($B$1/'Scheduled Intervals'!AU14,0),2),0)</f>
        <v>0</v>
      </c>
      <c r="AV51" s="246">
        <f>IF('Scheduled Intervals'!AV14&gt;0,ROUND('Hours Per Job'!AV14*'Total Cost for Plan'!$B$36*ROUNDDOWN($B$1/'Scheduled Intervals'!AV14,0),2),0)</f>
        <v>0</v>
      </c>
      <c r="AW51" s="246">
        <f>IF('Scheduled Intervals'!AW14&gt;0,ROUND('Hours Per Job'!AW14*'Total Cost for Plan'!$B$36*ROUNDDOWN($B$1/'Scheduled Intervals'!AW14,0),2),0)</f>
        <v>0</v>
      </c>
      <c r="AX51" s="246">
        <f>IF('Scheduled Intervals'!AX14&gt;0,ROUND('Hours Per Job'!AX14*'Total Cost for Plan'!$B$36*ROUNDDOWN($B$1/'Scheduled Intervals'!AX14,0),2),0)</f>
        <v>0</v>
      </c>
      <c r="AY51" s="246">
        <f>IF('Scheduled Intervals'!AY14&gt;0,ROUND('Hours Per Job'!AY14*'Total Cost for Plan'!$B$36*ROUNDDOWN($B$1/'Scheduled Intervals'!AY14,0),2),0)</f>
        <v>0</v>
      </c>
      <c r="AZ51" s="246">
        <f>IF('Scheduled Intervals'!AZ14&gt;0,ROUND('Hours Per Job'!AZ14*'Total Cost for Plan'!$B$36*ROUNDDOWN($B$1/'Scheduled Intervals'!AZ14,0),2),0)</f>
        <v>0</v>
      </c>
      <c r="BA51" s="246">
        <f>IF('Scheduled Intervals'!BA14&gt;0,ROUND('Hours Per Job'!BA14*'Total Cost for Plan'!$B$36*ROUNDDOWN($B$1/'Scheduled Intervals'!BA14,0),2),0)</f>
        <v>0</v>
      </c>
      <c r="BB51" s="246">
        <f>IF('Scheduled Intervals'!BB14&gt;0,ROUND('Hours Per Job'!BB14*'Total Cost for Plan'!$B$36*ROUNDDOWN($B$1/'Scheduled Intervals'!BB14,0),2),0)</f>
        <v>0</v>
      </c>
      <c r="BC51" s="246">
        <f>IF('Scheduled Intervals'!BC14&gt;0,ROUND('Hours Per Job'!BC14*'Total Cost for Plan'!$B$36*ROUNDDOWN($B$1/'Scheduled Intervals'!BC14,0),2),0)</f>
        <v>0</v>
      </c>
      <c r="BD51" s="246">
        <f>IF('Scheduled Intervals'!BD14&gt;0,ROUND('Hours Per Job'!BD14*'Total Cost for Plan'!$B$36*ROUNDDOWN($B$1/'Scheduled Intervals'!BD14,0),2),0)</f>
        <v>0</v>
      </c>
      <c r="BE51" s="246">
        <f>IF('Scheduled Intervals'!BE14&gt;0,ROUND('Hours Per Job'!BE14*'Total Cost for Plan'!$B$36*ROUNDDOWN($B$1/'Scheduled Intervals'!BE14,0),2),0)</f>
        <v>0</v>
      </c>
      <c r="BF51" s="246">
        <f>IF('Scheduled Intervals'!BF14&gt;0,ROUND('Hours Per Job'!BF14*'Total Cost for Plan'!$B$36*ROUNDDOWN($B$1/'Scheduled Intervals'!BF14,0),2),0)</f>
        <v>0</v>
      </c>
      <c r="BG51" s="246">
        <f>IF('Scheduled Intervals'!BG14&gt;0,ROUND('Hours Per Job'!BG14*'Total Cost for Plan'!$B$36*ROUNDDOWN($B$1/'Scheduled Intervals'!BG14,0),2),0)</f>
        <v>0</v>
      </c>
      <c r="BH51" s="246">
        <f>IF('Scheduled Intervals'!BH14&gt;0,ROUND('Hours Per Job'!BH14*'Total Cost for Plan'!$B$36*ROUNDDOWN($B$1/'Scheduled Intervals'!BH14,0),2),0)</f>
        <v>0</v>
      </c>
      <c r="BI51" s="246">
        <f>IF('Scheduled Intervals'!BI14&gt;0,ROUND('Hours Per Job'!BI14*'Total Cost for Plan'!$B$36*ROUNDDOWN($B$1/'Scheduled Intervals'!BI14,0),2),0)</f>
        <v>0</v>
      </c>
      <c r="BJ51" s="246">
        <f>IF('Scheduled Intervals'!BJ14&gt;0,ROUND('Hours Per Job'!BJ14*'Total Cost for Plan'!$B$36*ROUNDDOWN($B$1/'Scheduled Intervals'!BJ14,0),2),0)</f>
        <v>0</v>
      </c>
      <c r="BK51" s="246">
        <f>IF('Scheduled Intervals'!BK14&gt;0,ROUND('Hours Per Job'!BK14*'Total Cost for Plan'!$B$36*ROUNDDOWN($B$1/'Scheduled Intervals'!BK14,0),2),0)</f>
        <v>0</v>
      </c>
      <c r="BL51" s="246">
        <f>IF('Scheduled Intervals'!BL14&gt;0,ROUND('Hours Per Job'!BL14*'Total Cost for Plan'!$B$36*ROUNDDOWN($B$1/'Scheduled Intervals'!BL14,0),2),0)</f>
        <v>0</v>
      </c>
      <c r="BM51" s="246">
        <f>IF('Scheduled Intervals'!BM14&gt;0,ROUND('Hours Per Job'!BM14*'Total Cost for Plan'!$B$36*ROUNDDOWN($B$1/'Scheduled Intervals'!BM14,0),2),0)</f>
        <v>0</v>
      </c>
      <c r="BN51" s="246">
        <f>IF(AND('Scheduled Intervals'!BN$4="annual",'Plan Summary'!$C$5&lt;'Scheduled Intervals'!$U14*('Plan Summary'!$C$9/12)),ROUND('Hours Per Job'!BN14*'Total Cost for Plan'!$B$36*ROUND('Plan Summary'!$C$9/12,0),2),0)</f>
        <v>600</v>
      </c>
      <c r="BO51" s="246">
        <f>IF(AND('Scheduled Intervals'!BO$4="annual",'Plan Summary'!$C$5&lt;'Scheduled Intervals'!$U14*('Plan Summary'!$C$9/12)),ROUND('Hours Per Job'!BO14*'Total Cost for Plan'!$B$36*ROUND('Plan Summary'!$C$9/12,0),2),0)</f>
        <v>240</v>
      </c>
      <c r="BP51" s="246">
        <f>IF(AND('Scheduled Intervals'!BP$4="annual",'Plan Summary'!$C$5&lt;'Scheduled Intervals'!$U14*('Plan Summary'!$C$9/12)),ROUND('Hours Per Job'!BP14*'Total Cost for Plan'!$B$36*ROUND('Plan Summary'!$C$9/12,0),2),0)</f>
        <v>630</v>
      </c>
      <c r="BQ51" s="246">
        <f t="shared" si="2"/>
        <v>1956</v>
      </c>
      <c r="BR51" s="246"/>
    </row>
    <row r="52" spans="1:70" ht="16" x14ac:dyDescent="0.2">
      <c r="A52" s="18" t="str">
        <f>+'Scheduled Intervals'!A15</f>
        <v>Telehandler</v>
      </c>
      <c r="B52" s="246">
        <f>ROUND(('Hours Per Job'!B15*$B$36),2)</f>
        <v>120</v>
      </c>
      <c r="C52" s="246">
        <f>ROUND(('Hours Per Job'!C15*$B$36),2)</f>
        <v>36</v>
      </c>
      <c r="D52" s="246">
        <f>ROUND(('Hours Per Job'!D15*$B$36),2)</f>
        <v>12</v>
      </c>
      <c r="E52" s="246">
        <f>ROUND(('Hours Per Job'!E15*$B$36),2)</f>
        <v>0</v>
      </c>
      <c r="F52" s="246">
        <f>ROUND(('Hours Per Job'!F15*$B$36),2)</f>
        <v>0</v>
      </c>
      <c r="G52" s="246">
        <f>ROUND(('Hours Per Job'!G15*$B$36),2)</f>
        <v>0</v>
      </c>
      <c r="H52" s="246">
        <f>ROUND(('Hours Per Job'!H15*$B$36),2)</f>
        <v>48</v>
      </c>
      <c r="I52" s="246">
        <f>ROUND(('Hours Per Job'!I15*$B$36),2)</f>
        <v>30</v>
      </c>
      <c r="J52" s="246">
        <f>ROUND(('Hours Per Job'!J15*$B$36),2)</f>
        <v>0</v>
      </c>
      <c r="K52" s="246">
        <f>ROUND(('Hours Per Job'!K15*$B$36),2)</f>
        <v>0</v>
      </c>
      <c r="L52" s="246">
        <f>ROUND(('Hours Per Job'!L15*$B$36),2)</f>
        <v>0</v>
      </c>
      <c r="M52" s="246">
        <f>ROUND(('Hours Per Job'!M15*$B$36),2)</f>
        <v>0</v>
      </c>
      <c r="N52" s="246">
        <f>ROUND(('Hours Per Job'!N15*$B$36),2)</f>
        <v>0</v>
      </c>
      <c r="O52" s="246">
        <f>ROUND(('Hours Per Job'!O15*$B$36),2)</f>
        <v>0</v>
      </c>
      <c r="P52" s="246">
        <f>ROUND(('Hours Per Job'!P15*$B$36),2)</f>
        <v>0</v>
      </c>
      <c r="Q52" s="246">
        <f>ROUND(('Hours Per Job'!Q15*$B$36),2)</f>
        <v>0</v>
      </c>
      <c r="R52" s="246">
        <f>ROUND(('Hours Per Job'!R15*$B$36),2)</f>
        <v>120</v>
      </c>
      <c r="S52" s="246">
        <f>ROUND(('Hours Per Job'!S15*$B$36),2)</f>
        <v>0</v>
      </c>
      <c r="T52" s="246">
        <f>ROUND(('Hours Per Job'!T15*$B$36),2)</f>
        <v>0</v>
      </c>
      <c r="U52" s="246">
        <f>IF('Scheduled Intervals'!U15&gt;0,ROUND('Hours Per Job'!U15*'Total Cost for Plan'!$B$36*ROUNDDOWN($B$1/'Scheduled Intervals'!U15,0),2),0)</f>
        <v>0</v>
      </c>
      <c r="V52" s="246">
        <f>IF('Scheduled Intervals'!V15&gt;0,ROUND('Hours Per Job'!V15*'Total Cost for Plan'!$B$36*ROUNDDOWN($B$1/'Scheduled Intervals'!V15,0),2),0)</f>
        <v>0</v>
      </c>
      <c r="W52" s="246">
        <f>IF('Scheduled Intervals'!W15&gt;0,ROUND('Hours Per Job'!W15*'Total Cost for Plan'!$B$36*ROUNDDOWN($B$1/'Scheduled Intervals'!W15,0),2),0)</f>
        <v>0</v>
      </c>
      <c r="X52" s="246">
        <f>IF('Scheduled Intervals'!X15&gt;0,ROUND('Hours Per Job'!X15*'Total Cost for Plan'!$B$36*ROUNDDOWN($B$1/'Scheduled Intervals'!X15,0),2),0)</f>
        <v>0</v>
      </c>
      <c r="Y52" s="246">
        <f>IF('Scheduled Intervals'!Y15&gt;0,ROUND('Hours Per Job'!Y15*'Total Cost for Plan'!$B$36*ROUNDDOWN($B$1/'Scheduled Intervals'!Y15,0),2),0)</f>
        <v>0</v>
      </c>
      <c r="Z52" s="246">
        <f>IF('Scheduled Intervals'!Z15&gt;0,ROUND('Hours Per Job'!Z15*'Total Cost for Plan'!$B$36*ROUNDDOWN($B$1/'Scheduled Intervals'!Z15,0),2),0)</f>
        <v>0</v>
      </c>
      <c r="AA52" s="246">
        <f>IF('Scheduled Intervals'!AA15&gt;0,ROUND('Hours Per Job'!AA15*'Total Cost for Plan'!$B$36*ROUNDDOWN($B$1/'Scheduled Intervals'!AA15,0),2),0)</f>
        <v>0</v>
      </c>
      <c r="AB52" s="246">
        <f>IF('Scheduled Intervals'!AB15&gt;0,ROUND('Hours Per Job'!AB15*'Total Cost for Plan'!$B$36*ROUNDDOWN($B$1/'Scheduled Intervals'!AB15,0),2),0)</f>
        <v>0</v>
      </c>
      <c r="AC52" s="246">
        <f>IF('Scheduled Intervals'!AC15&gt;0,ROUND('Hours Per Job'!AC15*'Total Cost for Plan'!$B$36*ROUNDDOWN($B$1/'Scheduled Intervals'!AC15,0),2),0)</f>
        <v>0</v>
      </c>
      <c r="AD52" s="246">
        <f>IF('Scheduled Intervals'!AD15&gt;0,ROUND('Hours Per Job'!AD15*'Total Cost for Plan'!$B$36*ROUNDDOWN($B$1/'Scheduled Intervals'!AD15,0),2),0)</f>
        <v>0</v>
      </c>
      <c r="AE52" s="246">
        <f>IF('Scheduled Intervals'!AE15&gt;0,ROUND('Hours Per Job'!AE15*'Total Cost for Plan'!$B$36*ROUNDDOWN($B$1/'Scheduled Intervals'!AE15,0),2),0)</f>
        <v>0</v>
      </c>
      <c r="AF52" s="246">
        <f>IF('Scheduled Intervals'!AF15&gt;0,ROUND('Hours Per Job'!AF15*'Total Cost for Plan'!$B$36*ROUNDDOWN($B$1/'Scheduled Intervals'!AF15,0),2),0)</f>
        <v>0</v>
      </c>
      <c r="AG52" s="246">
        <f>IF('Scheduled Intervals'!AG15&gt;0,ROUND('Hours Per Job'!AG15*'Total Cost for Plan'!$B$36*ROUNDDOWN($B$1/'Scheduled Intervals'!AG15,0),2),0)</f>
        <v>0</v>
      </c>
      <c r="AH52" s="246">
        <f>IF('Scheduled Intervals'!AH15&gt;0,ROUND('Hours Per Job'!AH15*'Total Cost for Plan'!$B$36*ROUNDDOWN($B$1/'Scheduled Intervals'!AH15,0),2),0)</f>
        <v>0</v>
      </c>
      <c r="AI52" s="246">
        <f>IF('Scheduled Intervals'!AI15&gt;0,ROUND('Hours Per Job'!AI15*'Total Cost for Plan'!$B$36*ROUNDDOWN($B$1/'Scheduled Intervals'!AI15,0),2),0)</f>
        <v>0</v>
      </c>
      <c r="AJ52" s="246">
        <f>IF('Scheduled Intervals'!AJ15&gt;0,ROUND('Hours Per Job'!AJ15*'Total Cost for Plan'!$B$36*ROUNDDOWN($B$1/'Scheduled Intervals'!AJ15,0),2),0)</f>
        <v>0</v>
      </c>
      <c r="AK52" s="246">
        <f>IF('Scheduled Intervals'!AK15&gt;0,ROUND('Hours Per Job'!AK15*'Total Cost for Plan'!$B$36*ROUNDDOWN($B$1/'Scheduled Intervals'!AK15,0),2),0)</f>
        <v>0</v>
      </c>
      <c r="AL52" s="246">
        <f>IF('Scheduled Intervals'!AL15&gt;0,ROUND('Hours Per Job'!AL15*'Total Cost for Plan'!$B$36*ROUNDDOWN($B$1/'Scheduled Intervals'!AL15,0),2),0)</f>
        <v>0</v>
      </c>
      <c r="AM52" s="246">
        <f>IF('Scheduled Intervals'!AM15&gt;0,ROUND('Hours Per Job'!AM15*'Total Cost for Plan'!$B$36*ROUNDDOWN($B$1/'Scheduled Intervals'!AM15,0),2),0)</f>
        <v>0</v>
      </c>
      <c r="AN52" s="246">
        <f>IF('Scheduled Intervals'!AN15&gt;0,ROUND('Hours Per Job'!AN15*'Total Cost for Plan'!$B$36*ROUNDDOWN($B$1/'Scheduled Intervals'!AN15,0),2),0)</f>
        <v>0</v>
      </c>
      <c r="AO52" s="246">
        <f>IF('Scheduled Intervals'!AO15&gt;0,ROUND('Hours Per Job'!AO15*'Total Cost for Plan'!$B$36*ROUNDDOWN($B$1/'Scheduled Intervals'!AO15,0),2),0)</f>
        <v>0</v>
      </c>
      <c r="AP52" s="246">
        <f>IF('Scheduled Intervals'!AP15&gt;0,ROUND('Hours Per Job'!AP15*'Total Cost for Plan'!$B$36*ROUNDDOWN($B$1/'Scheduled Intervals'!AP15,0),2),0)</f>
        <v>0</v>
      </c>
      <c r="AQ52" s="246">
        <f>IF('Scheduled Intervals'!AQ15&gt;0,ROUND('Hours Per Job'!AQ15*'Total Cost for Plan'!$B$36*ROUNDDOWN($B$1/'Scheduled Intervals'!AQ15,0),2),0)</f>
        <v>0</v>
      </c>
      <c r="AR52" s="246">
        <f>IF('Scheduled Intervals'!AR15&gt;0,ROUND('Hours Per Job'!AR15*'Total Cost for Plan'!$B$36*ROUNDDOWN($B$1/'Scheduled Intervals'!AR15,0),2),0)</f>
        <v>0</v>
      </c>
      <c r="AS52" s="246">
        <f>IF('Scheduled Intervals'!AS15&gt;0,ROUND('Hours Per Job'!AS15*'Total Cost for Plan'!$B$36*ROUNDDOWN($B$1/'Scheduled Intervals'!AS15,0),2),0)</f>
        <v>0</v>
      </c>
      <c r="AT52" s="246">
        <f>IF('Scheduled Intervals'!AT15&gt;0,ROUND('Hours Per Job'!AT15*'Total Cost for Plan'!$B$36*ROUNDDOWN($B$1/'Scheduled Intervals'!AT15,0),2),0)</f>
        <v>0</v>
      </c>
      <c r="AU52" s="246">
        <f>IF('Scheduled Intervals'!AU15&gt;0,ROUND('Hours Per Job'!AU15*'Total Cost for Plan'!$B$36*ROUNDDOWN($B$1/'Scheduled Intervals'!AU15,0),2),0)</f>
        <v>0</v>
      </c>
      <c r="AV52" s="246">
        <f>IF('Scheduled Intervals'!AV15&gt;0,ROUND('Hours Per Job'!AV15*'Total Cost for Plan'!$B$36*ROUNDDOWN($B$1/'Scheduled Intervals'!AV15,0),2),0)</f>
        <v>0</v>
      </c>
      <c r="AW52" s="246">
        <f>IF('Scheduled Intervals'!AW15&gt;0,ROUND('Hours Per Job'!AW15*'Total Cost for Plan'!$B$36*ROUNDDOWN($B$1/'Scheduled Intervals'!AW15,0),2),0)</f>
        <v>0</v>
      </c>
      <c r="AX52" s="246">
        <f>IF('Scheduled Intervals'!AX15&gt;0,ROUND('Hours Per Job'!AX15*'Total Cost for Plan'!$B$36*ROUNDDOWN($B$1/'Scheduled Intervals'!AX15,0),2),0)</f>
        <v>0</v>
      </c>
      <c r="AY52" s="246">
        <f>IF('Scheduled Intervals'!AY15&gt;0,ROUND('Hours Per Job'!AY15*'Total Cost for Plan'!$B$36*ROUNDDOWN($B$1/'Scheduled Intervals'!AY15,0),2),0)</f>
        <v>0</v>
      </c>
      <c r="AZ52" s="246">
        <f>IF('Scheduled Intervals'!AZ15&gt;0,ROUND('Hours Per Job'!AZ15*'Total Cost for Plan'!$B$36*ROUNDDOWN($B$1/'Scheduled Intervals'!AZ15,0),2),0)</f>
        <v>0</v>
      </c>
      <c r="BA52" s="246">
        <f>IF('Scheduled Intervals'!BA15&gt;0,ROUND('Hours Per Job'!BA15*'Total Cost for Plan'!$B$36*ROUNDDOWN($B$1/'Scheduled Intervals'!BA15,0),2),0)</f>
        <v>0</v>
      </c>
      <c r="BB52" s="246">
        <f>IF('Scheduled Intervals'!BB15&gt;0,ROUND('Hours Per Job'!BB15*'Total Cost for Plan'!$B$36*ROUNDDOWN($B$1/'Scheduled Intervals'!BB15,0),2),0)</f>
        <v>0</v>
      </c>
      <c r="BC52" s="246">
        <f>IF('Scheduled Intervals'!BC15&gt;0,ROUND('Hours Per Job'!BC15*'Total Cost for Plan'!$B$36*ROUNDDOWN($B$1/'Scheduled Intervals'!BC15,0),2),0)</f>
        <v>0</v>
      </c>
      <c r="BD52" s="246">
        <f>IF('Scheduled Intervals'!BD15&gt;0,ROUND('Hours Per Job'!BD15*'Total Cost for Plan'!$B$36*ROUNDDOWN($B$1/'Scheduled Intervals'!BD15,0),2),0)</f>
        <v>0</v>
      </c>
      <c r="BE52" s="246">
        <f>IF('Scheduled Intervals'!BE15&gt;0,ROUND('Hours Per Job'!BE15*'Total Cost for Plan'!$B$36*ROUNDDOWN($B$1/'Scheduled Intervals'!BE15,0),2),0)</f>
        <v>0</v>
      </c>
      <c r="BF52" s="246">
        <f>IF('Scheduled Intervals'!BF15&gt;0,ROUND('Hours Per Job'!BF15*'Total Cost for Plan'!$B$36*ROUNDDOWN($B$1/'Scheduled Intervals'!BF15,0),2),0)</f>
        <v>0</v>
      </c>
      <c r="BG52" s="246">
        <f>IF('Scheduled Intervals'!BG15&gt;0,ROUND('Hours Per Job'!BG15*'Total Cost for Plan'!$B$36*ROUNDDOWN($B$1/'Scheduled Intervals'!BG15,0),2),0)</f>
        <v>0</v>
      </c>
      <c r="BH52" s="246">
        <f>IF('Scheduled Intervals'!BH15&gt;0,ROUND('Hours Per Job'!BH15*'Total Cost for Plan'!$B$36*ROUNDDOWN($B$1/'Scheduled Intervals'!BH15,0),2),0)</f>
        <v>0</v>
      </c>
      <c r="BI52" s="246">
        <f>IF('Scheduled Intervals'!BI15&gt;0,ROUND('Hours Per Job'!BI15*'Total Cost for Plan'!$B$36*ROUNDDOWN($B$1/'Scheduled Intervals'!BI15,0),2),0)</f>
        <v>0</v>
      </c>
      <c r="BJ52" s="246">
        <f>IF('Scheduled Intervals'!BJ15&gt;0,ROUND('Hours Per Job'!BJ15*'Total Cost for Plan'!$B$36*ROUNDDOWN($B$1/'Scheduled Intervals'!BJ15,0),2),0)</f>
        <v>0</v>
      </c>
      <c r="BK52" s="246">
        <f>IF('Scheduled Intervals'!BK15&gt;0,ROUND('Hours Per Job'!BK15*'Total Cost for Plan'!$B$36*ROUNDDOWN($B$1/'Scheduled Intervals'!BK15,0),2),0)</f>
        <v>0</v>
      </c>
      <c r="BL52" s="246">
        <f>IF('Scheduled Intervals'!BL15&gt;0,ROUND('Hours Per Job'!BL15*'Total Cost for Plan'!$B$36*ROUNDDOWN($B$1/'Scheduled Intervals'!BL15,0),2),0)</f>
        <v>0</v>
      </c>
      <c r="BM52" s="246">
        <f>IF('Scheduled Intervals'!BM15&gt;0,ROUND('Hours Per Job'!BM15*'Total Cost for Plan'!$B$36*ROUNDDOWN($B$1/'Scheduled Intervals'!BM15,0),2),0)</f>
        <v>0</v>
      </c>
      <c r="BN52" s="246">
        <f>IF(AND('Scheduled Intervals'!BN$4="annual",'Plan Summary'!$C$5&lt;'Scheduled Intervals'!$U15*('Plan Summary'!$C$9/12)),ROUND('Hours Per Job'!BN15*'Total Cost for Plan'!$B$36*ROUND('Plan Summary'!$C$9/12,0),2),0)</f>
        <v>600</v>
      </c>
      <c r="BO52" s="246">
        <f>IF(AND('Scheduled Intervals'!BO$4="annual",'Plan Summary'!$C$5&lt;'Scheduled Intervals'!$U15*('Plan Summary'!$C$9/12)),ROUND('Hours Per Job'!BO15*'Total Cost for Plan'!$B$36*ROUND('Plan Summary'!$C$9/12,0),2),0)</f>
        <v>240</v>
      </c>
      <c r="BP52" s="246">
        <f>IF(AND('Scheduled Intervals'!BP$4="annual",'Plan Summary'!$C$5&lt;'Scheduled Intervals'!$U15*('Plan Summary'!$C$9/12)),ROUND('Hours Per Job'!BP15*'Total Cost for Plan'!$B$36*ROUND('Plan Summary'!$C$9/12,0),2),0)</f>
        <v>630</v>
      </c>
      <c r="BQ52" s="246">
        <f t="shared" si="2"/>
        <v>1836</v>
      </c>
      <c r="BR52" s="246"/>
    </row>
    <row r="53" spans="1:70" ht="16" x14ac:dyDescent="0.2">
      <c r="A53" s="18" t="str">
        <f>+'Scheduled Intervals'!A16</f>
        <v>Mahindra Emax</v>
      </c>
      <c r="B53" s="246">
        <f>ROUND(('Hours Per Job'!B16*$B$36),2)</f>
        <v>36</v>
      </c>
      <c r="C53" s="246">
        <f>ROUND(('Hours Per Job'!C16*$B$36),2)</f>
        <v>0</v>
      </c>
      <c r="D53" s="246">
        <f>ROUND(('Hours Per Job'!D16*$B$36),2)</f>
        <v>0</v>
      </c>
      <c r="E53" s="246">
        <f>ROUND(('Hours Per Job'!E16*$B$36),2)</f>
        <v>120</v>
      </c>
      <c r="F53" s="246">
        <f>ROUND(('Hours Per Job'!F16*$B$36),2)</f>
        <v>60</v>
      </c>
      <c r="G53" s="246">
        <f>ROUND(('Hours Per Job'!G16*$B$36),2)</f>
        <v>0</v>
      </c>
      <c r="H53" s="246">
        <f>ROUND(('Hours Per Job'!H16*$B$36),2)</f>
        <v>24</v>
      </c>
      <c r="I53" s="246">
        <f>ROUND(('Hours Per Job'!I16*$B$36),2)</f>
        <v>30</v>
      </c>
      <c r="J53" s="246">
        <f>ROUND(('Hours Per Job'!J16*$B$36),2)</f>
        <v>0</v>
      </c>
      <c r="K53" s="246">
        <f>ROUND(('Hours Per Job'!K16*$B$36),2)</f>
        <v>0</v>
      </c>
      <c r="L53" s="246">
        <f>ROUND(('Hours Per Job'!L16*$B$36),2)</f>
        <v>120</v>
      </c>
      <c r="M53" s="246">
        <f>ROUND(('Hours Per Job'!M16*$B$36),2)</f>
        <v>0</v>
      </c>
      <c r="N53" s="246">
        <f>ROUND(('Hours Per Job'!N16*$B$36),2)</f>
        <v>0</v>
      </c>
      <c r="O53" s="246">
        <f>ROUND(('Hours Per Job'!O16*$B$36),2)</f>
        <v>0</v>
      </c>
      <c r="P53" s="246">
        <f>ROUND(('Hours Per Job'!P16*$B$36),2)</f>
        <v>0</v>
      </c>
      <c r="Q53" s="246">
        <f>ROUND(('Hours Per Job'!Q16*$B$36),2)</f>
        <v>0</v>
      </c>
      <c r="R53" s="246">
        <f>ROUND(('Hours Per Job'!R16*$B$36),2)</f>
        <v>0</v>
      </c>
      <c r="S53" s="246">
        <f>ROUND(('Hours Per Job'!S16*$B$36),2)</f>
        <v>0</v>
      </c>
      <c r="T53" s="246">
        <f>ROUND(('Hours Per Job'!T16*$B$36),2)</f>
        <v>0</v>
      </c>
      <c r="U53" s="246">
        <f>IF('Scheduled Intervals'!U16&gt;0,ROUND('Hours Per Job'!U16*'Total Cost for Plan'!$B$36*ROUNDDOWN($B$1/'Scheduled Intervals'!U16,0),2),0)</f>
        <v>36</v>
      </c>
      <c r="V53" s="246">
        <f>IF('Scheduled Intervals'!V16&gt;0,ROUND('Hours Per Job'!V16*'Total Cost for Plan'!$B$36*ROUNDDOWN($B$1/'Scheduled Intervals'!V16,0),2),0)</f>
        <v>0</v>
      </c>
      <c r="W53" s="246">
        <f>IF('Scheduled Intervals'!W16&gt;0,ROUND('Hours Per Job'!W16*'Total Cost for Plan'!$B$36*ROUNDDOWN($B$1/'Scheduled Intervals'!W16,0),2),0)</f>
        <v>0</v>
      </c>
      <c r="X53" s="246">
        <f>IF('Scheduled Intervals'!X16&gt;0,ROUND('Hours Per Job'!X16*'Total Cost for Plan'!$B$36*ROUNDDOWN($B$1/'Scheduled Intervals'!X16,0),2),0)</f>
        <v>0</v>
      </c>
      <c r="Y53" s="246">
        <f>IF('Scheduled Intervals'!Y16&gt;0,ROUND('Hours Per Job'!Y16*'Total Cost for Plan'!$B$36*ROUNDDOWN($B$1/'Scheduled Intervals'!Y16,0),2),0)</f>
        <v>0</v>
      </c>
      <c r="Z53" s="246">
        <f>IF('Scheduled Intervals'!Z16&gt;0,ROUND('Hours Per Job'!Z16*'Total Cost for Plan'!$B$36*ROUNDDOWN($B$1/'Scheduled Intervals'!Z16,0),2),0)</f>
        <v>12</v>
      </c>
      <c r="AA53" s="246">
        <f>IF('Scheduled Intervals'!AA16&gt;0,ROUND('Hours Per Job'!AA16*'Total Cost for Plan'!$B$36*ROUNDDOWN($B$1/'Scheduled Intervals'!AA16,0),2),0)</f>
        <v>0</v>
      </c>
      <c r="AB53" s="246">
        <f>IF('Scheduled Intervals'!AB16&gt;0,ROUND('Hours Per Job'!AB16*'Total Cost for Plan'!$B$36*ROUNDDOWN($B$1/'Scheduled Intervals'!AB16,0),2),0)</f>
        <v>0</v>
      </c>
      <c r="AC53" s="246">
        <f>IF('Scheduled Intervals'!AC16&gt;0,ROUND('Hours Per Job'!AC16*'Total Cost for Plan'!$B$36*ROUNDDOWN($B$1/'Scheduled Intervals'!AC16,0),2),0)</f>
        <v>0</v>
      </c>
      <c r="AD53" s="246">
        <f>IF('Scheduled Intervals'!AD16&gt;0,ROUND('Hours Per Job'!AD16*'Total Cost for Plan'!$B$36*ROUNDDOWN($B$1/'Scheduled Intervals'!AD16,0),2),0)</f>
        <v>0</v>
      </c>
      <c r="AE53" s="246">
        <f>IF('Scheduled Intervals'!AE16&gt;0,ROUND('Hours Per Job'!AE16*'Total Cost for Plan'!$B$36*ROUNDDOWN($B$1/'Scheduled Intervals'!AE16,0),2),0)</f>
        <v>60</v>
      </c>
      <c r="AF53" s="246">
        <f>IF('Scheduled Intervals'!AF16&gt;0,ROUND('Hours Per Job'!AF16*'Total Cost for Plan'!$B$36*ROUNDDOWN($B$1/'Scheduled Intervals'!AF16,0),2),0)</f>
        <v>0</v>
      </c>
      <c r="AG53" s="246">
        <f>IF('Scheduled Intervals'!AG16&gt;0,ROUND('Hours Per Job'!AG16*'Total Cost for Plan'!$B$36*ROUNDDOWN($B$1/'Scheduled Intervals'!AG16,0),2),0)</f>
        <v>0</v>
      </c>
      <c r="AH53" s="246">
        <f>IF('Scheduled Intervals'!AH16&gt;0,ROUND('Hours Per Job'!AH16*'Total Cost for Plan'!$B$36*ROUNDDOWN($B$1/'Scheduled Intervals'!AH16,0),2),0)</f>
        <v>0</v>
      </c>
      <c r="AI53" s="246">
        <f>IF('Scheduled Intervals'!AI16&gt;0,ROUND('Hours Per Job'!AI16*'Total Cost for Plan'!$B$36*ROUNDDOWN($B$1/'Scheduled Intervals'!AI16,0),2),0)</f>
        <v>0</v>
      </c>
      <c r="AJ53" s="246">
        <f>IF('Scheduled Intervals'!AJ16&gt;0,ROUND('Hours Per Job'!AJ16*'Total Cost for Plan'!$B$36*ROUNDDOWN($B$1/'Scheduled Intervals'!AJ16,0),2),0)</f>
        <v>0</v>
      </c>
      <c r="AK53" s="246">
        <f>IF('Scheduled Intervals'!AK16&gt;0,ROUND('Hours Per Job'!AK16*'Total Cost for Plan'!$B$36*ROUNDDOWN($B$1/'Scheduled Intervals'!AK16,0),2),0)</f>
        <v>0</v>
      </c>
      <c r="AL53" s="246">
        <f>IF('Scheduled Intervals'!AL16&gt;0,ROUND('Hours Per Job'!AL16*'Total Cost for Plan'!$B$36*ROUNDDOWN($B$1/'Scheduled Intervals'!AL16,0),2),0)</f>
        <v>0</v>
      </c>
      <c r="AM53" s="246">
        <f>IF('Scheduled Intervals'!AM16&gt;0,ROUND('Hours Per Job'!AM16*'Total Cost for Plan'!$B$36*ROUNDDOWN($B$1/'Scheduled Intervals'!AM16,0),2),0)</f>
        <v>0</v>
      </c>
      <c r="AN53" s="246">
        <f>IF('Scheduled Intervals'!AN16&gt;0,ROUND('Hours Per Job'!AN16*'Total Cost for Plan'!$B$36*ROUNDDOWN($B$1/'Scheduled Intervals'!AN16,0),2),0)</f>
        <v>0</v>
      </c>
      <c r="AO53" s="246">
        <f>IF('Scheduled Intervals'!AO16&gt;0,ROUND('Hours Per Job'!AO16*'Total Cost for Plan'!$B$36*ROUNDDOWN($B$1/'Scheduled Intervals'!AO16,0),2),0)</f>
        <v>0</v>
      </c>
      <c r="AP53" s="246">
        <f>IF('Scheduled Intervals'!AP16&gt;0,ROUND('Hours Per Job'!AP16*'Total Cost for Plan'!$B$36*ROUNDDOWN($B$1/'Scheduled Intervals'!AP16,0),2),0)</f>
        <v>0</v>
      </c>
      <c r="AQ53" s="246">
        <f>IF('Scheduled Intervals'!AQ16&gt;0,ROUND('Hours Per Job'!AQ16*'Total Cost for Plan'!$B$36*ROUNDDOWN($B$1/'Scheduled Intervals'!AQ16,0),2),0)</f>
        <v>0</v>
      </c>
      <c r="AR53" s="246">
        <f>IF('Scheduled Intervals'!AR16&gt;0,ROUND('Hours Per Job'!AR16*'Total Cost for Plan'!$B$36*ROUNDDOWN($B$1/'Scheduled Intervals'!AR16,0),2),0)</f>
        <v>0</v>
      </c>
      <c r="AS53" s="246">
        <f>IF('Scheduled Intervals'!AS16&gt;0,ROUND('Hours Per Job'!AS16*'Total Cost for Plan'!$B$36*ROUNDDOWN($B$1/'Scheduled Intervals'!AS16,0),2),0)</f>
        <v>0</v>
      </c>
      <c r="AT53" s="246">
        <f>IF('Scheduled Intervals'!AT16&gt;0,ROUND('Hours Per Job'!AT16*'Total Cost for Plan'!$B$36*ROUNDDOWN($B$1/'Scheduled Intervals'!AT16,0),2),0)</f>
        <v>24</v>
      </c>
      <c r="AU53" s="246">
        <f>IF('Scheduled Intervals'!AU16&gt;0,ROUND('Hours Per Job'!AU16*'Total Cost for Plan'!$B$36*ROUNDDOWN($B$1/'Scheduled Intervals'!AU16,0),2),0)</f>
        <v>0</v>
      </c>
      <c r="AV53" s="246">
        <f>IF('Scheduled Intervals'!AV16&gt;0,ROUND('Hours Per Job'!AV16*'Total Cost for Plan'!$B$36*ROUNDDOWN($B$1/'Scheduled Intervals'!AV16,0),2),0)</f>
        <v>0</v>
      </c>
      <c r="AW53" s="246">
        <f>IF('Scheduled Intervals'!AW16&gt;0,ROUND('Hours Per Job'!AW16*'Total Cost for Plan'!$B$36*ROUNDDOWN($B$1/'Scheduled Intervals'!AW16,0),2),0)</f>
        <v>0</v>
      </c>
      <c r="AX53" s="246">
        <f>IF('Scheduled Intervals'!AX16&gt;0,ROUND('Hours Per Job'!AX16*'Total Cost for Plan'!$B$36*ROUNDDOWN($B$1/'Scheduled Intervals'!AX16,0),2),0)</f>
        <v>0</v>
      </c>
      <c r="AY53" s="246">
        <f>IF('Scheduled Intervals'!AY16&gt;0,ROUND('Hours Per Job'!AY16*'Total Cost for Plan'!$B$36*ROUNDDOWN($B$1/'Scheduled Intervals'!AY16,0),2),0)</f>
        <v>0</v>
      </c>
      <c r="AZ53" s="246">
        <f>IF('Scheduled Intervals'!AZ16&gt;0,ROUND('Hours Per Job'!AZ16*'Total Cost for Plan'!$B$36*ROUNDDOWN($B$1/'Scheduled Intervals'!AZ16,0),2),0)</f>
        <v>0</v>
      </c>
      <c r="BA53" s="246">
        <f>IF('Scheduled Intervals'!BA16&gt;0,ROUND('Hours Per Job'!BA16*'Total Cost for Plan'!$B$36*ROUNDDOWN($B$1/'Scheduled Intervals'!BA16,0),2),0)</f>
        <v>0</v>
      </c>
      <c r="BB53" s="246">
        <f>IF('Scheduled Intervals'!BB16&gt;0,ROUND('Hours Per Job'!BB16*'Total Cost for Plan'!$B$36*ROUNDDOWN($B$1/'Scheduled Intervals'!BB16,0),2),0)</f>
        <v>0</v>
      </c>
      <c r="BC53" s="246">
        <f>IF('Scheduled Intervals'!BC16&gt;0,ROUND('Hours Per Job'!BC16*'Total Cost for Plan'!$B$36*ROUNDDOWN($B$1/'Scheduled Intervals'!BC16,0),2),0)</f>
        <v>0</v>
      </c>
      <c r="BD53" s="246">
        <f>IF('Scheduled Intervals'!BD16&gt;0,ROUND('Hours Per Job'!BD16*'Total Cost for Plan'!$B$36*ROUNDDOWN($B$1/'Scheduled Intervals'!BD16,0),2),0)</f>
        <v>0</v>
      </c>
      <c r="BE53" s="246">
        <f>IF('Scheduled Intervals'!BE16&gt;0,ROUND('Hours Per Job'!BE16*'Total Cost for Plan'!$B$36*ROUNDDOWN($B$1/'Scheduled Intervals'!BE16,0),2),0)</f>
        <v>0</v>
      </c>
      <c r="BF53" s="246">
        <f>IF('Scheduled Intervals'!BF16&gt;0,ROUND('Hours Per Job'!BF16*'Total Cost for Plan'!$B$36*ROUNDDOWN($B$1/'Scheduled Intervals'!BF16,0),2),0)</f>
        <v>0</v>
      </c>
      <c r="BG53" s="246">
        <f>IF('Scheduled Intervals'!BG16&gt;0,ROUND('Hours Per Job'!BG16*'Total Cost for Plan'!$B$36*ROUNDDOWN($B$1/'Scheduled Intervals'!BG16,0),2),0)</f>
        <v>0</v>
      </c>
      <c r="BH53" s="246">
        <f>IF('Scheduled Intervals'!BH16&gt;0,ROUND('Hours Per Job'!BH16*'Total Cost for Plan'!$B$36*ROUNDDOWN($B$1/'Scheduled Intervals'!BH16,0),2),0)</f>
        <v>0</v>
      </c>
      <c r="BI53" s="246">
        <f>IF('Scheduled Intervals'!BI16&gt;0,ROUND('Hours Per Job'!BI16*'Total Cost for Plan'!$B$36*ROUNDDOWN($B$1/'Scheduled Intervals'!BI16,0),2),0)</f>
        <v>0</v>
      </c>
      <c r="BJ53" s="246">
        <f>IF('Scheduled Intervals'!BJ16&gt;0,ROUND('Hours Per Job'!BJ16*'Total Cost for Plan'!$B$36*ROUNDDOWN($B$1/'Scheduled Intervals'!BJ16,0),2),0)</f>
        <v>30</v>
      </c>
      <c r="BK53" s="246">
        <f>IF('Scheduled Intervals'!BK16&gt;0,ROUND('Hours Per Job'!BK16*'Total Cost for Plan'!$B$36*ROUNDDOWN($B$1/'Scheduled Intervals'!BK16,0),2),0)</f>
        <v>0</v>
      </c>
      <c r="BL53" s="246">
        <f>IF('Scheduled Intervals'!BL16&gt;0,ROUND('Hours Per Job'!BL16*'Total Cost for Plan'!$B$36*ROUNDDOWN($B$1/'Scheduled Intervals'!BL16,0),2),0)</f>
        <v>0</v>
      </c>
      <c r="BM53" s="246">
        <f>IF('Scheduled Intervals'!BM16&gt;0,ROUND('Hours Per Job'!BM16*'Total Cost for Plan'!$B$36*ROUNDDOWN($B$1/'Scheduled Intervals'!BM16,0),2),0)</f>
        <v>0</v>
      </c>
      <c r="BN53" s="246">
        <f>IF(AND('Scheduled Intervals'!BN$4="annual",'Plan Summary'!$C$5&lt;'Scheduled Intervals'!$U16*('Plan Summary'!$C$9/12)),ROUND('Hours Per Job'!BN16*'Total Cost for Plan'!$B$36*ROUND('Plan Summary'!$C$9/12,0),2),0)</f>
        <v>180</v>
      </c>
      <c r="BO53" s="246">
        <f>IF(AND('Scheduled Intervals'!BO$4="annual",'Plan Summary'!$C$5&lt;'Scheduled Intervals'!$U16*('Plan Summary'!$C$9/12)),ROUND('Hours Per Job'!BO16*'Total Cost for Plan'!$B$36*ROUND('Plan Summary'!$C$9/12,0),2),0)</f>
        <v>120</v>
      </c>
      <c r="BP53" s="246">
        <f>IF(AND('Scheduled Intervals'!BP$4="annual",'Plan Summary'!$C$5&lt;'Scheduled Intervals'!$U16*('Plan Summary'!$C$9/12)),ROUND('Hours Per Job'!BP16*'Total Cost for Plan'!$B$36*ROUND('Plan Summary'!$C$9/12,0),2),0)</f>
        <v>630</v>
      </c>
      <c r="BQ53" s="246">
        <f t="shared" si="2"/>
        <v>1482</v>
      </c>
      <c r="BR53" s="246"/>
    </row>
    <row r="54" spans="1:70" ht="16" x14ac:dyDescent="0.2">
      <c r="A54" s="18" t="str">
        <f>+'Scheduled Intervals'!A17</f>
        <v>Mahindra 1600 Series</v>
      </c>
      <c r="B54" s="246">
        <f>ROUND(('Hours Per Job'!B17*$B$36),2)</f>
        <v>48</v>
      </c>
      <c r="C54" s="246">
        <f>ROUND(('Hours Per Job'!C17*$B$36),2)</f>
        <v>12</v>
      </c>
      <c r="D54" s="246">
        <f>ROUND(('Hours Per Job'!D17*$B$36),2)</f>
        <v>0</v>
      </c>
      <c r="E54" s="246">
        <f>ROUND(('Hours Per Job'!E17*$B$36),2)</f>
        <v>120</v>
      </c>
      <c r="F54" s="246">
        <f>ROUND(('Hours Per Job'!F17*$B$36),2)</f>
        <v>60</v>
      </c>
      <c r="G54" s="246">
        <f>ROUND(('Hours Per Job'!G17*$B$36),2)</f>
        <v>0</v>
      </c>
      <c r="H54" s="246">
        <f>ROUND(('Hours Per Job'!H17*$B$36),2)</f>
        <v>24</v>
      </c>
      <c r="I54" s="246">
        <f>ROUND(('Hours Per Job'!I17*$B$36),2)</f>
        <v>30</v>
      </c>
      <c r="J54" s="246">
        <f>ROUND(('Hours Per Job'!J17*$B$36),2)</f>
        <v>0</v>
      </c>
      <c r="K54" s="246">
        <f>ROUND(('Hours Per Job'!K17*$B$36),2)</f>
        <v>24</v>
      </c>
      <c r="L54" s="246">
        <f>ROUND(('Hours Per Job'!L17*$B$36),2)</f>
        <v>120</v>
      </c>
      <c r="M54" s="246">
        <f>ROUND(('Hours Per Job'!M17*$B$36),2)</f>
        <v>0</v>
      </c>
      <c r="N54" s="246">
        <f>ROUND(('Hours Per Job'!N17*$B$36),2)</f>
        <v>0</v>
      </c>
      <c r="O54" s="246">
        <f>ROUND(('Hours Per Job'!O17*$B$36),2)</f>
        <v>0</v>
      </c>
      <c r="P54" s="246">
        <f>ROUND(('Hours Per Job'!P17*$B$36),2)</f>
        <v>0</v>
      </c>
      <c r="Q54" s="246">
        <f>ROUND(('Hours Per Job'!Q17*$B$36),2)</f>
        <v>0</v>
      </c>
      <c r="R54" s="246">
        <f>ROUND(('Hours Per Job'!R17*$B$36),2)</f>
        <v>0</v>
      </c>
      <c r="S54" s="246">
        <f>ROUND(('Hours Per Job'!S17*$B$36),2)</f>
        <v>0</v>
      </c>
      <c r="T54" s="246">
        <f>ROUND(('Hours Per Job'!T17*$B$36),2)</f>
        <v>0</v>
      </c>
      <c r="U54" s="246">
        <f>IF('Scheduled Intervals'!U17&gt;0,ROUND('Hours Per Job'!U17*'Total Cost for Plan'!$B$36*ROUNDDOWN($B$1/'Scheduled Intervals'!U17,0),2),0)</f>
        <v>144</v>
      </c>
      <c r="V54" s="246">
        <f>IF('Scheduled Intervals'!V17&gt;0,ROUND('Hours Per Job'!V17*'Total Cost for Plan'!$B$36*ROUNDDOWN($B$1/'Scheduled Intervals'!V17,0),2),0)</f>
        <v>0</v>
      </c>
      <c r="W54" s="246">
        <f>IF('Scheduled Intervals'!W17&gt;0,ROUND('Hours Per Job'!W17*'Total Cost for Plan'!$B$36*ROUNDDOWN($B$1/'Scheduled Intervals'!W17,0),2),0)</f>
        <v>36</v>
      </c>
      <c r="X54" s="246">
        <f>IF('Scheduled Intervals'!X17&gt;0,ROUND('Hours Per Job'!X17*'Total Cost for Plan'!$B$36*ROUNDDOWN($B$1/'Scheduled Intervals'!X17,0),2),0)</f>
        <v>0</v>
      </c>
      <c r="Y54" s="246">
        <f>IF('Scheduled Intervals'!Y17&gt;0,ROUND('Hours Per Job'!Y17*'Total Cost for Plan'!$B$36*ROUNDDOWN($B$1/'Scheduled Intervals'!Y17,0),2),0)</f>
        <v>0</v>
      </c>
      <c r="Z54" s="246">
        <f>IF('Scheduled Intervals'!Z17&gt;0,ROUND('Hours Per Job'!Z17*'Total Cost for Plan'!$B$36*ROUNDDOWN($B$1/'Scheduled Intervals'!Z17,0),2),0)</f>
        <v>72</v>
      </c>
      <c r="AA54" s="246">
        <f>IF('Scheduled Intervals'!AA17&gt;0,ROUND('Hours Per Job'!AA17*'Total Cost for Plan'!$B$36*ROUNDDOWN($B$1/'Scheduled Intervals'!AA17,0),2),0)</f>
        <v>0</v>
      </c>
      <c r="AB54" s="246">
        <f>IF('Scheduled Intervals'!AB17&gt;0,ROUND('Hours Per Job'!AB17*'Total Cost for Plan'!$B$36*ROUNDDOWN($B$1/'Scheduled Intervals'!AB17,0),2),0)</f>
        <v>120</v>
      </c>
      <c r="AC54" s="246">
        <f>IF('Scheduled Intervals'!AC17&gt;0,ROUND('Hours Per Job'!AC17*'Total Cost for Plan'!$B$36*ROUNDDOWN($B$1/'Scheduled Intervals'!AC17,0),2),0)</f>
        <v>0</v>
      </c>
      <c r="AD54" s="246">
        <f>IF('Scheduled Intervals'!AD17&gt;0,ROUND('Hours Per Job'!AD17*'Total Cost for Plan'!$B$36*ROUNDDOWN($B$1/'Scheduled Intervals'!AD17,0),2),0)</f>
        <v>0</v>
      </c>
      <c r="AE54" s="246">
        <f>IF('Scheduled Intervals'!AE17&gt;0,ROUND('Hours Per Job'!AE17*'Total Cost for Plan'!$B$36*ROUNDDOWN($B$1/'Scheduled Intervals'!AE17,0),2),0)</f>
        <v>60</v>
      </c>
      <c r="AF54" s="246">
        <f>IF('Scheduled Intervals'!AF17&gt;0,ROUND('Hours Per Job'!AF17*'Total Cost for Plan'!$B$36*ROUNDDOWN($B$1/'Scheduled Intervals'!AF17,0),2),0)</f>
        <v>0</v>
      </c>
      <c r="AG54" s="246">
        <f>IF('Scheduled Intervals'!AG17&gt;0,ROUND('Hours Per Job'!AG17*'Total Cost for Plan'!$B$36*ROUNDDOWN($B$1/'Scheduled Intervals'!AG17,0),2),0)</f>
        <v>0</v>
      </c>
      <c r="AH54" s="246">
        <f>IF('Scheduled Intervals'!AH17&gt;0,ROUND('Hours Per Job'!AH17*'Total Cost for Plan'!$B$36*ROUNDDOWN($B$1/'Scheduled Intervals'!AH17,0),2),0)</f>
        <v>0</v>
      </c>
      <c r="AI54" s="246">
        <f>IF('Scheduled Intervals'!AI17&gt;0,ROUND('Hours Per Job'!AI17*'Total Cost for Plan'!$B$36*ROUNDDOWN($B$1/'Scheduled Intervals'!AI17,0),2),0)</f>
        <v>0</v>
      </c>
      <c r="AJ54" s="246">
        <f>IF('Scheduled Intervals'!AJ17&gt;0,ROUND('Hours Per Job'!AJ17*'Total Cost for Plan'!$B$36*ROUNDDOWN($B$1/'Scheduled Intervals'!AJ17,0),2),0)</f>
        <v>0</v>
      </c>
      <c r="AK54" s="246">
        <f>IF('Scheduled Intervals'!AK17&gt;0,ROUND('Hours Per Job'!AK17*'Total Cost for Plan'!$B$36*ROUNDDOWN($B$1/'Scheduled Intervals'!AK17,0),2),0)</f>
        <v>0</v>
      </c>
      <c r="AL54" s="246">
        <f>IF('Scheduled Intervals'!AL17&gt;0,ROUND('Hours Per Job'!AL17*'Total Cost for Plan'!$B$36*ROUNDDOWN($B$1/'Scheduled Intervals'!AL17,0),2),0)</f>
        <v>0</v>
      </c>
      <c r="AM54" s="246">
        <f>IF('Scheduled Intervals'!AM17&gt;0,ROUND('Hours Per Job'!AM17*'Total Cost for Plan'!$B$36*ROUNDDOWN($B$1/'Scheduled Intervals'!AM17,0),2),0)</f>
        <v>0</v>
      </c>
      <c r="AN54" s="246">
        <f>IF('Scheduled Intervals'!AN17&gt;0,ROUND('Hours Per Job'!AN17*'Total Cost for Plan'!$B$36*ROUNDDOWN($B$1/'Scheduled Intervals'!AN17,0),2),0)</f>
        <v>0</v>
      </c>
      <c r="AO54" s="246">
        <f>IF('Scheduled Intervals'!AO17&gt;0,ROUND('Hours Per Job'!AO17*'Total Cost for Plan'!$B$36*ROUNDDOWN($B$1/'Scheduled Intervals'!AO17,0),2),0)</f>
        <v>0</v>
      </c>
      <c r="AP54" s="246">
        <f>IF('Scheduled Intervals'!AP17&gt;0,ROUND('Hours Per Job'!AP17*'Total Cost for Plan'!$B$36*ROUNDDOWN($B$1/'Scheduled Intervals'!AP17,0),2),0)</f>
        <v>0</v>
      </c>
      <c r="AQ54" s="246">
        <f>IF('Scheduled Intervals'!AQ17&gt;0,ROUND('Hours Per Job'!AQ17*'Total Cost for Plan'!$B$36*ROUNDDOWN($B$1/'Scheduled Intervals'!AQ17,0),2),0)</f>
        <v>0</v>
      </c>
      <c r="AR54" s="246">
        <f>IF('Scheduled Intervals'!AR17&gt;0,ROUND('Hours Per Job'!AR17*'Total Cost for Plan'!$B$36*ROUNDDOWN($B$1/'Scheduled Intervals'!AR17,0),2),0)</f>
        <v>0</v>
      </c>
      <c r="AS54" s="246">
        <f>IF('Scheduled Intervals'!AS17&gt;0,ROUND('Hours Per Job'!AS17*'Total Cost for Plan'!$B$36*ROUNDDOWN($B$1/'Scheduled Intervals'!AS17,0),2),0)</f>
        <v>0</v>
      </c>
      <c r="AT54" s="246">
        <f>IF('Scheduled Intervals'!AT17&gt;0,ROUND('Hours Per Job'!AT17*'Total Cost for Plan'!$B$36*ROUNDDOWN($B$1/'Scheduled Intervals'!AT17,0),2),0)</f>
        <v>72</v>
      </c>
      <c r="AU54" s="246">
        <f>IF('Scheduled Intervals'!AU17&gt;0,ROUND('Hours Per Job'!AU17*'Total Cost for Plan'!$B$36*ROUNDDOWN($B$1/'Scheduled Intervals'!AU17,0),2),0)</f>
        <v>0</v>
      </c>
      <c r="AV54" s="246">
        <f>IF('Scheduled Intervals'!AV17&gt;0,ROUND('Hours Per Job'!AV17*'Total Cost for Plan'!$B$36*ROUNDDOWN($B$1/'Scheduled Intervals'!AV17,0),2),0)</f>
        <v>0</v>
      </c>
      <c r="AW54" s="246">
        <f>IF('Scheduled Intervals'!AW17&gt;0,ROUND('Hours Per Job'!AW17*'Total Cost for Plan'!$B$36*ROUNDDOWN($B$1/'Scheduled Intervals'!AW17,0),2),0)</f>
        <v>0</v>
      </c>
      <c r="AX54" s="246">
        <f>IF('Scheduled Intervals'!AX17&gt;0,ROUND('Hours Per Job'!AX17*'Total Cost for Plan'!$B$36*ROUNDDOWN($B$1/'Scheduled Intervals'!AX17,0),2),0)</f>
        <v>0</v>
      </c>
      <c r="AY54" s="246">
        <f>IF('Scheduled Intervals'!AY17&gt;0,ROUND('Hours Per Job'!AY17*'Total Cost for Plan'!$B$36*ROUNDDOWN($B$1/'Scheduled Intervals'!AY17,0),2),0)</f>
        <v>0</v>
      </c>
      <c r="AZ54" s="246">
        <f>IF('Scheduled Intervals'!AZ17&gt;0,ROUND('Hours Per Job'!AZ17*'Total Cost for Plan'!$B$36*ROUNDDOWN($B$1/'Scheduled Intervals'!AZ17,0),2),0)</f>
        <v>0</v>
      </c>
      <c r="BA54" s="246">
        <f>IF('Scheduled Intervals'!BA17&gt;0,ROUND('Hours Per Job'!BA17*'Total Cost for Plan'!$B$36*ROUNDDOWN($B$1/'Scheduled Intervals'!BA17,0),2),0)</f>
        <v>0</v>
      </c>
      <c r="BB54" s="246">
        <f>IF('Scheduled Intervals'!BB17&gt;0,ROUND('Hours Per Job'!BB17*'Total Cost for Plan'!$B$36*ROUNDDOWN($B$1/'Scheduled Intervals'!BB17,0),2),0)</f>
        <v>12</v>
      </c>
      <c r="BC54" s="246">
        <f>IF('Scheduled Intervals'!BC17&gt;0,ROUND('Hours Per Job'!BC17*'Total Cost for Plan'!$B$36*ROUNDDOWN($B$1/'Scheduled Intervals'!BC17,0),2),0)</f>
        <v>0</v>
      </c>
      <c r="BD54" s="246">
        <f>IF('Scheduled Intervals'!BD17&gt;0,ROUND('Hours Per Job'!BD17*'Total Cost for Plan'!$B$36*ROUNDDOWN($B$1/'Scheduled Intervals'!BD17,0),2),0)</f>
        <v>0</v>
      </c>
      <c r="BE54" s="246">
        <f>IF('Scheduled Intervals'!BE17&gt;0,ROUND('Hours Per Job'!BE17*'Total Cost for Plan'!$B$36*ROUNDDOWN($B$1/'Scheduled Intervals'!BE17,0),2),0)</f>
        <v>0</v>
      </c>
      <c r="BF54" s="246">
        <f>IF('Scheduled Intervals'!BF17&gt;0,ROUND('Hours Per Job'!BF17*'Total Cost for Plan'!$B$36*ROUNDDOWN($B$1/'Scheduled Intervals'!BF17,0),2),0)</f>
        <v>0</v>
      </c>
      <c r="BG54" s="246">
        <f>IF('Scheduled Intervals'!BG17&gt;0,ROUND('Hours Per Job'!BG17*'Total Cost for Plan'!$B$36*ROUNDDOWN($B$1/'Scheduled Intervals'!BG17,0),2),0)</f>
        <v>0</v>
      </c>
      <c r="BH54" s="246">
        <f>IF('Scheduled Intervals'!BH17&gt;0,ROUND('Hours Per Job'!BH17*'Total Cost for Plan'!$B$36*ROUNDDOWN($B$1/'Scheduled Intervals'!BH17,0),2),0)</f>
        <v>0</v>
      </c>
      <c r="BI54" s="246">
        <f>IF('Scheduled Intervals'!BI17&gt;0,ROUND('Hours Per Job'!BI17*'Total Cost for Plan'!$B$36*ROUNDDOWN($B$1/'Scheduled Intervals'!BI17,0),2),0)</f>
        <v>0</v>
      </c>
      <c r="BJ54" s="246">
        <f>IF('Scheduled Intervals'!BJ17&gt;0,ROUND('Hours Per Job'!BJ17*'Total Cost for Plan'!$B$36*ROUNDDOWN($B$1/'Scheduled Intervals'!BJ17,0),2),0)</f>
        <v>90</v>
      </c>
      <c r="BK54" s="246">
        <f>IF('Scheduled Intervals'!BK17&gt;0,ROUND('Hours Per Job'!BK17*'Total Cost for Plan'!$B$36*ROUNDDOWN($B$1/'Scheduled Intervals'!BK17,0),2),0)</f>
        <v>0</v>
      </c>
      <c r="BL54" s="246">
        <f>IF('Scheduled Intervals'!BL17&gt;0,ROUND('Hours Per Job'!BL17*'Total Cost for Plan'!$B$36*ROUNDDOWN($B$1/'Scheduled Intervals'!BL17,0),2),0)</f>
        <v>0</v>
      </c>
      <c r="BM54" s="246">
        <f>IF('Scheduled Intervals'!BM17&gt;0,ROUND('Hours Per Job'!BM17*'Total Cost for Plan'!$B$36*ROUNDDOWN($B$1/'Scheduled Intervals'!BM17,0),2),0)</f>
        <v>0</v>
      </c>
      <c r="BN54" s="246">
        <f>IF(AND('Scheduled Intervals'!BN$4="annual",'Plan Summary'!$C$5&lt;'Scheduled Intervals'!$U17*('Plan Summary'!$C$9/12)),ROUND('Hours Per Job'!BN17*'Total Cost for Plan'!$B$36*ROUND('Plan Summary'!$C$9/12,0),2),0)</f>
        <v>240</v>
      </c>
      <c r="BO54" s="246">
        <f>IF(AND('Scheduled Intervals'!BO$4="annual",'Plan Summary'!$C$5&lt;'Scheduled Intervals'!$U17*('Plan Summary'!$C$9/12)),ROUND('Hours Per Job'!BO17*'Total Cost for Plan'!$B$36*ROUND('Plan Summary'!$C$9/12,0),2),0)</f>
        <v>120</v>
      </c>
      <c r="BP54" s="246">
        <f>IF(AND('Scheduled Intervals'!BP$4="annual",'Plan Summary'!$C$5&lt;'Scheduled Intervals'!$U17*('Plan Summary'!$C$9/12)),ROUND('Hours Per Job'!BP17*'Total Cost for Plan'!$B$36*ROUND('Plan Summary'!$C$9/12,0),2),0)</f>
        <v>630</v>
      </c>
      <c r="BQ54" s="246">
        <f t="shared" si="2"/>
        <v>2034</v>
      </c>
      <c r="BR54" s="246"/>
    </row>
    <row r="55" spans="1:70" ht="16" x14ac:dyDescent="0.2">
      <c r="A55" s="18" t="str">
        <f>+'Scheduled Intervals'!A18</f>
        <v>Mahindra 4500</v>
      </c>
      <c r="B55" s="246">
        <f>ROUND(('Hours Per Job'!B18*$B$36),2)</f>
        <v>48</v>
      </c>
      <c r="C55" s="246">
        <f>ROUND(('Hours Per Job'!C18*$B$36),2)</f>
        <v>0</v>
      </c>
      <c r="D55" s="246">
        <f>ROUND(('Hours Per Job'!D18*$B$36),2)</f>
        <v>0</v>
      </c>
      <c r="E55" s="246">
        <f>ROUND(('Hours Per Job'!E18*$B$36),2)</f>
        <v>0</v>
      </c>
      <c r="F55" s="246">
        <f>ROUND(('Hours Per Job'!F18*$B$36),2)</f>
        <v>60</v>
      </c>
      <c r="G55" s="246">
        <f>ROUND(('Hours Per Job'!G18*$B$36),2)</f>
        <v>0</v>
      </c>
      <c r="H55" s="246">
        <f>ROUND(('Hours Per Job'!H18*$B$36),2)</f>
        <v>24</v>
      </c>
      <c r="I55" s="246">
        <f>ROUND(('Hours Per Job'!I18*$B$36),2)</f>
        <v>30</v>
      </c>
      <c r="J55" s="246">
        <f>ROUND(('Hours Per Job'!J18*$B$36),2)</f>
        <v>0</v>
      </c>
      <c r="K55" s="246">
        <f>ROUND(('Hours Per Job'!K18*$B$36),2)</f>
        <v>0</v>
      </c>
      <c r="L55" s="246">
        <f>ROUND(('Hours Per Job'!L18*$B$36),2)</f>
        <v>0</v>
      </c>
      <c r="M55" s="246">
        <f>ROUND(('Hours Per Job'!M18*$B$36),2)</f>
        <v>0</v>
      </c>
      <c r="N55" s="246">
        <f>ROUND(('Hours Per Job'!N18*$B$36),2)</f>
        <v>0</v>
      </c>
      <c r="O55" s="246">
        <f>ROUND(('Hours Per Job'!O18*$B$36),2)</f>
        <v>0</v>
      </c>
      <c r="P55" s="246">
        <f>ROUND(('Hours Per Job'!P18*$B$36),2)</f>
        <v>0</v>
      </c>
      <c r="Q55" s="246">
        <f>ROUND(('Hours Per Job'!Q18*$B$36),2)</f>
        <v>0</v>
      </c>
      <c r="R55" s="246">
        <f>ROUND(('Hours Per Job'!R18*$B$36),2)</f>
        <v>0</v>
      </c>
      <c r="S55" s="246">
        <f>ROUND(('Hours Per Job'!S18*$B$36),2)</f>
        <v>0</v>
      </c>
      <c r="T55" s="246">
        <f>ROUND(('Hours Per Job'!T18*$B$36),2)</f>
        <v>0</v>
      </c>
      <c r="U55" s="246">
        <f>IF('Scheduled Intervals'!U18&gt;0,ROUND('Hours Per Job'!U18*'Total Cost for Plan'!$B$36*ROUNDDOWN($B$1/'Scheduled Intervals'!U18,0),2),0)</f>
        <v>0</v>
      </c>
      <c r="V55" s="246">
        <f>IF('Scheduled Intervals'!V18&gt;0,ROUND('Hours Per Job'!V18*'Total Cost for Plan'!$B$36*ROUNDDOWN($B$1/'Scheduled Intervals'!V18,0),2),0)</f>
        <v>0</v>
      </c>
      <c r="W55" s="246">
        <f>IF('Scheduled Intervals'!W18&gt;0,ROUND('Hours Per Job'!W18*'Total Cost for Plan'!$B$36*ROUNDDOWN($B$1/'Scheduled Intervals'!W18,0),2),0)</f>
        <v>0</v>
      </c>
      <c r="X55" s="246">
        <f>IF('Scheduled Intervals'!X18&gt;0,ROUND('Hours Per Job'!X18*'Total Cost for Plan'!$B$36*ROUNDDOWN($B$1/'Scheduled Intervals'!X18,0),2),0)</f>
        <v>0</v>
      </c>
      <c r="Y55" s="246">
        <f>IF('Scheduled Intervals'!Y18&gt;0,ROUND('Hours Per Job'!Y18*'Total Cost for Plan'!$B$36*ROUNDDOWN($B$1/'Scheduled Intervals'!Y18,0),2),0)</f>
        <v>0</v>
      </c>
      <c r="Z55" s="246">
        <f>IF('Scheduled Intervals'!Z18&gt;0,ROUND('Hours Per Job'!Z18*'Total Cost for Plan'!$B$36*ROUNDDOWN($B$1/'Scheduled Intervals'!Z18,0),2),0)</f>
        <v>36</v>
      </c>
      <c r="AA55" s="246">
        <f>IF('Scheduled Intervals'!AA18&gt;0,ROUND('Hours Per Job'!AA18*'Total Cost for Plan'!$B$36*ROUNDDOWN($B$1/'Scheduled Intervals'!AA18,0),2),0)</f>
        <v>0</v>
      </c>
      <c r="AB55" s="246">
        <f>IF('Scheduled Intervals'!AB18&gt;0,ROUND('Hours Per Job'!AB18*'Total Cost for Plan'!$B$36*ROUNDDOWN($B$1/'Scheduled Intervals'!AB18,0),2),0)</f>
        <v>0</v>
      </c>
      <c r="AC55" s="246">
        <f>IF('Scheduled Intervals'!AC18&gt;0,ROUND('Hours Per Job'!AC18*'Total Cost for Plan'!$B$36*ROUNDDOWN($B$1/'Scheduled Intervals'!AC18,0),2),0)</f>
        <v>0</v>
      </c>
      <c r="AD55" s="246">
        <f>IF('Scheduled Intervals'!AD18&gt;0,ROUND('Hours Per Job'!AD18*'Total Cost for Plan'!$B$36*ROUNDDOWN($B$1/'Scheduled Intervals'!AD18,0),2),0)</f>
        <v>0</v>
      </c>
      <c r="AE55" s="246">
        <f>IF('Scheduled Intervals'!AE18&gt;0,ROUND('Hours Per Job'!AE18*'Total Cost for Plan'!$B$36*ROUNDDOWN($B$1/'Scheduled Intervals'!AE18,0),2),0)</f>
        <v>0</v>
      </c>
      <c r="AF55" s="246">
        <f>IF('Scheduled Intervals'!AF18&gt;0,ROUND('Hours Per Job'!AF18*'Total Cost for Plan'!$B$36*ROUNDDOWN($B$1/'Scheduled Intervals'!AF18,0),2),0)</f>
        <v>0</v>
      </c>
      <c r="AG55" s="246">
        <f>IF('Scheduled Intervals'!AG18&gt;0,ROUND('Hours Per Job'!AG18*'Total Cost for Plan'!$B$36*ROUNDDOWN($B$1/'Scheduled Intervals'!AG18,0),2),0)</f>
        <v>0</v>
      </c>
      <c r="AH55" s="246">
        <f>IF('Scheduled Intervals'!AH18&gt;0,ROUND('Hours Per Job'!AH18*'Total Cost for Plan'!$B$36*ROUNDDOWN($B$1/'Scheduled Intervals'!AH18,0),2),0)</f>
        <v>0</v>
      </c>
      <c r="AI55" s="246">
        <f>IF('Scheduled Intervals'!AI18&gt;0,ROUND('Hours Per Job'!AI18*'Total Cost for Plan'!$B$36*ROUNDDOWN($B$1/'Scheduled Intervals'!AI18,0),2),0)</f>
        <v>0</v>
      </c>
      <c r="AJ55" s="246">
        <f>IF('Scheduled Intervals'!AJ18&gt;0,ROUND('Hours Per Job'!AJ18*'Total Cost for Plan'!$B$36*ROUNDDOWN($B$1/'Scheduled Intervals'!AJ18,0),2),0)</f>
        <v>0</v>
      </c>
      <c r="AK55" s="246">
        <f>IF('Scheduled Intervals'!AK18&gt;0,ROUND('Hours Per Job'!AK18*'Total Cost for Plan'!$B$36*ROUNDDOWN($B$1/'Scheduled Intervals'!AK18,0),2),0)</f>
        <v>0</v>
      </c>
      <c r="AL55" s="246">
        <f>IF('Scheduled Intervals'!AL18&gt;0,ROUND('Hours Per Job'!AL18*'Total Cost for Plan'!$B$36*ROUNDDOWN($B$1/'Scheduled Intervals'!AL18,0),2),0)</f>
        <v>120</v>
      </c>
      <c r="AM55" s="246">
        <f>IF('Scheduled Intervals'!AM18&gt;0,ROUND('Hours Per Job'!AM18*'Total Cost for Plan'!$B$36*ROUNDDOWN($B$1/'Scheduled Intervals'!AM18,0),2),0)</f>
        <v>0</v>
      </c>
      <c r="AN55" s="246">
        <f>IF('Scheduled Intervals'!AN18&gt;0,ROUND('Hours Per Job'!AN18*'Total Cost for Plan'!$B$36*ROUNDDOWN($B$1/'Scheduled Intervals'!AN18,0),2),0)</f>
        <v>0</v>
      </c>
      <c r="AO55" s="246">
        <f>IF('Scheduled Intervals'!AO18&gt;0,ROUND('Hours Per Job'!AO18*'Total Cost for Plan'!$B$36*ROUNDDOWN($B$1/'Scheduled Intervals'!AO18,0),2),0)</f>
        <v>0</v>
      </c>
      <c r="AP55" s="246">
        <f>IF('Scheduled Intervals'!AP18&gt;0,ROUND('Hours Per Job'!AP18*'Total Cost for Plan'!$B$36*ROUNDDOWN($B$1/'Scheduled Intervals'!AP18,0),2),0)</f>
        <v>0</v>
      </c>
      <c r="AQ55" s="246">
        <f>IF('Scheduled Intervals'!AQ18&gt;0,ROUND('Hours Per Job'!AQ18*'Total Cost for Plan'!$B$36*ROUNDDOWN($B$1/'Scheduled Intervals'!AQ18,0),2),0)</f>
        <v>0</v>
      </c>
      <c r="AR55" s="246">
        <f>IF('Scheduled Intervals'!AR18&gt;0,ROUND('Hours Per Job'!AR18*'Total Cost for Plan'!$B$36*ROUNDDOWN($B$1/'Scheduled Intervals'!AR18,0),2),0)</f>
        <v>0</v>
      </c>
      <c r="AS55" s="246">
        <f>IF('Scheduled Intervals'!AS18&gt;0,ROUND('Hours Per Job'!AS18*'Total Cost for Plan'!$B$36*ROUNDDOWN($B$1/'Scheduled Intervals'!AS18,0),2),0)</f>
        <v>0</v>
      </c>
      <c r="AT55" s="246">
        <f>IF('Scheduled Intervals'!AT18&gt;0,ROUND('Hours Per Job'!AT18*'Total Cost for Plan'!$B$36*ROUNDDOWN($B$1/'Scheduled Intervals'!AT18,0),2),0)</f>
        <v>24</v>
      </c>
      <c r="AU55" s="246">
        <f>IF('Scheduled Intervals'!AU18&gt;0,ROUND('Hours Per Job'!AU18*'Total Cost for Plan'!$B$36*ROUNDDOWN($B$1/'Scheduled Intervals'!AU18,0),2),0)</f>
        <v>0</v>
      </c>
      <c r="AV55" s="246">
        <f>IF('Scheduled Intervals'!AV18&gt;0,ROUND('Hours Per Job'!AV18*'Total Cost for Plan'!$B$36*ROUNDDOWN($B$1/'Scheduled Intervals'!AV18,0),2),0)</f>
        <v>0</v>
      </c>
      <c r="AW55" s="246">
        <f>IF('Scheduled Intervals'!AW18&gt;0,ROUND('Hours Per Job'!AW18*'Total Cost for Plan'!$B$36*ROUNDDOWN($B$1/'Scheduled Intervals'!AW18,0),2),0)</f>
        <v>0</v>
      </c>
      <c r="AX55" s="246">
        <f>IF('Scheduled Intervals'!AX18&gt;0,ROUND('Hours Per Job'!AX18*'Total Cost for Plan'!$B$36*ROUNDDOWN($B$1/'Scheduled Intervals'!AX18,0),2),0)</f>
        <v>0</v>
      </c>
      <c r="AY55" s="246">
        <f>IF('Scheduled Intervals'!AY18&gt;0,ROUND('Hours Per Job'!AY18*'Total Cost for Plan'!$B$36*ROUNDDOWN($B$1/'Scheduled Intervals'!AY18,0),2),0)</f>
        <v>0</v>
      </c>
      <c r="AZ55" s="246">
        <f>IF('Scheduled Intervals'!AZ18&gt;0,ROUND('Hours Per Job'!AZ18*'Total Cost for Plan'!$B$36*ROUNDDOWN($B$1/'Scheduled Intervals'!AZ18,0),2),0)</f>
        <v>0</v>
      </c>
      <c r="BA55" s="246">
        <f>IF('Scheduled Intervals'!BA18&gt;0,ROUND('Hours Per Job'!BA18*'Total Cost for Plan'!$B$36*ROUNDDOWN($B$1/'Scheduled Intervals'!BA18,0),2),0)</f>
        <v>0</v>
      </c>
      <c r="BB55" s="246">
        <f>IF('Scheduled Intervals'!BB18&gt;0,ROUND('Hours Per Job'!BB18*'Total Cost for Plan'!$B$36*ROUNDDOWN($B$1/'Scheduled Intervals'!BB18,0),2),0)</f>
        <v>0</v>
      </c>
      <c r="BC55" s="246">
        <f>IF('Scheduled Intervals'!BC18&gt;0,ROUND('Hours Per Job'!BC18*'Total Cost for Plan'!$B$36*ROUNDDOWN($B$1/'Scheduled Intervals'!BC18,0),2),0)</f>
        <v>0</v>
      </c>
      <c r="BD55" s="246">
        <f>IF('Scheduled Intervals'!BD18&gt;0,ROUND('Hours Per Job'!BD18*'Total Cost for Plan'!$B$36*ROUNDDOWN($B$1/'Scheduled Intervals'!BD18,0),2),0)</f>
        <v>0</v>
      </c>
      <c r="BE55" s="246">
        <f>IF('Scheduled Intervals'!BE18&gt;0,ROUND('Hours Per Job'!BE18*'Total Cost for Plan'!$B$36*ROUNDDOWN($B$1/'Scheduled Intervals'!BE18,0),2),0)</f>
        <v>0</v>
      </c>
      <c r="BF55" s="246">
        <f>IF('Scheduled Intervals'!BF18&gt;0,ROUND('Hours Per Job'!BF18*'Total Cost for Plan'!$B$36*ROUNDDOWN($B$1/'Scheduled Intervals'!BF18,0),2),0)</f>
        <v>0</v>
      </c>
      <c r="BG55" s="246">
        <f>IF('Scheduled Intervals'!BG18&gt;0,ROUND('Hours Per Job'!BG18*'Total Cost for Plan'!$B$36*ROUNDDOWN($B$1/'Scheduled Intervals'!BG18,0),2),0)</f>
        <v>0</v>
      </c>
      <c r="BH55" s="246">
        <f>IF('Scheduled Intervals'!BH18&gt;0,ROUND('Hours Per Job'!BH18*'Total Cost for Plan'!$B$36*ROUNDDOWN($B$1/'Scheduled Intervals'!BH18,0),2),0)</f>
        <v>0</v>
      </c>
      <c r="BI55" s="246">
        <f>IF('Scheduled Intervals'!BI18&gt;0,ROUND('Hours Per Job'!BI18*'Total Cost for Plan'!$B$36*ROUNDDOWN($B$1/'Scheduled Intervals'!BI18,0),2),0)</f>
        <v>0</v>
      </c>
      <c r="BJ55" s="246">
        <f>IF('Scheduled Intervals'!BJ18&gt;0,ROUND('Hours Per Job'!BJ18*'Total Cost for Plan'!$B$36*ROUNDDOWN($B$1/'Scheduled Intervals'!BJ18,0),2),0)</f>
        <v>30</v>
      </c>
      <c r="BK55" s="246">
        <f>IF('Scheduled Intervals'!BK18&gt;0,ROUND('Hours Per Job'!BK18*'Total Cost for Plan'!$B$36*ROUNDDOWN($B$1/'Scheduled Intervals'!BK18,0),2),0)</f>
        <v>0</v>
      </c>
      <c r="BL55" s="246">
        <f>IF('Scheduled Intervals'!BL18&gt;0,ROUND('Hours Per Job'!BL18*'Total Cost for Plan'!$B$36*ROUNDDOWN($B$1/'Scheduled Intervals'!BL18,0),2),0)</f>
        <v>0</v>
      </c>
      <c r="BM55" s="246">
        <f>IF('Scheduled Intervals'!BM18&gt;0,ROUND('Hours Per Job'!BM18*'Total Cost for Plan'!$B$36*ROUNDDOWN($B$1/'Scheduled Intervals'!BM18,0),2),0)</f>
        <v>0</v>
      </c>
      <c r="BN55" s="246">
        <f>IF(AND('Scheduled Intervals'!BN$4="annual",'Plan Summary'!$C$5&lt;'Scheduled Intervals'!$U18*('Plan Summary'!$C$9/12)),ROUND('Hours Per Job'!BN18*'Total Cost for Plan'!$B$36*ROUND('Plan Summary'!$C$9/12,0),2),0)</f>
        <v>240</v>
      </c>
      <c r="BO55" s="246">
        <f>IF(AND('Scheduled Intervals'!BO$4="annual",'Plan Summary'!$C$5&lt;'Scheduled Intervals'!$U18*('Plan Summary'!$C$9/12)),ROUND('Hours Per Job'!BO18*'Total Cost for Plan'!$B$36*ROUND('Plan Summary'!$C$9/12,0),2),0)</f>
        <v>120</v>
      </c>
      <c r="BP55" s="246">
        <f>IF(AND('Scheduled Intervals'!BP$4="annual",'Plan Summary'!$C$5&lt;'Scheduled Intervals'!$U18*('Plan Summary'!$C$9/12)),ROUND('Hours Per Job'!BP18*'Total Cost for Plan'!$B$36*ROUND('Plan Summary'!$C$9/12,0),2),0)</f>
        <v>630</v>
      </c>
      <c r="BQ55" s="246">
        <f t="shared" si="2"/>
        <v>1362</v>
      </c>
      <c r="BR55" s="246"/>
    </row>
    <row r="56" spans="1:70" ht="16" x14ac:dyDescent="0.2">
      <c r="A56" s="18" t="str">
        <f>+'Scheduled Intervals'!A19</f>
        <v>Mahindra 5500</v>
      </c>
      <c r="B56" s="246">
        <f>ROUND(('Hours Per Job'!B19*$B$36),2)</f>
        <v>48</v>
      </c>
      <c r="C56" s="246">
        <f>ROUND(('Hours Per Job'!C19*$B$36),2)</f>
        <v>0</v>
      </c>
      <c r="D56" s="246">
        <f>ROUND(('Hours Per Job'!D19*$B$36),2)</f>
        <v>0</v>
      </c>
      <c r="E56" s="246">
        <f>ROUND(('Hours Per Job'!E19*$B$36),2)</f>
        <v>0</v>
      </c>
      <c r="F56" s="246">
        <f>ROUND(('Hours Per Job'!F19*$B$36),2)</f>
        <v>60</v>
      </c>
      <c r="G56" s="246">
        <f>ROUND(('Hours Per Job'!G19*$B$36),2)</f>
        <v>0</v>
      </c>
      <c r="H56" s="246">
        <f>ROUND(('Hours Per Job'!H19*$B$36),2)</f>
        <v>24</v>
      </c>
      <c r="I56" s="246">
        <f>ROUND(('Hours Per Job'!I19*$B$36),2)</f>
        <v>30</v>
      </c>
      <c r="J56" s="246">
        <f>ROUND(('Hours Per Job'!J19*$B$36),2)</f>
        <v>0</v>
      </c>
      <c r="K56" s="246">
        <f>ROUND(('Hours Per Job'!K19*$B$36),2)</f>
        <v>0</v>
      </c>
      <c r="L56" s="246">
        <f>ROUND(('Hours Per Job'!L19*$B$36),2)</f>
        <v>0</v>
      </c>
      <c r="M56" s="246">
        <f>ROUND(('Hours Per Job'!M19*$B$36),2)</f>
        <v>0</v>
      </c>
      <c r="N56" s="246">
        <f>ROUND(('Hours Per Job'!N19*$B$36),2)</f>
        <v>0</v>
      </c>
      <c r="O56" s="246">
        <f>ROUND(('Hours Per Job'!O19*$B$36),2)</f>
        <v>0</v>
      </c>
      <c r="P56" s="246">
        <f>ROUND(('Hours Per Job'!P19*$B$36),2)</f>
        <v>0</v>
      </c>
      <c r="Q56" s="246">
        <f>ROUND(('Hours Per Job'!Q19*$B$36),2)</f>
        <v>0</v>
      </c>
      <c r="R56" s="246">
        <f>ROUND(('Hours Per Job'!R19*$B$36),2)</f>
        <v>0</v>
      </c>
      <c r="S56" s="246">
        <f>ROUND(('Hours Per Job'!S19*$B$36),2)</f>
        <v>0</v>
      </c>
      <c r="T56" s="246">
        <f>ROUND(('Hours Per Job'!T19*$B$36),2)</f>
        <v>0</v>
      </c>
      <c r="U56" s="246">
        <f>IF('Scheduled Intervals'!U19&gt;0,ROUND('Hours Per Job'!U19*'Total Cost for Plan'!$B$36*ROUNDDOWN($B$1/'Scheduled Intervals'!U19,0),2),0)</f>
        <v>48</v>
      </c>
      <c r="V56" s="246">
        <f>IF('Scheduled Intervals'!V19&gt;0,ROUND('Hours Per Job'!V19*'Total Cost for Plan'!$B$36*ROUNDDOWN($B$1/'Scheduled Intervals'!V19,0),2),0)</f>
        <v>0</v>
      </c>
      <c r="W56" s="246">
        <f>IF('Scheduled Intervals'!W19&gt;0,ROUND('Hours Per Job'!W19*'Total Cost for Plan'!$B$36*ROUNDDOWN($B$1/'Scheduled Intervals'!W19,0),2),0)</f>
        <v>0</v>
      </c>
      <c r="X56" s="246">
        <f>IF('Scheduled Intervals'!X19&gt;0,ROUND('Hours Per Job'!X19*'Total Cost for Plan'!$B$36*ROUNDDOWN($B$1/'Scheduled Intervals'!X19,0),2),0)</f>
        <v>0</v>
      </c>
      <c r="Y56" s="246">
        <f>IF('Scheduled Intervals'!Y19&gt;0,ROUND('Hours Per Job'!Y19*'Total Cost for Plan'!$B$36*ROUNDDOWN($B$1/'Scheduled Intervals'!Y19,0),2),0)</f>
        <v>0</v>
      </c>
      <c r="Z56" s="246">
        <f>IF('Scheduled Intervals'!Z19&gt;0,ROUND('Hours Per Job'!Z19*'Total Cost for Plan'!$B$36*ROUNDDOWN($B$1/'Scheduled Intervals'!Z19,0),2),0)</f>
        <v>0</v>
      </c>
      <c r="AA56" s="246">
        <f>IF('Scheduled Intervals'!AA19&gt;0,ROUND('Hours Per Job'!AA19*'Total Cost for Plan'!$B$36*ROUNDDOWN($B$1/'Scheduled Intervals'!AA19,0),2),0)</f>
        <v>0</v>
      </c>
      <c r="AB56" s="246">
        <f>IF('Scheduled Intervals'!AB19&gt;0,ROUND('Hours Per Job'!AB19*'Total Cost for Plan'!$B$36*ROUNDDOWN($B$1/'Scheduled Intervals'!AB19,0),2),0)</f>
        <v>0</v>
      </c>
      <c r="AC56" s="246">
        <f>IF('Scheduled Intervals'!AC19&gt;0,ROUND('Hours Per Job'!AC19*'Total Cost for Plan'!$B$36*ROUNDDOWN($B$1/'Scheduled Intervals'!AC19,0),2),0)</f>
        <v>0</v>
      </c>
      <c r="AD56" s="246">
        <f>IF('Scheduled Intervals'!AD19&gt;0,ROUND('Hours Per Job'!AD19*'Total Cost for Plan'!$B$36*ROUNDDOWN($B$1/'Scheduled Intervals'!AD19,0),2),0)</f>
        <v>0</v>
      </c>
      <c r="AE56" s="246">
        <f>IF('Scheduled Intervals'!AE19&gt;0,ROUND('Hours Per Job'!AE19*'Total Cost for Plan'!$B$36*ROUNDDOWN($B$1/'Scheduled Intervals'!AE19,0),2),0)</f>
        <v>0</v>
      </c>
      <c r="AF56" s="246">
        <f>IF('Scheduled Intervals'!AF19&gt;0,ROUND('Hours Per Job'!AF19*'Total Cost for Plan'!$B$36*ROUNDDOWN($B$1/'Scheduled Intervals'!AF19,0),2),0)</f>
        <v>0</v>
      </c>
      <c r="AG56" s="246">
        <f>IF('Scheduled Intervals'!AG19&gt;0,ROUND('Hours Per Job'!AG19*'Total Cost for Plan'!$B$36*ROUNDDOWN($B$1/'Scheduled Intervals'!AG19,0),2),0)</f>
        <v>0</v>
      </c>
      <c r="AH56" s="246">
        <f>IF('Scheduled Intervals'!AH19&gt;0,ROUND('Hours Per Job'!AH19*'Total Cost for Plan'!$B$36*ROUNDDOWN($B$1/'Scheduled Intervals'!AH19,0),2),0)</f>
        <v>0</v>
      </c>
      <c r="AI56" s="246">
        <f>IF('Scheduled Intervals'!AI19&gt;0,ROUND('Hours Per Job'!AI19*'Total Cost for Plan'!$B$36*ROUNDDOWN($B$1/'Scheduled Intervals'!AI19,0),2),0)</f>
        <v>0</v>
      </c>
      <c r="AJ56" s="246">
        <f>IF('Scheduled Intervals'!AJ19&gt;0,ROUND('Hours Per Job'!AJ19*'Total Cost for Plan'!$B$36*ROUNDDOWN($B$1/'Scheduled Intervals'!AJ19,0),2),0)</f>
        <v>0</v>
      </c>
      <c r="AK56" s="246">
        <f>IF('Scheduled Intervals'!AK19&gt;0,ROUND('Hours Per Job'!AK19*'Total Cost for Plan'!$B$36*ROUNDDOWN($B$1/'Scheduled Intervals'!AK19,0),2),0)</f>
        <v>0</v>
      </c>
      <c r="AL56" s="246">
        <f>IF('Scheduled Intervals'!AL19&gt;0,ROUND('Hours Per Job'!AL19*'Total Cost for Plan'!$B$36*ROUNDDOWN($B$1/'Scheduled Intervals'!AL19,0),2),0)</f>
        <v>0</v>
      </c>
      <c r="AM56" s="246">
        <f>IF('Scheduled Intervals'!AM19&gt;0,ROUND('Hours Per Job'!AM19*'Total Cost for Plan'!$B$36*ROUNDDOWN($B$1/'Scheduled Intervals'!AM19,0),2),0)</f>
        <v>0</v>
      </c>
      <c r="AN56" s="246">
        <f>IF('Scheduled Intervals'!AN19&gt;0,ROUND('Hours Per Job'!AN19*'Total Cost for Plan'!$B$36*ROUNDDOWN($B$1/'Scheduled Intervals'!AN19,0),2),0)</f>
        <v>0</v>
      </c>
      <c r="AO56" s="246">
        <f>IF('Scheduled Intervals'!AO19&gt;0,ROUND('Hours Per Job'!AO19*'Total Cost for Plan'!$B$36*ROUNDDOWN($B$1/'Scheduled Intervals'!AO19,0),2),0)</f>
        <v>0</v>
      </c>
      <c r="AP56" s="246">
        <f>IF('Scheduled Intervals'!AP19&gt;0,ROUND('Hours Per Job'!AP19*'Total Cost for Plan'!$B$36*ROUNDDOWN($B$1/'Scheduled Intervals'!AP19,0),2),0)</f>
        <v>0</v>
      </c>
      <c r="AQ56" s="246">
        <f>IF('Scheduled Intervals'!AQ19&gt;0,ROUND('Hours Per Job'!AQ19*'Total Cost for Plan'!$B$36*ROUNDDOWN($B$1/'Scheduled Intervals'!AQ19,0),2),0)</f>
        <v>0</v>
      </c>
      <c r="AR56" s="246">
        <f>IF('Scheduled Intervals'!AR19&gt;0,ROUND('Hours Per Job'!AR19*'Total Cost for Plan'!$B$36*ROUNDDOWN($B$1/'Scheduled Intervals'!AR19,0),2),0)</f>
        <v>0</v>
      </c>
      <c r="AS56" s="246">
        <f>IF('Scheduled Intervals'!AS19&gt;0,ROUND('Hours Per Job'!AS19*'Total Cost for Plan'!$B$36*ROUNDDOWN($B$1/'Scheduled Intervals'!AS19,0),2),0)</f>
        <v>0</v>
      </c>
      <c r="AT56" s="246">
        <f>IF('Scheduled Intervals'!AT19&gt;0,ROUND('Hours Per Job'!AT19*'Total Cost for Plan'!$B$36*ROUNDDOWN($B$1/'Scheduled Intervals'!AT19,0),2),0)</f>
        <v>24</v>
      </c>
      <c r="AU56" s="246">
        <f>IF('Scheduled Intervals'!AU19&gt;0,ROUND('Hours Per Job'!AU19*'Total Cost for Plan'!$B$36*ROUNDDOWN($B$1/'Scheduled Intervals'!AU19,0),2),0)</f>
        <v>0</v>
      </c>
      <c r="AV56" s="246">
        <f>IF('Scheduled Intervals'!AV19&gt;0,ROUND('Hours Per Job'!AV19*'Total Cost for Plan'!$B$36*ROUNDDOWN($B$1/'Scheduled Intervals'!AV19,0),2),0)</f>
        <v>0</v>
      </c>
      <c r="AW56" s="246">
        <f>IF('Scheduled Intervals'!AW19&gt;0,ROUND('Hours Per Job'!AW19*'Total Cost for Plan'!$B$36*ROUNDDOWN($B$1/'Scheduled Intervals'!AW19,0),2),0)</f>
        <v>0</v>
      </c>
      <c r="AX56" s="246">
        <f>IF('Scheduled Intervals'!AX19&gt;0,ROUND('Hours Per Job'!AX19*'Total Cost for Plan'!$B$36*ROUNDDOWN($B$1/'Scheduled Intervals'!AX19,0),2),0)</f>
        <v>0</v>
      </c>
      <c r="AY56" s="246">
        <f>IF('Scheduled Intervals'!AY19&gt;0,ROUND('Hours Per Job'!AY19*'Total Cost for Plan'!$B$36*ROUNDDOWN($B$1/'Scheduled Intervals'!AY19,0),2),0)</f>
        <v>0</v>
      </c>
      <c r="AZ56" s="246">
        <f>IF('Scheduled Intervals'!AZ19&gt;0,ROUND('Hours Per Job'!AZ19*'Total Cost for Plan'!$B$36*ROUNDDOWN($B$1/'Scheduled Intervals'!AZ19,0),2),0)</f>
        <v>0</v>
      </c>
      <c r="BA56" s="246">
        <f>IF('Scheduled Intervals'!BA19&gt;0,ROUND('Hours Per Job'!BA19*'Total Cost for Plan'!$B$36*ROUNDDOWN($B$1/'Scheduled Intervals'!BA19,0),2),0)</f>
        <v>0</v>
      </c>
      <c r="BB56" s="246">
        <f>IF('Scheduled Intervals'!BB19&gt;0,ROUND('Hours Per Job'!BB19*'Total Cost for Plan'!$B$36*ROUNDDOWN($B$1/'Scheduled Intervals'!BB19,0),2),0)</f>
        <v>0</v>
      </c>
      <c r="BC56" s="246">
        <f>IF('Scheduled Intervals'!BC19&gt;0,ROUND('Hours Per Job'!BC19*'Total Cost for Plan'!$B$36*ROUNDDOWN($B$1/'Scheduled Intervals'!BC19,0),2),0)</f>
        <v>0</v>
      </c>
      <c r="BD56" s="246">
        <f>IF('Scheduled Intervals'!BD19&gt;0,ROUND('Hours Per Job'!BD19*'Total Cost for Plan'!$B$36*ROUNDDOWN($B$1/'Scheduled Intervals'!BD19,0),2),0)</f>
        <v>0</v>
      </c>
      <c r="BE56" s="246">
        <f>IF('Scheduled Intervals'!BE19&gt;0,ROUND('Hours Per Job'!BE19*'Total Cost for Plan'!$B$36*ROUNDDOWN($B$1/'Scheduled Intervals'!BE19,0),2),0)</f>
        <v>0</v>
      </c>
      <c r="BF56" s="246">
        <f>IF('Scheduled Intervals'!BF19&gt;0,ROUND('Hours Per Job'!BF19*'Total Cost for Plan'!$B$36*ROUNDDOWN($B$1/'Scheduled Intervals'!BF19,0),2),0)</f>
        <v>0</v>
      </c>
      <c r="BG56" s="246">
        <f>IF('Scheduled Intervals'!BG19&gt;0,ROUND('Hours Per Job'!BG19*'Total Cost for Plan'!$B$36*ROUNDDOWN($B$1/'Scheduled Intervals'!BG19,0),2),0)</f>
        <v>0</v>
      </c>
      <c r="BH56" s="246">
        <f>IF('Scheduled Intervals'!BH19&gt;0,ROUND('Hours Per Job'!BH19*'Total Cost for Plan'!$B$36*ROUNDDOWN($B$1/'Scheduled Intervals'!BH19,0),2),0)</f>
        <v>0</v>
      </c>
      <c r="BI56" s="246">
        <f>IF('Scheduled Intervals'!BI19&gt;0,ROUND('Hours Per Job'!BI19*'Total Cost for Plan'!$B$36*ROUNDDOWN($B$1/'Scheduled Intervals'!BI19,0),2),0)</f>
        <v>0</v>
      </c>
      <c r="BJ56" s="246">
        <f>IF('Scheduled Intervals'!BJ19&gt;0,ROUND('Hours Per Job'!BJ19*'Total Cost for Plan'!$B$36*ROUNDDOWN($B$1/'Scheduled Intervals'!BJ19,0),2),0)</f>
        <v>30</v>
      </c>
      <c r="BK56" s="246">
        <f>IF('Scheduled Intervals'!BK19&gt;0,ROUND('Hours Per Job'!BK19*'Total Cost for Plan'!$B$36*ROUNDDOWN($B$1/'Scheduled Intervals'!BK19,0),2),0)</f>
        <v>0</v>
      </c>
      <c r="BL56" s="246">
        <f>IF('Scheduled Intervals'!BL19&gt;0,ROUND('Hours Per Job'!BL19*'Total Cost for Plan'!$B$36*ROUNDDOWN($B$1/'Scheduled Intervals'!BL19,0),2),0)</f>
        <v>0</v>
      </c>
      <c r="BM56" s="246">
        <f>IF('Scheduled Intervals'!BM19&gt;0,ROUND('Hours Per Job'!BM19*'Total Cost for Plan'!$B$36*ROUNDDOWN($B$1/'Scheduled Intervals'!BM19,0),2),0)</f>
        <v>0</v>
      </c>
      <c r="BN56" s="246">
        <f>IF(AND('Scheduled Intervals'!BN$4="annual",'Plan Summary'!$C$5&lt;'Scheduled Intervals'!$U19*('Plan Summary'!$C$9/12)),ROUND('Hours Per Job'!BN19*'Total Cost for Plan'!$B$36*ROUND('Plan Summary'!$C$9/12,0),2),0)</f>
        <v>240</v>
      </c>
      <c r="BO56" s="246">
        <f>IF(AND('Scheduled Intervals'!BO$4="annual",'Plan Summary'!$C$5&lt;'Scheduled Intervals'!$U19*('Plan Summary'!$C$9/12)),ROUND('Hours Per Job'!BO19*'Total Cost for Plan'!$B$36*ROUND('Plan Summary'!$C$9/12,0),2),0)</f>
        <v>120</v>
      </c>
      <c r="BP56" s="246">
        <f>IF(AND('Scheduled Intervals'!BP$4="annual",'Plan Summary'!$C$5&lt;'Scheduled Intervals'!$U19*('Plan Summary'!$C$9/12)),ROUND('Hours Per Job'!BP19*'Total Cost for Plan'!$B$36*ROUND('Plan Summary'!$C$9/12,0),2),0)</f>
        <v>630</v>
      </c>
      <c r="BQ56" s="246">
        <f t="shared" si="2"/>
        <v>1254</v>
      </c>
      <c r="BR56" s="246"/>
    </row>
    <row r="57" spans="1:70" ht="16" x14ac:dyDescent="0.2">
      <c r="A57" s="18" t="str">
        <f>+'Scheduled Intervals'!A20</f>
        <v>Mahindra 6000</v>
      </c>
      <c r="B57" s="246">
        <f>ROUND(('Hours Per Job'!B20*$B$36),2)</f>
        <v>48</v>
      </c>
      <c r="C57" s="246">
        <f>ROUND(('Hours Per Job'!C20*$B$36),2)</f>
        <v>0</v>
      </c>
      <c r="D57" s="246">
        <f>ROUND(('Hours Per Job'!D20*$B$36),2)</f>
        <v>0</v>
      </c>
      <c r="E57" s="246">
        <f>ROUND(('Hours Per Job'!E20*$B$36),2)</f>
        <v>0</v>
      </c>
      <c r="F57" s="246">
        <f>ROUND(('Hours Per Job'!F20*$B$36),2)</f>
        <v>60</v>
      </c>
      <c r="G57" s="246">
        <f>ROUND(('Hours Per Job'!G20*$B$36),2)</f>
        <v>0</v>
      </c>
      <c r="H57" s="246">
        <f>ROUND(('Hours Per Job'!H20*$B$36),2)</f>
        <v>24</v>
      </c>
      <c r="I57" s="246">
        <f>ROUND(('Hours Per Job'!I20*$B$36),2)</f>
        <v>30</v>
      </c>
      <c r="J57" s="246">
        <f>ROUND(('Hours Per Job'!J20*$B$36),2)</f>
        <v>0</v>
      </c>
      <c r="K57" s="246">
        <f>ROUND(('Hours Per Job'!K20*$B$36),2)</f>
        <v>0</v>
      </c>
      <c r="L57" s="246">
        <f>ROUND(('Hours Per Job'!L20*$B$36),2)</f>
        <v>0</v>
      </c>
      <c r="M57" s="246">
        <f>ROUND(('Hours Per Job'!M20*$B$36),2)</f>
        <v>0</v>
      </c>
      <c r="N57" s="246">
        <f>ROUND(('Hours Per Job'!N20*$B$36),2)</f>
        <v>0</v>
      </c>
      <c r="O57" s="246">
        <f>ROUND(('Hours Per Job'!O20*$B$36),2)</f>
        <v>0</v>
      </c>
      <c r="P57" s="246">
        <f>ROUND(('Hours Per Job'!P20*$B$36),2)</f>
        <v>0</v>
      </c>
      <c r="Q57" s="246">
        <f>ROUND(('Hours Per Job'!Q20*$B$36),2)</f>
        <v>0</v>
      </c>
      <c r="R57" s="246">
        <f>ROUND(('Hours Per Job'!R20*$B$36),2)</f>
        <v>0</v>
      </c>
      <c r="S57" s="246">
        <f>ROUND(('Hours Per Job'!S20*$B$36),2)</f>
        <v>0</v>
      </c>
      <c r="T57" s="246">
        <f>ROUND(('Hours Per Job'!T20*$B$36),2)</f>
        <v>0</v>
      </c>
      <c r="U57" s="246">
        <f>IF('Scheduled Intervals'!U20&gt;0,ROUND('Hours Per Job'!U20*'Total Cost for Plan'!$B$36*ROUNDDOWN($B$1/'Scheduled Intervals'!U20,0),2),0)</f>
        <v>0</v>
      </c>
      <c r="V57" s="246">
        <f>IF('Scheduled Intervals'!V20&gt;0,ROUND('Hours Per Job'!V20*'Total Cost for Plan'!$B$36*ROUNDDOWN($B$1/'Scheduled Intervals'!V20,0),2),0)</f>
        <v>0</v>
      </c>
      <c r="W57" s="246">
        <f>IF('Scheduled Intervals'!W20&gt;0,ROUND('Hours Per Job'!W20*'Total Cost for Plan'!$B$36*ROUNDDOWN($B$1/'Scheduled Intervals'!W20,0),2),0)</f>
        <v>0</v>
      </c>
      <c r="X57" s="246">
        <f>IF('Scheduled Intervals'!X20&gt;0,ROUND('Hours Per Job'!X20*'Total Cost for Plan'!$B$36*ROUNDDOWN($B$1/'Scheduled Intervals'!X20,0),2),0)</f>
        <v>0</v>
      </c>
      <c r="Y57" s="246">
        <f>IF('Scheduled Intervals'!Y20&gt;0,ROUND('Hours Per Job'!Y20*'Total Cost for Plan'!$B$36*ROUNDDOWN($B$1/'Scheduled Intervals'!Y20,0),2),0)</f>
        <v>0</v>
      </c>
      <c r="Z57" s="246">
        <f>IF('Scheduled Intervals'!Z20&gt;0,ROUND('Hours Per Job'!Z20*'Total Cost for Plan'!$B$36*ROUNDDOWN($B$1/'Scheduled Intervals'!Z20,0),2),0)</f>
        <v>36</v>
      </c>
      <c r="AA57" s="246">
        <f>IF('Scheduled Intervals'!AA20&gt;0,ROUND('Hours Per Job'!AA20*'Total Cost for Plan'!$B$36*ROUNDDOWN($B$1/'Scheduled Intervals'!AA20,0),2),0)</f>
        <v>0</v>
      </c>
      <c r="AB57" s="246">
        <f>IF('Scheduled Intervals'!AB20&gt;0,ROUND('Hours Per Job'!AB20*'Total Cost for Plan'!$B$36*ROUNDDOWN($B$1/'Scheduled Intervals'!AB20,0),2),0)</f>
        <v>0</v>
      </c>
      <c r="AC57" s="246">
        <f>IF('Scheduled Intervals'!AC20&gt;0,ROUND('Hours Per Job'!AC20*'Total Cost for Plan'!$B$36*ROUNDDOWN($B$1/'Scheduled Intervals'!AC20,0),2),0)</f>
        <v>0</v>
      </c>
      <c r="AD57" s="246">
        <f>IF('Scheduled Intervals'!AD20&gt;0,ROUND('Hours Per Job'!AD20*'Total Cost for Plan'!$B$36*ROUNDDOWN($B$1/'Scheduled Intervals'!AD20,0),2),0)</f>
        <v>0</v>
      </c>
      <c r="AE57" s="246">
        <f>IF('Scheduled Intervals'!AE20&gt;0,ROUND('Hours Per Job'!AE20*'Total Cost for Plan'!$B$36*ROUNDDOWN($B$1/'Scheduled Intervals'!AE20,0),2),0)</f>
        <v>0</v>
      </c>
      <c r="AF57" s="246">
        <f>IF('Scheduled Intervals'!AF20&gt;0,ROUND('Hours Per Job'!AF20*'Total Cost for Plan'!$B$36*ROUNDDOWN($B$1/'Scheduled Intervals'!AF20,0),2),0)</f>
        <v>0</v>
      </c>
      <c r="AG57" s="246">
        <f>IF('Scheduled Intervals'!AG20&gt;0,ROUND('Hours Per Job'!AG20*'Total Cost for Plan'!$B$36*ROUNDDOWN($B$1/'Scheduled Intervals'!AG20,0),2),0)</f>
        <v>0</v>
      </c>
      <c r="AH57" s="246">
        <f>IF('Scheduled Intervals'!AH20&gt;0,ROUND('Hours Per Job'!AH20*'Total Cost for Plan'!$B$36*ROUNDDOWN($B$1/'Scheduled Intervals'!AH20,0),2),0)</f>
        <v>0</v>
      </c>
      <c r="AI57" s="246">
        <f>IF('Scheduled Intervals'!AI20&gt;0,ROUND('Hours Per Job'!AI20*'Total Cost for Plan'!$B$36*ROUNDDOWN($B$1/'Scheduled Intervals'!AI20,0),2),0)</f>
        <v>0</v>
      </c>
      <c r="AJ57" s="246">
        <f>IF('Scheduled Intervals'!AJ20&gt;0,ROUND('Hours Per Job'!AJ20*'Total Cost for Plan'!$B$36*ROUNDDOWN($B$1/'Scheduled Intervals'!AJ20,0),2),0)</f>
        <v>0</v>
      </c>
      <c r="AK57" s="246">
        <f>IF('Scheduled Intervals'!AK20&gt;0,ROUND('Hours Per Job'!AK20*'Total Cost for Plan'!$B$36*ROUNDDOWN($B$1/'Scheduled Intervals'!AK20,0),2),0)</f>
        <v>0</v>
      </c>
      <c r="AL57" s="246">
        <f>IF('Scheduled Intervals'!AL20&gt;0,ROUND('Hours Per Job'!AL20*'Total Cost for Plan'!$B$36*ROUNDDOWN($B$1/'Scheduled Intervals'!AL20,0),2),0)</f>
        <v>0</v>
      </c>
      <c r="AM57" s="246">
        <f>IF('Scheduled Intervals'!AM20&gt;0,ROUND('Hours Per Job'!AM20*'Total Cost for Plan'!$B$36*ROUNDDOWN($B$1/'Scheduled Intervals'!AM20,0),2),0)</f>
        <v>0</v>
      </c>
      <c r="AN57" s="246">
        <f>IF('Scheduled Intervals'!AN20&gt;0,ROUND('Hours Per Job'!AN20*'Total Cost for Plan'!$B$36*ROUNDDOWN($B$1/'Scheduled Intervals'!AN20,0),2),0)</f>
        <v>0</v>
      </c>
      <c r="AO57" s="246">
        <f>IF('Scheduled Intervals'!AO20&gt;0,ROUND('Hours Per Job'!AO20*'Total Cost for Plan'!$B$36*ROUNDDOWN($B$1/'Scheduled Intervals'!AO20,0),2),0)</f>
        <v>0</v>
      </c>
      <c r="AP57" s="246">
        <f>IF('Scheduled Intervals'!AP20&gt;0,ROUND('Hours Per Job'!AP20*'Total Cost for Plan'!$B$36*ROUNDDOWN($B$1/'Scheduled Intervals'!AP20,0),2),0)</f>
        <v>0</v>
      </c>
      <c r="AQ57" s="246">
        <f>IF('Scheduled Intervals'!AQ20&gt;0,ROUND('Hours Per Job'!AQ20*'Total Cost for Plan'!$B$36*ROUNDDOWN($B$1/'Scheduled Intervals'!AQ20,0),2),0)</f>
        <v>0</v>
      </c>
      <c r="AR57" s="246">
        <f>IF('Scheduled Intervals'!AR20&gt;0,ROUND('Hours Per Job'!AR20*'Total Cost for Plan'!$B$36*ROUNDDOWN($B$1/'Scheduled Intervals'!AR20,0),2),0)</f>
        <v>0</v>
      </c>
      <c r="AS57" s="246">
        <f>IF('Scheduled Intervals'!AS20&gt;0,ROUND('Hours Per Job'!AS20*'Total Cost for Plan'!$B$36*ROUNDDOWN($B$1/'Scheduled Intervals'!AS20,0),2),0)</f>
        <v>0</v>
      </c>
      <c r="AT57" s="246">
        <f>IF('Scheduled Intervals'!AT20&gt;0,ROUND('Hours Per Job'!AT20*'Total Cost for Plan'!$B$36*ROUNDDOWN($B$1/'Scheduled Intervals'!AT20,0),2),0)</f>
        <v>24</v>
      </c>
      <c r="AU57" s="246">
        <f>IF('Scheduled Intervals'!AU20&gt;0,ROUND('Hours Per Job'!AU20*'Total Cost for Plan'!$B$36*ROUNDDOWN($B$1/'Scheduled Intervals'!AU20,0),2),0)</f>
        <v>0</v>
      </c>
      <c r="AV57" s="246">
        <f>IF('Scheduled Intervals'!AV20&gt;0,ROUND('Hours Per Job'!AV20*'Total Cost for Plan'!$B$36*ROUNDDOWN($B$1/'Scheduled Intervals'!AV20,0),2),0)</f>
        <v>0</v>
      </c>
      <c r="AW57" s="246">
        <f>IF('Scheduled Intervals'!AW20&gt;0,ROUND('Hours Per Job'!AW20*'Total Cost for Plan'!$B$36*ROUNDDOWN($B$1/'Scheduled Intervals'!AW20,0),2),0)</f>
        <v>0</v>
      </c>
      <c r="AX57" s="246">
        <f>IF('Scheduled Intervals'!AX20&gt;0,ROUND('Hours Per Job'!AX20*'Total Cost for Plan'!$B$36*ROUNDDOWN($B$1/'Scheduled Intervals'!AX20,0),2),0)</f>
        <v>0</v>
      </c>
      <c r="AY57" s="246">
        <f>IF('Scheduled Intervals'!AY20&gt;0,ROUND('Hours Per Job'!AY20*'Total Cost for Plan'!$B$36*ROUNDDOWN($B$1/'Scheduled Intervals'!AY20,0),2),0)</f>
        <v>0</v>
      </c>
      <c r="AZ57" s="246">
        <f>IF('Scheduled Intervals'!AZ20&gt;0,ROUND('Hours Per Job'!AZ20*'Total Cost for Plan'!$B$36*ROUNDDOWN($B$1/'Scheduled Intervals'!AZ20,0),2),0)</f>
        <v>0</v>
      </c>
      <c r="BA57" s="246">
        <f>IF('Scheduled Intervals'!BA20&gt;0,ROUND('Hours Per Job'!BA20*'Total Cost for Plan'!$B$36*ROUNDDOWN($B$1/'Scheduled Intervals'!BA20,0),2),0)</f>
        <v>0</v>
      </c>
      <c r="BB57" s="246">
        <f>IF('Scheduled Intervals'!BB20&gt;0,ROUND('Hours Per Job'!BB20*'Total Cost for Plan'!$B$36*ROUNDDOWN($B$1/'Scheduled Intervals'!BB20,0),2),0)</f>
        <v>0</v>
      </c>
      <c r="BC57" s="246">
        <f>IF('Scheduled Intervals'!BC20&gt;0,ROUND('Hours Per Job'!BC20*'Total Cost for Plan'!$B$36*ROUNDDOWN($B$1/'Scheduled Intervals'!BC20,0),2),0)</f>
        <v>0</v>
      </c>
      <c r="BD57" s="246">
        <f>IF('Scheduled Intervals'!BD20&gt;0,ROUND('Hours Per Job'!BD20*'Total Cost for Plan'!$B$36*ROUNDDOWN($B$1/'Scheduled Intervals'!BD20,0),2),0)</f>
        <v>0</v>
      </c>
      <c r="BE57" s="246">
        <f>IF('Scheduled Intervals'!BE20&gt;0,ROUND('Hours Per Job'!BE20*'Total Cost for Plan'!$B$36*ROUNDDOWN($B$1/'Scheduled Intervals'!BE20,0),2),0)</f>
        <v>0</v>
      </c>
      <c r="BF57" s="246">
        <f>IF('Scheduled Intervals'!BF20&gt;0,ROUND('Hours Per Job'!BF20*'Total Cost for Plan'!$B$36*ROUNDDOWN($B$1/'Scheduled Intervals'!BF20,0),2),0)</f>
        <v>0</v>
      </c>
      <c r="BG57" s="246">
        <f>IF('Scheduled Intervals'!BG20&gt;0,ROUND('Hours Per Job'!BG20*'Total Cost for Plan'!$B$36*ROUNDDOWN($B$1/'Scheduled Intervals'!BG20,0),2),0)</f>
        <v>0</v>
      </c>
      <c r="BH57" s="246">
        <f>IF('Scheduled Intervals'!BH20&gt;0,ROUND('Hours Per Job'!BH20*'Total Cost for Plan'!$B$36*ROUNDDOWN($B$1/'Scheduled Intervals'!BH20,0),2),0)</f>
        <v>0</v>
      </c>
      <c r="BI57" s="246">
        <f>IF('Scheduled Intervals'!BI20&gt;0,ROUND('Hours Per Job'!BI20*'Total Cost for Plan'!$B$36*ROUNDDOWN($B$1/'Scheduled Intervals'!BI20,0),2),0)</f>
        <v>0</v>
      </c>
      <c r="BJ57" s="246">
        <f>IF('Scheduled Intervals'!BJ20&gt;0,ROUND('Hours Per Job'!BJ20*'Total Cost for Plan'!$B$36*ROUNDDOWN($B$1/'Scheduled Intervals'!BJ20,0),2),0)</f>
        <v>30</v>
      </c>
      <c r="BK57" s="246">
        <f>IF('Scheduled Intervals'!BK20&gt;0,ROUND('Hours Per Job'!BK20*'Total Cost for Plan'!$B$36*ROUNDDOWN($B$1/'Scheduled Intervals'!BK20,0),2),0)</f>
        <v>0</v>
      </c>
      <c r="BL57" s="246">
        <f>IF('Scheduled Intervals'!BL20&gt;0,ROUND('Hours Per Job'!BL20*'Total Cost for Plan'!$B$36*ROUNDDOWN($B$1/'Scheduled Intervals'!BL20,0),2),0)</f>
        <v>0</v>
      </c>
      <c r="BM57" s="246">
        <f>IF('Scheduled Intervals'!BM20&gt;0,ROUND('Hours Per Job'!BM20*'Total Cost for Plan'!$B$36*ROUNDDOWN($B$1/'Scheduled Intervals'!BM20,0),2),0)</f>
        <v>0</v>
      </c>
      <c r="BN57" s="246">
        <f>IF(AND('Scheduled Intervals'!BN$4="annual",'Plan Summary'!$C$5&lt;'Scheduled Intervals'!$U20*('Plan Summary'!$C$9/12)),ROUND('Hours Per Job'!BN20*'Total Cost for Plan'!$B$36*ROUND('Plan Summary'!$C$9/12,0),2),0)</f>
        <v>240</v>
      </c>
      <c r="BO57" s="246">
        <f>IF(AND('Scheduled Intervals'!BO$4="annual",'Plan Summary'!$C$5&lt;'Scheduled Intervals'!$U20*('Plan Summary'!$C$9/12)),ROUND('Hours Per Job'!BO20*'Total Cost for Plan'!$B$36*ROUND('Plan Summary'!$C$9/12,0),2),0)</f>
        <v>120</v>
      </c>
      <c r="BP57" s="246">
        <f>IF(AND('Scheduled Intervals'!BP$4="annual",'Plan Summary'!$C$5&lt;'Scheduled Intervals'!$U20*('Plan Summary'!$C$9/12)),ROUND('Hours Per Job'!BP20*'Total Cost for Plan'!$B$36*ROUND('Plan Summary'!$C$9/12,0),2),0)</f>
        <v>630</v>
      </c>
      <c r="BQ57" s="246">
        <f t="shared" si="2"/>
        <v>1242</v>
      </c>
      <c r="BR57" s="246"/>
    </row>
    <row r="58" spans="1:70" ht="16" x14ac:dyDescent="0.2">
      <c r="A58" s="18" t="str">
        <f>+'Scheduled Intervals'!A21</f>
        <v>Takeuchi TL 8/10/12</v>
      </c>
      <c r="B58" s="246">
        <f>ROUND(('Hours Per Job'!B21*$B$36),2)</f>
        <v>84</v>
      </c>
      <c r="C58" s="246">
        <f>ROUND(('Hours Per Job'!C21*$B$36),2)</f>
        <v>12</v>
      </c>
      <c r="D58" s="246">
        <f>ROUND(('Hours Per Job'!D21*$B$36),2)</f>
        <v>12</v>
      </c>
      <c r="E58" s="246">
        <f>ROUND(('Hours Per Job'!E21*$B$36),2)</f>
        <v>0</v>
      </c>
      <c r="F58" s="246">
        <f>ROUND(('Hours Per Job'!F21*$B$36),2)</f>
        <v>84</v>
      </c>
      <c r="G58" s="246">
        <f>ROUND(('Hours Per Job'!G21*$B$36),2)</f>
        <v>0</v>
      </c>
      <c r="H58" s="246">
        <f>ROUND(('Hours Per Job'!H21*$B$36),2)</f>
        <v>60</v>
      </c>
      <c r="I58" s="246">
        <f>ROUND(('Hours Per Job'!I21*$B$36),2)</f>
        <v>30</v>
      </c>
      <c r="J58" s="246">
        <f>ROUND(('Hours Per Job'!J21*$B$36),2)</f>
        <v>0</v>
      </c>
      <c r="K58" s="246">
        <f>ROUND(('Hours Per Job'!K21*$B$36),2)</f>
        <v>0</v>
      </c>
      <c r="L58" s="246">
        <f>ROUND(('Hours Per Job'!L21*$B$36),2)</f>
        <v>0</v>
      </c>
      <c r="M58" s="246">
        <f>ROUND(('Hours Per Job'!M21*$B$36),2)</f>
        <v>72</v>
      </c>
      <c r="N58" s="246">
        <f>ROUND(('Hours Per Job'!N21*$B$36),2)</f>
        <v>0</v>
      </c>
      <c r="O58" s="246">
        <f>ROUND(('Hours Per Job'!O21*$B$36),2)</f>
        <v>0</v>
      </c>
      <c r="P58" s="246">
        <f>ROUND(('Hours Per Job'!P21*$B$36),2)</f>
        <v>60</v>
      </c>
      <c r="Q58" s="246">
        <f>ROUND(('Hours Per Job'!Q21*$B$36),2)</f>
        <v>0</v>
      </c>
      <c r="R58" s="246">
        <f>ROUND(('Hours Per Job'!R21*$B$36),2)</f>
        <v>0</v>
      </c>
      <c r="S58" s="246">
        <f>ROUND(('Hours Per Job'!S21*$B$36),2)</f>
        <v>0</v>
      </c>
      <c r="T58" s="246">
        <f>ROUND(('Hours Per Job'!T21*$B$36),2)</f>
        <v>0</v>
      </c>
      <c r="U58" s="246">
        <f>IF('Scheduled Intervals'!U21&gt;0,ROUND('Hours Per Job'!U21*'Total Cost for Plan'!$B$36*ROUNDDOWN($B$1/'Scheduled Intervals'!U21,0),2),0)</f>
        <v>0</v>
      </c>
      <c r="V58" s="246">
        <f>IF('Scheduled Intervals'!V21&gt;0,ROUND('Hours Per Job'!V21*'Total Cost for Plan'!$B$36*ROUNDDOWN($B$1/'Scheduled Intervals'!V21,0),2),0)</f>
        <v>0</v>
      </c>
      <c r="W58" s="246">
        <f>IF('Scheduled Intervals'!W21&gt;0,ROUND('Hours Per Job'!W21*'Total Cost for Plan'!$B$36*ROUNDDOWN($B$1/'Scheduled Intervals'!W21,0),2),0)</f>
        <v>12</v>
      </c>
      <c r="X58" s="246">
        <f>IF('Scheduled Intervals'!X21&gt;0,ROUND('Hours Per Job'!X21*'Total Cost for Plan'!$B$36*ROUNDDOWN($B$1/'Scheduled Intervals'!X21,0),2),0)</f>
        <v>0</v>
      </c>
      <c r="Y58" s="246">
        <f>IF('Scheduled Intervals'!Y21&gt;0,ROUND('Hours Per Job'!Y21*'Total Cost for Plan'!$B$36*ROUNDDOWN($B$1/'Scheduled Intervals'!Y21,0),2),0)</f>
        <v>0</v>
      </c>
      <c r="Z58" s="246">
        <f>IF('Scheduled Intervals'!Z21&gt;0,ROUND('Hours Per Job'!Z21*'Total Cost for Plan'!$B$36*ROUNDDOWN($B$1/'Scheduled Intervals'!Z21,0),2),0)</f>
        <v>0</v>
      </c>
      <c r="AA58" s="246">
        <f>IF('Scheduled Intervals'!AA21&gt;0,ROUND('Hours Per Job'!AA21*'Total Cost for Plan'!$B$36*ROUNDDOWN($B$1/'Scheduled Intervals'!AA21,0),2),0)</f>
        <v>0</v>
      </c>
      <c r="AB58" s="246">
        <f>IF('Scheduled Intervals'!AB21&gt;0,ROUND('Hours Per Job'!AB21*'Total Cost for Plan'!$B$36*ROUNDDOWN($B$1/'Scheduled Intervals'!AB21,0),2),0)</f>
        <v>0</v>
      </c>
      <c r="AC58" s="246">
        <f>IF('Scheduled Intervals'!AC21&gt;0,ROUND('Hours Per Job'!AC21*'Total Cost for Plan'!$B$36*ROUNDDOWN($B$1/'Scheduled Intervals'!AC21,0),2),0)</f>
        <v>0</v>
      </c>
      <c r="AD58" s="246">
        <f>IF('Scheduled Intervals'!AD21&gt;0,ROUND('Hours Per Job'!AD21*'Total Cost for Plan'!$B$36*ROUNDDOWN($B$1/'Scheduled Intervals'!AD21,0),2),0)</f>
        <v>0</v>
      </c>
      <c r="AE58" s="246">
        <f>IF('Scheduled Intervals'!AE21&gt;0,ROUND('Hours Per Job'!AE21*'Total Cost for Plan'!$B$36*ROUNDDOWN($B$1/'Scheduled Intervals'!AE21,0),2),0)</f>
        <v>0</v>
      </c>
      <c r="AF58" s="246">
        <f>IF('Scheduled Intervals'!AF21&gt;0,ROUND('Hours Per Job'!AF21*'Total Cost for Plan'!$B$36*ROUNDDOWN($B$1/'Scheduled Intervals'!AF21,0),2),0)</f>
        <v>0</v>
      </c>
      <c r="AG58" s="246">
        <f>IF('Scheduled Intervals'!AG21&gt;0,ROUND('Hours Per Job'!AG21*'Total Cost for Plan'!$B$36*ROUNDDOWN($B$1/'Scheduled Intervals'!AG21,0),2),0)</f>
        <v>0</v>
      </c>
      <c r="AH58" s="246">
        <f>IF('Scheduled Intervals'!AH21&gt;0,ROUND('Hours Per Job'!AH21*'Total Cost for Plan'!$B$36*ROUNDDOWN($B$1/'Scheduled Intervals'!AH21,0),2),0)</f>
        <v>0</v>
      </c>
      <c r="AI58" s="246">
        <f>IF('Scheduled Intervals'!AI21&gt;0,ROUND('Hours Per Job'!AI21*'Total Cost for Plan'!$B$36*ROUNDDOWN($B$1/'Scheduled Intervals'!AI21,0),2),0)</f>
        <v>0</v>
      </c>
      <c r="AJ58" s="246">
        <f>IF('Scheduled Intervals'!AJ21&gt;0,ROUND('Hours Per Job'!AJ21*'Total Cost for Plan'!$B$36*ROUNDDOWN($B$1/'Scheduled Intervals'!AJ21,0),2),0)</f>
        <v>0</v>
      </c>
      <c r="AK58" s="246">
        <f>IF('Scheduled Intervals'!AK21&gt;0,ROUND('Hours Per Job'!AK21*'Total Cost for Plan'!$B$36*ROUNDDOWN($B$1/'Scheduled Intervals'!AK21,0),2),0)</f>
        <v>0</v>
      </c>
      <c r="AL58" s="246">
        <f>IF('Scheduled Intervals'!AL21&gt;0,ROUND('Hours Per Job'!AL21*'Total Cost for Plan'!$B$36*ROUNDDOWN($B$1/'Scheduled Intervals'!AL21,0),2),0)</f>
        <v>120</v>
      </c>
      <c r="AM58" s="246">
        <f>IF('Scheduled Intervals'!AM21&gt;0,ROUND('Hours Per Job'!AM21*'Total Cost for Plan'!$B$36*ROUNDDOWN($B$1/'Scheduled Intervals'!AM21,0),2),0)</f>
        <v>0</v>
      </c>
      <c r="AN58" s="246">
        <f>IF('Scheduled Intervals'!AN21&gt;0,ROUND('Hours Per Job'!AN21*'Total Cost for Plan'!$B$36*ROUNDDOWN($B$1/'Scheduled Intervals'!AN21,0),2),0)</f>
        <v>0</v>
      </c>
      <c r="AO58" s="246">
        <f>IF('Scheduled Intervals'!AO21&gt;0,ROUND('Hours Per Job'!AO21*'Total Cost for Plan'!$B$36*ROUNDDOWN($B$1/'Scheduled Intervals'!AO21,0),2),0)</f>
        <v>0</v>
      </c>
      <c r="AP58" s="246">
        <f>IF('Scheduled Intervals'!AP21&gt;0,ROUND('Hours Per Job'!AP21*'Total Cost for Plan'!$B$36*ROUNDDOWN($B$1/'Scheduled Intervals'!AP21,0),2),0)</f>
        <v>84</v>
      </c>
      <c r="AQ58" s="246">
        <f>IF('Scheduled Intervals'!AQ21&gt;0,ROUND('Hours Per Job'!AQ21*'Total Cost for Plan'!$B$36*ROUNDDOWN($B$1/'Scheduled Intervals'!AQ21,0),2),0)</f>
        <v>24</v>
      </c>
      <c r="AR58" s="246">
        <f>IF('Scheduled Intervals'!AR21&gt;0,ROUND('Hours Per Job'!AR21*'Total Cost for Plan'!$B$36*ROUNDDOWN($B$1/'Scheduled Intervals'!AR21,0),2),0)</f>
        <v>0</v>
      </c>
      <c r="AS58" s="246">
        <f>IF('Scheduled Intervals'!AS21&gt;0,ROUND('Hours Per Job'!AS21*'Total Cost for Plan'!$B$36*ROUNDDOWN($B$1/'Scheduled Intervals'!AS21,0),2),0)</f>
        <v>0</v>
      </c>
      <c r="AT58" s="246">
        <f>IF('Scheduled Intervals'!AT21&gt;0,ROUND('Hours Per Job'!AT21*'Total Cost for Plan'!$B$36*ROUNDDOWN($B$1/'Scheduled Intervals'!AT21,0),2),0)</f>
        <v>0</v>
      </c>
      <c r="AU58" s="246">
        <f>IF('Scheduled Intervals'!AU21&gt;0,ROUND('Hours Per Job'!AU21*'Total Cost for Plan'!$B$36*ROUNDDOWN($B$1/'Scheduled Intervals'!AU21,0),2),0)</f>
        <v>0</v>
      </c>
      <c r="AV58" s="246">
        <f>IF('Scheduled Intervals'!AV21&gt;0,ROUND('Hours Per Job'!AV21*'Total Cost for Plan'!$B$36*ROUNDDOWN($B$1/'Scheduled Intervals'!AV21,0),2),0)</f>
        <v>0</v>
      </c>
      <c r="AW58" s="246">
        <f>IF('Scheduled Intervals'!AW21&gt;0,ROUND('Hours Per Job'!AW21*'Total Cost for Plan'!$B$36*ROUNDDOWN($B$1/'Scheduled Intervals'!AW21,0),2),0)</f>
        <v>0</v>
      </c>
      <c r="AX58" s="246">
        <f>IF('Scheduled Intervals'!AX21&gt;0,ROUND('Hours Per Job'!AX21*'Total Cost for Plan'!$B$36*ROUNDDOWN($B$1/'Scheduled Intervals'!AX21,0),2),0)</f>
        <v>0</v>
      </c>
      <c r="AY58" s="246">
        <f>IF('Scheduled Intervals'!AY21&gt;0,ROUND('Hours Per Job'!AY21*'Total Cost for Plan'!$B$36*ROUNDDOWN($B$1/'Scheduled Intervals'!AY21,0),2),0)</f>
        <v>0</v>
      </c>
      <c r="AZ58" s="246">
        <f>IF('Scheduled Intervals'!AZ21&gt;0,ROUND('Hours Per Job'!AZ21*'Total Cost for Plan'!$B$36*ROUNDDOWN($B$1/'Scheduled Intervals'!AZ21,0),2),0)</f>
        <v>0</v>
      </c>
      <c r="BA58" s="246">
        <f>IF('Scheduled Intervals'!BA21&gt;0,ROUND('Hours Per Job'!BA21*'Total Cost for Plan'!$B$36*ROUNDDOWN($B$1/'Scheduled Intervals'!BA21,0),2),0)</f>
        <v>0</v>
      </c>
      <c r="BB58" s="246">
        <f>IF('Scheduled Intervals'!BB21&gt;0,ROUND('Hours Per Job'!BB21*'Total Cost for Plan'!$B$36*ROUNDDOWN($B$1/'Scheduled Intervals'!BB21,0),2),0)</f>
        <v>12</v>
      </c>
      <c r="BC58" s="246">
        <f>IF('Scheduled Intervals'!BC21&gt;0,ROUND('Hours Per Job'!BC21*'Total Cost for Plan'!$B$36*ROUNDDOWN($B$1/'Scheduled Intervals'!BC21,0),2),0)</f>
        <v>0</v>
      </c>
      <c r="BD58" s="246">
        <f>IF('Scheduled Intervals'!BD21&gt;0,ROUND('Hours Per Job'!BD21*'Total Cost for Plan'!$B$36*ROUNDDOWN($B$1/'Scheduled Intervals'!BD21,0),2),0)</f>
        <v>0</v>
      </c>
      <c r="BE58" s="246">
        <f>IF('Scheduled Intervals'!BE21&gt;0,ROUND('Hours Per Job'!BE21*'Total Cost for Plan'!$B$36*ROUNDDOWN($B$1/'Scheduled Intervals'!BE21,0),2),0)</f>
        <v>0</v>
      </c>
      <c r="BF58" s="246">
        <f>IF('Scheduled Intervals'!BF21&gt;0,ROUND('Hours Per Job'!BF21*'Total Cost for Plan'!$B$36*ROUNDDOWN($B$1/'Scheduled Intervals'!BF21,0),2),0)</f>
        <v>0</v>
      </c>
      <c r="BG58" s="246">
        <f>IF('Scheduled Intervals'!BG21&gt;0,ROUND('Hours Per Job'!BG21*'Total Cost for Plan'!$B$36*ROUNDDOWN($B$1/'Scheduled Intervals'!BG21,0),2),0)</f>
        <v>0</v>
      </c>
      <c r="BH58" s="246">
        <f>IF('Scheduled Intervals'!BH21&gt;0,ROUND('Hours Per Job'!BH21*'Total Cost for Plan'!$B$36*ROUNDDOWN($B$1/'Scheduled Intervals'!BH21,0),2),0)</f>
        <v>0</v>
      </c>
      <c r="BI58" s="246">
        <f>IF('Scheduled Intervals'!BI21&gt;0,ROUND('Hours Per Job'!BI21*'Total Cost for Plan'!$B$36*ROUNDDOWN($B$1/'Scheduled Intervals'!BI21,0),2),0)</f>
        <v>0</v>
      </c>
      <c r="BJ58" s="246">
        <f>IF('Scheduled Intervals'!BJ21&gt;0,ROUND('Hours Per Job'!BJ21*'Total Cost for Plan'!$B$36*ROUNDDOWN($B$1/'Scheduled Intervals'!BJ21,0),2),0)</f>
        <v>0</v>
      </c>
      <c r="BK58" s="246">
        <f>IF('Scheduled Intervals'!BK21&gt;0,ROUND('Hours Per Job'!BK21*'Total Cost for Plan'!$B$36*ROUNDDOWN($B$1/'Scheduled Intervals'!BK21,0),2),0)</f>
        <v>0</v>
      </c>
      <c r="BL58" s="246">
        <f>IF('Scheduled Intervals'!BL21&gt;0,ROUND('Hours Per Job'!BL21*'Total Cost for Plan'!$B$36*ROUNDDOWN($B$1/'Scheduled Intervals'!BL21,0),2),0)</f>
        <v>0</v>
      </c>
      <c r="BM58" s="246">
        <f>IF('Scheduled Intervals'!BM21&gt;0,ROUND('Hours Per Job'!BM21*'Total Cost for Plan'!$B$36*ROUNDDOWN($B$1/'Scheduled Intervals'!BM21,0),2),0)</f>
        <v>0</v>
      </c>
      <c r="BN58" s="246">
        <f>IF(AND('Scheduled Intervals'!BN$4="annual",'Plan Summary'!$C$5&lt;'Scheduled Intervals'!$U21*('Plan Summary'!$C$9/12)),ROUND('Hours Per Job'!BN21*'Total Cost for Plan'!$B$36*ROUND('Plan Summary'!$C$9/12,0),2),0)</f>
        <v>420</v>
      </c>
      <c r="BO58" s="246">
        <f>IF(AND('Scheduled Intervals'!BO$4="annual",'Plan Summary'!$C$5&lt;'Scheduled Intervals'!$U21*('Plan Summary'!$C$9/12)),ROUND('Hours Per Job'!BO21*'Total Cost for Plan'!$B$36*ROUND('Plan Summary'!$C$9/12,0),2),0)</f>
        <v>300</v>
      </c>
      <c r="BP58" s="246">
        <f>IF(AND('Scheduled Intervals'!BP$4="annual",'Plan Summary'!$C$5&lt;'Scheduled Intervals'!$U21*('Plan Summary'!$C$9/12)),ROUND('Hours Per Job'!BP21*'Total Cost for Plan'!$B$36*ROUND('Plan Summary'!$C$9/12,0),2),0)</f>
        <v>630</v>
      </c>
      <c r="BQ58" s="246">
        <f t="shared" si="2"/>
        <v>2016</v>
      </c>
      <c r="BR58" s="246"/>
    </row>
    <row r="59" spans="1:70" ht="16" x14ac:dyDescent="0.2">
      <c r="A59" s="18" t="str">
        <f>+'Scheduled Intervals'!A22</f>
        <v>Takeuchi 228-235-250</v>
      </c>
      <c r="B59" s="246">
        <f>ROUND(('Hours Per Job'!B22*$B$36),2)</f>
        <v>84</v>
      </c>
      <c r="C59" s="246">
        <f>ROUND(('Hours Per Job'!C22*$B$36),2)</f>
        <v>12</v>
      </c>
      <c r="D59" s="246">
        <f>ROUND(('Hours Per Job'!D22*$B$36),2)</f>
        <v>0</v>
      </c>
      <c r="E59" s="246">
        <f>ROUND(('Hours Per Job'!E22*$B$36),2)</f>
        <v>0</v>
      </c>
      <c r="F59" s="246">
        <f>ROUND(('Hours Per Job'!F22*$B$36),2)</f>
        <v>0</v>
      </c>
      <c r="G59" s="246">
        <f>ROUND(('Hours Per Job'!G22*$B$36),2)</f>
        <v>0</v>
      </c>
      <c r="H59" s="246">
        <f>ROUND(('Hours Per Job'!H22*$B$36),2)</f>
        <v>60</v>
      </c>
      <c r="I59" s="246">
        <f>ROUND(('Hours Per Job'!I22*$B$36),2)</f>
        <v>30</v>
      </c>
      <c r="J59" s="246">
        <f>ROUND(('Hours Per Job'!J22*$B$36),2)</f>
        <v>0</v>
      </c>
      <c r="K59" s="246">
        <f>ROUND(('Hours Per Job'!K22*$B$36),2)</f>
        <v>0</v>
      </c>
      <c r="L59" s="246">
        <f>ROUND(('Hours Per Job'!L22*$B$36),2)</f>
        <v>0</v>
      </c>
      <c r="M59" s="246">
        <f>ROUND(('Hours Per Job'!M22*$B$36),2)</f>
        <v>0</v>
      </c>
      <c r="N59" s="246">
        <f>ROUND(('Hours Per Job'!N22*$B$36),2)</f>
        <v>0</v>
      </c>
      <c r="O59" s="246">
        <f>ROUND(('Hours Per Job'!O22*$B$36),2)</f>
        <v>0</v>
      </c>
      <c r="P59" s="246">
        <f>ROUND(('Hours Per Job'!P22*$B$36),2)</f>
        <v>0</v>
      </c>
      <c r="Q59" s="246">
        <f>ROUND(('Hours Per Job'!Q22*$B$36),2)</f>
        <v>84</v>
      </c>
      <c r="R59" s="246">
        <f>ROUND(('Hours Per Job'!R22*$B$36),2)</f>
        <v>120</v>
      </c>
      <c r="S59" s="246">
        <f>ROUND(('Hours Per Job'!S22*$B$36),2)</f>
        <v>0</v>
      </c>
      <c r="T59" s="246">
        <f>ROUND(('Hours Per Job'!T22*$B$36),2)</f>
        <v>0</v>
      </c>
      <c r="U59" s="246">
        <f>IF('Scheduled Intervals'!U22&gt;0,ROUND('Hours Per Job'!U22*'Total Cost for Plan'!$B$36*ROUNDDOWN($B$1/'Scheduled Intervals'!U22,0),2),0)</f>
        <v>84</v>
      </c>
      <c r="V59" s="246">
        <f>IF('Scheduled Intervals'!V22&gt;0,ROUND('Hours Per Job'!V22*'Total Cost for Plan'!$B$36*ROUNDDOWN($B$1/'Scheduled Intervals'!V22,0),2),0)</f>
        <v>0</v>
      </c>
      <c r="W59" s="246">
        <f>IF('Scheduled Intervals'!W22&gt;0,ROUND('Hours Per Job'!W22*'Total Cost for Plan'!$B$36*ROUNDDOWN($B$1/'Scheduled Intervals'!W22,0),2),0)</f>
        <v>0</v>
      </c>
      <c r="X59" s="246">
        <f>IF('Scheduled Intervals'!X22&gt;0,ROUND('Hours Per Job'!X22*'Total Cost for Plan'!$B$36*ROUNDDOWN($B$1/'Scheduled Intervals'!X22,0),2),0)</f>
        <v>0</v>
      </c>
      <c r="Y59" s="246">
        <f>IF('Scheduled Intervals'!Y22&gt;0,ROUND('Hours Per Job'!Y22*'Total Cost for Plan'!$B$36*ROUNDDOWN($B$1/'Scheduled Intervals'!Y22,0),2),0)</f>
        <v>0</v>
      </c>
      <c r="Z59" s="246">
        <f>IF('Scheduled Intervals'!Z22&gt;0,ROUND('Hours Per Job'!Z22*'Total Cost for Plan'!$B$36*ROUNDDOWN($B$1/'Scheduled Intervals'!Z22,0),2),0)</f>
        <v>0</v>
      </c>
      <c r="AA59" s="246">
        <f>IF('Scheduled Intervals'!AA22&gt;0,ROUND('Hours Per Job'!AA22*'Total Cost for Plan'!$B$36*ROUNDDOWN($B$1/'Scheduled Intervals'!AA22,0),2),0)</f>
        <v>0</v>
      </c>
      <c r="AB59" s="246">
        <f>IF('Scheduled Intervals'!AB22&gt;0,ROUND('Hours Per Job'!AB22*'Total Cost for Plan'!$B$36*ROUNDDOWN($B$1/'Scheduled Intervals'!AB22,0),2),0)</f>
        <v>0</v>
      </c>
      <c r="AC59" s="246">
        <f>IF('Scheduled Intervals'!AC22&gt;0,ROUND('Hours Per Job'!AC22*'Total Cost for Plan'!$B$36*ROUNDDOWN($B$1/'Scheduled Intervals'!AC22,0),2),0)</f>
        <v>0</v>
      </c>
      <c r="AD59" s="246">
        <f>IF('Scheduled Intervals'!AD22&gt;0,ROUND('Hours Per Job'!AD22*'Total Cost for Plan'!$B$36*ROUNDDOWN($B$1/'Scheduled Intervals'!AD22,0),2),0)</f>
        <v>0</v>
      </c>
      <c r="AE59" s="246">
        <f>IF('Scheduled Intervals'!AE22&gt;0,ROUND('Hours Per Job'!AE22*'Total Cost for Plan'!$B$36*ROUNDDOWN($B$1/'Scheduled Intervals'!AE22,0),2),0)</f>
        <v>0</v>
      </c>
      <c r="AF59" s="246">
        <f>IF('Scheduled Intervals'!AF22&gt;0,ROUND('Hours Per Job'!AF22*'Total Cost for Plan'!$B$36*ROUNDDOWN($B$1/'Scheduled Intervals'!AF22,0),2),0)</f>
        <v>0</v>
      </c>
      <c r="AG59" s="246">
        <f>IF('Scheduled Intervals'!AG22&gt;0,ROUND('Hours Per Job'!AG22*'Total Cost for Plan'!$B$36*ROUNDDOWN($B$1/'Scheduled Intervals'!AG22,0),2),0)</f>
        <v>0</v>
      </c>
      <c r="AH59" s="246">
        <f>IF('Scheduled Intervals'!AH22&gt;0,ROUND('Hours Per Job'!AH22*'Total Cost for Plan'!$B$36*ROUNDDOWN($B$1/'Scheduled Intervals'!AH22,0),2),0)</f>
        <v>0</v>
      </c>
      <c r="AI59" s="246">
        <f>IF('Scheduled Intervals'!AI22&gt;0,ROUND('Hours Per Job'!AI22*'Total Cost for Plan'!$B$36*ROUNDDOWN($B$1/'Scheduled Intervals'!AI22,0),2),0)</f>
        <v>0</v>
      </c>
      <c r="AJ59" s="246">
        <f>IF('Scheduled Intervals'!AJ22&gt;0,ROUND('Hours Per Job'!AJ22*'Total Cost for Plan'!$B$36*ROUNDDOWN($B$1/'Scheduled Intervals'!AJ22,0),2),0)</f>
        <v>0</v>
      </c>
      <c r="AK59" s="246">
        <f>IF('Scheduled Intervals'!AK22&gt;0,ROUND('Hours Per Job'!AK22*'Total Cost for Plan'!$B$36*ROUNDDOWN($B$1/'Scheduled Intervals'!AK22,0),2),0)</f>
        <v>0</v>
      </c>
      <c r="AL59" s="246">
        <f>IF('Scheduled Intervals'!AL22&gt;0,ROUND('Hours Per Job'!AL22*'Total Cost for Plan'!$B$36*ROUNDDOWN($B$1/'Scheduled Intervals'!AL22,0),2),0)</f>
        <v>0</v>
      </c>
      <c r="AM59" s="246">
        <f>IF('Scheduled Intervals'!AM22&gt;0,ROUND('Hours Per Job'!AM22*'Total Cost for Plan'!$B$36*ROUNDDOWN($B$1/'Scheduled Intervals'!AM22,0),2),0)</f>
        <v>0</v>
      </c>
      <c r="AN59" s="246">
        <f>IF('Scheduled Intervals'!AN22&gt;0,ROUND('Hours Per Job'!AN22*'Total Cost for Plan'!$B$36*ROUNDDOWN($B$1/'Scheduled Intervals'!AN22,0),2),0)</f>
        <v>0</v>
      </c>
      <c r="AO59" s="246">
        <f>IF('Scheduled Intervals'!AO22&gt;0,ROUND('Hours Per Job'!AO22*'Total Cost for Plan'!$B$36*ROUNDDOWN($B$1/'Scheduled Intervals'!AO22,0),2),0)</f>
        <v>0</v>
      </c>
      <c r="AP59" s="246">
        <f>IF('Scheduled Intervals'!AP22&gt;0,ROUND('Hours Per Job'!AP22*'Total Cost for Plan'!$B$36*ROUNDDOWN($B$1/'Scheduled Intervals'!AP22,0),2),0)</f>
        <v>84</v>
      </c>
      <c r="AQ59" s="246">
        <f>IF('Scheduled Intervals'!AQ22&gt;0,ROUND('Hours Per Job'!AQ22*'Total Cost for Plan'!$B$36*ROUNDDOWN($B$1/'Scheduled Intervals'!AQ22,0),2),0)</f>
        <v>0</v>
      </c>
      <c r="AR59" s="246">
        <f>IF('Scheduled Intervals'!AR22&gt;0,ROUND('Hours Per Job'!AR22*'Total Cost for Plan'!$B$36*ROUNDDOWN($B$1/'Scheduled Intervals'!AR22,0),2),0)</f>
        <v>0</v>
      </c>
      <c r="AS59" s="246">
        <f>IF('Scheduled Intervals'!AS22&gt;0,ROUND('Hours Per Job'!AS22*'Total Cost for Plan'!$B$36*ROUNDDOWN($B$1/'Scheduled Intervals'!AS22,0),2),0)</f>
        <v>0</v>
      </c>
      <c r="AT59" s="246">
        <f>IF('Scheduled Intervals'!AT22&gt;0,ROUND('Hours Per Job'!AT22*'Total Cost for Plan'!$B$36*ROUNDDOWN($B$1/'Scheduled Intervals'!AT22,0),2),0)</f>
        <v>60</v>
      </c>
      <c r="AU59" s="246">
        <f>IF('Scheduled Intervals'!AU22&gt;0,ROUND('Hours Per Job'!AU22*'Total Cost for Plan'!$B$36*ROUNDDOWN($B$1/'Scheduled Intervals'!AU22,0),2),0)</f>
        <v>0</v>
      </c>
      <c r="AV59" s="246">
        <f>IF('Scheduled Intervals'!AV22&gt;0,ROUND('Hours Per Job'!AV22*'Total Cost for Plan'!$B$36*ROUNDDOWN($B$1/'Scheduled Intervals'!AV22,0),2),0)</f>
        <v>0</v>
      </c>
      <c r="AW59" s="246">
        <f>IF('Scheduled Intervals'!AW22&gt;0,ROUND('Hours Per Job'!AW22*'Total Cost for Plan'!$B$36*ROUNDDOWN($B$1/'Scheduled Intervals'!AW22,0),2),0)</f>
        <v>0</v>
      </c>
      <c r="AX59" s="246">
        <f>IF('Scheduled Intervals'!AX22&gt;0,ROUND('Hours Per Job'!AX22*'Total Cost for Plan'!$B$36*ROUNDDOWN($B$1/'Scheduled Intervals'!AX22,0),2),0)</f>
        <v>0</v>
      </c>
      <c r="AY59" s="246">
        <f>IF('Scheduled Intervals'!AY22&gt;0,ROUND('Hours Per Job'!AY22*'Total Cost for Plan'!$B$36*ROUNDDOWN($B$1/'Scheduled Intervals'!AY22,0),2),0)</f>
        <v>0</v>
      </c>
      <c r="AZ59" s="246">
        <f>IF('Scheduled Intervals'!AZ22&gt;0,ROUND('Hours Per Job'!AZ22*'Total Cost for Plan'!$B$36*ROUNDDOWN($B$1/'Scheduled Intervals'!AZ22,0),2),0)</f>
        <v>0</v>
      </c>
      <c r="BA59" s="246">
        <f>IF('Scheduled Intervals'!BA22&gt;0,ROUND('Hours Per Job'!BA22*'Total Cost for Plan'!$B$36*ROUNDDOWN($B$1/'Scheduled Intervals'!BA22,0),2),0)</f>
        <v>0</v>
      </c>
      <c r="BB59" s="246">
        <f>IF('Scheduled Intervals'!BB22&gt;0,ROUND('Hours Per Job'!BB22*'Total Cost for Plan'!$B$36*ROUNDDOWN($B$1/'Scheduled Intervals'!BB22,0),2),0)</f>
        <v>0</v>
      </c>
      <c r="BC59" s="246">
        <f>IF('Scheduled Intervals'!BC22&gt;0,ROUND('Hours Per Job'!BC22*'Total Cost for Plan'!$B$36*ROUNDDOWN($B$1/'Scheduled Intervals'!BC22,0),2),0)</f>
        <v>0</v>
      </c>
      <c r="BD59" s="246">
        <f>IF('Scheduled Intervals'!BD22&gt;0,ROUND('Hours Per Job'!BD22*'Total Cost for Plan'!$B$36*ROUNDDOWN($B$1/'Scheduled Intervals'!BD22,0),2),0)</f>
        <v>0</v>
      </c>
      <c r="BE59" s="246">
        <f>IF('Scheduled Intervals'!BE22&gt;0,ROUND('Hours Per Job'!BE22*'Total Cost for Plan'!$B$36*ROUNDDOWN($B$1/'Scheduled Intervals'!BE22,0),2),0)</f>
        <v>0</v>
      </c>
      <c r="BF59" s="246">
        <f>IF('Scheduled Intervals'!BF22&gt;0,ROUND('Hours Per Job'!BF22*'Total Cost for Plan'!$B$36*ROUNDDOWN($B$1/'Scheduled Intervals'!BF22,0),2),0)</f>
        <v>0</v>
      </c>
      <c r="BG59" s="246">
        <f>IF('Scheduled Intervals'!BG22&gt;0,ROUND('Hours Per Job'!BG22*'Total Cost for Plan'!$B$36*ROUNDDOWN($B$1/'Scheduled Intervals'!BG22,0),2),0)</f>
        <v>0</v>
      </c>
      <c r="BH59" s="246">
        <f>IF('Scheduled Intervals'!BH22&gt;0,ROUND('Hours Per Job'!BH22*'Total Cost for Plan'!$B$36*ROUNDDOWN($B$1/'Scheduled Intervals'!BH22,0),2),0)</f>
        <v>0</v>
      </c>
      <c r="BI59" s="246">
        <f>IF('Scheduled Intervals'!BI22&gt;0,ROUND('Hours Per Job'!BI22*'Total Cost for Plan'!$B$36*ROUNDDOWN($B$1/'Scheduled Intervals'!BI22,0),2),0)</f>
        <v>0</v>
      </c>
      <c r="BJ59" s="246">
        <f>IF('Scheduled Intervals'!BJ22&gt;0,ROUND('Hours Per Job'!BJ22*'Total Cost for Plan'!$B$36*ROUNDDOWN($B$1/'Scheduled Intervals'!BJ22,0),2),0)</f>
        <v>30</v>
      </c>
      <c r="BK59" s="246">
        <f>IF('Scheduled Intervals'!BK22&gt;0,ROUND('Hours Per Job'!BK22*'Total Cost for Plan'!$B$36*ROUNDDOWN($B$1/'Scheduled Intervals'!BK22,0),2),0)</f>
        <v>0</v>
      </c>
      <c r="BL59" s="246">
        <f>IF('Scheduled Intervals'!BL22&gt;0,ROUND('Hours Per Job'!BL22*'Total Cost for Plan'!$B$36*ROUNDDOWN($B$1/'Scheduled Intervals'!BL22,0),2),0)</f>
        <v>0</v>
      </c>
      <c r="BM59" s="246">
        <f>IF('Scheduled Intervals'!BM22&gt;0,ROUND('Hours Per Job'!BM22*'Total Cost for Plan'!$B$36*ROUNDDOWN($B$1/'Scheduled Intervals'!BM22,0),2),0)</f>
        <v>0</v>
      </c>
      <c r="BN59" s="246">
        <f>IF(AND('Scheduled Intervals'!BN$4="annual",'Plan Summary'!$C$5&lt;'Scheduled Intervals'!$U22*('Plan Summary'!$C$9/12)),ROUND('Hours Per Job'!BN22*'Total Cost for Plan'!$B$36*ROUND('Plan Summary'!$C$9/12,0),2),0)</f>
        <v>420</v>
      </c>
      <c r="BO59" s="246">
        <f>IF(AND('Scheduled Intervals'!BO$4="annual",'Plan Summary'!$C$5&lt;'Scheduled Intervals'!$U22*('Plan Summary'!$C$9/12)),ROUND('Hours Per Job'!BO22*'Total Cost for Plan'!$B$36*ROUND('Plan Summary'!$C$9/12,0),2),0)</f>
        <v>300</v>
      </c>
      <c r="BP59" s="246">
        <f>IF(AND('Scheduled Intervals'!BP$4="annual",'Plan Summary'!$C$5&lt;'Scheduled Intervals'!$U22*('Plan Summary'!$C$9/12)),ROUND('Hours Per Job'!BP22*'Total Cost for Plan'!$B$36*ROUND('Plan Summary'!$C$9/12,0),2),0)</f>
        <v>630</v>
      </c>
      <c r="BQ59" s="246">
        <f t="shared" si="2"/>
        <v>1998</v>
      </c>
      <c r="BR59" s="246"/>
    </row>
    <row r="60" spans="1:70" ht="16" x14ac:dyDescent="0.2">
      <c r="A60" s="18" t="str">
        <f>+'Scheduled Intervals'!A23</f>
        <v>Takeuchi 260</v>
      </c>
      <c r="B60" s="246">
        <f>ROUND(('Hours Per Job'!B23*$B$36),2)</f>
        <v>84</v>
      </c>
      <c r="C60" s="246">
        <f>ROUND(('Hours Per Job'!C23*$B$36),2)</f>
        <v>0</v>
      </c>
      <c r="D60" s="246">
        <f>ROUND(('Hours Per Job'!D23*$B$36),2)</f>
        <v>12</v>
      </c>
      <c r="E60" s="246">
        <f>ROUND(('Hours Per Job'!E23*$B$36),2)</f>
        <v>0</v>
      </c>
      <c r="F60" s="246">
        <f>ROUND(('Hours Per Job'!F23*$B$36),2)</f>
        <v>0</v>
      </c>
      <c r="G60" s="246">
        <f>ROUND(('Hours Per Job'!G23*$B$36),2)</f>
        <v>0</v>
      </c>
      <c r="H60" s="246">
        <f>ROUND(('Hours Per Job'!H23*$B$36),2)</f>
        <v>60</v>
      </c>
      <c r="I60" s="246">
        <f>ROUND(('Hours Per Job'!I23*$B$36),2)</f>
        <v>30</v>
      </c>
      <c r="J60" s="246">
        <f>ROUND(('Hours Per Job'!J23*$B$36),2)</f>
        <v>0</v>
      </c>
      <c r="K60" s="246">
        <f>ROUND(('Hours Per Job'!K23*$B$36),2)</f>
        <v>0</v>
      </c>
      <c r="L60" s="246">
        <f>ROUND(('Hours Per Job'!L23*$B$36),2)</f>
        <v>0</v>
      </c>
      <c r="M60" s="246">
        <f>ROUND(('Hours Per Job'!M23*$B$36),2)</f>
        <v>0</v>
      </c>
      <c r="N60" s="246">
        <f>ROUND(('Hours Per Job'!N23*$B$36),2)</f>
        <v>0</v>
      </c>
      <c r="O60" s="246">
        <f>ROUND(('Hours Per Job'!O23*$B$36),2)</f>
        <v>0</v>
      </c>
      <c r="P60" s="246">
        <f>ROUND(('Hours Per Job'!P23*$B$36),2)</f>
        <v>0</v>
      </c>
      <c r="Q60" s="246">
        <f>ROUND(('Hours Per Job'!Q23*$B$36),2)</f>
        <v>72</v>
      </c>
      <c r="R60" s="246">
        <f>ROUND(('Hours Per Job'!R23*$B$36),2)</f>
        <v>120</v>
      </c>
      <c r="S60" s="246">
        <f>ROUND(('Hours Per Job'!S23*$B$36),2)</f>
        <v>0</v>
      </c>
      <c r="T60" s="246">
        <f>ROUND(('Hours Per Job'!T23*$B$36),2)</f>
        <v>0</v>
      </c>
      <c r="U60" s="246">
        <f>IF('Scheduled Intervals'!U23&gt;0,ROUND('Hours Per Job'!U23*'Total Cost for Plan'!$B$36*ROUNDDOWN($B$1/'Scheduled Intervals'!U23,0),2),0)</f>
        <v>0</v>
      </c>
      <c r="V60" s="246">
        <f>IF('Scheduled Intervals'!V23&gt;0,ROUND('Hours Per Job'!V23*'Total Cost for Plan'!$B$36*ROUNDDOWN($B$1/'Scheduled Intervals'!V23,0),2),0)</f>
        <v>0</v>
      </c>
      <c r="W60" s="246">
        <f>IF('Scheduled Intervals'!W23&gt;0,ROUND('Hours Per Job'!W23*'Total Cost for Plan'!$B$36*ROUNDDOWN($B$1/'Scheduled Intervals'!W23,0),2),0)</f>
        <v>0</v>
      </c>
      <c r="X60" s="246">
        <f>IF('Scheduled Intervals'!X23&gt;0,ROUND('Hours Per Job'!X23*'Total Cost for Plan'!$B$36*ROUNDDOWN($B$1/'Scheduled Intervals'!X23,0),2),0)</f>
        <v>24</v>
      </c>
      <c r="Y60" s="246">
        <f>IF('Scheduled Intervals'!Y23&gt;0,ROUND('Hours Per Job'!Y23*'Total Cost for Plan'!$B$36*ROUNDDOWN($B$1/'Scheduled Intervals'!Y23,0),2),0)</f>
        <v>0</v>
      </c>
      <c r="Z60" s="246">
        <f>IF('Scheduled Intervals'!Z23&gt;0,ROUND('Hours Per Job'!Z23*'Total Cost for Plan'!$B$36*ROUNDDOWN($B$1/'Scheduled Intervals'!Z23,0),2),0)</f>
        <v>36</v>
      </c>
      <c r="AA60" s="246">
        <f>IF('Scheduled Intervals'!AA23&gt;0,ROUND('Hours Per Job'!AA23*'Total Cost for Plan'!$B$36*ROUNDDOWN($B$1/'Scheduled Intervals'!AA23,0),2),0)</f>
        <v>0</v>
      </c>
      <c r="AB60" s="246">
        <f>IF('Scheduled Intervals'!AB23&gt;0,ROUND('Hours Per Job'!AB23*'Total Cost for Plan'!$B$36*ROUNDDOWN($B$1/'Scheduled Intervals'!AB23,0),2),0)</f>
        <v>0</v>
      </c>
      <c r="AC60" s="246">
        <f>IF('Scheduled Intervals'!AC23&gt;0,ROUND('Hours Per Job'!AC23*'Total Cost for Plan'!$B$36*ROUNDDOWN($B$1/'Scheduled Intervals'!AC23,0),2),0)</f>
        <v>0</v>
      </c>
      <c r="AD60" s="246">
        <f>IF('Scheduled Intervals'!AD23&gt;0,ROUND('Hours Per Job'!AD23*'Total Cost for Plan'!$B$36*ROUNDDOWN($B$1/'Scheduled Intervals'!AD23,0),2),0)</f>
        <v>0</v>
      </c>
      <c r="AE60" s="246">
        <f>IF('Scheduled Intervals'!AE23&gt;0,ROUND('Hours Per Job'!AE23*'Total Cost for Plan'!$B$36*ROUNDDOWN($B$1/'Scheduled Intervals'!AE23,0),2),0)</f>
        <v>0</v>
      </c>
      <c r="AF60" s="246">
        <f>IF('Scheduled Intervals'!AF23&gt;0,ROUND('Hours Per Job'!AF23*'Total Cost for Plan'!$B$36*ROUNDDOWN($B$1/'Scheduled Intervals'!AF23,0),2),0)</f>
        <v>0</v>
      </c>
      <c r="AG60" s="246">
        <f>IF('Scheduled Intervals'!AG23&gt;0,ROUND('Hours Per Job'!AG23*'Total Cost for Plan'!$B$36*ROUNDDOWN($B$1/'Scheduled Intervals'!AG23,0),2),0)</f>
        <v>0</v>
      </c>
      <c r="AH60" s="246">
        <f>IF('Scheduled Intervals'!AH23&gt;0,ROUND('Hours Per Job'!AH23*'Total Cost for Plan'!$B$36*ROUNDDOWN($B$1/'Scheduled Intervals'!AH23,0),2),0)</f>
        <v>0</v>
      </c>
      <c r="AI60" s="246">
        <f>IF('Scheduled Intervals'!AI23&gt;0,ROUND('Hours Per Job'!AI23*'Total Cost for Plan'!$B$36*ROUNDDOWN($B$1/'Scheduled Intervals'!AI23,0),2),0)</f>
        <v>0</v>
      </c>
      <c r="AJ60" s="246">
        <f>IF('Scheduled Intervals'!AJ23&gt;0,ROUND('Hours Per Job'!AJ23*'Total Cost for Plan'!$B$36*ROUNDDOWN($B$1/'Scheduled Intervals'!AJ23,0),2),0)</f>
        <v>0</v>
      </c>
      <c r="AK60" s="246">
        <f>IF('Scheduled Intervals'!AK23&gt;0,ROUND('Hours Per Job'!AK23*'Total Cost for Plan'!$B$36*ROUNDDOWN($B$1/'Scheduled Intervals'!AK23,0),2),0)</f>
        <v>0</v>
      </c>
      <c r="AL60" s="246">
        <f>IF('Scheduled Intervals'!AL23&gt;0,ROUND('Hours Per Job'!AL23*'Total Cost for Plan'!$B$36*ROUNDDOWN($B$1/'Scheduled Intervals'!AL23,0),2),0)</f>
        <v>0</v>
      </c>
      <c r="AM60" s="246">
        <f>IF('Scheduled Intervals'!AM23&gt;0,ROUND('Hours Per Job'!AM23*'Total Cost for Plan'!$B$36*ROUNDDOWN($B$1/'Scheduled Intervals'!AM23,0),2),0)</f>
        <v>0</v>
      </c>
      <c r="AN60" s="246">
        <f>IF('Scheduled Intervals'!AN23&gt;0,ROUND('Hours Per Job'!AN23*'Total Cost for Plan'!$B$36*ROUNDDOWN($B$1/'Scheduled Intervals'!AN23,0),2),0)</f>
        <v>0</v>
      </c>
      <c r="AO60" s="246">
        <f>IF('Scheduled Intervals'!AO23&gt;0,ROUND('Hours Per Job'!AO23*'Total Cost for Plan'!$B$36*ROUNDDOWN($B$1/'Scheduled Intervals'!AO23,0),2),0)</f>
        <v>0</v>
      </c>
      <c r="AP60" s="246">
        <f>IF('Scheduled Intervals'!AP23&gt;0,ROUND('Hours Per Job'!AP23*'Total Cost for Plan'!$B$36*ROUNDDOWN($B$1/'Scheduled Intervals'!AP23,0),2),0)</f>
        <v>84</v>
      </c>
      <c r="AQ60" s="246">
        <f>IF('Scheduled Intervals'!AQ23&gt;0,ROUND('Hours Per Job'!AQ23*'Total Cost for Plan'!$B$36*ROUNDDOWN($B$1/'Scheduled Intervals'!AQ23,0),2),0)</f>
        <v>0</v>
      </c>
      <c r="AR60" s="246">
        <f>IF('Scheduled Intervals'!AR23&gt;0,ROUND('Hours Per Job'!AR23*'Total Cost for Plan'!$B$36*ROUNDDOWN($B$1/'Scheduled Intervals'!AR23,0),2),0)</f>
        <v>0</v>
      </c>
      <c r="AS60" s="246">
        <f>IF('Scheduled Intervals'!AS23&gt;0,ROUND('Hours Per Job'!AS23*'Total Cost for Plan'!$B$36*ROUNDDOWN($B$1/'Scheduled Intervals'!AS23,0),2),0)</f>
        <v>0</v>
      </c>
      <c r="AT60" s="246">
        <f>IF('Scheduled Intervals'!AT23&gt;0,ROUND('Hours Per Job'!AT23*'Total Cost for Plan'!$B$36*ROUNDDOWN($B$1/'Scheduled Intervals'!AT23,0),2),0)</f>
        <v>0</v>
      </c>
      <c r="AU60" s="246">
        <f>IF('Scheduled Intervals'!AU23&gt;0,ROUND('Hours Per Job'!AU23*'Total Cost for Plan'!$B$36*ROUNDDOWN($B$1/'Scheduled Intervals'!AU23,0),2),0)</f>
        <v>0</v>
      </c>
      <c r="AV60" s="246">
        <f>IF('Scheduled Intervals'!AV23&gt;0,ROUND('Hours Per Job'!AV23*'Total Cost for Plan'!$B$36*ROUNDDOWN($B$1/'Scheduled Intervals'!AV23,0),2),0)</f>
        <v>0</v>
      </c>
      <c r="AW60" s="246">
        <f>IF('Scheduled Intervals'!AW23&gt;0,ROUND('Hours Per Job'!AW23*'Total Cost for Plan'!$B$36*ROUNDDOWN($B$1/'Scheduled Intervals'!AW23,0),2),0)</f>
        <v>0</v>
      </c>
      <c r="AX60" s="246">
        <f>IF('Scheduled Intervals'!AX23&gt;0,ROUND('Hours Per Job'!AX23*'Total Cost for Plan'!$B$36*ROUNDDOWN($B$1/'Scheduled Intervals'!AX23,0),2),0)</f>
        <v>0</v>
      </c>
      <c r="AY60" s="246">
        <f>IF('Scheduled Intervals'!AY23&gt;0,ROUND('Hours Per Job'!AY23*'Total Cost for Plan'!$B$36*ROUNDDOWN($B$1/'Scheduled Intervals'!AY23,0),2),0)</f>
        <v>0</v>
      </c>
      <c r="AZ60" s="246">
        <f>IF('Scheduled Intervals'!AZ23&gt;0,ROUND('Hours Per Job'!AZ23*'Total Cost for Plan'!$B$36*ROUNDDOWN($B$1/'Scheduled Intervals'!AZ23,0),2),0)</f>
        <v>0</v>
      </c>
      <c r="BA60" s="246">
        <f>IF('Scheduled Intervals'!BA23&gt;0,ROUND('Hours Per Job'!BA23*'Total Cost for Plan'!$B$36*ROUNDDOWN($B$1/'Scheduled Intervals'!BA23,0),2),0)</f>
        <v>0</v>
      </c>
      <c r="BB60" s="246">
        <f>IF('Scheduled Intervals'!BB23&gt;0,ROUND('Hours Per Job'!BB23*'Total Cost for Plan'!$B$36*ROUNDDOWN($B$1/'Scheduled Intervals'!BB23,0),2),0)</f>
        <v>0</v>
      </c>
      <c r="BC60" s="246">
        <f>IF('Scheduled Intervals'!BC23&gt;0,ROUND('Hours Per Job'!BC23*'Total Cost for Plan'!$B$36*ROUNDDOWN($B$1/'Scheduled Intervals'!BC23,0),2),0)</f>
        <v>0</v>
      </c>
      <c r="BD60" s="246">
        <f>IF('Scheduled Intervals'!BD23&gt;0,ROUND('Hours Per Job'!BD23*'Total Cost for Plan'!$B$36*ROUNDDOWN($B$1/'Scheduled Intervals'!BD23,0),2),0)</f>
        <v>0</v>
      </c>
      <c r="BE60" s="246">
        <f>IF('Scheduled Intervals'!BE23&gt;0,ROUND('Hours Per Job'!BE23*'Total Cost for Plan'!$B$36*ROUNDDOWN($B$1/'Scheduled Intervals'!BE23,0),2),0)</f>
        <v>0</v>
      </c>
      <c r="BF60" s="246">
        <f>IF('Scheduled Intervals'!BF23&gt;0,ROUND('Hours Per Job'!BF23*'Total Cost for Plan'!$B$36*ROUNDDOWN($B$1/'Scheduled Intervals'!BF23,0),2),0)</f>
        <v>0</v>
      </c>
      <c r="BG60" s="246">
        <f>IF('Scheduled Intervals'!BG23&gt;0,ROUND('Hours Per Job'!BG23*'Total Cost for Plan'!$B$36*ROUNDDOWN($B$1/'Scheduled Intervals'!BG23,0),2),0)</f>
        <v>0</v>
      </c>
      <c r="BH60" s="246">
        <f>IF('Scheduled Intervals'!BH23&gt;0,ROUND('Hours Per Job'!BH23*'Total Cost for Plan'!$B$36*ROUNDDOWN($B$1/'Scheduled Intervals'!BH23,0),2),0)</f>
        <v>0</v>
      </c>
      <c r="BI60" s="246">
        <f>IF('Scheduled Intervals'!BI23&gt;0,ROUND('Hours Per Job'!BI23*'Total Cost for Plan'!$B$36*ROUNDDOWN($B$1/'Scheduled Intervals'!BI23,0),2),0)</f>
        <v>0</v>
      </c>
      <c r="BJ60" s="246">
        <f>IF('Scheduled Intervals'!BJ23&gt;0,ROUND('Hours Per Job'!BJ23*'Total Cost for Plan'!$B$36*ROUNDDOWN($B$1/'Scheduled Intervals'!BJ23,0),2),0)</f>
        <v>0</v>
      </c>
      <c r="BK60" s="246">
        <f>IF('Scheduled Intervals'!BK23&gt;0,ROUND('Hours Per Job'!BK23*'Total Cost for Plan'!$B$36*ROUNDDOWN($B$1/'Scheduled Intervals'!BK23,0),2),0)</f>
        <v>0</v>
      </c>
      <c r="BL60" s="246">
        <f>IF('Scheduled Intervals'!BL23&gt;0,ROUND('Hours Per Job'!BL23*'Total Cost for Plan'!$B$36*ROUNDDOWN($B$1/'Scheduled Intervals'!BL23,0),2),0)</f>
        <v>0</v>
      </c>
      <c r="BM60" s="246">
        <f>IF('Scheduled Intervals'!BM23&gt;0,ROUND('Hours Per Job'!BM23*'Total Cost for Plan'!$B$36*ROUNDDOWN($B$1/'Scheduled Intervals'!BM23,0),2),0)</f>
        <v>0</v>
      </c>
      <c r="BN60" s="246">
        <f>IF(AND('Scheduled Intervals'!BN$4="annual",'Plan Summary'!$C$5&lt;'Scheduled Intervals'!$U23*('Plan Summary'!$C$9/12)),ROUND('Hours Per Job'!BN23*'Total Cost for Plan'!$B$36*ROUND('Plan Summary'!$C$9/12,0),2),0)</f>
        <v>420</v>
      </c>
      <c r="BO60" s="246">
        <f>IF(AND('Scheduled Intervals'!BO$4="annual",'Plan Summary'!$C$5&lt;'Scheduled Intervals'!$U23*('Plan Summary'!$C$9/12)),ROUND('Hours Per Job'!BO23*'Total Cost for Plan'!$B$36*ROUND('Plan Summary'!$C$9/12,0),2),0)</f>
        <v>300</v>
      </c>
      <c r="BP60" s="246">
        <f>IF(AND('Scheduled Intervals'!BP$4="annual",'Plan Summary'!$C$5&lt;'Scheduled Intervals'!$U23*('Plan Summary'!$C$9/12)),ROUND('Hours Per Job'!BP23*'Total Cost for Plan'!$B$36*ROUND('Plan Summary'!$C$9/12,0),2),0)</f>
        <v>630</v>
      </c>
      <c r="BQ60" s="246">
        <f t="shared" si="2"/>
        <v>1872</v>
      </c>
      <c r="BR60" s="246"/>
    </row>
    <row r="61" spans="1:70" ht="16" x14ac:dyDescent="0.2">
      <c r="A61" s="18" t="str">
        <f>+'Scheduled Intervals'!A24</f>
        <v>Takeuchi 335</v>
      </c>
      <c r="B61" s="246">
        <f>ROUND(('Hours Per Job'!B24*$B$36),2)</f>
        <v>84</v>
      </c>
      <c r="C61" s="246">
        <f>ROUND(('Hours Per Job'!C24*$B$36),2)</f>
        <v>0</v>
      </c>
      <c r="D61" s="246">
        <f>ROUND(('Hours Per Job'!D24*$B$36),2)</f>
        <v>0</v>
      </c>
      <c r="E61" s="246">
        <f>ROUND(('Hours Per Job'!E24*$B$36),2)</f>
        <v>0</v>
      </c>
      <c r="F61" s="246">
        <f>ROUND(('Hours Per Job'!F24*$B$36),2)</f>
        <v>0</v>
      </c>
      <c r="G61" s="246">
        <f>ROUND(('Hours Per Job'!G24*$B$36),2)</f>
        <v>0</v>
      </c>
      <c r="H61" s="246">
        <f>ROUND(('Hours Per Job'!H24*$B$36),2)</f>
        <v>60</v>
      </c>
      <c r="I61" s="246">
        <f>ROUND(('Hours Per Job'!I24*$B$36),2)</f>
        <v>30</v>
      </c>
      <c r="J61" s="246">
        <f>ROUND(('Hours Per Job'!J24*$B$36),2)</f>
        <v>0</v>
      </c>
      <c r="K61" s="246">
        <f>ROUND(('Hours Per Job'!K24*$B$36),2)</f>
        <v>0</v>
      </c>
      <c r="L61" s="246">
        <f>ROUND(('Hours Per Job'!L24*$B$36),2)</f>
        <v>0</v>
      </c>
      <c r="M61" s="246">
        <f>ROUND(('Hours Per Job'!M24*$B$36),2)</f>
        <v>0</v>
      </c>
      <c r="N61" s="246">
        <f>ROUND(('Hours Per Job'!N24*$B$36),2)</f>
        <v>0</v>
      </c>
      <c r="O61" s="246">
        <f>ROUND(('Hours Per Job'!O24*$B$36),2)</f>
        <v>0</v>
      </c>
      <c r="P61" s="246">
        <f>ROUND(('Hours Per Job'!P24*$B$36),2)</f>
        <v>0</v>
      </c>
      <c r="Q61" s="246">
        <f>ROUND(('Hours Per Job'!Q24*$B$36),2)</f>
        <v>84</v>
      </c>
      <c r="R61" s="246">
        <f>ROUND(('Hours Per Job'!R24*$B$36),2)</f>
        <v>0</v>
      </c>
      <c r="S61" s="246">
        <f>ROUND(('Hours Per Job'!S24*$B$36),2)</f>
        <v>0</v>
      </c>
      <c r="T61" s="246">
        <f>ROUND(('Hours Per Job'!T24*$B$36),2)</f>
        <v>0</v>
      </c>
      <c r="U61" s="246">
        <f>IF('Scheduled Intervals'!U24&gt;0,ROUND('Hours Per Job'!U24*'Total Cost for Plan'!$B$36*ROUNDDOWN($B$1/'Scheduled Intervals'!U24,0),2),0)</f>
        <v>84</v>
      </c>
      <c r="V61" s="246">
        <f>IF('Scheduled Intervals'!V24&gt;0,ROUND('Hours Per Job'!V24*'Total Cost for Plan'!$B$36*ROUNDDOWN($B$1/'Scheduled Intervals'!V24,0),2),0)</f>
        <v>0</v>
      </c>
      <c r="W61" s="246">
        <f>IF('Scheduled Intervals'!W24&gt;0,ROUND('Hours Per Job'!W24*'Total Cost for Plan'!$B$36*ROUNDDOWN($B$1/'Scheduled Intervals'!W24,0),2),0)</f>
        <v>0</v>
      </c>
      <c r="X61" s="246">
        <f>IF('Scheduled Intervals'!X24&gt;0,ROUND('Hours Per Job'!X24*'Total Cost for Plan'!$B$36*ROUNDDOWN($B$1/'Scheduled Intervals'!X24,0),2),0)</f>
        <v>0</v>
      </c>
      <c r="Y61" s="246">
        <f>IF('Scheduled Intervals'!Y24&gt;0,ROUND('Hours Per Job'!Y24*'Total Cost for Plan'!$B$36*ROUNDDOWN($B$1/'Scheduled Intervals'!Y24,0),2),0)</f>
        <v>0</v>
      </c>
      <c r="Z61" s="246">
        <f>IF('Scheduled Intervals'!Z24&gt;0,ROUND('Hours Per Job'!Z24*'Total Cost for Plan'!$B$36*ROUNDDOWN($B$1/'Scheduled Intervals'!Z24,0),2),0)</f>
        <v>0</v>
      </c>
      <c r="AA61" s="246">
        <f>IF('Scheduled Intervals'!AA24&gt;0,ROUND('Hours Per Job'!AA24*'Total Cost for Plan'!$B$36*ROUNDDOWN($B$1/'Scheduled Intervals'!AA24,0),2),0)</f>
        <v>0</v>
      </c>
      <c r="AB61" s="246">
        <f>IF('Scheduled Intervals'!AB24&gt;0,ROUND('Hours Per Job'!AB24*'Total Cost for Plan'!$B$36*ROUNDDOWN($B$1/'Scheduled Intervals'!AB24,0),2),0)</f>
        <v>0</v>
      </c>
      <c r="AC61" s="246">
        <f>IF('Scheduled Intervals'!AC24&gt;0,ROUND('Hours Per Job'!AC24*'Total Cost for Plan'!$B$36*ROUNDDOWN($B$1/'Scheduled Intervals'!AC24,0),2),0)</f>
        <v>0</v>
      </c>
      <c r="AD61" s="246">
        <f>IF('Scheduled Intervals'!AD24&gt;0,ROUND('Hours Per Job'!AD24*'Total Cost for Plan'!$B$36*ROUNDDOWN($B$1/'Scheduled Intervals'!AD24,0),2),0)</f>
        <v>0</v>
      </c>
      <c r="AE61" s="246">
        <f>IF('Scheduled Intervals'!AE24&gt;0,ROUND('Hours Per Job'!AE24*'Total Cost for Plan'!$B$36*ROUNDDOWN($B$1/'Scheduled Intervals'!AE24,0),2),0)</f>
        <v>0</v>
      </c>
      <c r="AF61" s="246">
        <f>IF('Scheduled Intervals'!AF24&gt;0,ROUND('Hours Per Job'!AF24*'Total Cost for Plan'!$B$36*ROUNDDOWN($B$1/'Scheduled Intervals'!AF24,0),2),0)</f>
        <v>0</v>
      </c>
      <c r="AG61" s="246">
        <f>IF('Scheduled Intervals'!AG24&gt;0,ROUND('Hours Per Job'!AG24*'Total Cost for Plan'!$B$36*ROUNDDOWN($B$1/'Scheduled Intervals'!AG24,0),2),0)</f>
        <v>0</v>
      </c>
      <c r="AH61" s="246">
        <f>IF('Scheduled Intervals'!AH24&gt;0,ROUND('Hours Per Job'!AH24*'Total Cost for Plan'!$B$36*ROUNDDOWN($B$1/'Scheduled Intervals'!AH24,0),2),0)</f>
        <v>0</v>
      </c>
      <c r="AI61" s="246">
        <f>IF('Scheduled Intervals'!AI24&gt;0,ROUND('Hours Per Job'!AI24*'Total Cost for Plan'!$B$36*ROUNDDOWN($B$1/'Scheduled Intervals'!AI24,0),2),0)</f>
        <v>0</v>
      </c>
      <c r="AJ61" s="246">
        <f>IF('Scheduled Intervals'!AJ24&gt;0,ROUND('Hours Per Job'!AJ24*'Total Cost for Plan'!$B$36*ROUNDDOWN($B$1/'Scheduled Intervals'!AJ24,0),2),0)</f>
        <v>0</v>
      </c>
      <c r="AK61" s="246">
        <f>IF('Scheduled Intervals'!AK24&gt;0,ROUND('Hours Per Job'!AK24*'Total Cost for Plan'!$B$36*ROUNDDOWN($B$1/'Scheduled Intervals'!AK24,0),2),0)</f>
        <v>0</v>
      </c>
      <c r="AL61" s="246">
        <f>IF('Scheduled Intervals'!AL24&gt;0,ROUND('Hours Per Job'!AL24*'Total Cost for Plan'!$B$36*ROUNDDOWN($B$1/'Scheduled Intervals'!AL24,0),2),0)</f>
        <v>0</v>
      </c>
      <c r="AM61" s="246">
        <f>IF('Scheduled Intervals'!AM24&gt;0,ROUND('Hours Per Job'!AM24*'Total Cost for Plan'!$B$36*ROUNDDOWN($B$1/'Scheduled Intervals'!AM24,0),2),0)</f>
        <v>0</v>
      </c>
      <c r="AN61" s="246">
        <f>IF('Scheduled Intervals'!AN24&gt;0,ROUND('Hours Per Job'!AN24*'Total Cost for Plan'!$B$36*ROUNDDOWN($B$1/'Scheduled Intervals'!AN24,0),2),0)</f>
        <v>0</v>
      </c>
      <c r="AO61" s="246">
        <f>IF('Scheduled Intervals'!AO24&gt;0,ROUND('Hours Per Job'!AO24*'Total Cost for Plan'!$B$36*ROUNDDOWN($B$1/'Scheduled Intervals'!AO24,0),2),0)</f>
        <v>0</v>
      </c>
      <c r="AP61" s="246">
        <f>IF('Scheduled Intervals'!AP24&gt;0,ROUND('Hours Per Job'!AP24*'Total Cost for Plan'!$B$36*ROUNDDOWN($B$1/'Scheduled Intervals'!AP24,0),2),0)</f>
        <v>84</v>
      </c>
      <c r="AQ61" s="246">
        <f>IF('Scheduled Intervals'!AQ24&gt;0,ROUND('Hours Per Job'!AQ24*'Total Cost for Plan'!$B$36*ROUNDDOWN($B$1/'Scheduled Intervals'!AQ24,0),2),0)</f>
        <v>0</v>
      </c>
      <c r="AR61" s="246">
        <f>IF('Scheduled Intervals'!AR24&gt;0,ROUND('Hours Per Job'!AR24*'Total Cost for Plan'!$B$36*ROUNDDOWN($B$1/'Scheduled Intervals'!AR24,0),2),0)</f>
        <v>0</v>
      </c>
      <c r="AS61" s="246">
        <f>IF('Scheduled Intervals'!AS24&gt;0,ROUND('Hours Per Job'!AS24*'Total Cost for Plan'!$B$36*ROUNDDOWN($B$1/'Scheduled Intervals'!AS24,0),2),0)</f>
        <v>0</v>
      </c>
      <c r="AT61" s="246">
        <f>IF('Scheduled Intervals'!AT24&gt;0,ROUND('Hours Per Job'!AT24*'Total Cost for Plan'!$B$36*ROUNDDOWN($B$1/'Scheduled Intervals'!AT24,0),2),0)</f>
        <v>60</v>
      </c>
      <c r="AU61" s="246">
        <f>IF('Scheduled Intervals'!AU24&gt;0,ROUND('Hours Per Job'!AU24*'Total Cost for Plan'!$B$36*ROUNDDOWN($B$1/'Scheduled Intervals'!AU24,0),2),0)</f>
        <v>0</v>
      </c>
      <c r="AV61" s="246">
        <f>IF('Scheduled Intervals'!AV24&gt;0,ROUND('Hours Per Job'!AV24*'Total Cost for Plan'!$B$36*ROUNDDOWN($B$1/'Scheduled Intervals'!AV24,0),2),0)</f>
        <v>0</v>
      </c>
      <c r="AW61" s="246">
        <f>IF('Scheduled Intervals'!AW24&gt;0,ROUND('Hours Per Job'!AW24*'Total Cost for Plan'!$B$36*ROUNDDOWN($B$1/'Scheduled Intervals'!AW24,0),2),0)</f>
        <v>0</v>
      </c>
      <c r="AX61" s="246">
        <f>IF('Scheduled Intervals'!AX24&gt;0,ROUND('Hours Per Job'!AX24*'Total Cost for Plan'!$B$36*ROUNDDOWN($B$1/'Scheduled Intervals'!AX24,0),2),0)</f>
        <v>0</v>
      </c>
      <c r="AY61" s="246">
        <f>IF('Scheduled Intervals'!AY24&gt;0,ROUND('Hours Per Job'!AY24*'Total Cost for Plan'!$B$36*ROUNDDOWN($B$1/'Scheduled Intervals'!AY24,0),2),0)</f>
        <v>0</v>
      </c>
      <c r="AZ61" s="246">
        <f>IF('Scheduled Intervals'!AZ24&gt;0,ROUND('Hours Per Job'!AZ24*'Total Cost for Plan'!$B$36*ROUNDDOWN($B$1/'Scheduled Intervals'!AZ24,0),2),0)</f>
        <v>0</v>
      </c>
      <c r="BA61" s="246">
        <f>IF('Scheduled Intervals'!BA24&gt;0,ROUND('Hours Per Job'!BA24*'Total Cost for Plan'!$B$36*ROUNDDOWN($B$1/'Scheduled Intervals'!BA24,0),2),0)</f>
        <v>0</v>
      </c>
      <c r="BB61" s="246">
        <f>IF('Scheduled Intervals'!BB24&gt;0,ROUND('Hours Per Job'!BB24*'Total Cost for Plan'!$B$36*ROUNDDOWN($B$1/'Scheduled Intervals'!BB24,0),2),0)</f>
        <v>0</v>
      </c>
      <c r="BC61" s="246">
        <f>IF('Scheduled Intervals'!BC24&gt;0,ROUND('Hours Per Job'!BC24*'Total Cost for Plan'!$B$36*ROUNDDOWN($B$1/'Scheduled Intervals'!BC24,0),2),0)</f>
        <v>0</v>
      </c>
      <c r="BD61" s="246">
        <f>IF('Scheduled Intervals'!BD24&gt;0,ROUND('Hours Per Job'!BD24*'Total Cost for Plan'!$B$36*ROUNDDOWN($B$1/'Scheduled Intervals'!BD24,0),2),0)</f>
        <v>0</v>
      </c>
      <c r="BE61" s="246">
        <f>IF('Scheduled Intervals'!BE24&gt;0,ROUND('Hours Per Job'!BE24*'Total Cost for Plan'!$B$36*ROUNDDOWN($B$1/'Scheduled Intervals'!BE24,0),2),0)</f>
        <v>0</v>
      </c>
      <c r="BF61" s="246">
        <f>IF('Scheduled Intervals'!BF24&gt;0,ROUND('Hours Per Job'!BF24*'Total Cost for Plan'!$B$36*ROUNDDOWN($B$1/'Scheduled Intervals'!BF24,0),2),0)</f>
        <v>0</v>
      </c>
      <c r="BG61" s="246">
        <f>IF('Scheduled Intervals'!BG24&gt;0,ROUND('Hours Per Job'!BG24*'Total Cost for Plan'!$B$36*ROUNDDOWN($B$1/'Scheduled Intervals'!BG24,0),2),0)</f>
        <v>0</v>
      </c>
      <c r="BH61" s="246">
        <f>IF('Scheduled Intervals'!BH24&gt;0,ROUND('Hours Per Job'!BH24*'Total Cost for Plan'!$B$36*ROUNDDOWN($B$1/'Scheduled Intervals'!BH24,0),2),0)</f>
        <v>0</v>
      </c>
      <c r="BI61" s="246">
        <f>IF('Scheduled Intervals'!BI24&gt;0,ROUND('Hours Per Job'!BI24*'Total Cost for Plan'!$B$36*ROUNDDOWN($B$1/'Scheduled Intervals'!BI24,0),2),0)</f>
        <v>0</v>
      </c>
      <c r="BJ61" s="246">
        <f>IF('Scheduled Intervals'!BJ24&gt;0,ROUND('Hours Per Job'!BJ24*'Total Cost for Plan'!$B$36*ROUNDDOWN($B$1/'Scheduled Intervals'!BJ24,0),2),0)</f>
        <v>30</v>
      </c>
      <c r="BK61" s="246">
        <f>IF('Scheduled Intervals'!BK24&gt;0,ROUND('Hours Per Job'!BK24*'Total Cost for Plan'!$B$36*ROUNDDOWN($B$1/'Scheduled Intervals'!BK24,0),2),0)</f>
        <v>0</v>
      </c>
      <c r="BL61" s="246">
        <f>IF('Scheduled Intervals'!BL24&gt;0,ROUND('Hours Per Job'!BL24*'Total Cost for Plan'!$B$36*ROUNDDOWN($B$1/'Scheduled Intervals'!BL24,0),2),0)</f>
        <v>0</v>
      </c>
      <c r="BM61" s="246">
        <f>IF('Scheduled Intervals'!BM24&gt;0,ROUND('Hours Per Job'!BM24*'Total Cost for Plan'!$B$36*ROUNDDOWN($B$1/'Scheduled Intervals'!BM24,0),2),0)</f>
        <v>0</v>
      </c>
      <c r="BN61" s="246">
        <f>IF(AND('Scheduled Intervals'!BN$4="annual",'Plan Summary'!$C$5&lt;'Scheduled Intervals'!$U24*('Plan Summary'!$C$9/12)),ROUND('Hours Per Job'!BN24*'Total Cost for Plan'!$B$36*ROUND('Plan Summary'!$C$9/12,0),2),0)</f>
        <v>420</v>
      </c>
      <c r="BO61" s="246">
        <f>IF(AND('Scheduled Intervals'!BO$4="annual",'Plan Summary'!$C$5&lt;'Scheduled Intervals'!$U24*('Plan Summary'!$C$9/12)),ROUND('Hours Per Job'!BO24*'Total Cost for Plan'!$B$36*ROUND('Plan Summary'!$C$9/12,0),2),0)</f>
        <v>300</v>
      </c>
      <c r="BP61" s="246">
        <f>IF(AND('Scheduled Intervals'!BP$4="annual",'Plan Summary'!$C$5&lt;'Scheduled Intervals'!$U24*('Plan Summary'!$C$9/12)),ROUND('Hours Per Job'!BP24*'Total Cost for Plan'!$B$36*ROUND('Plan Summary'!$C$9/12,0),2),0)</f>
        <v>630</v>
      </c>
      <c r="BQ61" s="246">
        <f t="shared" si="2"/>
        <v>1866</v>
      </c>
      <c r="BR61" s="246"/>
    </row>
    <row r="62" spans="1:70" ht="16" x14ac:dyDescent="0.2">
      <c r="A62" s="18" t="str">
        <f>+'Scheduled Intervals'!A25</f>
        <v>Sany SY up to 35</v>
      </c>
      <c r="B62" s="246">
        <f>ROUND(('Hours Per Job'!B25*$B$36),2)</f>
        <v>84</v>
      </c>
      <c r="C62" s="246">
        <f>ROUND(('Hours Per Job'!C25*$B$36),2)</f>
        <v>0</v>
      </c>
      <c r="D62" s="246">
        <f>ROUND(('Hours Per Job'!D25*$B$36),2)</f>
        <v>12</v>
      </c>
      <c r="E62" s="246">
        <f>ROUND(('Hours Per Job'!E25*$B$36),2)</f>
        <v>0</v>
      </c>
      <c r="F62" s="246">
        <f>ROUND(('Hours Per Job'!F25*$B$36),2)</f>
        <v>0</v>
      </c>
      <c r="G62" s="246">
        <f>ROUND(('Hours Per Job'!G25*$B$36),2)</f>
        <v>0</v>
      </c>
      <c r="H62" s="246">
        <f>ROUND(('Hours Per Job'!H25*$B$36),2)</f>
        <v>60</v>
      </c>
      <c r="I62" s="246">
        <f>ROUND(('Hours Per Job'!I25*$B$36),2)</f>
        <v>30</v>
      </c>
      <c r="J62" s="246">
        <f>ROUND(('Hours Per Job'!J25*$B$36),2)</f>
        <v>0</v>
      </c>
      <c r="K62" s="246">
        <f>ROUND(('Hours Per Job'!K25*$B$36),2)</f>
        <v>0</v>
      </c>
      <c r="L62" s="246">
        <f>ROUND(('Hours Per Job'!L25*$B$36),2)</f>
        <v>0</v>
      </c>
      <c r="M62" s="246">
        <f>ROUND(('Hours Per Job'!M25*$B$36),2)</f>
        <v>0</v>
      </c>
      <c r="N62" s="246">
        <f>ROUND(('Hours Per Job'!N25*$B$36),2)</f>
        <v>0</v>
      </c>
      <c r="O62" s="246">
        <f>ROUND(('Hours Per Job'!O25*$B$36),2)</f>
        <v>0</v>
      </c>
      <c r="P62" s="246">
        <f>ROUND(('Hours Per Job'!P25*$B$36),2)</f>
        <v>0</v>
      </c>
      <c r="Q62" s="246">
        <f>ROUND(('Hours Per Job'!Q25*$B$36),2)</f>
        <v>60</v>
      </c>
      <c r="R62" s="246">
        <f>ROUND(('Hours Per Job'!R25*$B$36),2)</f>
        <v>120</v>
      </c>
      <c r="S62" s="246">
        <f>ROUND(('Hours Per Job'!S25*$B$36),2)</f>
        <v>0</v>
      </c>
      <c r="T62" s="246">
        <f>ROUND(('Hours Per Job'!T25*$B$36),2)</f>
        <v>0</v>
      </c>
      <c r="U62" s="246">
        <f>IF('Scheduled Intervals'!U25&gt;0,ROUND('Hours Per Job'!U25*'Total Cost for Plan'!$B$36*ROUNDDOWN($B$1/'Scheduled Intervals'!U25,0),2),0)</f>
        <v>84</v>
      </c>
      <c r="V62" s="246">
        <f>IF('Scheduled Intervals'!V25&gt;0,ROUND('Hours Per Job'!V25*'Total Cost for Plan'!$B$36*ROUNDDOWN($B$1/'Scheduled Intervals'!V25,0),2),0)</f>
        <v>0</v>
      </c>
      <c r="W62" s="246">
        <f>IF('Scheduled Intervals'!W25&gt;0,ROUND('Hours Per Job'!W25*'Total Cost for Plan'!$B$36*ROUNDDOWN($B$1/'Scheduled Intervals'!W25,0),2),0)</f>
        <v>0</v>
      </c>
      <c r="X62" s="246">
        <f>IF('Scheduled Intervals'!X25&gt;0,ROUND('Hours Per Job'!X25*'Total Cost for Plan'!$B$36*ROUNDDOWN($B$1/'Scheduled Intervals'!X25,0),2),0)</f>
        <v>0</v>
      </c>
      <c r="Y62" s="246">
        <f>IF('Scheduled Intervals'!Y25&gt;0,ROUND('Hours Per Job'!Y25*'Total Cost for Plan'!$B$36*ROUNDDOWN($B$1/'Scheduled Intervals'!Y25,0),2),0)</f>
        <v>0</v>
      </c>
      <c r="Z62" s="246">
        <f>IF('Scheduled Intervals'!Z25&gt;0,ROUND('Hours Per Job'!Z25*'Total Cost for Plan'!$B$36*ROUNDDOWN($B$1/'Scheduled Intervals'!Z25,0),2),0)</f>
        <v>0</v>
      </c>
      <c r="AA62" s="246">
        <f>IF('Scheduled Intervals'!AA25&gt;0,ROUND('Hours Per Job'!AA25*'Total Cost for Plan'!$B$36*ROUNDDOWN($B$1/'Scheduled Intervals'!AA25,0),2),0)</f>
        <v>0</v>
      </c>
      <c r="AB62" s="246">
        <f>IF('Scheduled Intervals'!AB25&gt;0,ROUND('Hours Per Job'!AB25*'Total Cost for Plan'!$B$36*ROUNDDOWN($B$1/'Scheduled Intervals'!AB25,0),2),0)</f>
        <v>0</v>
      </c>
      <c r="AC62" s="246">
        <f>IF('Scheduled Intervals'!AC25&gt;0,ROUND('Hours Per Job'!AC25*'Total Cost for Plan'!$B$36*ROUNDDOWN($B$1/'Scheduled Intervals'!AC25,0),2),0)</f>
        <v>0</v>
      </c>
      <c r="AD62" s="246">
        <f>IF('Scheduled Intervals'!AD25&gt;0,ROUND('Hours Per Job'!AD25*'Total Cost for Plan'!$B$36*ROUNDDOWN($B$1/'Scheduled Intervals'!AD25,0),2),0)</f>
        <v>0</v>
      </c>
      <c r="AE62" s="246">
        <f>IF('Scheduled Intervals'!AE25&gt;0,ROUND('Hours Per Job'!AE25*'Total Cost for Plan'!$B$36*ROUNDDOWN($B$1/'Scheduled Intervals'!AE25,0),2),0)</f>
        <v>0</v>
      </c>
      <c r="AF62" s="246">
        <f>IF('Scheduled Intervals'!AF25&gt;0,ROUND('Hours Per Job'!AF25*'Total Cost for Plan'!$B$36*ROUNDDOWN($B$1/'Scheduled Intervals'!AF25,0),2),0)</f>
        <v>0</v>
      </c>
      <c r="AG62" s="246">
        <f>IF('Scheduled Intervals'!AG25&gt;0,ROUND('Hours Per Job'!AG25*'Total Cost for Plan'!$B$36*ROUNDDOWN($B$1/'Scheduled Intervals'!AG25,0),2),0)</f>
        <v>0</v>
      </c>
      <c r="AH62" s="246">
        <f>IF('Scheduled Intervals'!AH25&gt;0,ROUND('Hours Per Job'!AH25*'Total Cost for Plan'!$B$36*ROUNDDOWN($B$1/'Scheduled Intervals'!AH25,0),2),0)</f>
        <v>0</v>
      </c>
      <c r="AI62" s="246">
        <f>IF('Scheduled Intervals'!AI25&gt;0,ROUND('Hours Per Job'!AI25*'Total Cost for Plan'!$B$36*ROUNDDOWN($B$1/'Scheduled Intervals'!AI25,0),2),0)</f>
        <v>0</v>
      </c>
      <c r="AJ62" s="246">
        <f>IF('Scheduled Intervals'!AJ25&gt;0,ROUND('Hours Per Job'!AJ25*'Total Cost for Plan'!$B$36*ROUNDDOWN($B$1/'Scheduled Intervals'!AJ25,0),2),0)</f>
        <v>0</v>
      </c>
      <c r="AK62" s="246">
        <f>IF('Scheduled Intervals'!AK25&gt;0,ROUND('Hours Per Job'!AK25*'Total Cost for Plan'!$B$36*ROUNDDOWN($B$1/'Scheduled Intervals'!AK25,0),2),0)</f>
        <v>0</v>
      </c>
      <c r="AL62" s="246">
        <f>IF('Scheduled Intervals'!AL25&gt;0,ROUND('Hours Per Job'!AL25*'Total Cost for Plan'!$B$36*ROUNDDOWN($B$1/'Scheduled Intervals'!AL25,0),2),0)</f>
        <v>0</v>
      </c>
      <c r="AM62" s="246">
        <f>IF('Scheduled Intervals'!AM25&gt;0,ROUND('Hours Per Job'!AM25*'Total Cost for Plan'!$B$36*ROUNDDOWN($B$1/'Scheduled Intervals'!AM25,0),2),0)</f>
        <v>0</v>
      </c>
      <c r="AN62" s="246">
        <f>IF('Scheduled Intervals'!AN25&gt;0,ROUND('Hours Per Job'!AN25*'Total Cost for Plan'!$B$36*ROUNDDOWN($B$1/'Scheduled Intervals'!AN25,0),2),0)</f>
        <v>0</v>
      </c>
      <c r="AO62" s="246">
        <f>IF('Scheduled Intervals'!AO25&gt;0,ROUND('Hours Per Job'!AO25*'Total Cost for Plan'!$B$36*ROUNDDOWN($B$1/'Scheduled Intervals'!AO25,0),2),0)</f>
        <v>0</v>
      </c>
      <c r="AP62" s="246">
        <f>IF('Scheduled Intervals'!AP25&gt;0,ROUND('Hours Per Job'!AP25*'Total Cost for Plan'!$B$36*ROUNDDOWN($B$1/'Scheduled Intervals'!AP25,0),2),0)</f>
        <v>0</v>
      </c>
      <c r="AQ62" s="246">
        <f>IF('Scheduled Intervals'!AQ25&gt;0,ROUND('Hours Per Job'!AQ25*'Total Cost for Plan'!$B$36*ROUNDDOWN($B$1/'Scheduled Intervals'!AQ25,0),2),0)</f>
        <v>0</v>
      </c>
      <c r="AR62" s="246">
        <f>IF('Scheduled Intervals'!AR25&gt;0,ROUND('Hours Per Job'!AR25*'Total Cost for Plan'!$B$36*ROUNDDOWN($B$1/'Scheduled Intervals'!AR25,0),2),0)</f>
        <v>0</v>
      </c>
      <c r="AS62" s="246">
        <f>IF('Scheduled Intervals'!AS25&gt;0,ROUND('Hours Per Job'!AS25*'Total Cost for Plan'!$B$36*ROUNDDOWN($B$1/'Scheduled Intervals'!AS25,0),2),0)</f>
        <v>0</v>
      </c>
      <c r="AT62" s="246">
        <f>IF('Scheduled Intervals'!AT25&gt;0,ROUND('Hours Per Job'!AT25*'Total Cost for Plan'!$B$36*ROUNDDOWN($B$1/'Scheduled Intervals'!AT25,0),2),0)</f>
        <v>60</v>
      </c>
      <c r="AU62" s="246">
        <f>IF('Scheduled Intervals'!AU25&gt;0,ROUND('Hours Per Job'!AU25*'Total Cost for Plan'!$B$36*ROUNDDOWN($B$1/'Scheduled Intervals'!AU25,0),2),0)</f>
        <v>0</v>
      </c>
      <c r="AV62" s="246">
        <f>IF('Scheduled Intervals'!AV25&gt;0,ROUND('Hours Per Job'!AV25*'Total Cost for Plan'!$B$36*ROUNDDOWN($B$1/'Scheduled Intervals'!AV25,0),2),0)</f>
        <v>0</v>
      </c>
      <c r="AW62" s="246">
        <f>IF('Scheduled Intervals'!AW25&gt;0,ROUND('Hours Per Job'!AW25*'Total Cost for Plan'!$B$36*ROUNDDOWN($B$1/'Scheduled Intervals'!AW25,0),2),0)</f>
        <v>0</v>
      </c>
      <c r="AX62" s="246">
        <f>IF('Scheduled Intervals'!AX25&gt;0,ROUND('Hours Per Job'!AX25*'Total Cost for Plan'!$B$36*ROUNDDOWN($B$1/'Scheduled Intervals'!AX25,0),2),0)</f>
        <v>0</v>
      </c>
      <c r="AY62" s="246">
        <f>IF('Scheduled Intervals'!AY25&gt;0,ROUND('Hours Per Job'!AY25*'Total Cost for Plan'!$B$36*ROUNDDOWN($B$1/'Scheduled Intervals'!AY25,0),2),0)</f>
        <v>0</v>
      </c>
      <c r="AZ62" s="246">
        <f>IF('Scheduled Intervals'!AZ25&gt;0,ROUND('Hours Per Job'!AZ25*'Total Cost for Plan'!$B$36*ROUNDDOWN($B$1/'Scheduled Intervals'!AZ25,0),2),0)</f>
        <v>0</v>
      </c>
      <c r="BA62" s="246">
        <f>IF('Scheduled Intervals'!BA25&gt;0,ROUND('Hours Per Job'!BA25*'Total Cost for Plan'!$B$36*ROUNDDOWN($B$1/'Scheduled Intervals'!BA25,0),2),0)</f>
        <v>0</v>
      </c>
      <c r="BB62" s="246">
        <f>IF('Scheduled Intervals'!BB25&gt;0,ROUND('Hours Per Job'!BB25*'Total Cost for Plan'!$B$36*ROUNDDOWN($B$1/'Scheduled Intervals'!BB25,0),2),0)</f>
        <v>0</v>
      </c>
      <c r="BC62" s="246">
        <f>IF('Scheduled Intervals'!BC25&gt;0,ROUND('Hours Per Job'!BC25*'Total Cost for Plan'!$B$36*ROUNDDOWN($B$1/'Scheduled Intervals'!BC25,0),2),0)</f>
        <v>0</v>
      </c>
      <c r="BD62" s="246">
        <f>IF('Scheduled Intervals'!BD25&gt;0,ROUND('Hours Per Job'!BD25*'Total Cost for Plan'!$B$36*ROUNDDOWN($B$1/'Scheduled Intervals'!BD25,0),2),0)</f>
        <v>0</v>
      </c>
      <c r="BE62" s="246">
        <f>IF('Scheduled Intervals'!BE25&gt;0,ROUND('Hours Per Job'!BE25*'Total Cost for Plan'!$B$36*ROUNDDOWN($B$1/'Scheduled Intervals'!BE25,0),2),0)</f>
        <v>0</v>
      </c>
      <c r="BF62" s="246">
        <f>IF('Scheduled Intervals'!BF25&gt;0,ROUND('Hours Per Job'!BF25*'Total Cost for Plan'!$B$36*ROUNDDOWN($B$1/'Scheduled Intervals'!BF25,0),2),0)</f>
        <v>0</v>
      </c>
      <c r="BG62" s="246">
        <f>IF('Scheduled Intervals'!BG25&gt;0,ROUND('Hours Per Job'!BG25*'Total Cost for Plan'!$B$36*ROUNDDOWN($B$1/'Scheduled Intervals'!BG25,0),2),0)</f>
        <v>0</v>
      </c>
      <c r="BH62" s="246">
        <f>IF('Scheduled Intervals'!BH25&gt;0,ROUND('Hours Per Job'!BH25*'Total Cost for Plan'!$B$36*ROUNDDOWN($B$1/'Scheduled Intervals'!BH25,0),2),0)</f>
        <v>0</v>
      </c>
      <c r="BI62" s="246">
        <f>IF('Scheduled Intervals'!BI25&gt;0,ROUND('Hours Per Job'!BI25*'Total Cost for Plan'!$B$36*ROUNDDOWN($B$1/'Scheduled Intervals'!BI25,0),2),0)</f>
        <v>0</v>
      </c>
      <c r="BJ62" s="246">
        <f>IF('Scheduled Intervals'!BJ25&gt;0,ROUND('Hours Per Job'!BJ25*'Total Cost for Plan'!$B$36*ROUNDDOWN($B$1/'Scheduled Intervals'!BJ25,0),2),0)</f>
        <v>30</v>
      </c>
      <c r="BK62" s="246">
        <f>IF('Scheduled Intervals'!BK25&gt;0,ROUND('Hours Per Job'!BK25*'Total Cost for Plan'!$B$36*ROUNDDOWN($B$1/'Scheduled Intervals'!BK25,0),2),0)</f>
        <v>0</v>
      </c>
      <c r="BL62" s="246">
        <f>IF('Scheduled Intervals'!BL25&gt;0,ROUND('Hours Per Job'!BL25*'Total Cost for Plan'!$B$36*ROUNDDOWN($B$1/'Scheduled Intervals'!BL25,0),2),0)</f>
        <v>0</v>
      </c>
      <c r="BM62" s="246">
        <f>IF('Scheduled Intervals'!BM25&gt;0,ROUND('Hours Per Job'!BM25*'Total Cost for Plan'!$B$36*ROUNDDOWN($B$1/'Scheduled Intervals'!BM25,0),2),0)</f>
        <v>0</v>
      </c>
      <c r="BN62" s="246">
        <f>IF(AND('Scheduled Intervals'!BN$4="annual",'Plan Summary'!$C$5&lt;'Scheduled Intervals'!$U25*('Plan Summary'!$C$9/12)),ROUND('Hours Per Job'!BN25*'Total Cost for Plan'!$B$36*ROUND('Plan Summary'!$C$9/12,0),2),0)</f>
        <v>420</v>
      </c>
      <c r="BO62" s="246">
        <f>IF(AND('Scheduled Intervals'!BO$4="annual",'Plan Summary'!$C$5&lt;'Scheduled Intervals'!$U25*('Plan Summary'!$C$9/12)),ROUND('Hours Per Job'!BO25*'Total Cost for Plan'!$B$36*ROUND('Plan Summary'!$C$9/12,0),2),0)</f>
        <v>300</v>
      </c>
      <c r="BP62" s="246">
        <f>IF(AND('Scheduled Intervals'!BP$4="annual",'Plan Summary'!$C$5&lt;'Scheduled Intervals'!$U25*('Plan Summary'!$C$9/12)),ROUND('Hours Per Job'!BP25*'Total Cost for Plan'!$B$36*ROUND('Plan Summary'!$C$9/12,0),2),0)</f>
        <v>630</v>
      </c>
      <c r="BQ62" s="246">
        <f t="shared" si="2"/>
        <v>1890</v>
      </c>
      <c r="BR62" s="246"/>
    </row>
    <row r="63" spans="1:70" ht="16" x14ac:dyDescent="0.2">
      <c r="A63" s="18" t="str">
        <f>+'Scheduled Intervals'!A26</f>
        <v>Sany SY up to 60</v>
      </c>
      <c r="B63" s="246">
        <f>ROUND(('Hours Per Job'!B26*$B$36),2)</f>
        <v>84</v>
      </c>
      <c r="C63" s="246">
        <f>ROUND(('Hours Per Job'!C26*$B$36),2)</f>
        <v>0</v>
      </c>
      <c r="D63" s="246">
        <f>ROUND(('Hours Per Job'!D26*$B$36),2)</f>
        <v>12</v>
      </c>
      <c r="E63" s="246">
        <f>ROUND(('Hours Per Job'!E26*$B$36),2)</f>
        <v>0</v>
      </c>
      <c r="F63" s="246">
        <f>ROUND(('Hours Per Job'!F26*$B$36),2)</f>
        <v>0</v>
      </c>
      <c r="G63" s="246">
        <f>ROUND(('Hours Per Job'!G26*$B$36),2)</f>
        <v>0</v>
      </c>
      <c r="H63" s="246">
        <f>ROUND(('Hours Per Job'!H26*$B$36),2)</f>
        <v>60</v>
      </c>
      <c r="I63" s="246">
        <f>ROUND(('Hours Per Job'!I26*$B$36),2)</f>
        <v>30</v>
      </c>
      <c r="J63" s="246">
        <f>ROUND(('Hours Per Job'!J26*$B$36),2)</f>
        <v>0</v>
      </c>
      <c r="K63" s="246">
        <f>ROUND(('Hours Per Job'!K26*$B$36),2)</f>
        <v>0</v>
      </c>
      <c r="L63" s="246">
        <f>ROUND(('Hours Per Job'!L26*$B$36),2)</f>
        <v>0</v>
      </c>
      <c r="M63" s="246">
        <f>ROUND(('Hours Per Job'!M26*$B$36),2)</f>
        <v>0</v>
      </c>
      <c r="N63" s="246">
        <f>ROUND(('Hours Per Job'!N26*$B$36),2)</f>
        <v>0</v>
      </c>
      <c r="O63" s="246">
        <f>ROUND(('Hours Per Job'!O26*$B$36),2)</f>
        <v>0</v>
      </c>
      <c r="P63" s="246">
        <f>ROUND(('Hours Per Job'!P26*$B$36),2)</f>
        <v>0</v>
      </c>
      <c r="Q63" s="246">
        <f>ROUND(('Hours Per Job'!Q26*$B$36),2)</f>
        <v>60</v>
      </c>
      <c r="R63" s="246">
        <f>ROUND(('Hours Per Job'!R26*$B$36),2)</f>
        <v>120</v>
      </c>
      <c r="S63" s="246">
        <f>ROUND(('Hours Per Job'!S26*$B$36),2)</f>
        <v>0</v>
      </c>
      <c r="T63" s="246">
        <f>ROUND(('Hours Per Job'!T26*$B$36),2)</f>
        <v>0</v>
      </c>
      <c r="U63" s="246">
        <f>IF('Scheduled Intervals'!U26&gt;0,ROUND('Hours Per Job'!U26*'Total Cost for Plan'!$B$36*ROUNDDOWN($B$1/'Scheduled Intervals'!U26,0),2),0)</f>
        <v>84</v>
      </c>
      <c r="V63" s="246">
        <f>IF('Scheduled Intervals'!V26&gt;0,ROUND('Hours Per Job'!V26*'Total Cost for Plan'!$B$36*ROUNDDOWN($B$1/'Scheduled Intervals'!V26,0),2),0)</f>
        <v>0</v>
      </c>
      <c r="W63" s="246">
        <f>IF('Scheduled Intervals'!W26&gt;0,ROUND('Hours Per Job'!W26*'Total Cost for Plan'!$B$36*ROUNDDOWN($B$1/'Scheduled Intervals'!W26,0),2),0)</f>
        <v>0</v>
      </c>
      <c r="X63" s="246">
        <f>IF('Scheduled Intervals'!X26&gt;0,ROUND('Hours Per Job'!X26*'Total Cost for Plan'!$B$36*ROUNDDOWN($B$1/'Scheduled Intervals'!X26,0),2),0)</f>
        <v>0</v>
      </c>
      <c r="Y63" s="246">
        <f>IF('Scheduled Intervals'!Y26&gt;0,ROUND('Hours Per Job'!Y26*'Total Cost for Plan'!$B$36*ROUNDDOWN($B$1/'Scheduled Intervals'!Y26,0),2),0)</f>
        <v>0</v>
      </c>
      <c r="Z63" s="246">
        <f>IF('Scheduled Intervals'!Z26&gt;0,ROUND('Hours Per Job'!Z26*'Total Cost for Plan'!$B$36*ROUNDDOWN($B$1/'Scheduled Intervals'!Z26,0),2),0)</f>
        <v>0</v>
      </c>
      <c r="AA63" s="246">
        <f>IF('Scheduled Intervals'!AA26&gt;0,ROUND('Hours Per Job'!AA26*'Total Cost for Plan'!$B$36*ROUNDDOWN($B$1/'Scheduled Intervals'!AA26,0),2),0)</f>
        <v>0</v>
      </c>
      <c r="AB63" s="246">
        <f>IF('Scheduled Intervals'!AB26&gt;0,ROUND('Hours Per Job'!AB26*'Total Cost for Plan'!$B$36*ROUNDDOWN($B$1/'Scheduled Intervals'!AB26,0),2),0)</f>
        <v>0</v>
      </c>
      <c r="AC63" s="246">
        <f>IF('Scheduled Intervals'!AC26&gt;0,ROUND('Hours Per Job'!AC26*'Total Cost for Plan'!$B$36*ROUNDDOWN($B$1/'Scheduled Intervals'!AC26,0),2),0)</f>
        <v>0</v>
      </c>
      <c r="AD63" s="246">
        <f>IF('Scheduled Intervals'!AD26&gt;0,ROUND('Hours Per Job'!AD26*'Total Cost for Plan'!$B$36*ROUNDDOWN($B$1/'Scheduled Intervals'!AD26,0),2),0)</f>
        <v>0</v>
      </c>
      <c r="AE63" s="246">
        <f>IF('Scheduled Intervals'!AE26&gt;0,ROUND('Hours Per Job'!AE26*'Total Cost for Plan'!$B$36*ROUNDDOWN($B$1/'Scheduled Intervals'!AE26,0),2),0)</f>
        <v>0</v>
      </c>
      <c r="AF63" s="246">
        <f>IF('Scheduled Intervals'!AF26&gt;0,ROUND('Hours Per Job'!AF26*'Total Cost for Plan'!$B$36*ROUNDDOWN($B$1/'Scheduled Intervals'!AF26,0),2),0)</f>
        <v>0</v>
      </c>
      <c r="AG63" s="246">
        <f>IF('Scheduled Intervals'!AG26&gt;0,ROUND('Hours Per Job'!AG26*'Total Cost for Plan'!$B$36*ROUNDDOWN($B$1/'Scheduled Intervals'!AG26,0),2),0)</f>
        <v>0</v>
      </c>
      <c r="AH63" s="246">
        <f>IF('Scheduled Intervals'!AH26&gt;0,ROUND('Hours Per Job'!AH26*'Total Cost for Plan'!$B$36*ROUNDDOWN($B$1/'Scheduled Intervals'!AH26,0),2),0)</f>
        <v>0</v>
      </c>
      <c r="AI63" s="246">
        <f>IF('Scheduled Intervals'!AI26&gt;0,ROUND('Hours Per Job'!AI26*'Total Cost for Plan'!$B$36*ROUNDDOWN($B$1/'Scheduled Intervals'!AI26,0),2),0)</f>
        <v>0</v>
      </c>
      <c r="AJ63" s="246">
        <f>IF('Scheduled Intervals'!AJ26&gt;0,ROUND('Hours Per Job'!AJ26*'Total Cost for Plan'!$B$36*ROUNDDOWN($B$1/'Scheduled Intervals'!AJ26,0),2),0)</f>
        <v>0</v>
      </c>
      <c r="AK63" s="246">
        <f>IF('Scheduled Intervals'!AK26&gt;0,ROUND('Hours Per Job'!AK26*'Total Cost for Plan'!$B$36*ROUNDDOWN($B$1/'Scheduled Intervals'!AK26,0),2),0)</f>
        <v>0</v>
      </c>
      <c r="AL63" s="246">
        <f>IF('Scheduled Intervals'!AL26&gt;0,ROUND('Hours Per Job'!AL26*'Total Cost for Plan'!$B$36*ROUNDDOWN($B$1/'Scheduled Intervals'!AL26,0),2),0)</f>
        <v>0</v>
      </c>
      <c r="AM63" s="246">
        <f>IF('Scheduled Intervals'!AM26&gt;0,ROUND('Hours Per Job'!AM26*'Total Cost for Plan'!$B$36*ROUNDDOWN($B$1/'Scheduled Intervals'!AM26,0),2),0)</f>
        <v>0</v>
      </c>
      <c r="AN63" s="246">
        <f>IF('Scheduled Intervals'!AN26&gt;0,ROUND('Hours Per Job'!AN26*'Total Cost for Plan'!$B$36*ROUNDDOWN($B$1/'Scheduled Intervals'!AN26,0),2),0)</f>
        <v>0</v>
      </c>
      <c r="AO63" s="246">
        <f>IF('Scheduled Intervals'!AO26&gt;0,ROUND('Hours Per Job'!AO26*'Total Cost for Plan'!$B$36*ROUNDDOWN($B$1/'Scheduled Intervals'!AO26,0),2),0)</f>
        <v>0</v>
      </c>
      <c r="AP63" s="246">
        <f>IF('Scheduled Intervals'!AP26&gt;0,ROUND('Hours Per Job'!AP26*'Total Cost for Plan'!$B$36*ROUNDDOWN($B$1/'Scheduled Intervals'!AP26,0),2),0)</f>
        <v>0</v>
      </c>
      <c r="AQ63" s="246">
        <f>IF('Scheduled Intervals'!AQ26&gt;0,ROUND('Hours Per Job'!AQ26*'Total Cost for Plan'!$B$36*ROUNDDOWN($B$1/'Scheduled Intervals'!AQ26,0),2),0)</f>
        <v>0</v>
      </c>
      <c r="AR63" s="246">
        <f>IF('Scheduled Intervals'!AR26&gt;0,ROUND('Hours Per Job'!AR26*'Total Cost for Plan'!$B$36*ROUNDDOWN($B$1/'Scheduled Intervals'!AR26,0),2),0)</f>
        <v>0</v>
      </c>
      <c r="AS63" s="246">
        <f>IF('Scheduled Intervals'!AS26&gt;0,ROUND('Hours Per Job'!AS26*'Total Cost for Plan'!$B$36*ROUNDDOWN($B$1/'Scheduled Intervals'!AS26,0),2),0)</f>
        <v>0</v>
      </c>
      <c r="AT63" s="246">
        <f>IF('Scheduled Intervals'!AT26&gt;0,ROUND('Hours Per Job'!AT26*'Total Cost for Plan'!$B$36*ROUNDDOWN($B$1/'Scheduled Intervals'!AT26,0),2),0)</f>
        <v>60</v>
      </c>
      <c r="AU63" s="246">
        <f>IF('Scheduled Intervals'!AU26&gt;0,ROUND('Hours Per Job'!AU26*'Total Cost for Plan'!$B$36*ROUNDDOWN($B$1/'Scheduled Intervals'!AU26,0),2),0)</f>
        <v>0</v>
      </c>
      <c r="AV63" s="246">
        <f>IF('Scheduled Intervals'!AV26&gt;0,ROUND('Hours Per Job'!AV26*'Total Cost for Plan'!$B$36*ROUNDDOWN($B$1/'Scheduled Intervals'!AV26,0),2),0)</f>
        <v>0</v>
      </c>
      <c r="AW63" s="246">
        <f>IF('Scheduled Intervals'!AW26&gt;0,ROUND('Hours Per Job'!AW26*'Total Cost for Plan'!$B$36*ROUNDDOWN($B$1/'Scheduled Intervals'!AW26,0),2),0)</f>
        <v>0</v>
      </c>
      <c r="AX63" s="246">
        <f>IF('Scheduled Intervals'!AX26&gt;0,ROUND('Hours Per Job'!AX26*'Total Cost for Plan'!$B$36*ROUNDDOWN($B$1/'Scheduled Intervals'!AX26,0),2),0)</f>
        <v>0</v>
      </c>
      <c r="AY63" s="246">
        <f>IF('Scheduled Intervals'!AY26&gt;0,ROUND('Hours Per Job'!AY26*'Total Cost for Plan'!$B$36*ROUNDDOWN($B$1/'Scheduled Intervals'!AY26,0),2),0)</f>
        <v>0</v>
      </c>
      <c r="AZ63" s="246">
        <f>IF('Scheduled Intervals'!AZ26&gt;0,ROUND('Hours Per Job'!AZ26*'Total Cost for Plan'!$B$36*ROUNDDOWN($B$1/'Scheduled Intervals'!AZ26,0),2),0)</f>
        <v>0</v>
      </c>
      <c r="BA63" s="246">
        <f>IF('Scheduled Intervals'!BA26&gt;0,ROUND('Hours Per Job'!BA26*'Total Cost for Plan'!$B$36*ROUNDDOWN($B$1/'Scheduled Intervals'!BA26,0),2),0)</f>
        <v>0</v>
      </c>
      <c r="BB63" s="246">
        <f>IF('Scheduled Intervals'!BB26&gt;0,ROUND('Hours Per Job'!BB26*'Total Cost for Plan'!$B$36*ROUNDDOWN($B$1/'Scheduled Intervals'!BB26,0),2),0)</f>
        <v>0</v>
      </c>
      <c r="BC63" s="246">
        <f>IF('Scheduled Intervals'!BC26&gt;0,ROUND('Hours Per Job'!BC26*'Total Cost for Plan'!$B$36*ROUNDDOWN($B$1/'Scheduled Intervals'!BC26,0),2),0)</f>
        <v>0</v>
      </c>
      <c r="BD63" s="246">
        <f>IF('Scheduled Intervals'!BD26&gt;0,ROUND('Hours Per Job'!BD26*'Total Cost for Plan'!$B$36*ROUNDDOWN($B$1/'Scheduled Intervals'!BD26,0),2),0)</f>
        <v>0</v>
      </c>
      <c r="BE63" s="246">
        <f>IF('Scheduled Intervals'!BE26&gt;0,ROUND('Hours Per Job'!BE26*'Total Cost for Plan'!$B$36*ROUNDDOWN($B$1/'Scheduled Intervals'!BE26,0),2),0)</f>
        <v>0</v>
      </c>
      <c r="BF63" s="246">
        <f>IF('Scheduled Intervals'!BF26&gt;0,ROUND('Hours Per Job'!BF26*'Total Cost for Plan'!$B$36*ROUNDDOWN($B$1/'Scheduled Intervals'!BF26,0),2),0)</f>
        <v>0</v>
      </c>
      <c r="BG63" s="246">
        <f>IF('Scheduled Intervals'!BG26&gt;0,ROUND('Hours Per Job'!BG26*'Total Cost for Plan'!$B$36*ROUNDDOWN($B$1/'Scheduled Intervals'!BG26,0),2),0)</f>
        <v>0</v>
      </c>
      <c r="BH63" s="246">
        <f>IF('Scheduled Intervals'!BH26&gt;0,ROUND('Hours Per Job'!BH26*'Total Cost for Plan'!$B$36*ROUNDDOWN($B$1/'Scheduled Intervals'!BH26,0),2),0)</f>
        <v>0</v>
      </c>
      <c r="BI63" s="246">
        <f>IF('Scheduled Intervals'!BI26&gt;0,ROUND('Hours Per Job'!BI26*'Total Cost for Plan'!$B$36*ROUNDDOWN($B$1/'Scheduled Intervals'!BI26,0),2),0)</f>
        <v>0</v>
      </c>
      <c r="BJ63" s="246">
        <f>IF('Scheduled Intervals'!BJ26&gt;0,ROUND('Hours Per Job'!BJ26*'Total Cost for Plan'!$B$36*ROUNDDOWN($B$1/'Scheduled Intervals'!BJ26,0),2),0)</f>
        <v>30</v>
      </c>
      <c r="BK63" s="246">
        <f>IF('Scheduled Intervals'!BK26&gt;0,ROUND('Hours Per Job'!BK26*'Total Cost for Plan'!$B$36*ROUNDDOWN($B$1/'Scheduled Intervals'!BK26,0),2),0)</f>
        <v>0</v>
      </c>
      <c r="BL63" s="246">
        <f>IF('Scheduled Intervals'!BL26&gt;0,ROUND('Hours Per Job'!BL26*'Total Cost for Plan'!$B$36*ROUNDDOWN($B$1/'Scheduled Intervals'!BL26,0),2),0)</f>
        <v>0</v>
      </c>
      <c r="BM63" s="246">
        <f>IF('Scheduled Intervals'!BM26&gt;0,ROUND('Hours Per Job'!BM26*'Total Cost for Plan'!$B$36*ROUNDDOWN($B$1/'Scheduled Intervals'!BM26,0),2),0)</f>
        <v>0</v>
      </c>
      <c r="BN63" s="246">
        <f>IF(AND('Scheduled Intervals'!BN$4="annual",'Plan Summary'!$C$5&lt;'Scheduled Intervals'!$U26*('Plan Summary'!$C$9/12)),ROUND('Hours Per Job'!BN26*'Total Cost for Plan'!$B$36*ROUND('Plan Summary'!$C$9/12,0),2),0)</f>
        <v>420</v>
      </c>
      <c r="BO63" s="246">
        <f>IF(AND('Scheduled Intervals'!BO$4="annual",'Plan Summary'!$C$5&lt;'Scheduled Intervals'!$U26*('Plan Summary'!$C$9/12)),ROUND('Hours Per Job'!BO26*'Total Cost for Plan'!$B$36*ROUND('Plan Summary'!$C$9/12,0),2),0)</f>
        <v>300</v>
      </c>
      <c r="BP63" s="246">
        <f>IF(AND('Scheduled Intervals'!BP$4="annual",'Plan Summary'!$C$5&lt;'Scheduled Intervals'!$U26*('Plan Summary'!$C$9/12)),ROUND('Hours Per Job'!BP26*'Total Cost for Plan'!$B$36*ROUND('Plan Summary'!$C$9/12,0),2),0)</f>
        <v>630</v>
      </c>
      <c r="BQ63" s="246">
        <f t="shared" si="2"/>
        <v>1890</v>
      </c>
      <c r="BR63" s="246"/>
    </row>
    <row r="64" spans="1:70" ht="16" x14ac:dyDescent="0.2">
      <c r="A64" s="18" t="str">
        <f>+'Scheduled Intervals'!A27</f>
        <v>Sany SY up to 155</v>
      </c>
      <c r="B64" s="246">
        <f>ROUND(('Hours Per Job'!B27*$B$36),2)</f>
        <v>84</v>
      </c>
      <c r="C64" s="246">
        <f>ROUND(('Hours Per Job'!C27*$B$36),2)</f>
        <v>0</v>
      </c>
      <c r="D64" s="246">
        <f>ROUND(('Hours Per Job'!D27*$B$36),2)</f>
        <v>12</v>
      </c>
      <c r="E64" s="246">
        <f>ROUND(('Hours Per Job'!E27*$B$36),2)</f>
        <v>0</v>
      </c>
      <c r="F64" s="246">
        <f>ROUND(('Hours Per Job'!F27*$B$36),2)</f>
        <v>0</v>
      </c>
      <c r="G64" s="246">
        <f>ROUND(('Hours Per Job'!G27*$B$36),2)</f>
        <v>0</v>
      </c>
      <c r="H64" s="246">
        <f>ROUND(('Hours Per Job'!H27*$B$36),2)</f>
        <v>60</v>
      </c>
      <c r="I64" s="246">
        <f>ROUND(('Hours Per Job'!I27*$B$36),2)</f>
        <v>30</v>
      </c>
      <c r="J64" s="246">
        <f>ROUND(('Hours Per Job'!J27*$B$36),2)</f>
        <v>60</v>
      </c>
      <c r="K64" s="246">
        <f>ROUND(('Hours Per Job'!K27*$B$36),2)</f>
        <v>0</v>
      </c>
      <c r="L64" s="246">
        <f>ROUND(('Hours Per Job'!L27*$B$36),2)</f>
        <v>0</v>
      </c>
      <c r="M64" s="246">
        <f>ROUND(('Hours Per Job'!M27*$B$36),2)</f>
        <v>0</v>
      </c>
      <c r="N64" s="246">
        <f>ROUND(('Hours Per Job'!N27*$B$36),2)</f>
        <v>0</v>
      </c>
      <c r="O64" s="246">
        <f>ROUND(('Hours Per Job'!O27*$B$36),2)</f>
        <v>0</v>
      </c>
      <c r="P64" s="246">
        <f>ROUND(('Hours Per Job'!P27*$B$36),2)</f>
        <v>0</v>
      </c>
      <c r="Q64" s="246">
        <f>ROUND(('Hours Per Job'!Q27*$B$36),2)</f>
        <v>60</v>
      </c>
      <c r="R64" s="246">
        <f>ROUND(('Hours Per Job'!R27*$B$36),2)</f>
        <v>0</v>
      </c>
      <c r="S64" s="246">
        <f>ROUND(('Hours Per Job'!S27*$B$36),2)</f>
        <v>0</v>
      </c>
      <c r="T64" s="246">
        <f>ROUND(('Hours Per Job'!T27*$B$36),2)</f>
        <v>0</v>
      </c>
      <c r="U64" s="246">
        <f>IF('Scheduled Intervals'!U27&gt;0,ROUND('Hours Per Job'!U27*'Total Cost for Plan'!$B$36*ROUNDDOWN($B$1/'Scheduled Intervals'!U27,0),2),0)</f>
        <v>0</v>
      </c>
      <c r="V64" s="246">
        <f>IF('Scheduled Intervals'!V27&gt;0,ROUND('Hours Per Job'!V27*'Total Cost for Plan'!$B$36*ROUNDDOWN($B$1/'Scheduled Intervals'!V27,0),2),0)</f>
        <v>0</v>
      </c>
      <c r="W64" s="246">
        <f>IF('Scheduled Intervals'!W27&gt;0,ROUND('Hours Per Job'!W27*'Total Cost for Plan'!$B$36*ROUNDDOWN($B$1/'Scheduled Intervals'!W27,0),2),0)</f>
        <v>0</v>
      </c>
      <c r="X64" s="246">
        <f>IF('Scheduled Intervals'!X27&gt;0,ROUND('Hours Per Job'!X27*'Total Cost for Plan'!$B$36*ROUNDDOWN($B$1/'Scheduled Intervals'!X27,0),2),0)</f>
        <v>0</v>
      </c>
      <c r="Y64" s="246">
        <f>IF('Scheduled Intervals'!Y27&gt;0,ROUND('Hours Per Job'!Y27*'Total Cost for Plan'!$B$36*ROUNDDOWN($B$1/'Scheduled Intervals'!Y27,0),2),0)</f>
        <v>0</v>
      </c>
      <c r="Z64" s="246">
        <f>IF('Scheduled Intervals'!Z27&gt;0,ROUND('Hours Per Job'!Z27*'Total Cost for Plan'!$B$36*ROUNDDOWN($B$1/'Scheduled Intervals'!Z27,0),2),0)</f>
        <v>0</v>
      </c>
      <c r="AA64" s="246">
        <f>IF('Scheduled Intervals'!AA27&gt;0,ROUND('Hours Per Job'!AA27*'Total Cost for Plan'!$B$36*ROUNDDOWN($B$1/'Scheduled Intervals'!AA27,0),2),0)</f>
        <v>0</v>
      </c>
      <c r="AB64" s="246">
        <f>IF('Scheduled Intervals'!AB27&gt;0,ROUND('Hours Per Job'!AB27*'Total Cost for Plan'!$B$36*ROUNDDOWN($B$1/'Scheduled Intervals'!AB27,0),2),0)</f>
        <v>0</v>
      </c>
      <c r="AC64" s="246">
        <f>IF('Scheduled Intervals'!AC27&gt;0,ROUND('Hours Per Job'!AC27*'Total Cost for Plan'!$B$36*ROUNDDOWN($B$1/'Scheduled Intervals'!AC27,0),2),0)</f>
        <v>0</v>
      </c>
      <c r="AD64" s="246">
        <f>IF('Scheduled Intervals'!AD27&gt;0,ROUND('Hours Per Job'!AD27*'Total Cost for Plan'!$B$36*ROUNDDOWN($B$1/'Scheduled Intervals'!AD27,0),2),0)</f>
        <v>0</v>
      </c>
      <c r="AE64" s="246">
        <f>IF('Scheduled Intervals'!AE27&gt;0,ROUND('Hours Per Job'!AE27*'Total Cost for Plan'!$B$36*ROUNDDOWN($B$1/'Scheduled Intervals'!AE27,0),2),0)</f>
        <v>0</v>
      </c>
      <c r="AF64" s="246">
        <f>IF('Scheduled Intervals'!AF27&gt;0,ROUND('Hours Per Job'!AF27*'Total Cost for Plan'!$B$36*ROUNDDOWN($B$1/'Scheduled Intervals'!AF27,0),2),0)</f>
        <v>0</v>
      </c>
      <c r="AG64" s="246">
        <f>IF('Scheduled Intervals'!AG27&gt;0,ROUND('Hours Per Job'!AG27*'Total Cost for Plan'!$B$36*ROUNDDOWN($B$1/'Scheduled Intervals'!AG27,0),2),0)</f>
        <v>0</v>
      </c>
      <c r="AH64" s="246">
        <f>IF('Scheduled Intervals'!AH27&gt;0,ROUND('Hours Per Job'!AH27*'Total Cost for Plan'!$B$36*ROUNDDOWN($B$1/'Scheduled Intervals'!AH27,0),2),0)</f>
        <v>0</v>
      </c>
      <c r="AI64" s="246">
        <f>IF('Scheduled Intervals'!AI27&gt;0,ROUND('Hours Per Job'!AI27*'Total Cost for Plan'!$B$36*ROUNDDOWN($B$1/'Scheduled Intervals'!AI27,0),2),0)</f>
        <v>0</v>
      </c>
      <c r="AJ64" s="246">
        <f>IF('Scheduled Intervals'!AJ27&gt;0,ROUND('Hours Per Job'!AJ27*'Total Cost for Plan'!$B$36*ROUNDDOWN($B$1/'Scheduled Intervals'!AJ27,0),2),0)</f>
        <v>0</v>
      </c>
      <c r="AK64" s="246">
        <f>IF('Scheduled Intervals'!AK27&gt;0,ROUND('Hours Per Job'!AK27*'Total Cost for Plan'!$B$36*ROUNDDOWN($B$1/'Scheduled Intervals'!AK27,0),2),0)</f>
        <v>0</v>
      </c>
      <c r="AL64" s="246">
        <f>IF('Scheduled Intervals'!AL27&gt;0,ROUND('Hours Per Job'!AL27*'Total Cost for Plan'!$B$36*ROUNDDOWN($B$1/'Scheduled Intervals'!AL27,0),2),0)</f>
        <v>0</v>
      </c>
      <c r="AM64" s="246">
        <f>IF('Scheduled Intervals'!AM27&gt;0,ROUND('Hours Per Job'!AM27*'Total Cost for Plan'!$B$36*ROUNDDOWN($B$1/'Scheduled Intervals'!AM27,0),2),0)</f>
        <v>0</v>
      </c>
      <c r="AN64" s="246">
        <f>IF('Scheduled Intervals'!AN27&gt;0,ROUND('Hours Per Job'!AN27*'Total Cost for Plan'!$B$36*ROUNDDOWN($B$1/'Scheduled Intervals'!AN27,0),2),0)</f>
        <v>0</v>
      </c>
      <c r="AO64" s="246">
        <f>IF('Scheduled Intervals'!AO27&gt;0,ROUND('Hours Per Job'!AO27*'Total Cost for Plan'!$B$36*ROUNDDOWN($B$1/'Scheduled Intervals'!AO27,0),2),0)</f>
        <v>0</v>
      </c>
      <c r="AP64" s="246">
        <f>IF('Scheduled Intervals'!AP27&gt;0,ROUND('Hours Per Job'!AP27*'Total Cost for Plan'!$B$36*ROUNDDOWN($B$1/'Scheduled Intervals'!AP27,0),2),0)</f>
        <v>0</v>
      </c>
      <c r="AQ64" s="246">
        <f>IF('Scheduled Intervals'!AQ27&gt;0,ROUND('Hours Per Job'!AQ27*'Total Cost for Plan'!$B$36*ROUNDDOWN($B$1/'Scheduled Intervals'!AQ27,0),2),0)</f>
        <v>0</v>
      </c>
      <c r="AR64" s="246">
        <f>IF('Scheduled Intervals'!AR27&gt;0,ROUND('Hours Per Job'!AR27*'Total Cost for Plan'!$B$36*ROUNDDOWN($B$1/'Scheduled Intervals'!AR27,0),2),0)</f>
        <v>0</v>
      </c>
      <c r="AS64" s="246">
        <f>IF('Scheduled Intervals'!AS27&gt;0,ROUND('Hours Per Job'!AS27*'Total Cost for Plan'!$B$36*ROUNDDOWN($B$1/'Scheduled Intervals'!AS27,0),2),0)</f>
        <v>0</v>
      </c>
      <c r="AT64" s="246">
        <f>IF('Scheduled Intervals'!AT27&gt;0,ROUND('Hours Per Job'!AT27*'Total Cost for Plan'!$B$36*ROUNDDOWN($B$1/'Scheduled Intervals'!AT27,0),2),0)</f>
        <v>0</v>
      </c>
      <c r="AU64" s="246">
        <f>IF('Scheduled Intervals'!AU27&gt;0,ROUND('Hours Per Job'!AU27*'Total Cost for Plan'!$B$36*ROUNDDOWN($B$1/'Scheduled Intervals'!AU27,0),2),0)</f>
        <v>0</v>
      </c>
      <c r="AV64" s="246">
        <f>IF('Scheduled Intervals'!AV27&gt;0,ROUND('Hours Per Job'!AV27*'Total Cost for Plan'!$B$36*ROUNDDOWN($B$1/'Scheduled Intervals'!AV27,0),2),0)</f>
        <v>0</v>
      </c>
      <c r="AW64" s="246">
        <f>IF('Scheduled Intervals'!AW27&gt;0,ROUND('Hours Per Job'!AW27*'Total Cost for Plan'!$B$36*ROUNDDOWN($B$1/'Scheduled Intervals'!AW27,0),2),0)</f>
        <v>0</v>
      </c>
      <c r="AX64" s="246">
        <f>IF('Scheduled Intervals'!AX27&gt;0,ROUND('Hours Per Job'!AX27*'Total Cost for Plan'!$B$36*ROUNDDOWN($B$1/'Scheduled Intervals'!AX27,0),2),0)</f>
        <v>0</v>
      </c>
      <c r="AY64" s="246">
        <f>IF('Scheduled Intervals'!AY27&gt;0,ROUND('Hours Per Job'!AY27*'Total Cost for Plan'!$B$36*ROUNDDOWN($B$1/'Scheduled Intervals'!AY27,0),2),0)</f>
        <v>0</v>
      </c>
      <c r="AZ64" s="246">
        <f>IF('Scheduled Intervals'!AZ27&gt;0,ROUND('Hours Per Job'!AZ27*'Total Cost for Plan'!$B$36*ROUNDDOWN($B$1/'Scheduled Intervals'!AZ27,0),2),0)</f>
        <v>0</v>
      </c>
      <c r="BA64" s="246">
        <f>IF('Scheduled Intervals'!BA27&gt;0,ROUND('Hours Per Job'!BA27*'Total Cost for Plan'!$B$36*ROUNDDOWN($B$1/'Scheduled Intervals'!BA27,0),2),0)</f>
        <v>0</v>
      </c>
      <c r="BB64" s="246">
        <f>IF('Scheduled Intervals'!BB27&gt;0,ROUND('Hours Per Job'!BB27*'Total Cost for Plan'!$B$36*ROUNDDOWN($B$1/'Scheduled Intervals'!BB27,0),2),0)</f>
        <v>0</v>
      </c>
      <c r="BC64" s="246">
        <f>IF('Scheduled Intervals'!BC27&gt;0,ROUND('Hours Per Job'!BC27*'Total Cost for Plan'!$B$36*ROUNDDOWN($B$1/'Scheduled Intervals'!BC27,0),2),0)</f>
        <v>0</v>
      </c>
      <c r="BD64" s="246">
        <f>IF('Scheduled Intervals'!BD27&gt;0,ROUND('Hours Per Job'!BD27*'Total Cost for Plan'!$B$36*ROUNDDOWN($B$1/'Scheduled Intervals'!BD27,0),2),0)</f>
        <v>0</v>
      </c>
      <c r="BE64" s="246">
        <f>IF('Scheduled Intervals'!BE27&gt;0,ROUND('Hours Per Job'!BE27*'Total Cost for Plan'!$B$36*ROUNDDOWN($B$1/'Scheduled Intervals'!BE27,0),2),0)</f>
        <v>0</v>
      </c>
      <c r="BF64" s="246">
        <f>IF('Scheduled Intervals'!BF27&gt;0,ROUND('Hours Per Job'!BF27*'Total Cost for Plan'!$B$36*ROUNDDOWN($B$1/'Scheduled Intervals'!BF27,0),2),0)</f>
        <v>0</v>
      </c>
      <c r="BG64" s="246">
        <f>IF('Scheduled Intervals'!BG27&gt;0,ROUND('Hours Per Job'!BG27*'Total Cost for Plan'!$B$36*ROUNDDOWN($B$1/'Scheduled Intervals'!BG27,0),2),0)</f>
        <v>0</v>
      </c>
      <c r="BH64" s="246">
        <f>IF('Scheduled Intervals'!BH27&gt;0,ROUND('Hours Per Job'!BH27*'Total Cost for Plan'!$B$36*ROUNDDOWN($B$1/'Scheduled Intervals'!BH27,0),2),0)</f>
        <v>0</v>
      </c>
      <c r="BI64" s="246">
        <f>IF('Scheduled Intervals'!BI27&gt;0,ROUND('Hours Per Job'!BI27*'Total Cost for Plan'!$B$36*ROUNDDOWN($B$1/'Scheduled Intervals'!BI27,0),2),0)</f>
        <v>0</v>
      </c>
      <c r="BJ64" s="246">
        <f>IF('Scheduled Intervals'!BJ27&gt;0,ROUND('Hours Per Job'!BJ27*'Total Cost for Plan'!$B$36*ROUNDDOWN($B$1/'Scheduled Intervals'!BJ27,0),2),0)</f>
        <v>0</v>
      </c>
      <c r="BK64" s="246">
        <f>IF('Scheduled Intervals'!BK27&gt;0,ROUND('Hours Per Job'!BK27*'Total Cost for Plan'!$B$36*ROUNDDOWN($B$1/'Scheduled Intervals'!BK27,0),2),0)</f>
        <v>0</v>
      </c>
      <c r="BL64" s="246">
        <f>IF('Scheduled Intervals'!BL27&gt;0,ROUND('Hours Per Job'!BL27*'Total Cost for Plan'!$B$36*ROUNDDOWN($B$1/'Scheduled Intervals'!BL27,0),2),0)</f>
        <v>0</v>
      </c>
      <c r="BM64" s="246">
        <f>IF('Scheduled Intervals'!BM27&gt;0,ROUND('Hours Per Job'!BM27*'Total Cost for Plan'!$B$36*ROUNDDOWN($B$1/'Scheduled Intervals'!BM27,0),2),0)</f>
        <v>0</v>
      </c>
      <c r="BN64" s="246">
        <f>IF(AND('Scheduled Intervals'!BN$4="annual",'Plan Summary'!$C$5&lt;'Scheduled Intervals'!$U27*('Plan Summary'!$C$9/12)),ROUND('Hours Per Job'!BN27*'Total Cost for Plan'!$B$36*ROUND('Plan Summary'!$C$9/12,0),2),0)</f>
        <v>420</v>
      </c>
      <c r="BO64" s="246">
        <f>IF(AND('Scheduled Intervals'!BO$4="annual",'Plan Summary'!$C$5&lt;'Scheduled Intervals'!$U27*('Plan Summary'!$C$9/12)),ROUND('Hours Per Job'!BO27*'Total Cost for Plan'!$B$36*ROUND('Plan Summary'!$C$9/12,0),2),0)</f>
        <v>300</v>
      </c>
      <c r="BP64" s="246">
        <f>IF(AND('Scheduled Intervals'!BP$4="annual",'Plan Summary'!$C$5&lt;'Scheduled Intervals'!$U27*('Plan Summary'!$C$9/12)),ROUND('Hours Per Job'!BP27*'Total Cost for Plan'!$B$36*ROUND('Plan Summary'!$C$9/12,0),2),0)</f>
        <v>630</v>
      </c>
      <c r="BQ64" s="246">
        <f t="shared" si="2"/>
        <v>1656</v>
      </c>
      <c r="BR64" s="246"/>
    </row>
    <row r="65" spans="1:70" ht="16" x14ac:dyDescent="0.2">
      <c r="A65" s="18" t="str">
        <f>+'Scheduled Intervals'!A28</f>
        <v>Sany SY up to 215</v>
      </c>
      <c r="B65" s="246">
        <f>ROUND(('Hours Per Job'!B28*$B$36),2)</f>
        <v>84</v>
      </c>
      <c r="C65" s="246">
        <f>ROUND(('Hours Per Job'!C28*$B$36),2)</f>
        <v>0</v>
      </c>
      <c r="D65" s="246">
        <f>ROUND(('Hours Per Job'!D28*$B$36),2)</f>
        <v>12</v>
      </c>
      <c r="E65" s="246">
        <f>ROUND(('Hours Per Job'!E28*$B$36),2)</f>
        <v>0</v>
      </c>
      <c r="F65" s="246">
        <f>ROUND(('Hours Per Job'!F28*$B$36),2)</f>
        <v>0</v>
      </c>
      <c r="G65" s="246">
        <f>ROUND(('Hours Per Job'!G28*$B$36),2)</f>
        <v>0</v>
      </c>
      <c r="H65" s="246">
        <f>ROUND(('Hours Per Job'!H28*$B$36),2)</f>
        <v>84</v>
      </c>
      <c r="I65" s="246">
        <f>ROUND(('Hours Per Job'!I28*$B$36),2)</f>
        <v>30</v>
      </c>
      <c r="J65" s="246">
        <f>ROUND(('Hours Per Job'!J28*$B$36),2)</f>
        <v>0</v>
      </c>
      <c r="K65" s="246">
        <f>ROUND(('Hours Per Job'!K28*$B$36),2)</f>
        <v>0</v>
      </c>
      <c r="L65" s="246">
        <f>ROUND(('Hours Per Job'!L28*$B$36),2)</f>
        <v>0</v>
      </c>
      <c r="M65" s="246">
        <f>ROUND(('Hours Per Job'!M28*$B$36),2)</f>
        <v>0</v>
      </c>
      <c r="N65" s="246">
        <f>ROUND(('Hours Per Job'!N28*$B$36),2)</f>
        <v>0</v>
      </c>
      <c r="O65" s="246">
        <f>ROUND(('Hours Per Job'!O28*$B$36),2)</f>
        <v>0</v>
      </c>
      <c r="P65" s="246">
        <f>ROUND(('Hours Per Job'!P28*$B$36),2)</f>
        <v>0</v>
      </c>
      <c r="Q65" s="246">
        <f>ROUND(('Hours Per Job'!Q28*$B$36),2)</f>
        <v>60</v>
      </c>
      <c r="R65" s="246">
        <f>ROUND(('Hours Per Job'!R28*$B$36),2)</f>
        <v>120</v>
      </c>
      <c r="S65" s="246">
        <f>ROUND(('Hours Per Job'!S28*$B$36),2)</f>
        <v>0</v>
      </c>
      <c r="T65" s="246">
        <f>ROUND(('Hours Per Job'!T28*$B$36),2)</f>
        <v>0</v>
      </c>
      <c r="U65" s="246">
        <f>IF('Scheduled Intervals'!U28&gt;0,ROUND('Hours Per Job'!U28*'Total Cost for Plan'!$B$36*ROUNDDOWN($B$1/'Scheduled Intervals'!U28,0),2),0)</f>
        <v>0</v>
      </c>
      <c r="V65" s="246">
        <f>IF('Scheduled Intervals'!V28&gt;0,ROUND('Hours Per Job'!V28*'Total Cost for Plan'!$B$36*ROUNDDOWN($B$1/'Scheduled Intervals'!V28,0),2),0)</f>
        <v>0</v>
      </c>
      <c r="W65" s="246">
        <f>IF('Scheduled Intervals'!W28&gt;0,ROUND('Hours Per Job'!W28*'Total Cost for Plan'!$B$36*ROUNDDOWN($B$1/'Scheduled Intervals'!W28,0),2),0)</f>
        <v>0</v>
      </c>
      <c r="X65" s="246">
        <f>IF('Scheduled Intervals'!X28&gt;0,ROUND('Hours Per Job'!X28*'Total Cost for Plan'!$B$36*ROUNDDOWN($B$1/'Scheduled Intervals'!X28,0),2),0)</f>
        <v>0</v>
      </c>
      <c r="Y65" s="246">
        <f>IF('Scheduled Intervals'!Y28&gt;0,ROUND('Hours Per Job'!Y28*'Total Cost for Plan'!$B$36*ROUNDDOWN($B$1/'Scheduled Intervals'!Y28,0),2),0)</f>
        <v>0</v>
      </c>
      <c r="Z65" s="246">
        <f>IF('Scheduled Intervals'!Z28&gt;0,ROUND('Hours Per Job'!Z28*'Total Cost for Plan'!$B$36*ROUNDDOWN($B$1/'Scheduled Intervals'!Z28,0),2),0)</f>
        <v>0</v>
      </c>
      <c r="AA65" s="246">
        <f>IF('Scheduled Intervals'!AA28&gt;0,ROUND('Hours Per Job'!AA28*'Total Cost for Plan'!$B$36*ROUNDDOWN($B$1/'Scheduled Intervals'!AA28,0),2),0)</f>
        <v>0</v>
      </c>
      <c r="AB65" s="246">
        <f>IF('Scheduled Intervals'!AB28&gt;0,ROUND('Hours Per Job'!AB28*'Total Cost for Plan'!$B$36*ROUNDDOWN($B$1/'Scheduled Intervals'!AB28,0),2),0)</f>
        <v>0</v>
      </c>
      <c r="AC65" s="246">
        <f>IF('Scheduled Intervals'!AC28&gt;0,ROUND('Hours Per Job'!AC28*'Total Cost for Plan'!$B$36*ROUNDDOWN($B$1/'Scheduled Intervals'!AC28,0),2),0)</f>
        <v>0</v>
      </c>
      <c r="AD65" s="246">
        <f>IF('Scheduled Intervals'!AD28&gt;0,ROUND('Hours Per Job'!AD28*'Total Cost for Plan'!$B$36*ROUNDDOWN($B$1/'Scheduled Intervals'!AD28,0),2),0)</f>
        <v>0</v>
      </c>
      <c r="AE65" s="246">
        <f>IF('Scheduled Intervals'!AE28&gt;0,ROUND('Hours Per Job'!AE28*'Total Cost for Plan'!$B$36*ROUNDDOWN($B$1/'Scheduled Intervals'!AE28,0),2),0)</f>
        <v>0</v>
      </c>
      <c r="AF65" s="246">
        <f>IF('Scheduled Intervals'!AF28&gt;0,ROUND('Hours Per Job'!AF28*'Total Cost for Plan'!$B$36*ROUNDDOWN($B$1/'Scheduled Intervals'!AF28,0),2),0)</f>
        <v>0</v>
      </c>
      <c r="AG65" s="246">
        <f>IF('Scheduled Intervals'!AG28&gt;0,ROUND('Hours Per Job'!AG28*'Total Cost for Plan'!$B$36*ROUNDDOWN($B$1/'Scheduled Intervals'!AG28,0),2),0)</f>
        <v>0</v>
      </c>
      <c r="AH65" s="246">
        <f>IF('Scheduled Intervals'!AH28&gt;0,ROUND('Hours Per Job'!AH28*'Total Cost for Plan'!$B$36*ROUNDDOWN($B$1/'Scheduled Intervals'!AH28,0),2),0)</f>
        <v>0</v>
      </c>
      <c r="AI65" s="246">
        <f>IF('Scheduled Intervals'!AI28&gt;0,ROUND('Hours Per Job'!AI28*'Total Cost for Plan'!$B$36*ROUNDDOWN($B$1/'Scheduled Intervals'!AI28,0),2),0)</f>
        <v>0</v>
      </c>
      <c r="AJ65" s="246">
        <f>IF('Scheduled Intervals'!AJ28&gt;0,ROUND('Hours Per Job'!AJ28*'Total Cost for Plan'!$B$36*ROUNDDOWN($B$1/'Scheduled Intervals'!AJ28,0),2),0)</f>
        <v>0</v>
      </c>
      <c r="AK65" s="246">
        <f>IF('Scheduled Intervals'!AK28&gt;0,ROUND('Hours Per Job'!AK28*'Total Cost for Plan'!$B$36*ROUNDDOWN($B$1/'Scheduled Intervals'!AK28,0),2),0)</f>
        <v>0</v>
      </c>
      <c r="AL65" s="246">
        <f>IF('Scheduled Intervals'!AL28&gt;0,ROUND('Hours Per Job'!AL28*'Total Cost for Plan'!$B$36*ROUNDDOWN($B$1/'Scheduled Intervals'!AL28,0),2),0)</f>
        <v>0</v>
      </c>
      <c r="AM65" s="246">
        <f>IF('Scheduled Intervals'!AM28&gt;0,ROUND('Hours Per Job'!AM28*'Total Cost for Plan'!$B$36*ROUNDDOWN($B$1/'Scheduled Intervals'!AM28,0),2),0)</f>
        <v>0</v>
      </c>
      <c r="AN65" s="246">
        <f>IF('Scheduled Intervals'!AN28&gt;0,ROUND('Hours Per Job'!AN28*'Total Cost for Plan'!$B$36*ROUNDDOWN($B$1/'Scheduled Intervals'!AN28,0),2),0)</f>
        <v>0</v>
      </c>
      <c r="AO65" s="246">
        <f>IF('Scheduled Intervals'!AO28&gt;0,ROUND('Hours Per Job'!AO28*'Total Cost for Plan'!$B$36*ROUNDDOWN($B$1/'Scheduled Intervals'!AO28,0),2),0)</f>
        <v>0</v>
      </c>
      <c r="AP65" s="246">
        <f>IF('Scheduled Intervals'!AP28&gt;0,ROUND('Hours Per Job'!AP28*'Total Cost for Plan'!$B$36*ROUNDDOWN($B$1/'Scheduled Intervals'!AP28,0),2),0)</f>
        <v>0</v>
      </c>
      <c r="AQ65" s="246">
        <f>IF('Scheduled Intervals'!AQ28&gt;0,ROUND('Hours Per Job'!AQ28*'Total Cost for Plan'!$B$36*ROUNDDOWN($B$1/'Scheduled Intervals'!AQ28,0),2),0)</f>
        <v>0</v>
      </c>
      <c r="AR65" s="246">
        <f>IF('Scheduled Intervals'!AR28&gt;0,ROUND('Hours Per Job'!AR28*'Total Cost for Plan'!$B$36*ROUNDDOWN($B$1/'Scheduled Intervals'!AR28,0),2),0)</f>
        <v>0</v>
      </c>
      <c r="AS65" s="246">
        <f>IF('Scheduled Intervals'!AS28&gt;0,ROUND('Hours Per Job'!AS28*'Total Cost for Plan'!$B$36*ROUNDDOWN($B$1/'Scheduled Intervals'!AS28,0),2),0)</f>
        <v>0</v>
      </c>
      <c r="AT65" s="246">
        <f>IF('Scheduled Intervals'!AT28&gt;0,ROUND('Hours Per Job'!AT28*'Total Cost for Plan'!$B$36*ROUNDDOWN($B$1/'Scheduled Intervals'!AT28,0),2),0)</f>
        <v>0</v>
      </c>
      <c r="AU65" s="246">
        <f>IF('Scheduled Intervals'!AU28&gt;0,ROUND('Hours Per Job'!AU28*'Total Cost for Plan'!$B$36*ROUNDDOWN($B$1/'Scheduled Intervals'!AU28,0),2),0)</f>
        <v>0</v>
      </c>
      <c r="AV65" s="246">
        <f>IF('Scheduled Intervals'!AV28&gt;0,ROUND('Hours Per Job'!AV28*'Total Cost for Plan'!$B$36*ROUNDDOWN($B$1/'Scheduled Intervals'!AV28,0),2),0)</f>
        <v>0</v>
      </c>
      <c r="AW65" s="246">
        <f>IF('Scheduled Intervals'!AW28&gt;0,ROUND('Hours Per Job'!AW28*'Total Cost for Plan'!$B$36*ROUNDDOWN($B$1/'Scheduled Intervals'!AW28,0),2),0)</f>
        <v>0</v>
      </c>
      <c r="AX65" s="246">
        <f>IF('Scheduled Intervals'!AX28&gt;0,ROUND('Hours Per Job'!AX28*'Total Cost for Plan'!$B$36*ROUNDDOWN($B$1/'Scheduled Intervals'!AX28,0),2),0)</f>
        <v>0</v>
      </c>
      <c r="AY65" s="246">
        <f>IF('Scheduled Intervals'!AY28&gt;0,ROUND('Hours Per Job'!AY28*'Total Cost for Plan'!$B$36*ROUNDDOWN($B$1/'Scheduled Intervals'!AY28,0),2),0)</f>
        <v>0</v>
      </c>
      <c r="AZ65" s="246">
        <f>IF('Scheduled Intervals'!AZ28&gt;0,ROUND('Hours Per Job'!AZ28*'Total Cost for Plan'!$B$36*ROUNDDOWN($B$1/'Scheduled Intervals'!AZ28,0),2),0)</f>
        <v>0</v>
      </c>
      <c r="BA65" s="246">
        <f>IF('Scheduled Intervals'!BA28&gt;0,ROUND('Hours Per Job'!BA28*'Total Cost for Plan'!$B$36*ROUNDDOWN($B$1/'Scheduled Intervals'!BA28,0),2),0)</f>
        <v>0</v>
      </c>
      <c r="BB65" s="246">
        <f>IF('Scheduled Intervals'!BB28&gt;0,ROUND('Hours Per Job'!BB28*'Total Cost for Plan'!$B$36*ROUNDDOWN($B$1/'Scheduled Intervals'!BB28,0),2),0)</f>
        <v>0</v>
      </c>
      <c r="BC65" s="246">
        <f>IF('Scheduled Intervals'!BC28&gt;0,ROUND('Hours Per Job'!BC28*'Total Cost for Plan'!$B$36*ROUNDDOWN($B$1/'Scheduled Intervals'!BC28,0),2),0)</f>
        <v>0</v>
      </c>
      <c r="BD65" s="246">
        <f>IF('Scheduled Intervals'!BD28&gt;0,ROUND('Hours Per Job'!BD28*'Total Cost for Plan'!$B$36*ROUNDDOWN($B$1/'Scheduled Intervals'!BD28,0),2),0)</f>
        <v>0</v>
      </c>
      <c r="BE65" s="246">
        <f>IF('Scheduled Intervals'!BE28&gt;0,ROUND('Hours Per Job'!BE28*'Total Cost for Plan'!$B$36*ROUNDDOWN($B$1/'Scheduled Intervals'!BE28,0),2),0)</f>
        <v>0</v>
      </c>
      <c r="BF65" s="246">
        <f>IF('Scheduled Intervals'!BF28&gt;0,ROUND('Hours Per Job'!BF28*'Total Cost for Plan'!$B$36*ROUNDDOWN($B$1/'Scheduled Intervals'!BF28,0),2),0)</f>
        <v>0</v>
      </c>
      <c r="BG65" s="246">
        <f>IF('Scheduled Intervals'!BG28&gt;0,ROUND('Hours Per Job'!BG28*'Total Cost for Plan'!$B$36*ROUNDDOWN($B$1/'Scheduled Intervals'!BG28,0),2),0)</f>
        <v>0</v>
      </c>
      <c r="BH65" s="246">
        <f>IF('Scheduled Intervals'!BH28&gt;0,ROUND('Hours Per Job'!BH28*'Total Cost for Plan'!$B$36*ROUNDDOWN($B$1/'Scheduled Intervals'!BH28,0),2),0)</f>
        <v>0</v>
      </c>
      <c r="BI65" s="246">
        <f>IF('Scheduled Intervals'!BI28&gt;0,ROUND('Hours Per Job'!BI28*'Total Cost for Plan'!$B$36*ROUNDDOWN($B$1/'Scheduled Intervals'!BI28,0),2),0)</f>
        <v>0</v>
      </c>
      <c r="BJ65" s="246">
        <f>IF('Scheduled Intervals'!BJ28&gt;0,ROUND('Hours Per Job'!BJ28*'Total Cost for Plan'!$B$36*ROUNDDOWN($B$1/'Scheduled Intervals'!BJ28,0),2),0)</f>
        <v>0</v>
      </c>
      <c r="BK65" s="246">
        <f>IF('Scheduled Intervals'!BK28&gt;0,ROUND('Hours Per Job'!BK28*'Total Cost for Plan'!$B$36*ROUNDDOWN($B$1/'Scheduled Intervals'!BK28,0),2),0)</f>
        <v>0</v>
      </c>
      <c r="BL65" s="246">
        <f>IF('Scheduled Intervals'!BL28&gt;0,ROUND('Hours Per Job'!BL28*'Total Cost for Plan'!$B$36*ROUNDDOWN($B$1/'Scheduled Intervals'!BL28,0),2),0)</f>
        <v>0</v>
      </c>
      <c r="BM65" s="246">
        <f>IF('Scheduled Intervals'!BM28&gt;0,ROUND('Hours Per Job'!BM28*'Total Cost for Plan'!$B$36*ROUNDDOWN($B$1/'Scheduled Intervals'!BM28,0),2),0)</f>
        <v>0</v>
      </c>
      <c r="BN65" s="246">
        <f>IF(AND('Scheduled Intervals'!BN$4="annual",'Plan Summary'!$C$5&lt;'Scheduled Intervals'!$U28*('Plan Summary'!$C$9/12)),ROUND('Hours Per Job'!BN28*'Total Cost for Plan'!$B$36*ROUND('Plan Summary'!$C$9/12,0),2),0)</f>
        <v>420</v>
      </c>
      <c r="BO65" s="246">
        <f>IF(AND('Scheduled Intervals'!BO$4="annual",'Plan Summary'!$C$5&lt;'Scheduled Intervals'!$U28*('Plan Summary'!$C$9/12)),ROUND('Hours Per Job'!BO28*'Total Cost for Plan'!$B$36*ROUND('Plan Summary'!$C$9/12,0),2),0)</f>
        <v>420</v>
      </c>
      <c r="BP65" s="246">
        <f>IF(AND('Scheduled Intervals'!BP$4="annual",'Plan Summary'!$C$5&lt;'Scheduled Intervals'!$U28*('Plan Summary'!$C$9/12)),ROUND('Hours Per Job'!BP28*'Total Cost for Plan'!$B$36*ROUND('Plan Summary'!$C$9/12,0),2),0)</f>
        <v>630</v>
      </c>
      <c r="BQ65" s="246">
        <f t="shared" si="2"/>
        <v>1860</v>
      </c>
      <c r="BR65" s="246"/>
    </row>
    <row r="66" spans="1:70" ht="16" x14ac:dyDescent="0.2">
      <c r="A66" s="18" t="str">
        <f>+'Scheduled Intervals'!A29</f>
        <v>Sany SY up to 500</v>
      </c>
      <c r="B66" s="246">
        <f>ROUND(('Hours Per Job'!B29*$B$36),2)</f>
        <v>120</v>
      </c>
      <c r="C66" s="246">
        <f>ROUND(('Hours Per Job'!C29*$B$36),2)</f>
        <v>0</v>
      </c>
      <c r="D66" s="246">
        <f>ROUND(('Hours Per Job'!D29*$B$36),2)</f>
        <v>12</v>
      </c>
      <c r="E66" s="246">
        <f>ROUND(('Hours Per Job'!E29*$B$36),2)</f>
        <v>0</v>
      </c>
      <c r="F66" s="246">
        <f>ROUND(('Hours Per Job'!F29*$B$36),2)</f>
        <v>0</v>
      </c>
      <c r="G66" s="246">
        <f>ROUND(('Hours Per Job'!G29*$B$36),2)</f>
        <v>0</v>
      </c>
      <c r="H66" s="246">
        <f>ROUND(('Hours Per Job'!H29*$B$36),2)</f>
        <v>84</v>
      </c>
      <c r="I66" s="246">
        <f>ROUND(('Hours Per Job'!I29*$B$36),2)</f>
        <v>30</v>
      </c>
      <c r="J66" s="246">
        <f>ROUND(('Hours Per Job'!J29*$B$36),2)</f>
        <v>0</v>
      </c>
      <c r="K66" s="246">
        <f>ROUND(('Hours Per Job'!K29*$B$36),2)</f>
        <v>0</v>
      </c>
      <c r="L66" s="246">
        <f>ROUND(('Hours Per Job'!L29*$B$36),2)</f>
        <v>0</v>
      </c>
      <c r="M66" s="246">
        <f>ROUND(('Hours Per Job'!M29*$B$36),2)</f>
        <v>0</v>
      </c>
      <c r="N66" s="246">
        <f>ROUND(('Hours Per Job'!N29*$B$36),2)</f>
        <v>0</v>
      </c>
      <c r="O66" s="246">
        <f>ROUND(('Hours Per Job'!O29*$B$36),2)</f>
        <v>0</v>
      </c>
      <c r="P66" s="246">
        <f>ROUND(('Hours Per Job'!P29*$B$36),2)</f>
        <v>0</v>
      </c>
      <c r="Q66" s="246">
        <f>ROUND(('Hours Per Job'!Q29*$B$36),2)</f>
        <v>60</v>
      </c>
      <c r="R66" s="246">
        <f>ROUND(('Hours Per Job'!R29*$B$36),2)</f>
        <v>120</v>
      </c>
      <c r="S66" s="246">
        <f>ROUND(('Hours Per Job'!S29*$B$36),2)</f>
        <v>0</v>
      </c>
      <c r="T66" s="246">
        <f>ROUND(('Hours Per Job'!T29*$B$36),2)</f>
        <v>0</v>
      </c>
      <c r="U66" s="246">
        <f>IF('Scheduled Intervals'!U29&gt;0,ROUND('Hours Per Job'!U29*'Total Cost for Plan'!$B$36*ROUNDDOWN($B$1/'Scheduled Intervals'!U29,0),2),0)</f>
        <v>0</v>
      </c>
      <c r="V66" s="246">
        <f>IF('Scheduled Intervals'!V29&gt;0,ROUND('Hours Per Job'!V29*'Total Cost for Plan'!$B$36*ROUNDDOWN($B$1/'Scheduled Intervals'!V29,0),2),0)</f>
        <v>0</v>
      </c>
      <c r="W66" s="246">
        <f>IF('Scheduled Intervals'!W29&gt;0,ROUND('Hours Per Job'!W29*'Total Cost for Plan'!$B$36*ROUNDDOWN($B$1/'Scheduled Intervals'!W29,0),2),0)</f>
        <v>0</v>
      </c>
      <c r="X66" s="246">
        <f>IF('Scheduled Intervals'!X29&gt;0,ROUND('Hours Per Job'!X29*'Total Cost for Plan'!$B$36*ROUNDDOWN($B$1/'Scheduled Intervals'!X29,0),2),0)</f>
        <v>0</v>
      </c>
      <c r="Y66" s="246">
        <f>IF('Scheduled Intervals'!Y29&gt;0,ROUND('Hours Per Job'!Y29*'Total Cost for Plan'!$B$36*ROUNDDOWN($B$1/'Scheduled Intervals'!Y29,0),2),0)</f>
        <v>0</v>
      </c>
      <c r="Z66" s="246">
        <f>IF('Scheduled Intervals'!Z29&gt;0,ROUND('Hours Per Job'!Z29*'Total Cost for Plan'!$B$36*ROUNDDOWN($B$1/'Scheduled Intervals'!Z29,0),2),0)</f>
        <v>0</v>
      </c>
      <c r="AA66" s="246">
        <f>IF('Scheduled Intervals'!AA29&gt;0,ROUND('Hours Per Job'!AA29*'Total Cost for Plan'!$B$36*ROUNDDOWN($B$1/'Scheduled Intervals'!AA29,0),2),0)</f>
        <v>0</v>
      </c>
      <c r="AB66" s="246">
        <f>IF('Scheduled Intervals'!AB29&gt;0,ROUND('Hours Per Job'!AB29*'Total Cost for Plan'!$B$36*ROUNDDOWN($B$1/'Scheduled Intervals'!AB29,0),2),0)</f>
        <v>0</v>
      </c>
      <c r="AC66" s="246">
        <f>IF('Scheduled Intervals'!AC29&gt;0,ROUND('Hours Per Job'!AC29*'Total Cost for Plan'!$B$36*ROUNDDOWN($B$1/'Scheduled Intervals'!AC29,0),2),0)</f>
        <v>0</v>
      </c>
      <c r="AD66" s="246">
        <f>IF('Scheduled Intervals'!AD29&gt;0,ROUND('Hours Per Job'!AD29*'Total Cost for Plan'!$B$36*ROUNDDOWN($B$1/'Scheduled Intervals'!AD29,0),2),0)</f>
        <v>0</v>
      </c>
      <c r="AE66" s="246">
        <f>IF('Scheduled Intervals'!AE29&gt;0,ROUND('Hours Per Job'!AE29*'Total Cost for Plan'!$B$36*ROUNDDOWN($B$1/'Scheduled Intervals'!AE29,0),2),0)</f>
        <v>0</v>
      </c>
      <c r="AF66" s="246">
        <f>IF('Scheduled Intervals'!AF29&gt;0,ROUND('Hours Per Job'!AF29*'Total Cost for Plan'!$B$36*ROUNDDOWN($B$1/'Scheduled Intervals'!AF29,0),2),0)</f>
        <v>0</v>
      </c>
      <c r="AG66" s="246">
        <f>IF('Scheduled Intervals'!AG29&gt;0,ROUND('Hours Per Job'!AG29*'Total Cost for Plan'!$B$36*ROUNDDOWN($B$1/'Scheduled Intervals'!AG29,0),2),0)</f>
        <v>0</v>
      </c>
      <c r="AH66" s="246">
        <f>IF('Scheduled Intervals'!AH29&gt;0,ROUND('Hours Per Job'!AH29*'Total Cost for Plan'!$B$36*ROUNDDOWN($B$1/'Scheduled Intervals'!AH29,0),2),0)</f>
        <v>0</v>
      </c>
      <c r="AI66" s="246">
        <f>IF('Scheduled Intervals'!AI29&gt;0,ROUND('Hours Per Job'!AI29*'Total Cost for Plan'!$B$36*ROUNDDOWN($B$1/'Scheduled Intervals'!AI29,0),2),0)</f>
        <v>0</v>
      </c>
      <c r="AJ66" s="246">
        <f>IF('Scheduled Intervals'!AJ29&gt;0,ROUND('Hours Per Job'!AJ29*'Total Cost for Plan'!$B$36*ROUNDDOWN($B$1/'Scheduled Intervals'!AJ29,0),2),0)</f>
        <v>0</v>
      </c>
      <c r="AK66" s="246">
        <f>IF('Scheduled Intervals'!AK29&gt;0,ROUND('Hours Per Job'!AK29*'Total Cost for Plan'!$B$36*ROUNDDOWN($B$1/'Scheduled Intervals'!AK29,0),2),0)</f>
        <v>0</v>
      </c>
      <c r="AL66" s="246">
        <f>IF('Scheduled Intervals'!AL29&gt;0,ROUND('Hours Per Job'!AL29*'Total Cost for Plan'!$B$36*ROUNDDOWN($B$1/'Scheduled Intervals'!AL29,0),2),0)</f>
        <v>0</v>
      </c>
      <c r="AM66" s="246">
        <f>IF('Scheduled Intervals'!AM29&gt;0,ROUND('Hours Per Job'!AM29*'Total Cost for Plan'!$B$36*ROUNDDOWN($B$1/'Scheduled Intervals'!AM29,0),2),0)</f>
        <v>0</v>
      </c>
      <c r="AN66" s="246">
        <f>IF('Scheduled Intervals'!AN29&gt;0,ROUND('Hours Per Job'!AN29*'Total Cost for Plan'!$B$36*ROUNDDOWN($B$1/'Scheduled Intervals'!AN29,0),2),0)</f>
        <v>0</v>
      </c>
      <c r="AO66" s="246">
        <f>IF('Scheduled Intervals'!AO29&gt;0,ROUND('Hours Per Job'!AO29*'Total Cost for Plan'!$B$36*ROUNDDOWN($B$1/'Scheduled Intervals'!AO29,0),2),0)</f>
        <v>0</v>
      </c>
      <c r="AP66" s="246">
        <f>IF('Scheduled Intervals'!AP29&gt;0,ROUND('Hours Per Job'!AP29*'Total Cost for Plan'!$B$36*ROUNDDOWN($B$1/'Scheduled Intervals'!AP29,0),2),0)</f>
        <v>0</v>
      </c>
      <c r="AQ66" s="246">
        <f>IF('Scheduled Intervals'!AQ29&gt;0,ROUND('Hours Per Job'!AQ29*'Total Cost for Plan'!$B$36*ROUNDDOWN($B$1/'Scheduled Intervals'!AQ29,0),2),0)</f>
        <v>0</v>
      </c>
      <c r="AR66" s="246">
        <f>IF('Scheduled Intervals'!AR29&gt;0,ROUND('Hours Per Job'!AR29*'Total Cost for Plan'!$B$36*ROUNDDOWN($B$1/'Scheduled Intervals'!AR29,0),2),0)</f>
        <v>0</v>
      </c>
      <c r="AS66" s="246">
        <f>IF('Scheduled Intervals'!AS29&gt;0,ROUND('Hours Per Job'!AS29*'Total Cost for Plan'!$B$36*ROUNDDOWN($B$1/'Scheduled Intervals'!AS29,0),2),0)</f>
        <v>0</v>
      </c>
      <c r="AT66" s="246">
        <f>IF('Scheduled Intervals'!AT29&gt;0,ROUND('Hours Per Job'!AT29*'Total Cost for Plan'!$B$36*ROUNDDOWN($B$1/'Scheduled Intervals'!AT29,0),2),0)</f>
        <v>0</v>
      </c>
      <c r="AU66" s="246">
        <f>IF('Scheduled Intervals'!AU29&gt;0,ROUND('Hours Per Job'!AU29*'Total Cost for Plan'!$B$36*ROUNDDOWN($B$1/'Scheduled Intervals'!AU29,0),2),0)</f>
        <v>0</v>
      </c>
      <c r="AV66" s="246">
        <f>IF('Scheduled Intervals'!AV29&gt;0,ROUND('Hours Per Job'!AV29*'Total Cost for Plan'!$B$36*ROUNDDOWN($B$1/'Scheduled Intervals'!AV29,0),2),0)</f>
        <v>0</v>
      </c>
      <c r="AW66" s="246">
        <f>IF('Scheduled Intervals'!AW29&gt;0,ROUND('Hours Per Job'!AW29*'Total Cost for Plan'!$B$36*ROUNDDOWN($B$1/'Scheduled Intervals'!AW29,0),2),0)</f>
        <v>0</v>
      </c>
      <c r="AX66" s="246">
        <f>IF('Scheduled Intervals'!AX29&gt;0,ROUND('Hours Per Job'!AX29*'Total Cost for Plan'!$B$36*ROUNDDOWN($B$1/'Scheduled Intervals'!AX29,0),2),0)</f>
        <v>0</v>
      </c>
      <c r="AY66" s="246">
        <f>IF('Scheduled Intervals'!AY29&gt;0,ROUND('Hours Per Job'!AY29*'Total Cost for Plan'!$B$36*ROUNDDOWN($B$1/'Scheduled Intervals'!AY29,0),2),0)</f>
        <v>0</v>
      </c>
      <c r="AZ66" s="246">
        <f>IF('Scheduled Intervals'!AZ29&gt;0,ROUND('Hours Per Job'!AZ29*'Total Cost for Plan'!$B$36*ROUNDDOWN($B$1/'Scheduled Intervals'!AZ29,0),2),0)</f>
        <v>0</v>
      </c>
      <c r="BA66" s="246">
        <f>IF('Scheduled Intervals'!BA29&gt;0,ROUND('Hours Per Job'!BA29*'Total Cost for Plan'!$B$36*ROUNDDOWN($B$1/'Scheduled Intervals'!BA29,0),2),0)</f>
        <v>0</v>
      </c>
      <c r="BB66" s="246">
        <f>IF('Scheduled Intervals'!BB29&gt;0,ROUND('Hours Per Job'!BB29*'Total Cost for Plan'!$B$36*ROUNDDOWN($B$1/'Scheduled Intervals'!BB29,0),2),0)</f>
        <v>0</v>
      </c>
      <c r="BC66" s="246">
        <f>IF('Scheduled Intervals'!BC29&gt;0,ROUND('Hours Per Job'!BC29*'Total Cost for Plan'!$B$36*ROUNDDOWN($B$1/'Scheduled Intervals'!BC29,0),2),0)</f>
        <v>0</v>
      </c>
      <c r="BD66" s="246">
        <f>IF('Scheduled Intervals'!BD29&gt;0,ROUND('Hours Per Job'!BD29*'Total Cost for Plan'!$B$36*ROUNDDOWN($B$1/'Scheduled Intervals'!BD29,0),2),0)</f>
        <v>0</v>
      </c>
      <c r="BE66" s="246">
        <f>IF('Scheduled Intervals'!BE29&gt;0,ROUND('Hours Per Job'!BE29*'Total Cost for Plan'!$B$36*ROUNDDOWN($B$1/'Scheduled Intervals'!BE29,0),2),0)</f>
        <v>0</v>
      </c>
      <c r="BF66" s="246">
        <f>IF('Scheduled Intervals'!BF29&gt;0,ROUND('Hours Per Job'!BF29*'Total Cost for Plan'!$B$36*ROUNDDOWN($B$1/'Scheduled Intervals'!BF29,0),2),0)</f>
        <v>0</v>
      </c>
      <c r="BG66" s="246">
        <f>IF('Scheduled Intervals'!BG29&gt;0,ROUND('Hours Per Job'!BG29*'Total Cost for Plan'!$B$36*ROUNDDOWN($B$1/'Scheduled Intervals'!BG29,0),2),0)</f>
        <v>0</v>
      </c>
      <c r="BH66" s="246">
        <f>IF('Scheduled Intervals'!BH29&gt;0,ROUND('Hours Per Job'!BH29*'Total Cost for Plan'!$B$36*ROUNDDOWN($B$1/'Scheduled Intervals'!BH29,0),2),0)</f>
        <v>0</v>
      </c>
      <c r="BI66" s="246">
        <f>IF('Scheduled Intervals'!BI29&gt;0,ROUND('Hours Per Job'!BI29*'Total Cost for Plan'!$B$36*ROUNDDOWN($B$1/'Scheduled Intervals'!BI29,0),2),0)</f>
        <v>0</v>
      </c>
      <c r="BJ66" s="246">
        <f>IF('Scheduled Intervals'!BJ29&gt;0,ROUND('Hours Per Job'!BJ29*'Total Cost for Plan'!$B$36*ROUNDDOWN($B$1/'Scheduled Intervals'!BJ29,0),2),0)</f>
        <v>0</v>
      </c>
      <c r="BK66" s="246">
        <f>IF('Scheduled Intervals'!BK29&gt;0,ROUND('Hours Per Job'!BK29*'Total Cost for Plan'!$B$36*ROUNDDOWN($B$1/'Scheduled Intervals'!BK29,0),2),0)</f>
        <v>0</v>
      </c>
      <c r="BL66" s="246">
        <f>IF('Scheduled Intervals'!BL29&gt;0,ROUND('Hours Per Job'!BL29*'Total Cost for Plan'!$B$36*ROUNDDOWN($B$1/'Scheduled Intervals'!BL29,0),2),0)</f>
        <v>0</v>
      </c>
      <c r="BM66" s="246">
        <f>IF('Scheduled Intervals'!BM29&gt;0,ROUND('Hours Per Job'!BM29*'Total Cost for Plan'!$B$36*ROUNDDOWN($B$1/'Scheduled Intervals'!BM29,0),2),0)</f>
        <v>0</v>
      </c>
      <c r="BN66" s="246">
        <f>IF(AND('Scheduled Intervals'!BN$4="annual",'Plan Summary'!$C$5&lt;'Scheduled Intervals'!$U29*('Plan Summary'!$C$9/12)),ROUND('Hours Per Job'!BN29*'Total Cost for Plan'!$B$36*ROUND('Plan Summary'!$C$9/12,0),2),0)</f>
        <v>600</v>
      </c>
      <c r="BO66" s="246">
        <f>IF(AND('Scheduled Intervals'!BO$4="annual",'Plan Summary'!$C$5&lt;'Scheduled Intervals'!$U29*('Plan Summary'!$C$9/12)),ROUND('Hours Per Job'!BO29*'Total Cost for Plan'!$B$36*ROUND('Plan Summary'!$C$9/12,0),2),0)</f>
        <v>420</v>
      </c>
      <c r="BP66" s="246">
        <f>IF(AND('Scheduled Intervals'!BP$4="annual",'Plan Summary'!$C$5&lt;'Scheduled Intervals'!$U29*('Plan Summary'!$C$9/12)),ROUND('Hours Per Job'!BP29*'Total Cost for Plan'!$B$36*ROUND('Plan Summary'!$C$9/12,0),2),0)</f>
        <v>630</v>
      </c>
      <c r="BQ66" s="246">
        <f t="shared" si="2"/>
        <v>2076</v>
      </c>
      <c r="BR66" s="246"/>
    </row>
    <row r="67" spans="1:70" ht="16" x14ac:dyDescent="0.2">
      <c r="A67" s="18" t="str">
        <f>+'Scheduled Intervals'!A30</f>
        <v>Sany SW up to 305</v>
      </c>
      <c r="B67" s="246">
        <f>ROUND(('Hours Per Job'!B30*$B$36),2)</f>
        <v>120</v>
      </c>
      <c r="C67" s="246">
        <f>ROUND(('Hours Per Job'!C30*$B$36),2)</f>
        <v>0</v>
      </c>
      <c r="D67" s="246">
        <f>ROUND(('Hours Per Job'!D30*$B$36),2)</f>
        <v>36</v>
      </c>
      <c r="E67" s="246">
        <f>ROUND(('Hours Per Job'!E30*$B$36),2)</f>
        <v>180</v>
      </c>
      <c r="F67" s="246">
        <f>ROUND(('Hours Per Job'!F30*$B$36),2)</f>
        <v>0</v>
      </c>
      <c r="G67" s="246">
        <f>ROUND(('Hours Per Job'!G30*$B$36),2)</f>
        <v>0</v>
      </c>
      <c r="H67" s="246">
        <f>ROUND(('Hours Per Job'!H30*$B$36),2)</f>
        <v>84</v>
      </c>
      <c r="I67" s="246">
        <f>ROUND(('Hours Per Job'!I30*$B$36),2)</f>
        <v>30</v>
      </c>
      <c r="J67" s="246">
        <f>ROUND(('Hours Per Job'!J30*$B$36),2)</f>
        <v>0</v>
      </c>
      <c r="K67" s="246">
        <f>ROUND(('Hours Per Job'!K30*$B$36),2)</f>
        <v>36</v>
      </c>
      <c r="L67" s="246">
        <f>ROUND(('Hours Per Job'!L30*$B$36),2)</f>
        <v>0</v>
      </c>
      <c r="M67" s="246">
        <f>ROUND(('Hours Per Job'!M30*$B$36),2)</f>
        <v>60</v>
      </c>
      <c r="N67" s="246">
        <f>ROUND(('Hours Per Job'!N30*$B$36),2)</f>
        <v>120</v>
      </c>
      <c r="O67" s="246">
        <f>ROUND(('Hours Per Job'!O30*$B$36),2)</f>
        <v>0</v>
      </c>
      <c r="P67" s="246">
        <f>ROUND(('Hours Per Job'!P30*$B$36),2)</f>
        <v>0</v>
      </c>
      <c r="Q67" s="246">
        <f>ROUND(('Hours Per Job'!Q30*$B$36),2)</f>
        <v>0</v>
      </c>
      <c r="R67" s="246">
        <f>ROUND(('Hours Per Job'!R30*$B$36),2)</f>
        <v>0</v>
      </c>
      <c r="S67" s="246">
        <f>ROUND(('Hours Per Job'!S30*$B$36),2)</f>
        <v>0</v>
      </c>
      <c r="T67" s="246">
        <f>ROUND(('Hours Per Job'!T30*$B$36),2)</f>
        <v>0</v>
      </c>
      <c r="U67" s="246">
        <f>IF('Scheduled Intervals'!U30&gt;0,ROUND('Hours Per Job'!U30*'Total Cost for Plan'!$B$36*ROUNDDOWN($B$1/'Scheduled Intervals'!U30,0),2),0)</f>
        <v>120</v>
      </c>
      <c r="V67" s="246">
        <f>IF('Scheduled Intervals'!V30&gt;0,ROUND('Hours Per Job'!V30*'Total Cost for Plan'!$B$36*ROUNDDOWN($B$1/'Scheduled Intervals'!V30,0),2),0)</f>
        <v>0</v>
      </c>
      <c r="W67" s="246">
        <f>IF('Scheduled Intervals'!W30&gt;0,ROUND('Hours Per Job'!W30*'Total Cost for Plan'!$B$36*ROUNDDOWN($B$1/'Scheduled Intervals'!W30,0),2),0)</f>
        <v>0</v>
      </c>
      <c r="X67" s="246">
        <f>IF('Scheduled Intervals'!X30&gt;0,ROUND('Hours Per Job'!X30*'Total Cost for Plan'!$B$36*ROUNDDOWN($B$1/'Scheduled Intervals'!X30,0),2),0)</f>
        <v>0</v>
      </c>
      <c r="Y67" s="246">
        <f>IF('Scheduled Intervals'!Y30&gt;0,ROUND('Hours Per Job'!Y30*'Total Cost for Plan'!$B$36*ROUNDDOWN($B$1/'Scheduled Intervals'!Y30,0),2),0)</f>
        <v>0</v>
      </c>
      <c r="Z67" s="246">
        <f>IF('Scheduled Intervals'!Z30&gt;0,ROUND('Hours Per Job'!Z30*'Total Cost for Plan'!$B$36*ROUNDDOWN($B$1/'Scheduled Intervals'!Z30,0),2),0)</f>
        <v>0</v>
      </c>
      <c r="AA67" s="246">
        <f>IF('Scheduled Intervals'!AA30&gt;0,ROUND('Hours Per Job'!AA30*'Total Cost for Plan'!$B$36*ROUNDDOWN($B$1/'Scheduled Intervals'!AA30,0),2),0)</f>
        <v>0</v>
      </c>
      <c r="AB67" s="246">
        <f>IF('Scheduled Intervals'!AB30&gt;0,ROUND('Hours Per Job'!AB30*'Total Cost for Plan'!$B$36*ROUNDDOWN($B$1/'Scheduled Intervals'!AB30,0),2),0)</f>
        <v>0</v>
      </c>
      <c r="AC67" s="246">
        <f>IF('Scheduled Intervals'!AC30&gt;0,ROUND('Hours Per Job'!AC30*'Total Cost for Plan'!$B$36*ROUNDDOWN($B$1/'Scheduled Intervals'!AC30,0),2),0)</f>
        <v>0</v>
      </c>
      <c r="AD67" s="246">
        <f>IF('Scheduled Intervals'!AD30&gt;0,ROUND('Hours Per Job'!AD30*'Total Cost for Plan'!$B$36*ROUNDDOWN($B$1/'Scheduled Intervals'!AD30,0),2),0)</f>
        <v>0</v>
      </c>
      <c r="AE67" s="246">
        <f>IF('Scheduled Intervals'!AE30&gt;0,ROUND('Hours Per Job'!AE30*'Total Cost for Plan'!$B$36*ROUNDDOWN($B$1/'Scheduled Intervals'!AE30,0),2),0)</f>
        <v>0</v>
      </c>
      <c r="AF67" s="246">
        <f>IF('Scheduled Intervals'!AF30&gt;0,ROUND('Hours Per Job'!AF30*'Total Cost for Plan'!$B$36*ROUNDDOWN($B$1/'Scheduled Intervals'!AF30,0),2),0)</f>
        <v>0</v>
      </c>
      <c r="AG67" s="246">
        <f>IF('Scheduled Intervals'!AG30&gt;0,ROUND('Hours Per Job'!AG30*'Total Cost for Plan'!$B$36*ROUNDDOWN($B$1/'Scheduled Intervals'!AG30,0),2),0)</f>
        <v>0</v>
      </c>
      <c r="AH67" s="246">
        <f>IF('Scheduled Intervals'!AH30&gt;0,ROUND('Hours Per Job'!AH30*'Total Cost for Plan'!$B$36*ROUNDDOWN($B$1/'Scheduled Intervals'!AH30,0),2),0)</f>
        <v>0</v>
      </c>
      <c r="AI67" s="246">
        <f>IF('Scheduled Intervals'!AI30&gt;0,ROUND('Hours Per Job'!AI30*'Total Cost for Plan'!$B$36*ROUNDDOWN($B$1/'Scheduled Intervals'!AI30,0),2),0)</f>
        <v>0</v>
      </c>
      <c r="AJ67" s="246">
        <f>IF('Scheduled Intervals'!AJ30&gt;0,ROUND('Hours Per Job'!AJ30*'Total Cost for Plan'!$B$36*ROUNDDOWN($B$1/'Scheduled Intervals'!AJ30,0),2),0)</f>
        <v>0</v>
      </c>
      <c r="AK67" s="246">
        <f>IF('Scheduled Intervals'!AK30&gt;0,ROUND('Hours Per Job'!AK30*'Total Cost for Plan'!$B$36*ROUNDDOWN($B$1/'Scheduled Intervals'!AK30,0),2),0)</f>
        <v>0</v>
      </c>
      <c r="AL67" s="246">
        <f>IF('Scheduled Intervals'!AL30&gt;0,ROUND('Hours Per Job'!AL30*'Total Cost for Plan'!$B$36*ROUNDDOWN($B$1/'Scheduled Intervals'!AL30,0),2),0)</f>
        <v>0</v>
      </c>
      <c r="AM67" s="246">
        <f>IF('Scheduled Intervals'!AM30&gt;0,ROUND('Hours Per Job'!AM30*'Total Cost for Plan'!$B$36*ROUNDDOWN($B$1/'Scheduled Intervals'!AM30,0),2),0)</f>
        <v>0</v>
      </c>
      <c r="AN67" s="246">
        <f>IF('Scheduled Intervals'!AN30&gt;0,ROUND('Hours Per Job'!AN30*'Total Cost for Plan'!$B$36*ROUNDDOWN($B$1/'Scheduled Intervals'!AN30,0),2),0)</f>
        <v>0</v>
      </c>
      <c r="AO67" s="246">
        <f>IF('Scheduled Intervals'!AO30&gt;0,ROUND('Hours Per Job'!AO30*'Total Cost for Plan'!$B$36*ROUNDDOWN($B$1/'Scheduled Intervals'!AO30,0),2),0)</f>
        <v>0</v>
      </c>
      <c r="AP67" s="246">
        <f>IF('Scheduled Intervals'!AP30&gt;0,ROUND('Hours Per Job'!AP30*'Total Cost for Plan'!$B$36*ROUNDDOWN($B$1/'Scheduled Intervals'!AP30,0),2),0)</f>
        <v>0</v>
      </c>
      <c r="AQ67" s="246">
        <f>IF('Scheduled Intervals'!AQ30&gt;0,ROUND('Hours Per Job'!AQ30*'Total Cost for Plan'!$B$36*ROUNDDOWN($B$1/'Scheduled Intervals'!AQ30,0),2),0)</f>
        <v>0</v>
      </c>
      <c r="AR67" s="246">
        <f>IF('Scheduled Intervals'!AR30&gt;0,ROUND('Hours Per Job'!AR30*'Total Cost for Plan'!$B$36*ROUNDDOWN($B$1/'Scheduled Intervals'!AR30,0),2),0)</f>
        <v>0</v>
      </c>
      <c r="AS67" s="246">
        <f>IF('Scheduled Intervals'!AS30&gt;0,ROUND('Hours Per Job'!AS30*'Total Cost for Plan'!$B$36*ROUNDDOWN($B$1/'Scheduled Intervals'!AS30,0),2),0)</f>
        <v>0</v>
      </c>
      <c r="AT67" s="246">
        <f>IF('Scheduled Intervals'!AT30&gt;0,ROUND('Hours Per Job'!AT30*'Total Cost for Plan'!$B$36*ROUNDDOWN($B$1/'Scheduled Intervals'!AT30,0),2),0)</f>
        <v>84</v>
      </c>
      <c r="AU67" s="246">
        <f>IF('Scheduled Intervals'!AU30&gt;0,ROUND('Hours Per Job'!AU30*'Total Cost for Plan'!$B$36*ROUNDDOWN($B$1/'Scheduled Intervals'!AU30,0),2),0)</f>
        <v>0</v>
      </c>
      <c r="AV67" s="246">
        <f>IF('Scheduled Intervals'!AV30&gt;0,ROUND('Hours Per Job'!AV30*'Total Cost for Plan'!$B$36*ROUNDDOWN($B$1/'Scheduled Intervals'!AV30,0),2),0)</f>
        <v>0</v>
      </c>
      <c r="AW67" s="246">
        <f>IF('Scheduled Intervals'!AW30&gt;0,ROUND('Hours Per Job'!AW30*'Total Cost for Plan'!$B$36*ROUNDDOWN($B$1/'Scheduled Intervals'!AW30,0),2),0)</f>
        <v>0</v>
      </c>
      <c r="AX67" s="246">
        <f>IF('Scheduled Intervals'!AX30&gt;0,ROUND('Hours Per Job'!AX30*'Total Cost for Plan'!$B$36*ROUNDDOWN($B$1/'Scheduled Intervals'!AX30,0),2),0)</f>
        <v>0</v>
      </c>
      <c r="AY67" s="246">
        <f>IF('Scheduled Intervals'!AY30&gt;0,ROUND('Hours Per Job'!AY30*'Total Cost for Plan'!$B$36*ROUNDDOWN($B$1/'Scheduled Intervals'!AY30,0),2),0)</f>
        <v>0</v>
      </c>
      <c r="AZ67" s="246">
        <f>IF('Scheduled Intervals'!AZ30&gt;0,ROUND('Hours Per Job'!AZ30*'Total Cost for Plan'!$B$36*ROUNDDOWN($B$1/'Scheduled Intervals'!AZ30,0),2),0)</f>
        <v>0</v>
      </c>
      <c r="BA67" s="246">
        <f>IF('Scheduled Intervals'!BA30&gt;0,ROUND('Hours Per Job'!BA30*'Total Cost for Plan'!$B$36*ROUNDDOWN($B$1/'Scheduled Intervals'!BA30,0),2),0)</f>
        <v>0</v>
      </c>
      <c r="BB67" s="246">
        <f>IF('Scheduled Intervals'!BB30&gt;0,ROUND('Hours Per Job'!BB30*'Total Cost for Plan'!$B$36*ROUNDDOWN($B$1/'Scheduled Intervals'!BB30,0),2),0)</f>
        <v>0</v>
      </c>
      <c r="BC67" s="246">
        <f>IF('Scheduled Intervals'!BC30&gt;0,ROUND('Hours Per Job'!BC30*'Total Cost for Plan'!$B$36*ROUNDDOWN($B$1/'Scheduled Intervals'!BC30,0),2),0)</f>
        <v>0</v>
      </c>
      <c r="BD67" s="246">
        <f>IF('Scheduled Intervals'!BD30&gt;0,ROUND('Hours Per Job'!BD30*'Total Cost for Plan'!$B$36*ROUNDDOWN($B$1/'Scheduled Intervals'!BD30,0),2),0)</f>
        <v>0</v>
      </c>
      <c r="BE67" s="246">
        <f>IF('Scheduled Intervals'!BE30&gt;0,ROUND('Hours Per Job'!BE30*'Total Cost for Plan'!$B$36*ROUNDDOWN($B$1/'Scheduled Intervals'!BE30,0),2),0)</f>
        <v>0</v>
      </c>
      <c r="BF67" s="246">
        <f>IF('Scheduled Intervals'!BF30&gt;0,ROUND('Hours Per Job'!BF30*'Total Cost for Plan'!$B$36*ROUNDDOWN($B$1/'Scheduled Intervals'!BF30,0),2),0)</f>
        <v>0</v>
      </c>
      <c r="BG67" s="246">
        <f>IF('Scheduled Intervals'!BG30&gt;0,ROUND('Hours Per Job'!BG30*'Total Cost for Plan'!$B$36*ROUNDDOWN($B$1/'Scheduled Intervals'!BG30,0),2),0)</f>
        <v>0</v>
      </c>
      <c r="BH67" s="246">
        <f>IF('Scheduled Intervals'!BH30&gt;0,ROUND('Hours Per Job'!BH30*'Total Cost for Plan'!$B$36*ROUNDDOWN($B$1/'Scheduled Intervals'!BH30,0),2),0)</f>
        <v>0</v>
      </c>
      <c r="BI67" s="246">
        <f>IF('Scheduled Intervals'!BI30&gt;0,ROUND('Hours Per Job'!BI30*'Total Cost for Plan'!$B$36*ROUNDDOWN($B$1/'Scheduled Intervals'!BI30,0),2),0)</f>
        <v>0</v>
      </c>
      <c r="BJ67" s="246">
        <f>IF('Scheduled Intervals'!BJ30&gt;0,ROUND('Hours Per Job'!BJ30*'Total Cost for Plan'!$B$36*ROUNDDOWN($B$1/'Scheduled Intervals'!BJ30,0),2),0)</f>
        <v>30</v>
      </c>
      <c r="BK67" s="246">
        <f>IF('Scheduled Intervals'!BK30&gt;0,ROUND('Hours Per Job'!BK30*'Total Cost for Plan'!$B$36*ROUNDDOWN($B$1/'Scheduled Intervals'!BK30,0),2),0)</f>
        <v>0</v>
      </c>
      <c r="BL67" s="246">
        <f>IF('Scheduled Intervals'!BL30&gt;0,ROUND('Hours Per Job'!BL30*'Total Cost for Plan'!$B$36*ROUNDDOWN($B$1/'Scheduled Intervals'!BL30,0),2),0)</f>
        <v>0</v>
      </c>
      <c r="BM67" s="246">
        <f>IF('Scheduled Intervals'!BM30&gt;0,ROUND('Hours Per Job'!BM30*'Total Cost for Plan'!$B$36*ROUNDDOWN($B$1/'Scheduled Intervals'!BM30,0),2),0)</f>
        <v>0</v>
      </c>
      <c r="BN67" s="246">
        <f>IF(AND('Scheduled Intervals'!BN$4="annual",'Plan Summary'!$C$5&lt;'Scheduled Intervals'!$U30*('Plan Summary'!$C$9/12)),ROUND('Hours Per Job'!BN30*'Total Cost for Plan'!$B$36*ROUND('Plan Summary'!$C$9/12,0),2),0)</f>
        <v>600</v>
      </c>
      <c r="BO67" s="246">
        <f>IF(AND('Scheduled Intervals'!BO$4="annual",'Plan Summary'!$C$5&lt;'Scheduled Intervals'!$U30*('Plan Summary'!$C$9/12)),ROUND('Hours Per Job'!BO30*'Total Cost for Plan'!$B$36*ROUND('Plan Summary'!$C$9/12,0),2),0)</f>
        <v>420</v>
      </c>
      <c r="BP67" s="246">
        <f>IF(AND('Scheduled Intervals'!BP$4="annual",'Plan Summary'!$C$5&lt;'Scheduled Intervals'!$U30*('Plan Summary'!$C$9/12)),ROUND('Hours Per Job'!BP30*'Total Cost for Plan'!$B$36*ROUND('Plan Summary'!$C$9/12,0),2),0)</f>
        <v>630</v>
      </c>
      <c r="BQ67" s="246">
        <f t="shared" si="2"/>
        <v>2550</v>
      </c>
      <c r="BR67" s="246"/>
    </row>
    <row r="68" spans="1:70" ht="16" x14ac:dyDescent="0.2">
      <c r="A68" s="18" t="str">
        <f>+'Scheduled Intervals'!A31</f>
        <v>SCL - DIESEL</v>
      </c>
      <c r="B68" s="246">
        <f>ROUND(('Hours Per Job'!B31*$B$36),2)</f>
        <v>36</v>
      </c>
      <c r="C68" s="246">
        <f>ROUND(('Hours Per Job'!C31*$B$36),2)</f>
        <v>0</v>
      </c>
      <c r="D68" s="246">
        <f>ROUND(('Hours Per Job'!D31*$B$36),2)</f>
        <v>0</v>
      </c>
      <c r="E68" s="246">
        <f>ROUND(('Hours Per Job'!E31*$B$36),2)</f>
        <v>0</v>
      </c>
      <c r="F68" s="246">
        <f>ROUND(('Hours Per Job'!F31*$B$36),2)</f>
        <v>48</v>
      </c>
      <c r="G68" s="246">
        <f>ROUND(('Hours Per Job'!G31*$B$36),2)</f>
        <v>0</v>
      </c>
      <c r="H68" s="246">
        <f>ROUND(('Hours Per Job'!H31*$B$36),2)</f>
        <v>24</v>
      </c>
      <c r="I68" s="246">
        <f>ROUND(('Hours Per Job'!I31*$B$36),2)</f>
        <v>30</v>
      </c>
      <c r="J68" s="246">
        <f>ROUND(('Hours Per Job'!J31*$B$36),2)</f>
        <v>0</v>
      </c>
      <c r="K68" s="246">
        <f>ROUND(('Hours Per Job'!K31*$B$36),2)</f>
        <v>0</v>
      </c>
      <c r="L68" s="246">
        <f>ROUND(('Hours Per Job'!L31*$B$36),2)</f>
        <v>0</v>
      </c>
      <c r="M68" s="246">
        <f>ROUND(('Hours Per Job'!M31*$B$36),2)</f>
        <v>0</v>
      </c>
      <c r="N68" s="246">
        <f>ROUND(('Hours Per Job'!N31*$B$36),2)</f>
        <v>0</v>
      </c>
      <c r="O68" s="246">
        <f>ROUND(('Hours Per Job'!O31*$B$36),2)</f>
        <v>0</v>
      </c>
      <c r="P68" s="246">
        <f>ROUND(('Hours Per Job'!P31*$B$36),2)</f>
        <v>0</v>
      </c>
      <c r="Q68" s="246">
        <f>ROUND(('Hours Per Job'!Q31*$B$36),2)</f>
        <v>0</v>
      </c>
      <c r="R68" s="246">
        <f>ROUND(('Hours Per Job'!R31*$B$36),2)</f>
        <v>0</v>
      </c>
      <c r="S68" s="246">
        <f>ROUND(('Hours Per Job'!S31*$B$36),2)</f>
        <v>0</v>
      </c>
      <c r="T68" s="246">
        <f>ROUND(('Hours Per Job'!T31*$B$36),2)</f>
        <v>0</v>
      </c>
      <c r="U68" s="246">
        <f>IF('Scheduled Intervals'!U31&gt;0,ROUND('Hours Per Job'!U31*'Total Cost for Plan'!$B$36*ROUNDDOWN($B$1/'Scheduled Intervals'!U31,0),2),0)</f>
        <v>36</v>
      </c>
      <c r="V68" s="246">
        <f>IF('Scheduled Intervals'!V31&gt;0,ROUND('Hours Per Job'!V31*'Total Cost for Plan'!$B$36*ROUNDDOWN($B$1/'Scheduled Intervals'!V31,0),2),0)</f>
        <v>0</v>
      </c>
      <c r="W68" s="246">
        <f>IF('Scheduled Intervals'!W31&gt;0,ROUND('Hours Per Job'!W31*'Total Cost for Plan'!$B$36*ROUNDDOWN($B$1/'Scheduled Intervals'!W31,0),2),0)</f>
        <v>0</v>
      </c>
      <c r="X68" s="246">
        <f>IF('Scheduled Intervals'!X31&gt;0,ROUND('Hours Per Job'!X31*'Total Cost for Plan'!$B$36*ROUNDDOWN($B$1/'Scheduled Intervals'!X31,0),2),0)</f>
        <v>0</v>
      </c>
      <c r="Y68" s="246">
        <f>IF('Scheduled Intervals'!Y31&gt;0,ROUND('Hours Per Job'!Y31*'Total Cost for Plan'!$B$36*ROUNDDOWN($B$1/'Scheduled Intervals'!Y31,0),2),0)</f>
        <v>0</v>
      </c>
      <c r="Z68" s="246">
        <f>IF('Scheduled Intervals'!Z31&gt;0,ROUND('Hours Per Job'!Z31*'Total Cost for Plan'!$B$36*ROUNDDOWN($B$1/'Scheduled Intervals'!Z31,0),2),0)</f>
        <v>0</v>
      </c>
      <c r="AA68" s="246">
        <f>IF('Scheduled Intervals'!AA31&gt;0,ROUND('Hours Per Job'!AA31*'Total Cost for Plan'!$B$36*ROUNDDOWN($B$1/'Scheduled Intervals'!AA31,0),2),0)</f>
        <v>0</v>
      </c>
      <c r="AB68" s="246">
        <f>IF('Scheduled Intervals'!AB31&gt;0,ROUND('Hours Per Job'!AB31*'Total Cost for Plan'!$B$36*ROUNDDOWN($B$1/'Scheduled Intervals'!AB31,0),2),0)</f>
        <v>0</v>
      </c>
      <c r="AC68" s="246">
        <f>IF('Scheduled Intervals'!AC31&gt;0,ROUND('Hours Per Job'!AC31*'Total Cost for Plan'!$B$36*ROUNDDOWN($B$1/'Scheduled Intervals'!AC31,0),2),0)</f>
        <v>24</v>
      </c>
      <c r="AD68" s="246">
        <f>IF('Scheduled Intervals'!AD31&gt;0,ROUND('Hours Per Job'!AD31*'Total Cost for Plan'!$B$36*ROUNDDOWN($B$1/'Scheduled Intervals'!AD31,0),2),0)</f>
        <v>0</v>
      </c>
      <c r="AE68" s="246">
        <f>IF('Scheduled Intervals'!AE31&gt;0,ROUND('Hours Per Job'!AE31*'Total Cost for Plan'!$B$36*ROUNDDOWN($B$1/'Scheduled Intervals'!AE31,0),2),0)</f>
        <v>0</v>
      </c>
      <c r="AF68" s="246">
        <f>IF('Scheduled Intervals'!AF31&gt;0,ROUND('Hours Per Job'!AF31*'Total Cost for Plan'!$B$36*ROUNDDOWN($B$1/'Scheduled Intervals'!AF31,0),2),0)</f>
        <v>0</v>
      </c>
      <c r="AG68" s="246">
        <f>IF('Scheduled Intervals'!AG31&gt;0,ROUND('Hours Per Job'!AG31*'Total Cost for Plan'!$B$36*ROUNDDOWN($B$1/'Scheduled Intervals'!AG31,0),2),0)</f>
        <v>0</v>
      </c>
      <c r="AH68" s="246">
        <f>IF('Scheduled Intervals'!AH31&gt;0,ROUND('Hours Per Job'!AH31*'Total Cost for Plan'!$B$36*ROUNDDOWN($B$1/'Scheduled Intervals'!AH31,0),2),0)</f>
        <v>0</v>
      </c>
      <c r="AI68" s="246">
        <f>IF('Scheduled Intervals'!AI31&gt;0,ROUND('Hours Per Job'!AI31*'Total Cost for Plan'!$B$36*ROUNDDOWN($B$1/'Scheduled Intervals'!AI31,0),2),0)</f>
        <v>0</v>
      </c>
      <c r="AJ68" s="246">
        <f>IF('Scheduled Intervals'!AJ31&gt;0,ROUND('Hours Per Job'!AJ31*'Total Cost for Plan'!$B$36*ROUNDDOWN($B$1/'Scheduled Intervals'!AJ31,0),2),0)</f>
        <v>0</v>
      </c>
      <c r="AK68" s="246">
        <f>IF('Scheduled Intervals'!AK31&gt;0,ROUND('Hours Per Job'!AK31*'Total Cost for Plan'!$B$36*ROUNDDOWN($B$1/'Scheduled Intervals'!AK31,0),2),0)</f>
        <v>0</v>
      </c>
      <c r="AL68" s="246">
        <f>IF('Scheduled Intervals'!AL31&gt;0,ROUND('Hours Per Job'!AL31*'Total Cost for Plan'!$B$36*ROUNDDOWN($B$1/'Scheduled Intervals'!AL31,0),2),0)</f>
        <v>0</v>
      </c>
      <c r="AM68" s="246">
        <f>IF('Scheduled Intervals'!AM31&gt;0,ROUND('Hours Per Job'!AM31*'Total Cost for Plan'!$B$36*ROUNDDOWN($B$1/'Scheduled Intervals'!AM31,0),2),0)</f>
        <v>0</v>
      </c>
      <c r="AN68" s="246">
        <f>IF('Scheduled Intervals'!AN31&gt;0,ROUND('Hours Per Job'!AN31*'Total Cost for Plan'!$B$36*ROUNDDOWN($B$1/'Scheduled Intervals'!AN31,0),2),0)</f>
        <v>0</v>
      </c>
      <c r="AO68" s="246">
        <f>IF('Scheduled Intervals'!AO31&gt;0,ROUND('Hours Per Job'!AO31*'Total Cost for Plan'!$B$36*ROUNDDOWN($B$1/'Scheduled Intervals'!AO31,0),2),0)</f>
        <v>0</v>
      </c>
      <c r="AP68" s="246">
        <f>IF('Scheduled Intervals'!AP31&gt;0,ROUND('Hours Per Job'!AP31*'Total Cost for Plan'!$B$36*ROUNDDOWN($B$1/'Scheduled Intervals'!AP31,0),2),0)</f>
        <v>0</v>
      </c>
      <c r="AQ68" s="246">
        <f>IF('Scheduled Intervals'!AQ31&gt;0,ROUND('Hours Per Job'!AQ31*'Total Cost for Plan'!$B$36*ROUNDDOWN($B$1/'Scheduled Intervals'!AQ31,0),2),0)</f>
        <v>0</v>
      </c>
      <c r="AR68" s="246">
        <f>IF('Scheduled Intervals'!AR31&gt;0,ROUND('Hours Per Job'!AR31*'Total Cost for Plan'!$B$36*ROUNDDOWN($B$1/'Scheduled Intervals'!AR31,0),2),0)</f>
        <v>0</v>
      </c>
      <c r="AS68" s="246">
        <f>IF('Scheduled Intervals'!AS31&gt;0,ROUND('Hours Per Job'!AS31*'Total Cost for Plan'!$B$36*ROUNDDOWN($B$1/'Scheduled Intervals'!AS31,0),2),0)</f>
        <v>0</v>
      </c>
      <c r="AT68" s="246">
        <f>IF('Scheduled Intervals'!AT31&gt;0,ROUND('Hours Per Job'!AT31*'Total Cost for Plan'!$B$36*ROUNDDOWN($B$1/'Scheduled Intervals'!AT31,0),2),0)</f>
        <v>24</v>
      </c>
      <c r="AU68" s="246">
        <f>IF('Scheduled Intervals'!AU31&gt;0,ROUND('Hours Per Job'!AU31*'Total Cost for Plan'!$B$36*ROUNDDOWN($B$1/'Scheduled Intervals'!AU31,0),2),0)</f>
        <v>0</v>
      </c>
      <c r="AV68" s="246">
        <f>IF('Scheduled Intervals'!AV31&gt;0,ROUND('Hours Per Job'!AV31*'Total Cost for Plan'!$B$36*ROUNDDOWN($B$1/'Scheduled Intervals'!AV31,0),2),0)</f>
        <v>0</v>
      </c>
      <c r="AW68" s="246">
        <f>IF('Scheduled Intervals'!AW31&gt;0,ROUND('Hours Per Job'!AW31*'Total Cost for Plan'!$B$36*ROUNDDOWN($B$1/'Scheduled Intervals'!AW31,0),2),0)</f>
        <v>0</v>
      </c>
      <c r="AX68" s="246">
        <f>IF('Scheduled Intervals'!AX31&gt;0,ROUND('Hours Per Job'!AX31*'Total Cost for Plan'!$B$36*ROUNDDOWN($B$1/'Scheduled Intervals'!AX31,0),2),0)</f>
        <v>0</v>
      </c>
      <c r="AY68" s="246">
        <f>IF('Scheduled Intervals'!AY31&gt;0,ROUND('Hours Per Job'!AY31*'Total Cost for Plan'!$B$36*ROUNDDOWN($B$1/'Scheduled Intervals'!AY31,0),2),0)</f>
        <v>0</v>
      </c>
      <c r="AZ68" s="246">
        <f>IF('Scheduled Intervals'!AZ31&gt;0,ROUND('Hours Per Job'!AZ31*'Total Cost for Plan'!$B$36*ROUNDDOWN($B$1/'Scheduled Intervals'!AZ31,0),2),0)</f>
        <v>0</v>
      </c>
      <c r="BA68" s="246">
        <f>IF('Scheduled Intervals'!BA31&gt;0,ROUND('Hours Per Job'!BA31*'Total Cost for Plan'!$B$36*ROUNDDOWN($B$1/'Scheduled Intervals'!BA31,0),2),0)</f>
        <v>0</v>
      </c>
      <c r="BB68" s="246">
        <f>IF('Scheduled Intervals'!BB31&gt;0,ROUND('Hours Per Job'!BB31*'Total Cost for Plan'!$B$36*ROUNDDOWN($B$1/'Scheduled Intervals'!BB31,0),2),0)</f>
        <v>0</v>
      </c>
      <c r="BC68" s="246">
        <f>IF('Scheduled Intervals'!BC31&gt;0,ROUND('Hours Per Job'!BC31*'Total Cost for Plan'!$B$36*ROUNDDOWN($B$1/'Scheduled Intervals'!BC31,0),2),0)</f>
        <v>0</v>
      </c>
      <c r="BD68" s="246">
        <f>IF('Scheduled Intervals'!BD31&gt;0,ROUND('Hours Per Job'!BD31*'Total Cost for Plan'!$B$36*ROUNDDOWN($B$1/'Scheduled Intervals'!BD31,0),2),0)</f>
        <v>0</v>
      </c>
      <c r="BE68" s="246">
        <f>IF('Scheduled Intervals'!BE31&gt;0,ROUND('Hours Per Job'!BE31*'Total Cost for Plan'!$B$36*ROUNDDOWN($B$1/'Scheduled Intervals'!BE31,0),2),0)</f>
        <v>0</v>
      </c>
      <c r="BF68" s="246">
        <f>IF('Scheduled Intervals'!BF31&gt;0,ROUND('Hours Per Job'!BF31*'Total Cost for Plan'!$B$36*ROUNDDOWN($B$1/'Scheduled Intervals'!BF31,0),2),0)</f>
        <v>0</v>
      </c>
      <c r="BG68" s="246">
        <f>IF('Scheduled Intervals'!BG31&gt;0,ROUND('Hours Per Job'!BG31*'Total Cost for Plan'!$B$36*ROUNDDOWN($B$1/'Scheduled Intervals'!BG31,0),2),0)</f>
        <v>0</v>
      </c>
      <c r="BH68" s="246">
        <f>IF('Scheduled Intervals'!BH31&gt;0,ROUND('Hours Per Job'!BH31*'Total Cost for Plan'!$B$36*ROUNDDOWN($B$1/'Scheduled Intervals'!BH31,0),2),0)</f>
        <v>0</v>
      </c>
      <c r="BI68" s="246">
        <f>IF('Scheduled Intervals'!BI31&gt;0,ROUND('Hours Per Job'!BI31*'Total Cost for Plan'!$B$36*ROUNDDOWN($B$1/'Scheduled Intervals'!BI31,0),2),0)</f>
        <v>12</v>
      </c>
      <c r="BJ68" s="246">
        <f>IF('Scheduled Intervals'!BJ31&gt;0,ROUND('Hours Per Job'!BJ31*'Total Cost for Plan'!$B$36*ROUNDDOWN($B$1/'Scheduled Intervals'!BJ31,0),2),0)</f>
        <v>30</v>
      </c>
      <c r="BK68" s="246">
        <f>IF('Scheduled Intervals'!BK31&gt;0,ROUND('Hours Per Job'!BK31*'Total Cost for Plan'!$B$36*ROUNDDOWN($B$1/'Scheduled Intervals'!BK31,0),2),0)</f>
        <v>0</v>
      </c>
      <c r="BL68" s="246">
        <f>IF('Scheduled Intervals'!BL31&gt;0,ROUND('Hours Per Job'!BL31*'Total Cost for Plan'!$B$36*ROUNDDOWN($B$1/'Scheduled Intervals'!BL31,0),2),0)</f>
        <v>0</v>
      </c>
      <c r="BM68" s="246">
        <f>IF('Scheduled Intervals'!BM31&gt;0,ROUND('Hours Per Job'!BM31*'Total Cost for Plan'!$B$36*ROUNDDOWN($B$1/'Scheduled Intervals'!BM31,0),2),0)</f>
        <v>0</v>
      </c>
      <c r="BN68" s="246">
        <f>IF(AND('Scheduled Intervals'!BN$4="annual",'Plan Summary'!$C$5&lt;'Scheduled Intervals'!$U31*('Plan Summary'!$C$9/12)),ROUND('Hours Per Job'!BN31*'Total Cost for Plan'!$B$36*ROUND('Plan Summary'!$C$9/12,0),2),0)</f>
        <v>180</v>
      </c>
      <c r="BO68" s="246">
        <f>IF(AND('Scheduled Intervals'!BO$4="annual",'Plan Summary'!$C$5&lt;'Scheduled Intervals'!$U31*('Plan Summary'!$C$9/12)),ROUND('Hours Per Job'!BO31*'Total Cost for Plan'!$B$36*ROUND('Plan Summary'!$C$9/12,0),2),0)</f>
        <v>120</v>
      </c>
      <c r="BP68" s="246">
        <f>IF(AND('Scheduled Intervals'!BP$4="annual",'Plan Summary'!$C$5&lt;'Scheduled Intervals'!$U31*('Plan Summary'!$C$9/12)),ROUND('Hours Per Job'!BP31*'Total Cost for Plan'!$B$36*ROUND('Plan Summary'!$C$9/12,0),2),0)</f>
        <v>630</v>
      </c>
      <c r="BQ68" s="246">
        <f t="shared" si="2"/>
        <v>1194</v>
      </c>
      <c r="BR68" s="246"/>
    </row>
    <row r="69" spans="1:70" ht="16" x14ac:dyDescent="0.2">
      <c r="A69" s="18" t="str">
        <f>+'Scheduled Intervals'!A33</f>
        <v>Mini Excavator</v>
      </c>
      <c r="B69" s="246">
        <f>ROUND(('Hours Per Job'!B33*$B$36),2)</f>
        <v>48</v>
      </c>
      <c r="C69" s="246">
        <f>ROUND(('Hours Per Job'!C33*$B$36),2)</f>
        <v>0</v>
      </c>
      <c r="D69" s="246">
        <f>ROUND(('Hours Per Job'!D33*$B$36),2)</f>
        <v>0</v>
      </c>
      <c r="E69" s="246">
        <f>ROUND(('Hours Per Job'!E33*$B$36),2)</f>
        <v>0</v>
      </c>
      <c r="F69" s="246">
        <f>ROUND(('Hours Per Job'!F33*$B$36),2)</f>
        <v>36</v>
      </c>
      <c r="G69" s="246">
        <f>ROUND(('Hours Per Job'!G33*$B$36),2)</f>
        <v>0</v>
      </c>
      <c r="H69" s="246">
        <f>ROUND(('Hours Per Job'!H33*$B$36),2)</f>
        <v>24</v>
      </c>
      <c r="I69" s="246">
        <f>ROUND(('Hours Per Job'!I33*$B$36),2)</f>
        <v>30</v>
      </c>
      <c r="J69" s="246">
        <f>ROUND(('Hours Per Job'!J33*$B$36),2)</f>
        <v>0</v>
      </c>
      <c r="K69" s="246">
        <f>ROUND(('Hours Per Job'!K33*$B$36),2)</f>
        <v>0</v>
      </c>
      <c r="L69" s="246">
        <f>ROUND(('Hours Per Job'!L33*$B$36),2)</f>
        <v>0</v>
      </c>
      <c r="M69" s="246">
        <f>ROUND(('Hours Per Job'!M33*$B$36),2)</f>
        <v>0</v>
      </c>
      <c r="N69" s="246">
        <f>ROUND(('Hours Per Job'!N33*$B$36),2)</f>
        <v>0</v>
      </c>
      <c r="O69" s="246">
        <f>ROUND(('Hours Per Job'!O33*$B$36),2)</f>
        <v>0</v>
      </c>
      <c r="P69" s="246">
        <f>ROUND(('Hours Per Job'!P33*$B$36),2)</f>
        <v>0</v>
      </c>
      <c r="Q69" s="246">
        <f>ROUND(('Hours Per Job'!Q33*$B$36),2)</f>
        <v>0</v>
      </c>
      <c r="R69" s="246">
        <f>ROUND(('Hours Per Job'!R33*$B$36),2)</f>
        <v>0</v>
      </c>
      <c r="S69" s="246">
        <f>ROUND(('Hours Per Job'!S33*$B$36),2)</f>
        <v>0</v>
      </c>
      <c r="T69" s="246">
        <f>ROUND(('Hours Per Job'!T33*$B$36),2)</f>
        <v>0</v>
      </c>
      <c r="U69" s="246">
        <f>IF('Scheduled Intervals'!U33&gt;0,ROUND('Hours Per Job'!U33*'Total Cost for Plan'!$B$36*ROUNDDOWN($B$1/'Scheduled Intervals'!U33,0),2),0)</f>
        <v>144</v>
      </c>
      <c r="V69" s="246">
        <f>IF('Scheduled Intervals'!V33&gt;0,ROUND('Hours Per Job'!V33*'Total Cost for Plan'!$B$36*ROUNDDOWN($B$1/'Scheduled Intervals'!V33,0),2),0)</f>
        <v>0</v>
      </c>
      <c r="W69" s="246">
        <f>IF('Scheduled Intervals'!W33&gt;0,ROUND('Hours Per Job'!W33*'Total Cost for Plan'!$B$36*ROUNDDOWN($B$1/'Scheduled Intervals'!W33,0),2),0)</f>
        <v>0</v>
      </c>
      <c r="X69" s="246">
        <f>IF('Scheduled Intervals'!X33&gt;0,ROUND('Hours Per Job'!X33*'Total Cost for Plan'!$B$36*ROUNDDOWN($B$1/'Scheduled Intervals'!X33,0),2),0)</f>
        <v>0</v>
      </c>
      <c r="Y69" s="246">
        <f>IF('Scheduled Intervals'!Y33&gt;0,ROUND('Hours Per Job'!Y33*'Total Cost for Plan'!$B$36*ROUNDDOWN($B$1/'Scheduled Intervals'!Y33,0),2),0)</f>
        <v>0</v>
      </c>
      <c r="Z69" s="246">
        <f>IF('Scheduled Intervals'!Z33&gt;0,ROUND('Hours Per Job'!Z33*'Total Cost for Plan'!$B$36*ROUNDDOWN($B$1/'Scheduled Intervals'!Z33,0),2),0)</f>
        <v>24</v>
      </c>
      <c r="AA69" s="246">
        <f>IF('Scheduled Intervals'!AA33&gt;0,ROUND('Hours Per Job'!AA33*'Total Cost for Plan'!$B$36*ROUNDDOWN($B$1/'Scheduled Intervals'!AA33,0),2),0)</f>
        <v>0</v>
      </c>
      <c r="AB69" s="246">
        <f>IF('Scheduled Intervals'!AB33&gt;0,ROUND('Hours Per Job'!AB33*'Total Cost for Plan'!$B$36*ROUNDDOWN($B$1/'Scheduled Intervals'!AB33,0),2),0)</f>
        <v>0</v>
      </c>
      <c r="AC69" s="246">
        <f>IF('Scheduled Intervals'!AC33&gt;0,ROUND('Hours Per Job'!AC33*'Total Cost for Plan'!$B$36*ROUNDDOWN($B$1/'Scheduled Intervals'!AC33,0),2),0)</f>
        <v>0</v>
      </c>
      <c r="AD69" s="246">
        <f>IF('Scheduled Intervals'!AD33&gt;0,ROUND('Hours Per Job'!AD33*'Total Cost for Plan'!$B$36*ROUNDDOWN($B$1/'Scheduled Intervals'!AD33,0),2),0)</f>
        <v>0</v>
      </c>
      <c r="AE69" s="246">
        <f>IF('Scheduled Intervals'!AE33&gt;0,ROUND('Hours Per Job'!AE33*'Total Cost for Plan'!$B$36*ROUNDDOWN($B$1/'Scheduled Intervals'!AE33,0),2),0)</f>
        <v>0</v>
      </c>
      <c r="AF69" s="246">
        <f>IF('Scheduled Intervals'!AF33&gt;0,ROUND('Hours Per Job'!AF33*'Total Cost for Plan'!$B$36*ROUNDDOWN($B$1/'Scheduled Intervals'!AF33,0),2),0)</f>
        <v>0</v>
      </c>
      <c r="AG69" s="246">
        <f>IF('Scheduled Intervals'!AG33&gt;0,ROUND('Hours Per Job'!AG33*'Total Cost for Plan'!$B$36*ROUNDDOWN($B$1/'Scheduled Intervals'!AG33,0),2),0)</f>
        <v>60</v>
      </c>
      <c r="AH69" s="246">
        <f>IF('Scheduled Intervals'!AH33&gt;0,ROUND('Hours Per Job'!AH33*'Total Cost for Plan'!$B$36*ROUNDDOWN($B$1/'Scheduled Intervals'!AH33,0),2),0)</f>
        <v>0</v>
      </c>
      <c r="AI69" s="246">
        <f>IF('Scheduled Intervals'!AI33&gt;0,ROUND('Hours Per Job'!AI33*'Total Cost for Plan'!$B$36*ROUNDDOWN($B$1/'Scheduled Intervals'!AI33,0),2),0)</f>
        <v>0</v>
      </c>
      <c r="AJ69" s="246">
        <f>IF('Scheduled Intervals'!AJ33&gt;0,ROUND('Hours Per Job'!AJ33*'Total Cost for Plan'!$B$36*ROUNDDOWN($B$1/'Scheduled Intervals'!AJ33,0),2),0)</f>
        <v>0</v>
      </c>
      <c r="AK69" s="246">
        <f>IF('Scheduled Intervals'!AK33&gt;0,ROUND('Hours Per Job'!AK33*'Total Cost for Plan'!$B$36*ROUNDDOWN($B$1/'Scheduled Intervals'!AK33,0),2),0)</f>
        <v>0</v>
      </c>
      <c r="AL69" s="246">
        <f>IF('Scheduled Intervals'!AL33&gt;0,ROUND('Hours Per Job'!AL33*'Total Cost for Plan'!$B$36*ROUNDDOWN($B$1/'Scheduled Intervals'!AL33,0),2),0)</f>
        <v>0</v>
      </c>
      <c r="AM69" s="246">
        <f>IF('Scheduled Intervals'!AM33&gt;0,ROUND('Hours Per Job'!AM33*'Total Cost for Plan'!$B$36*ROUNDDOWN($B$1/'Scheduled Intervals'!AM33,0),2),0)</f>
        <v>0</v>
      </c>
      <c r="AN69" s="246">
        <f>IF('Scheduled Intervals'!AN33&gt;0,ROUND('Hours Per Job'!AN33*'Total Cost for Plan'!$B$36*ROUNDDOWN($B$1/'Scheduled Intervals'!AN33,0),2),0)</f>
        <v>0</v>
      </c>
      <c r="AO69" s="246">
        <f>IF('Scheduled Intervals'!AO33&gt;0,ROUND('Hours Per Job'!AO33*'Total Cost for Plan'!$B$36*ROUNDDOWN($B$1/'Scheduled Intervals'!AO33,0),2),0)</f>
        <v>0</v>
      </c>
      <c r="AP69" s="246">
        <f>IF('Scheduled Intervals'!AP33&gt;0,ROUND('Hours Per Job'!AP33*'Total Cost for Plan'!$B$36*ROUNDDOWN($B$1/'Scheduled Intervals'!AP33,0),2),0)</f>
        <v>0</v>
      </c>
      <c r="AQ69" s="246">
        <f>IF('Scheduled Intervals'!AQ33&gt;0,ROUND('Hours Per Job'!AQ33*'Total Cost for Plan'!$B$36*ROUNDDOWN($B$1/'Scheduled Intervals'!AQ33,0),2),0)</f>
        <v>0</v>
      </c>
      <c r="AR69" s="246">
        <f>IF('Scheduled Intervals'!AR33&gt;0,ROUND('Hours Per Job'!AR33*'Total Cost for Plan'!$B$36*ROUNDDOWN($B$1/'Scheduled Intervals'!AR33,0),2),0)</f>
        <v>0</v>
      </c>
      <c r="AS69" s="246">
        <f>IF('Scheduled Intervals'!AS33&gt;0,ROUND('Hours Per Job'!AS33*'Total Cost for Plan'!$B$36*ROUNDDOWN($B$1/'Scheduled Intervals'!AS33,0),2),0)</f>
        <v>0</v>
      </c>
      <c r="AT69" s="246">
        <f>IF('Scheduled Intervals'!AT33&gt;0,ROUND('Hours Per Job'!AT33*'Total Cost for Plan'!$B$36*ROUNDDOWN($B$1/'Scheduled Intervals'!AT33,0),2),0)</f>
        <v>72</v>
      </c>
      <c r="AU69" s="246">
        <f>IF('Scheduled Intervals'!AU33&gt;0,ROUND('Hours Per Job'!AU33*'Total Cost for Plan'!$B$36*ROUNDDOWN($B$1/'Scheduled Intervals'!AU33,0),2),0)</f>
        <v>0</v>
      </c>
      <c r="AV69" s="246">
        <f>IF('Scheduled Intervals'!AV33&gt;0,ROUND('Hours Per Job'!AV33*'Total Cost for Plan'!$B$36*ROUNDDOWN($B$1/'Scheduled Intervals'!AV33,0),2),0)</f>
        <v>0</v>
      </c>
      <c r="AW69" s="246">
        <f>IF('Scheduled Intervals'!AW33&gt;0,ROUND('Hours Per Job'!AW33*'Total Cost for Plan'!$B$36*ROUNDDOWN($B$1/'Scheduled Intervals'!AW33,0),2),0)</f>
        <v>0</v>
      </c>
      <c r="AX69" s="246">
        <f>IF('Scheduled Intervals'!AX33&gt;0,ROUND('Hours Per Job'!AX33*'Total Cost for Plan'!$B$36*ROUNDDOWN($B$1/'Scheduled Intervals'!AX33,0),2),0)</f>
        <v>0</v>
      </c>
      <c r="AY69" s="246">
        <f>IF('Scheduled Intervals'!AY33&gt;0,ROUND('Hours Per Job'!AY33*'Total Cost for Plan'!$B$36*ROUNDDOWN($B$1/'Scheduled Intervals'!AY33,0),2),0)</f>
        <v>0</v>
      </c>
      <c r="AZ69" s="246">
        <f>IF('Scheduled Intervals'!AZ33&gt;0,ROUND('Hours Per Job'!AZ33*'Total Cost for Plan'!$B$36*ROUNDDOWN($B$1/'Scheduled Intervals'!AZ33,0),2),0)</f>
        <v>0</v>
      </c>
      <c r="BA69" s="246">
        <f>IF('Scheduled Intervals'!BA33&gt;0,ROUND('Hours Per Job'!BA33*'Total Cost for Plan'!$B$36*ROUNDDOWN($B$1/'Scheduled Intervals'!BA33,0),2),0)</f>
        <v>0</v>
      </c>
      <c r="BB69" s="246">
        <f>IF('Scheduled Intervals'!BB33&gt;0,ROUND('Hours Per Job'!BB33*'Total Cost for Plan'!$B$36*ROUNDDOWN($B$1/'Scheduled Intervals'!BB33,0),2),0)</f>
        <v>12</v>
      </c>
      <c r="BC69" s="246">
        <f>IF('Scheduled Intervals'!BC33&gt;0,ROUND('Hours Per Job'!BC33*'Total Cost for Plan'!$B$36*ROUNDDOWN($B$1/'Scheduled Intervals'!BC33,0),2),0)</f>
        <v>24</v>
      </c>
      <c r="BD69" s="246">
        <f>IF('Scheduled Intervals'!BD33&gt;0,ROUND('Hours Per Job'!BD33*'Total Cost for Plan'!$B$36*ROUNDDOWN($B$1/'Scheduled Intervals'!BD33,0),2),0)</f>
        <v>0</v>
      </c>
      <c r="BE69" s="246">
        <f>IF('Scheduled Intervals'!BE33&gt;0,ROUND('Hours Per Job'!BE33*'Total Cost for Plan'!$B$36*ROUNDDOWN($B$1/'Scheduled Intervals'!BE33,0),2),0)</f>
        <v>0</v>
      </c>
      <c r="BF69" s="246">
        <f>IF('Scheduled Intervals'!BF33&gt;0,ROUND('Hours Per Job'!BF33*'Total Cost for Plan'!$B$36*ROUNDDOWN($B$1/'Scheduled Intervals'!BF33,0),2),0)</f>
        <v>0</v>
      </c>
      <c r="BG69" s="246">
        <f>IF('Scheduled Intervals'!BG33&gt;0,ROUND('Hours Per Job'!BG33*'Total Cost for Plan'!$B$36*ROUNDDOWN($B$1/'Scheduled Intervals'!BG33,0),2),0)</f>
        <v>0</v>
      </c>
      <c r="BH69" s="246">
        <f>IF('Scheduled Intervals'!BH33&gt;0,ROUND('Hours Per Job'!BH33*'Total Cost for Plan'!$B$36*ROUNDDOWN($B$1/'Scheduled Intervals'!BH33,0),2),0)</f>
        <v>0</v>
      </c>
      <c r="BI69" s="246">
        <f>IF('Scheduled Intervals'!BI33&gt;0,ROUND('Hours Per Job'!BI33*'Total Cost for Plan'!$B$36*ROUNDDOWN($B$1/'Scheduled Intervals'!BI33,0),2),0)</f>
        <v>0</v>
      </c>
      <c r="BJ69" s="246">
        <f>IF('Scheduled Intervals'!BJ33&gt;0,ROUND('Hours Per Job'!BJ33*'Total Cost for Plan'!$B$36*ROUNDDOWN($B$1/'Scheduled Intervals'!BJ33,0),2),0)</f>
        <v>90</v>
      </c>
      <c r="BK69" s="246">
        <f>IF('Scheduled Intervals'!BK33&gt;0,ROUND('Hours Per Job'!BK33*'Total Cost for Plan'!$B$36*ROUNDDOWN($B$1/'Scheduled Intervals'!BK33,0),2),0)</f>
        <v>0</v>
      </c>
      <c r="BL69" s="246">
        <f>IF('Scheduled Intervals'!BL33&gt;0,ROUND('Hours Per Job'!BL33*'Total Cost for Plan'!$B$36*ROUNDDOWN($B$1/'Scheduled Intervals'!BL33,0),2),0)</f>
        <v>0</v>
      </c>
      <c r="BM69" s="246">
        <f>IF('Scheduled Intervals'!BM33&gt;0,ROUND('Hours Per Job'!BM33*'Total Cost for Plan'!$B$36*ROUNDDOWN($B$1/'Scheduled Intervals'!BM33,0),2),0)</f>
        <v>0</v>
      </c>
      <c r="BN69" s="246">
        <f>IF(AND('Scheduled Intervals'!BN$4="annual",'Plan Summary'!$C$5&lt;'Scheduled Intervals'!$U33*('Plan Summary'!$C$9/12)),ROUND('Hours Per Job'!BN33*'Total Cost for Plan'!$B$36*ROUND('Plan Summary'!$C$9/12,0),2),0)</f>
        <v>240</v>
      </c>
      <c r="BO69" s="246">
        <f>IF(AND('Scheduled Intervals'!BO$4="annual",'Plan Summary'!$C$5&lt;'Scheduled Intervals'!$U33*('Plan Summary'!$C$9/12)),ROUND('Hours Per Job'!BO33*'Total Cost for Plan'!$B$36*ROUND('Plan Summary'!$C$9/12,0),2),0)</f>
        <v>120</v>
      </c>
      <c r="BP69" s="246">
        <f>IF(AND('Scheduled Intervals'!BP$4="annual",'Plan Summary'!$C$5&lt;'Scheduled Intervals'!$U33*('Plan Summary'!$C$9/12)),ROUND('Hours Per Job'!BP33*'Total Cost for Plan'!$B$36*ROUND('Plan Summary'!$C$9/12,0),2),0)</f>
        <v>630</v>
      </c>
      <c r="BQ69" s="246">
        <f t="shared" si="2"/>
        <v>1554</v>
      </c>
      <c r="BR69" s="246"/>
    </row>
    <row r="70" spans="1:70" ht="16" x14ac:dyDescent="0.2">
      <c r="A70" s="18" t="str">
        <f>+'Scheduled Intervals'!A34</f>
        <v>Sub Compact BX</v>
      </c>
      <c r="B70" s="246">
        <f>ROUND(('Hours Per Job'!B34*$B$36),2)</f>
        <v>48</v>
      </c>
      <c r="C70" s="246">
        <f>ROUND(('Hours Per Job'!C34*$B$36),2)</f>
        <v>0</v>
      </c>
      <c r="D70" s="246">
        <f>ROUND(('Hours Per Job'!D34*$B$36),2)</f>
        <v>0</v>
      </c>
      <c r="E70" s="246">
        <f>ROUND(('Hours Per Job'!E34*$B$36),2)</f>
        <v>0</v>
      </c>
      <c r="F70" s="246">
        <f>ROUND(('Hours Per Job'!F34*$B$36),2)</f>
        <v>0</v>
      </c>
      <c r="G70" s="246">
        <f>ROUND(('Hours Per Job'!G34*$B$36),2)</f>
        <v>0</v>
      </c>
      <c r="H70" s="246">
        <f>ROUND(('Hours Per Job'!H34*$B$36),2)</f>
        <v>24</v>
      </c>
      <c r="I70" s="246">
        <f>ROUND(('Hours Per Job'!I34*$B$36),2)</f>
        <v>30</v>
      </c>
      <c r="J70" s="246">
        <f>ROUND(('Hours Per Job'!J34*$B$36),2)</f>
        <v>0</v>
      </c>
      <c r="K70" s="246">
        <f>ROUND(('Hours Per Job'!K34*$B$36),2)</f>
        <v>0</v>
      </c>
      <c r="L70" s="246">
        <f>ROUND(('Hours Per Job'!L34*$B$36),2)</f>
        <v>0</v>
      </c>
      <c r="M70" s="246">
        <f>ROUND(('Hours Per Job'!M34*$B$36),2)</f>
        <v>0</v>
      </c>
      <c r="N70" s="246">
        <f>ROUND(('Hours Per Job'!N34*$B$36),2)</f>
        <v>0</v>
      </c>
      <c r="O70" s="246">
        <f>ROUND(('Hours Per Job'!O34*$B$36),2)</f>
        <v>0</v>
      </c>
      <c r="P70" s="246">
        <f>ROUND(('Hours Per Job'!P34*$B$36),2)</f>
        <v>0</v>
      </c>
      <c r="Q70" s="246">
        <f>ROUND(('Hours Per Job'!Q34*$B$36),2)</f>
        <v>0</v>
      </c>
      <c r="R70" s="246">
        <f>ROUND(('Hours Per Job'!R34*$B$36),2)</f>
        <v>0</v>
      </c>
      <c r="S70" s="246">
        <f>ROUND(('Hours Per Job'!S34*$B$36),2)</f>
        <v>0</v>
      </c>
      <c r="T70" s="246">
        <f>ROUND(('Hours Per Job'!T34*$B$36),2)</f>
        <v>0</v>
      </c>
      <c r="U70" s="246">
        <f>IF('Scheduled Intervals'!U34&gt;0,ROUND('Hours Per Job'!U34*'Total Cost for Plan'!$B$36*ROUNDDOWN($B$1/'Scheduled Intervals'!U34,0),2),0)</f>
        <v>0</v>
      </c>
      <c r="V70" s="246">
        <f>IF('Scheduled Intervals'!V34&gt;0,ROUND('Hours Per Job'!V34*'Total Cost for Plan'!$B$36*ROUNDDOWN($B$1/'Scheduled Intervals'!V34,0),2),0)</f>
        <v>0</v>
      </c>
      <c r="W70" s="246">
        <f>IF('Scheduled Intervals'!W34&gt;0,ROUND('Hours Per Job'!W34*'Total Cost for Plan'!$B$36*ROUNDDOWN($B$1/'Scheduled Intervals'!W34,0),2),0)</f>
        <v>0</v>
      </c>
      <c r="X70" s="246">
        <f>IF('Scheduled Intervals'!X34&gt;0,ROUND('Hours Per Job'!X34*'Total Cost for Plan'!$B$36*ROUNDDOWN($B$1/'Scheduled Intervals'!X34,0),2),0)</f>
        <v>0</v>
      </c>
      <c r="Y70" s="246">
        <f>IF('Scheduled Intervals'!Y34&gt;0,ROUND('Hours Per Job'!Y34*'Total Cost for Plan'!$B$36*ROUNDDOWN($B$1/'Scheduled Intervals'!Y34,0),2),0)</f>
        <v>0</v>
      </c>
      <c r="Z70" s="246">
        <f>IF('Scheduled Intervals'!Z34&gt;0,ROUND('Hours Per Job'!Z34*'Total Cost for Plan'!$B$36*ROUNDDOWN($B$1/'Scheduled Intervals'!Z34,0),2),0)</f>
        <v>0</v>
      </c>
      <c r="AA70" s="246">
        <f>IF('Scheduled Intervals'!AA34&gt;0,ROUND('Hours Per Job'!AA34*'Total Cost for Plan'!$B$36*ROUNDDOWN($B$1/'Scheduled Intervals'!AA34,0),2),0)</f>
        <v>0</v>
      </c>
      <c r="AB70" s="246">
        <f>IF('Scheduled Intervals'!AB34&gt;0,ROUND('Hours Per Job'!AB34*'Total Cost for Plan'!$B$36*ROUNDDOWN($B$1/'Scheduled Intervals'!AB34,0),2),0)</f>
        <v>0</v>
      </c>
      <c r="AC70" s="246">
        <f>IF('Scheduled Intervals'!AC34&gt;0,ROUND('Hours Per Job'!AC34*'Total Cost for Plan'!$B$36*ROUNDDOWN($B$1/'Scheduled Intervals'!AC34,0),2),0)</f>
        <v>36</v>
      </c>
      <c r="AD70" s="246">
        <f>IF('Scheduled Intervals'!AD34&gt;0,ROUND('Hours Per Job'!AD34*'Total Cost for Plan'!$B$36*ROUNDDOWN($B$1/'Scheduled Intervals'!AD34,0),2),0)</f>
        <v>0</v>
      </c>
      <c r="AE70" s="246">
        <f>IF('Scheduled Intervals'!AE34&gt;0,ROUND('Hours Per Job'!AE34*'Total Cost for Plan'!$B$36*ROUNDDOWN($B$1/'Scheduled Intervals'!AE34,0),2),0)</f>
        <v>0</v>
      </c>
      <c r="AF70" s="246">
        <f>IF('Scheduled Intervals'!AF34&gt;0,ROUND('Hours Per Job'!AF34*'Total Cost for Plan'!$B$36*ROUNDDOWN($B$1/'Scheduled Intervals'!AF34,0),2),0)</f>
        <v>0</v>
      </c>
      <c r="AG70" s="246">
        <f>IF('Scheduled Intervals'!AG34&gt;0,ROUND('Hours Per Job'!AG34*'Total Cost for Plan'!$B$36*ROUNDDOWN($B$1/'Scheduled Intervals'!AG34,0),2),0)</f>
        <v>0</v>
      </c>
      <c r="AH70" s="246">
        <f>IF('Scheduled Intervals'!AH34&gt;0,ROUND('Hours Per Job'!AH34*'Total Cost for Plan'!$B$36*ROUNDDOWN($B$1/'Scheduled Intervals'!AH34,0),2),0)</f>
        <v>0</v>
      </c>
      <c r="AI70" s="246">
        <f>IF('Scheduled Intervals'!AI34&gt;0,ROUND('Hours Per Job'!AI34*'Total Cost for Plan'!$B$36*ROUNDDOWN($B$1/'Scheduled Intervals'!AI34,0),2),0)</f>
        <v>0</v>
      </c>
      <c r="AJ70" s="246">
        <f>IF('Scheduled Intervals'!AJ34&gt;0,ROUND('Hours Per Job'!AJ34*'Total Cost for Plan'!$B$36*ROUNDDOWN($B$1/'Scheduled Intervals'!AJ34,0),2),0)</f>
        <v>0</v>
      </c>
      <c r="AK70" s="246">
        <f>IF('Scheduled Intervals'!AK34&gt;0,ROUND('Hours Per Job'!AK34*'Total Cost for Plan'!$B$36*ROUNDDOWN($B$1/'Scheduled Intervals'!AK34,0),2),0)</f>
        <v>0</v>
      </c>
      <c r="AL70" s="246">
        <f>IF('Scheduled Intervals'!AL34&gt;0,ROUND('Hours Per Job'!AL34*'Total Cost for Plan'!$B$36*ROUNDDOWN($B$1/'Scheduled Intervals'!AL34,0),2),0)</f>
        <v>0</v>
      </c>
      <c r="AM70" s="246">
        <f>IF('Scheduled Intervals'!AM34&gt;0,ROUND('Hours Per Job'!AM34*'Total Cost for Plan'!$B$36*ROUNDDOWN($B$1/'Scheduled Intervals'!AM34,0),2),0)</f>
        <v>0</v>
      </c>
      <c r="AN70" s="246">
        <f>IF('Scheduled Intervals'!AN34&gt;0,ROUND('Hours Per Job'!AN34*'Total Cost for Plan'!$B$36*ROUNDDOWN($B$1/'Scheduled Intervals'!AN34,0),2),0)</f>
        <v>0</v>
      </c>
      <c r="AO70" s="246">
        <f>IF('Scheduled Intervals'!AO34&gt;0,ROUND('Hours Per Job'!AO34*'Total Cost for Plan'!$B$36*ROUNDDOWN($B$1/'Scheduled Intervals'!AO34,0),2),0)</f>
        <v>0</v>
      </c>
      <c r="AP70" s="246">
        <f>IF('Scheduled Intervals'!AP34&gt;0,ROUND('Hours Per Job'!AP34*'Total Cost for Plan'!$B$36*ROUNDDOWN($B$1/'Scheduled Intervals'!AP34,0),2),0)</f>
        <v>0</v>
      </c>
      <c r="AQ70" s="246">
        <f>IF('Scheduled Intervals'!AQ34&gt;0,ROUND('Hours Per Job'!AQ34*'Total Cost for Plan'!$B$36*ROUNDDOWN($B$1/'Scheduled Intervals'!AQ34,0),2),0)</f>
        <v>0</v>
      </c>
      <c r="AR70" s="246">
        <f>IF('Scheduled Intervals'!AR34&gt;0,ROUND('Hours Per Job'!AR34*'Total Cost for Plan'!$B$36*ROUNDDOWN($B$1/'Scheduled Intervals'!AR34,0),2),0)</f>
        <v>0</v>
      </c>
      <c r="AS70" s="246">
        <f>IF('Scheduled Intervals'!AS34&gt;0,ROUND('Hours Per Job'!AS34*'Total Cost for Plan'!$B$36*ROUNDDOWN($B$1/'Scheduled Intervals'!AS34,0),2),0)</f>
        <v>0</v>
      </c>
      <c r="AT70" s="246">
        <f>IF('Scheduled Intervals'!AT34&gt;0,ROUND('Hours Per Job'!AT34*'Total Cost for Plan'!$B$36*ROUNDDOWN($B$1/'Scheduled Intervals'!AT34,0),2),0)</f>
        <v>0</v>
      </c>
      <c r="AU70" s="246">
        <f>IF('Scheduled Intervals'!AU34&gt;0,ROUND('Hours Per Job'!AU34*'Total Cost for Plan'!$B$36*ROUNDDOWN($B$1/'Scheduled Intervals'!AU34,0),2),0)</f>
        <v>0</v>
      </c>
      <c r="AV70" s="246">
        <f>IF('Scheduled Intervals'!AV34&gt;0,ROUND('Hours Per Job'!AV34*'Total Cost for Plan'!$B$36*ROUNDDOWN($B$1/'Scheduled Intervals'!AV34,0),2),0)</f>
        <v>0</v>
      </c>
      <c r="AW70" s="246">
        <f>IF('Scheduled Intervals'!AW34&gt;0,ROUND('Hours Per Job'!AW34*'Total Cost for Plan'!$B$36*ROUNDDOWN($B$1/'Scheduled Intervals'!AW34,0),2),0)</f>
        <v>0</v>
      </c>
      <c r="AX70" s="246">
        <f>IF('Scheduled Intervals'!AX34&gt;0,ROUND('Hours Per Job'!AX34*'Total Cost for Plan'!$B$36*ROUNDDOWN($B$1/'Scheduled Intervals'!AX34,0),2),0)</f>
        <v>0</v>
      </c>
      <c r="AY70" s="246">
        <f>IF('Scheduled Intervals'!AY34&gt;0,ROUND('Hours Per Job'!AY34*'Total Cost for Plan'!$B$36*ROUNDDOWN($B$1/'Scheduled Intervals'!AY34,0),2),0)</f>
        <v>0</v>
      </c>
      <c r="AZ70" s="246">
        <f>IF('Scheduled Intervals'!AZ34&gt;0,ROUND('Hours Per Job'!AZ34*'Total Cost for Plan'!$B$36*ROUNDDOWN($B$1/'Scheduled Intervals'!AZ34,0),2),0)</f>
        <v>0</v>
      </c>
      <c r="BA70" s="246">
        <f>IF('Scheduled Intervals'!BA34&gt;0,ROUND('Hours Per Job'!BA34*'Total Cost for Plan'!$B$36*ROUNDDOWN($B$1/'Scheduled Intervals'!BA34,0),2),0)</f>
        <v>0</v>
      </c>
      <c r="BB70" s="246">
        <f>IF('Scheduled Intervals'!BB34&gt;0,ROUND('Hours Per Job'!BB34*'Total Cost for Plan'!$B$36*ROUNDDOWN($B$1/'Scheduled Intervals'!BB34,0),2),0)</f>
        <v>0</v>
      </c>
      <c r="BC70" s="246">
        <f>IF('Scheduled Intervals'!BC34&gt;0,ROUND('Hours Per Job'!BC34*'Total Cost for Plan'!$B$36*ROUNDDOWN($B$1/'Scheduled Intervals'!BC34,0),2),0)</f>
        <v>0</v>
      </c>
      <c r="BD70" s="246">
        <f>IF('Scheduled Intervals'!BD34&gt;0,ROUND('Hours Per Job'!BD34*'Total Cost for Plan'!$B$36*ROUNDDOWN($B$1/'Scheduled Intervals'!BD34,0),2),0)</f>
        <v>0</v>
      </c>
      <c r="BE70" s="246">
        <f>IF('Scheduled Intervals'!BE34&gt;0,ROUND('Hours Per Job'!BE34*'Total Cost for Plan'!$B$36*ROUNDDOWN($B$1/'Scheduled Intervals'!BE34,0),2),0)</f>
        <v>0</v>
      </c>
      <c r="BF70" s="246">
        <f>IF('Scheduled Intervals'!BF34&gt;0,ROUND('Hours Per Job'!BF34*'Total Cost for Plan'!$B$36*ROUNDDOWN($B$1/'Scheduled Intervals'!BF34,0),2),0)</f>
        <v>0</v>
      </c>
      <c r="BG70" s="246">
        <f>IF('Scheduled Intervals'!BG34&gt;0,ROUND('Hours Per Job'!BG34*'Total Cost for Plan'!$B$36*ROUNDDOWN($B$1/'Scheduled Intervals'!BG34,0),2),0)</f>
        <v>0</v>
      </c>
      <c r="BH70" s="246">
        <f>IF('Scheduled Intervals'!BH34&gt;0,ROUND('Hours Per Job'!BH34*'Total Cost for Plan'!$B$36*ROUNDDOWN($B$1/'Scheduled Intervals'!BH34,0),2),0)</f>
        <v>0</v>
      </c>
      <c r="BI70" s="246">
        <f>IF('Scheduled Intervals'!BI34&gt;0,ROUND('Hours Per Job'!BI34*'Total Cost for Plan'!$B$36*ROUNDDOWN($B$1/'Scheduled Intervals'!BI34,0),2),0)</f>
        <v>0</v>
      </c>
      <c r="BJ70" s="246">
        <f>IF('Scheduled Intervals'!BJ34&gt;0,ROUND('Hours Per Job'!BJ34*'Total Cost for Plan'!$B$36*ROUNDDOWN($B$1/'Scheduled Intervals'!BJ34,0),2),0)</f>
        <v>0</v>
      </c>
      <c r="BK70" s="246">
        <f>IF('Scheduled Intervals'!BK34&gt;0,ROUND('Hours Per Job'!BK34*'Total Cost for Plan'!$B$36*ROUNDDOWN($B$1/'Scheduled Intervals'!BK34,0),2),0)</f>
        <v>0</v>
      </c>
      <c r="BL70" s="246">
        <f>IF('Scheduled Intervals'!BL34&gt;0,ROUND('Hours Per Job'!BL34*'Total Cost for Plan'!$B$36*ROUNDDOWN($B$1/'Scheduled Intervals'!BL34,0),2),0)</f>
        <v>0</v>
      </c>
      <c r="BM70" s="246">
        <f>IF('Scheduled Intervals'!BM34&gt;0,ROUND('Hours Per Job'!BM34*'Total Cost for Plan'!$B$36*ROUNDDOWN($B$1/'Scheduled Intervals'!BM34,0),2),0)</f>
        <v>0</v>
      </c>
      <c r="BN70" s="246">
        <f>IF(AND('Scheduled Intervals'!BN$4="annual",'Plan Summary'!$C$5&lt;'Scheduled Intervals'!$U34*('Plan Summary'!$C$9/12)),ROUND('Hours Per Job'!BN34*'Total Cost for Plan'!$B$36*ROUND('Plan Summary'!$C$9/12,0),2),0)</f>
        <v>240</v>
      </c>
      <c r="BO70" s="246">
        <f>IF(AND('Scheduled Intervals'!BO$4="annual",'Plan Summary'!$C$5&lt;'Scheduled Intervals'!$U34*('Plan Summary'!$C$9/12)),ROUND('Hours Per Job'!BO34*'Total Cost for Plan'!$B$36*ROUND('Plan Summary'!$C$9/12,0),2),0)</f>
        <v>120</v>
      </c>
      <c r="BP70" s="246">
        <f>IF(AND('Scheduled Intervals'!BP$4="annual",'Plan Summary'!$C$5&lt;'Scheduled Intervals'!$U34*('Plan Summary'!$C$9/12)),ROUND('Hours Per Job'!BP34*'Total Cost for Plan'!$B$36*ROUND('Plan Summary'!$C$9/12,0),2),0)</f>
        <v>630</v>
      </c>
      <c r="BQ70" s="246">
        <f t="shared" si="2"/>
        <v>1128</v>
      </c>
      <c r="BR70" s="246"/>
    </row>
    <row r="71" spans="1:70" ht="16" x14ac:dyDescent="0.2">
      <c r="B71" s="246"/>
      <c r="C71" s="246"/>
      <c r="D71" s="246"/>
      <c r="E71" s="246"/>
      <c r="F71" s="246"/>
      <c r="G71" s="246"/>
      <c r="H71" s="246"/>
      <c r="I71" s="246"/>
      <c r="J71" s="246"/>
      <c r="K71" s="246"/>
      <c r="L71" s="246"/>
      <c r="M71" s="246"/>
      <c r="N71" s="246"/>
      <c r="O71" s="246"/>
      <c r="P71" s="246"/>
      <c r="Q71" s="246"/>
      <c r="R71" s="246"/>
      <c r="S71" s="246"/>
      <c r="T71" s="246"/>
      <c r="U71" s="246"/>
      <c r="V71" s="246"/>
      <c r="W71" s="246"/>
      <c r="X71" s="246"/>
      <c r="Y71" s="246"/>
      <c r="Z71" s="246"/>
      <c r="AA71" s="246"/>
      <c r="AB71" s="246"/>
      <c r="AC71" s="246"/>
      <c r="AD71" s="246"/>
      <c r="AE71" s="246"/>
      <c r="AF71" s="246"/>
      <c r="AG71" s="246"/>
      <c r="AH71" s="246"/>
      <c r="AI71" s="246"/>
      <c r="AJ71" s="246"/>
      <c r="AK71" s="246"/>
      <c r="AL71" s="246"/>
      <c r="AM71" s="246"/>
      <c r="AN71" s="246"/>
      <c r="AO71" s="246"/>
      <c r="AP71" s="246"/>
      <c r="AQ71" s="246"/>
      <c r="AR71" s="246"/>
      <c r="AS71" s="246"/>
      <c r="AT71" s="246"/>
      <c r="AU71" s="246"/>
      <c r="AV71" s="246"/>
      <c r="AW71" s="246"/>
      <c r="AX71" s="246"/>
      <c r="AY71" s="246"/>
      <c r="AZ71" s="246"/>
      <c r="BA71" s="246"/>
      <c r="BB71" s="246"/>
      <c r="BC71" s="246"/>
      <c r="BD71" s="246"/>
      <c r="BE71" s="246"/>
      <c r="BF71" s="9"/>
      <c r="BR71" s="246"/>
    </row>
    <row r="72" spans="1:70" ht="16" x14ac:dyDescent="0.2">
      <c r="B72" s="9"/>
      <c r="C72" s="9"/>
      <c r="D72" s="9"/>
      <c r="E72" s="9"/>
      <c r="F72" s="9"/>
      <c r="G72" s="9"/>
      <c r="H72" s="9"/>
      <c r="I72" s="9"/>
      <c r="J72" s="9"/>
      <c r="K72" s="9"/>
      <c r="L72" s="246"/>
      <c r="M72" s="246"/>
      <c r="N72" s="246"/>
      <c r="O72" s="246"/>
      <c r="P72" s="246"/>
      <c r="Q72" s="246"/>
      <c r="R72" s="246"/>
      <c r="S72" s="246"/>
      <c r="T72" s="246"/>
      <c r="U72" s="246"/>
      <c r="V72" s="246"/>
      <c r="W72" s="246"/>
      <c r="X72" s="246"/>
      <c r="Y72" s="246"/>
      <c r="Z72" s="246"/>
      <c r="AA72" s="246"/>
      <c r="AB72" s="246"/>
      <c r="AC72" s="246"/>
      <c r="AD72" s="246"/>
      <c r="AE72" s="246"/>
      <c r="AF72" s="246"/>
      <c r="AG72" s="246"/>
      <c r="AH72" s="246"/>
      <c r="AI72" s="246"/>
      <c r="AJ72" s="246"/>
      <c r="AK72" s="246"/>
      <c r="AL72" s="246"/>
      <c r="AM72" s="246"/>
      <c r="AN72" s="246"/>
      <c r="AO72" s="246"/>
      <c r="AP72" s="246"/>
      <c r="AQ72" s="246"/>
      <c r="AR72" s="246"/>
      <c r="AS72" s="246"/>
      <c r="AT72" s="246"/>
      <c r="AU72" s="246"/>
      <c r="AV72" s="246"/>
      <c r="AW72" s="246"/>
      <c r="AX72" s="246"/>
      <c r="AY72" s="246"/>
      <c r="AZ72" s="246"/>
      <c r="BA72" s="246"/>
      <c r="BB72" s="246"/>
      <c r="BC72" s="246"/>
      <c r="BD72" s="246"/>
      <c r="BE72" s="246"/>
      <c r="BF72" s="9"/>
      <c r="BR72" s="246"/>
    </row>
    <row r="73" spans="1:70" ht="16" x14ac:dyDescent="0.2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R73" s="246"/>
    </row>
    <row r="74" spans="1:70" ht="16" x14ac:dyDescent="0.2">
      <c r="A74" s="133" t="s">
        <v>111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R74" s="246"/>
    </row>
    <row r="75" spans="1:70" ht="16" x14ac:dyDescent="0.2">
      <c r="A75" s="18" t="str">
        <f>+'Scheduled Intervals'!A4</f>
        <v>RTV</v>
      </c>
      <c r="B75" s="246">
        <f>ROUND((('Parts Cost Per Job'!B4)*((1+$B$37)*$B$38)),2)</f>
        <v>41.63</v>
      </c>
      <c r="C75" s="246">
        <f>ROUND((('Parts Cost Per Job'!C4)*((1+$B$37)*$B$38)),2)</f>
        <v>0</v>
      </c>
      <c r="D75" s="246">
        <f>ROUND((('Parts Cost Per Job'!D4)*((1+$B$37)*$B$38)),2)</f>
        <v>0</v>
      </c>
      <c r="E75" s="246">
        <f>ROUND((('Parts Cost Per Job'!E4)*((1+$B$37)*$B$38)),2)</f>
        <v>0</v>
      </c>
      <c r="F75" s="246">
        <f>ROUND((('Parts Cost Per Job'!F4)*((1+$B$37)*$B$38)),2)</f>
        <v>52.69</v>
      </c>
      <c r="G75" s="246">
        <f>ROUND((('Parts Cost Per Job'!G4)*((1+$B$37)*$B$38)),2)</f>
        <v>0</v>
      </c>
      <c r="H75" s="246">
        <f>ROUND((('Parts Cost Per Job'!H4)*((1+$B$37)*$B$38)),2)</f>
        <v>11.07</v>
      </c>
      <c r="I75" s="246">
        <f>ROUND((('Parts Cost Per Job'!I4)*((1+$B$37)*$B$38)),2)</f>
        <v>0</v>
      </c>
      <c r="J75" s="246">
        <f>ROUND((('Parts Cost Per Job'!J4)*((1+$B$37)*$B$38)),2)</f>
        <v>0</v>
      </c>
      <c r="K75" s="246">
        <f>ROUND((('Parts Cost Per Job'!K4)*((1+$B$37)*$B$38)),2)</f>
        <v>0</v>
      </c>
      <c r="L75" s="246">
        <f>ROUND((('Parts Cost Per Job'!L4)*((1+$B$37)*$B$38)),2)</f>
        <v>0</v>
      </c>
      <c r="M75" s="246">
        <f>ROUND((('Parts Cost Per Job'!M4)*((1+$B$37)*$B$38)),2)</f>
        <v>0</v>
      </c>
      <c r="N75" s="246">
        <f>ROUND((('Parts Cost Per Job'!N4)*((1+$B$37)*$B$38)),2)</f>
        <v>0</v>
      </c>
      <c r="O75" s="246">
        <f>ROUND((('Parts Cost Per Job'!O4)*((1+$B$37)*$B$38)),2)</f>
        <v>0</v>
      </c>
      <c r="P75" s="246">
        <f>ROUND((('Parts Cost Per Job'!P4)*((1+$B$37)*$B$38)),2)</f>
        <v>47.92</v>
      </c>
      <c r="Q75" s="246">
        <f>ROUND((('Parts Cost Per Job'!Q4)*((1+$B$37)*$B$38)),2)</f>
        <v>0</v>
      </c>
      <c r="R75" s="246">
        <f>ROUND((('Parts Cost Per Job'!R4)*((1+$B$37)*$B$38)),2)</f>
        <v>0</v>
      </c>
      <c r="S75" s="246">
        <f>ROUND((('Parts Cost Per Job'!S4)*((1+$B$37)*$B$38)),2)</f>
        <v>0</v>
      </c>
      <c r="T75" s="246">
        <f>ROUND((('Parts Cost Per Job'!T4)*((1+$B$37)*$B$38)),2)</f>
        <v>0</v>
      </c>
      <c r="U75" s="246">
        <f>IF('Scheduled Intervals'!U4&gt;0,ROUND(('Parts Cost Per Job'!U4*((1+$B$37)*$B$38))*ROUNDDOWN($B$1/'Scheduled Intervals'!U4,0),2),0)</f>
        <v>41.63</v>
      </c>
      <c r="V75" s="246">
        <f>IF('Scheduled Intervals'!V4&gt;0,ROUND(('Parts Cost Per Job'!V4*((1+$B$37)*$B$38))*ROUNDDOWN($B$1/'Scheduled Intervals'!V4,0),2),0)</f>
        <v>0</v>
      </c>
      <c r="W75" s="246">
        <f>IF('Scheduled Intervals'!W4&gt;0,ROUND(('Parts Cost Per Job'!W4*((1+$B$37)*$B$38))*ROUNDDOWN($B$1/'Scheduled Intervals'!W4,0),2),0)</f>
        <v>0</v>
      </c>
      <c r="X75" s="246">
        <f>IF('Scheduled Intervals'!X4&gt;0,ROUND(('Parts Cost Per Job'!X4*((1+$B$37)*$B$38))*ROUNDDOWN($B$1/'Scheduled Intervals'!X4,0),2),0)</f>
        <v>0</v>
      </c>
      <c r="Y75" s="246">
        <f>IF('Scheduled Intervals'!Y4&gt;0,ROUND(('Parts Cost Per Job'!Y4*((1+$B$37)*$B$38))*ROUNDDOWN($B$1/'Scheduled Intervals'!Y4,0),2),0)</f>
        <v>0</v>
      </c>
      <c r="Z75" s="246">
        <f>IF('Scheduled Intervals'!Z4&gt;0,ROUND(('Parts Cost Per Job'!Z4*((1+$B$37)*$B$38))*ROUNDDOWN($B$1/'Scheduled Intervals'!Z4,0),2),0)</f>
        <v>0</v>
      </c>
      <c r="AA75" s="246">
        <f>IF('Scheduled Intervals'!AA4&gt;0,ROUND(('Parts Cost Per Job'!AA4*((1+$B$37)*$B$38))*ROUNDDOWN($B$1/'Scheduled Intervals'!AA4,0),2),0)</f>
        <v>0</v>
      </c>
      <c r="AB75" s="246">
        <f>IF('Scheduled Intervals'!AB4&gt;0,ROUND(('Parts Cost Per Job'!AB4*((1+$B$37)*$B$38))*ROUNDDOWN($B$1/'Scheduled Intervals'!AB4,0),2),0)</f>
        <v>0</v>
      </c>
      <c r="AC75" s="246">
        <f>IF('Scheduled Intervals'!AC4&gt;0,ROUND(('Parts Cost Per Job'!AC4*((1+$B$37)*$B$38))*ROUNDDOWN($B$1/'Scheduled Intervals'!AC4,0),2),0)</f>
        <v>27.07</v>
      </c>
      <c r="AD75" s="246">
        <f>IF('Scheduled Intervals'!AD4&gt;0,ROUND(('Parts Cost Per Job'!AD4*((1+$B$37)*$B$38))*ROUNDDOWN($B$1/'Scheduled Intervals'!AD4,0),2),0)</f>
        <v>0</v>
      </c>
      <c r="AE75" s="246">
        <f>IF('Scheduled Intervals'!AE4&gt;0,ROUND(('Parts Cost Per Job'!AE4*((1+$B$37)*$B$38))*ROUNDDOWN($B$1/'Scheduled Intervals'!AE4,0),2),0)</f>
        <v>52.69</v>
      </c>
      <c r="AF75" s="246">
        <f>IF('Scheduled Intervals'!AF4&gt;0,ROUND(('Parts Cost Per Job'!AF4*((1+$B$37)*$B$38))*ROUNDDOWN($B$1/'Scheduled Intervals'!AF4,0),2),0)</f>
        <v>0</v>
      </c>
      <c r="AG75" s="246">
        <f>IF('Scheduled Intervals'!AG4&gt;0,ROUND(('Parts Cost Per Job'!AG4*((1+$B$37)*$B$38))*ROUNDDOWN($B$1/'Scheduled Intervals'!AG4,0),2),0)</f>
        <v>0</v>
      </c>
      <c r="AH75" s="246">
        <f>IF('Scheduled Intervals'!AH4&gt;0,ROUND(('Parts Cost Per Job'!AH4*((1+$B$37)*$B$38))*ROUNDDOWN($B$1/'Scheduled Intervals'!AH4,0),2),0)</f>
        <v>0</v>
      </c>
      <c r="AI75" s="246">
        <f>IF('Scheduled Intervals'!AI4&gt;0,ROUND(('Parts Cost Per Job'!AI4*((1+$B$37)*$B$38))*ROUNDDOWN($B$1/'Scheduled Intervals'!AI4,0),2),0)</f>
        <v>123.1</v>
      </c>
      <c r="AJ75" s="246">
        <f>IF('Scheduled Intervals'!AJ4&gt;0,ROUND(('Parts Cost Per Job'!AJ4*((1+$B$37)*$B$38))*ROUNDDOWN($B$1/'Scheduled Intervals'!AJ4,0),2),0)</f>
        <v>0</v>
      </c>
      <c r="AK75" s="246">
        <f>IF('Scheduled Intervals'!AK4&gt;0,ROUND(('Parts Cost Per Job'!AK4*((1+$B$37)*$B$38))*ROUNDDOWN($B$1/'Scheduled Intervals'!AK4,0),2),0)</f>
        <v>0</v>
      </c>
      <c r="AL75" s="246">
        <f>IF('Scheduled Intervals'!AL4&gt;0,ROUND(('Parts Cost Per Job'!AL4*((1+$B$37)*$B$38))*ROUNDDOWN($B$1/'Scheduled Intervals'!AL4,0),2),0)</f>
        <v>0</v>
      </c>
      <c r="AM75" s="246">
        <f>IF('Scheduled Intervals'!AM4&gt;0,ROUND(('Parts Cost Per Job'!AM4*((1+$B$37)*$B$38))*ROUNDDOWN($B$1/'Scheduled Intervals'!AM4,0),2),0)</f>
        <v>0</v>
      </c>
      <c r="AN75" s="246">
        <f>IF('Scheduled Intervals'!AN4&gt;0,ROUND(('Parts Cost Per Job'!AN4*((1+$B$37)*$B$38))*ROUNDDOWN($B$1/'Scheduled Intervals'!AN4,0),2),0)</f>
        <v>0</v>
      </c>
      <c r="AO75" s="246">
        <f>IF('Scheduled Intervals'!AO4&gt;0,ROUND(('Parts Cost Per Job'!AO4*((1+$B$37)*$B$38))*ROUNDDOWN($B$1/'Scheduled Intervals'!AO4,0),2),0)</f>
        <v>0</v>
      </c>
      <c r="AP75" s="246">
        <f>IF('Scheduled Intervals'!AP4&gt;0,ROUND(('Parts Cost Per Job'!AP4*((1+$B$37)*$B$38))*ROUNDDOWN($B$1/'Scheduled Intervals'!AP4,0),2),0)</f>
        <v>0</v>
      </c>
      <c r="AQ75" s="246">
        <f>IF('Scheduled Intervals'!AQ4&gt;0,ROUND(('Parts Cost Per Job'!AQ4*((1+$B$37)*$B$38))*ROUNDDOWN($B$1/'Scheduled Intervals'!AQ4,0),2),0)</f>
        <v>0</v>
      </c>
      <c r="AR75" s="246">
        <f>IF('Scheduled Intervals'!AR4&gt;0,ROUND(('Parts Cost Per Job'!AR4*((1+$B$37)*$B$38))*ROUNDDOWN($B$1/'Scheduled Intervals'!AR4,0),2),0)</f>
        <v>0</v>
      </c>
      <c r="AS75" s="246">
        <f>IF('Scheduled Intervals'!AS4&gt;0,ROUND(('Parts Cost Per Job'!AS4*((1+$B$37)*$B$38))*ROUNDDOWN($B$1/'Scheduled Intervals'!AS4,0),2),0)</f>
        <v>0</v>
      </c>
      <c r="AT75" s="246">
        <f>IF('Scheduled Intervals'!AT4&gt;0,ROUND(('Parts Cost Per Job'!AT4*((1+$B$37)*$B$38))*ROUNDDOWN($B$1/'Scheduled Intervals'!AT4,0),2),0)</f>
        <v>11.07</v>
      </c>
      <c r="AU75" s="246">
        <f>IF('Scheduled Intervals'!AU4&gt;0,ROUND(('Parts Cost Per Job'!AU4*((1+$B$37)*$B$38))*ROUNDDOWN($B$1/'Scheduled Intervals'!AU4,0),2),0)</f>
        <v>0</v>
      </c>
      <c r="AV75" s="246">
        <f>IF('Scheduled Intervals'!AV4&gt;0,ROUND(('Parts Cost Per Job'!AV4*((1+$B$37)*$B$38))*ROUNDDOWN($B$1/'Scheduled Intervals'!AV4,0),2),0)</f>
        <v>0</v>
      </c>
      <c r="AW75" s="246">
        <f>IF('Scheduled Intervals'!AW4&gt;0,ROUND(('Parts Cost Per Job'!AW4*((1+$B$37)*$B$38))*ROUNDDOWN($B$1/'Scheduled Intervals'!AW4,0),2),0)</f>
        <v>0</v>
      </c>
      <c r="AX75" s="246">
        <f>IF('Scheduled Intervals'!AX4&gt;0,ROUND(('Parts Cost Per Job'!AX4*((1+$B$37)*$B$38))*ROUNDDOWN($B$1/'Scheduled Intervals'!AX4,0),2),0)</f>
        <v>0</v>
      </c>
      <c r="AY75" s="246">
        <f>IF('Scheduled Intervals'!AY4&gt;0,ROUND(('Parts Cost Per Job'!AY4*((1+$B$37)*$B$38))*ROUNDDOWN($B$1/'Scheduled Intervals'!AY4,0),2),0)</f>
        <v>0</v>
      </c>
      <c r="AZ75" s="246">
        <f>IF('Scheduled Intervals'!AZ4&gt;0,ROUND(('Parts Cost Per Job'!AZ4*((1+$B$37)*$B$38))*ROUNDDOWN($B$1/'Scheduled Intervals'!AZ4,0),2),0)</f>
        <v>0</v>
      </c>
      <c r="BA75" s="246">
        <f>IF('Scheduled Intervals'!BA4&gt;0,ROUND(('Parts Cost Per Job'!BA4*((1+$B$37)*$B$38))*ROUNDDOWN($B$1/'Scheduled Intervals'!BA4,0),2),0)</f>
        <v>0</v>
      </c>
      <c r="BB75" s="246">
        <f>IF('Scheduled Intervals'!BB4&gt;0,ROUND(('Parts Cost Per Job'!BB4*((1+$B$37)*$B$38))*ROUNDDOWN($B$1/'Scheduled Intervals'!BB4,0),2),0)</f>
        <v>0</v>
      </c>
      <c r="BC75" s="246">
        <f>IF('Scheduled Intervals'!BC4&gt;0,ROUND(('Parts Cost Per Job'!BC4*((1+$B$37)*$B$38))*ROUNDDOWN($B$1/'Scheduled Intervals'!BC4,0),2),0)</f>
        <v>0</v>
      </c>
      <c r="BD75" s="246">
        <f>IF('Scheduled Intervals'!BD4&gt;0,ROUND(('Parts Cost Per Job'!BD4*((1+$B$37)*$B$38))*ROUNDDOWN($B$1/'Scheduled Intervals'!BD4,0),2),0)</f>
        <v>0</v>
      </c>
      <c r="BE75" s="246">
        <f>IF('Scheduled Intervals'!BE4&gt;0,ROUND(('Parts Cost Per Job'!BE4*((1+$B$37)*$B$38))*ROUNDDOWN($B$1/'Scheduled Intervals'!BE4,0),2),0)</f>
        <v>0</v>
      </c>
      <c r="BF75" s="246">
        <f>IF('Scheduled Intervals'!BF4&gt;0,ROUND(('Parts Cost Per Job'!BF4*((1+$B$37)*$B$38))*ROUNDDOWN($B$1/'Scheduled Intervals'!BF4,0),2),0)</f>
        <v>0</v>
      </c>
      <c r="BG75" s="246">
        <f>IF('Scheduled Intervals'!BG4&gt;0,ROUND(('Parts Cost Per Job'!BG4*((1+$B$37)*$B$38))*ROUNDDOWN($B$1/'Scheduled Intervals'!BG4,0),2),0)</f>
        <v>0</v>
      </c>
      <c r="BH75" s="246">
        <f>IF('Scheduled Intervals'!BH4&gt;0,ROUND(('Parts Cost Per Job'!BH4*((1+$B$37)*$B$38))*ROUNDDOWN($B$1/'Scheduled Intervals'!BH4,0),2),0)</f>
        <v>0</v>
      </c>
      <c r="BI75" s="246">
        <f>IF('Scheduled Intervals'!BI4&gt;0,ROUND(('Parts Cost Per Job'!BI4*((1+$B$37)*$B$38))*ROUNDDOWN($B$1/'Scheduled Intervals'!BI4,0),2),0)</f>
        <v>0</v>
      </c>
      <c r="BJ75" s="246">
        <f>IF('Scheduled Intervals'!BJ4&gt;0,ROUND(('Parts Cost Per Job'!BJ4*((1+$B$37)*$B$38))*ROUNDDOWN($B$1/'Scheduled Intervals'!BJ4,0),2),0)</f>
        <v>0</v>
      </c>
      <c r="BK75" s="246">
        <f>IF('Scheduled Intervals'!BK4&gt;0,ROUND(('Parts Cost Per Job'!BK4*((1+$B$37)*$B$38))*ROUNDDOWN($B$1/'Scheduled Intervals'!BK4,0),2),0)</f>
        <v>0</v>
      </c>
      <c r="BL75" s="246">
        <f>IF('Scheduled Intervals'!BL4&gt;0,ROUND(('Parts Cost Per Job'!BL4*((1+$B$37)*$B$38))*ROUNDDOWN($B$1/'Scheduled Intervals'!BL4,0),2),0)</f>
        <v>0</v>
      </c>
      <c r="BM75" s="246">
        <f>IF('Scheduled Intervals'!BM4&gt;0,ROUND(('Parts Cost Per Job'!BM4*((1+$B$37)*$B$38))*ROUNDDOWN($B$1/'Scheduled Intervals'!BM4,0),2),0)</f>
        <v>0</v>
      </c>
      <c r="BN75" s="246">
        <f>IF(AND('Scheduled Intervals'!BN$4="annual",'Plan Summary'!$C$5&lt;'Scheduled Intervals'!$U4*('Plan Summary'!$C$9/12)),ROUND('Parts Cost Per Job'!BN4*((1+$B$37)*$B$38)*ROUND('Plan Summary'!$C$9/12,0),2),0)</f>
        <v>208.14</v>
      </c>
      <c r="BO75" s="246">
        <f>IF(AND('Scheduled Intervals'!BO$4="annual",'Plan Summary'!$C$5&lt;'Scheduled Intervals'!$U4*('Plan Summary'!$C$9/12)),ROUND('Parts Cost Per Job'!BO4*((1+$B$37)*$B$38)*ROUND('Plan Summary'!$C$9/12,0),2),0)</f>
        <v>55.33</v>
      </c>
      <c r="BP75" s="246">
        <f>IF(AND('Scheduled Intervals'!BP$4="annual",'Plan Summary'!$C$5&lt;'Scheduled Intervals'!$U4*('Plan Summary'!$C$9/12)),ROUND('Parts Cost Per Job'!BP4*((1+$B$37)*$B$38)*ROUND('Plan Summary'!$C$9/12,0),2),0)</f>
        <v>0</v>
      </c>
      <c r="BQ75" s="246">
        <f t="shared" ref="BQ75:BQ104" si="3">SUM(B75:BP75)</f>
        <v>672.34</v>
      </c>
      <c r="BR75" s="246"/>
    </row>
    <row r="76" spans="1:70" ht="16" x14ac:dyDescent="0.2">
      <c r="A76" s="18" t="str">
        <f>+'Scheduled Intervals'!A5</f>
        <v>Zero Turn Gas</v>
      </c>
      <c r="B76" s="246">
        <f>ROUND((('Parts Cost Per Job'!B5)*((1+$B$37)*$B$38)),2)</f>
        <v>28.03</v>
      </c>
      <c r="C76" s="246">
        <f>ROUND((('Parts Cost Per Job'!C5)*((1+$B$37)*$B$38)),2)</f>
        <v>0</v>
      </c>
      <c r="D76" s="246">
        <f>ROUND((('Parts Cost Per Job'!D5)*((1+$B$37)*$B$38)),2)</f>
        <v>0</v>
      </c>
      <c r="E76" s="246">
        <f>ROUND((('Parts Cost Per Job'!E5)*((1+$B$37)*$B$38)),2)</f>
        <v>0</v>
      </c>
      <c r="F76" s="246">
        <f>ROUND((('Parts Cost Per Job'!F5)*((1+$B$37)*$B$38)),2)</f>
        <v>0</v>
      </c>
      <c r="G76" s="246">
        <f>ROUND((('Parts Cost Per Job'!G5)*((1+$B$37)*$B$38)),2)</f>
        <v>0</v>
      </c>
      <c r="H76" s="246">
        <f>ROUND((('Parts Cost Per Job'!H5)*((1+$B$37)*$B$38)),2)</f>
        <v>11.07</v>
      </c>
      <c r="I76" s="246">
        <f>ROUND((('Parts Cost Per Job'!I5)*((1+$B$37)*$B$38)),2)</f>
        <v>0</v>
      </c>
      <c r="J76" s="246">
        <f>ROUND((('Parts Cost Per Job'!J5)*((1+$B$37)*$B$38)),2)</f>
        <v>0</v>
      </c>
      <c r="K76" s="246">
        <f>ROUND((('Parts Cost Per Job'!K5)*((1+$B$37)*$B$38)),2)</f>
        <v>0</v>
      </c>
      <c r="L76" s="246">
        <f>ROUND((('Parts Cost Per Job'!L5)*((1+$B$37)*$B$38)),2)</f>
        <v>0</v>
      </c>
      <c r="M76" s="246">
        <f>ROUND((('Parts Cost Per Job'!M5)*((1+$B$37)*$B$38)),2)</f>
        <v>0</v>
      </c>
      <c r="N76" s="246">
        <f>ROUND((('Parts Cost Per Job'!N5)*((1+$B$37)*$B$38)),2)</f>
        <v>0</v>
      </c>
      <c r="O76" s="246">
        <f>ROUND((('Parts Cost Per Job'!O5)*((1+$B$37)*$B$38)),2)</f>
        <v>0</v>
      </c>
      <c r="P76" s="246">
        <f>ROUND((('Parts Cost Per Job'!P5)*((1+$B$37)*$B$38)),2)</f>
        <v>0</v>
      </c>
      <c r="Q76" s="246">
        <f>ROUND((('Parts Cost Per Job'!Q5)*((1+$B$37)*$B$38)),2)</f>
        <v>0</v>
      </c>
      <c r="R76" s="246">
        <f>ROUND((('Parts Cost Per Job'!R5)*((1+$B$37)*$B$38)),2)</f>
        <v>0</v>
      </c>
      <c r="S76" s="246">
        <f>ROUND((('Parts Cost Per Job'!S5)*((1+$B$37)*$B$38)),2)</f>
        <v>35.64</v>
      </c>
      <c r="T76" s="246">
        <f>ROUND((('Parts Cost Per Job'!T5)*((1+$B$37)*$B$38)),2)</f>
        <v>0</v>
      </c>
      <c r="U76" s="246">
        <f>IF('Scheduled Intervals'!U5&gt;0,ROUND(('Parts Cost Per Job'!U5*((1+$B$37)*$B$38))*ROUNDDOWN($B$1/'Scheduled Intervals'!U5,0),2),0)</f>
        <v>84.08</v>
      </c>
      <c r="V76" s="246">
        <f>IF('Scheduled Intervals'!V5&gt;0,ROUND(('Parts Cost Per Job'!V5*((1+$B$37)*$B$38))*ROUNDDOWN($B$1/'Scheduled Intervals'!V5,0),2),0)</f>
        <v>0</v>
      </c>
      <c r="W76" s="246">
        <f>IF('Scheduled Intervals'!W5&gt;0,ROUND(('Parts Cost Per Job'!W5*((1+$B$37)*$B$38))*ROUNDDOWN($B$1/'Scheduled Intervals'!W5,0),2),0)</f>
        <v>0</v>
      </c>
      <c r="X76" s="246">
        <f>IF('Scheduled Intervals'!X5&gt;0,ROUND(('Parts Cost Per Job'!X5*((1+$B$37)*$B$38))*ROUNDDOWN($B$1/'Scheduled Intervals'!X5,0),2),0)</f>
        <v>0</v>
      </c>
      <c r="Y76" s="246">
        <f>IF('Scheduled Intervals'!Y5&gt;0,ROUND(('Parts Cost Per Job'!Y5*((1+$B$37)*$B$38))*ROUNDDOWN($B$1/'Scheduled Intervals'!Y5,0),2),0)</f>
        <v>0</v>
      </c>
      <c r="Z76" s="246">
        <f>IF('Scheduled Intervals'!Z5&gt;0,ROUND(('Parts Cost Per Job'!Z5*((1+$B$37)*$B$38))*ROUNDDOWN($B$1/'Scheduled Intervals'!Z5,0),2),0)</f>
        <v>45.43</v>
      </c>
      <c r="AA76" s="246">
        <f>IF('Scheduled Intervals'!AA5&gt;0,ROUND(('Parts Cost Per Job'!AA5*((1+$B$37)*$B$38))*ROUNDDOWN($B$1/'Scheduled Intervals'!AA5,0),2),0)</f>
        <v>0</v>
      </c>
      <c r="AB76" s="246">
        <f>IF('Scheduled Intervals'!AB5&gt;0,ROUND(('Parts Cost Per Job'!AB5*((1+$B$37)*$B$38))*ROUNDDOWN($B$1/'Scheduled Intervals'!AB5,0),2),0)</f>
        <v>0</v>
      </c>
      <c r="AC76" s="246">
        <f>IF('Scheduled Intervals'!AC5&gt;0,ROUND(('Parts Cost Per Job'!AC5*((1+$B$37)*$B$38))*ROUNDDOWN($B$1/'Scheduled Intervals'!AC5,0),2),0)</f>
        <v>0</v>
      </c>
      <c r="AD76" s="246">
        <f>IF('Scheduled Intervals'!AD5&gt;0,ROUND(('Parts Cost Per Job'!AD5*((1+$B$37)*$B$38))*ROUNDDOWN($B$1/'Scheduled Intervals'!AD5,0),2),0)</f>
        <v>0</v>
      </c>
      <c r="AE76" s="246">
        <f>IF('Scheduled Intervals'!AE5&gt;0,ROUND(('Parts Cost Per Job'!AE5*((1+$B$37)*$B$38))*ROUNDDOWN($B$1/'Scheduled Intervals'!AE5,0),2),0)</f>
        <v>0</v>
      </c>
      <c r="AF76" s="246">
        <f>IF('Scheduled Intervals'!AF5&gt;0,ROUND(('Parts Cost Per Job'!AF5*((1+$B$37)*$B$38))*ROUNDDOWN($B$1/'Scheduled Intervals'!AF5,0),2),0)</f>
        <v>0</v>
      </c>
      <c r="AG76" s="246">
        <f>IF('Scheduled Intervals'!AG5&gt;0,ROUND(('Parts Cost Per Job'!AG5*((1+$B$37)*$B$38))*ROUNDDOWN($B$1/'Scheduled Intervals'!AG5,0),2),0)</f>
        <v>0</v>
      </c>
      <c r="AH76" s="246">
        <f>IF('Scheduled Intervals'!AH5&gt;0,ROUND(('Parts Cost Per Job'!AH5*((1+$B$37)*$B$38))*ROUNDDOWN($B$1/'Scheduled Intervals'!AH5,0),2),0)</f>
        <v>0</v>
      </c>
      <c r="AI76" s="246">
        <f>IF('Scheduled Intervals'!AI5&gt;0,ROUND(('Parts Cost Per Job'!AI5*((1+$B$37)*$B$38))*ROUNDDOWN($B$1/'Scheduled Intervals'!AI5,0),2),0)</f>
        <v>0</v>
      </c>
      <c r="AJ76" s="246">
        <f>IF('Scheduled Intervals'!AJ5&gt;0,ROUND(('Parts Cost Per Job'!AJ5*((1+$B$37)*$B$38))*ROUNDDOWN($B$1/'Scheduled Intervals'!AJ5,0),2),0)</f>
        <v>0</v>
      </c>
      <c r="AK76" s="246">
        <f>IF('Scheduled Intervals'!AK5&gt;0,ROUND(('Parts Cost Per Job'!AK5*((1+$B$37)*$B$38))*ROUNDDOWN($B$1/'Scheduled Intervals'!AK5,0),2),0)</f>
        <v>0</v>
      </c>
      <c r="AL76" s="246">
        <f>IF('Scheduled Intervals'!AL5&gt;0,ROUND(('Parts Cost Per Job'!AL5*((1+$B$37)*$B$38))*ROUNDDOWN($B$1/'Scheduled Intervals'!AL5,0),2),0)</f>
        <v>0</v>
      </c>
      <c r="AM76" s="246">
        <f>IF('Scheduled Intervals'!AM5&gt;0,ROUND(('Parts Cost Per Job'!AM5*((1+$B$37)*$B$38))*ROUNDDOWN($B$1/'Scheduled Intervals'!AM5,0),2),0)</f>
        <v>0</v>
      </c>
      <c r="AN76" s="246">
        <f>IF('Scheduled Intervals'!AN5&gt;0,ROUND(('Parts Cost Per Job'!AN5*((1+$B$37)*$B$38))*ROUNDDOWN($B$1/'Scheduled Intervals'!AN5,0),2),0)</f>
        <v>0</v>
      </c>
      <c r="AO76" s="246">
        <f>IF('Scheduled Intervals'!AO5&gt;0,ROUND(('Parts Cost Per Job'!AO5*((1+$B$37)*$B$38))*ROUNDDOWN($B$1/'Scheduled Intervals'!AO5,0),2),0)</f>
        <v>0</v>
      </c>
      <c r="AP76" s="246">
        <f>IF('Scheduled Intervals'!AP5&gt;0,ROUND(('Parts Cost Per Job'!AP5*((1+$B$37)*$B$38))*ROUNDDOWN($B$1/'Scheduled Intervals'!AP5,0),2),0)</f>
        <v>0</v>
      </c>
      <c r="AQ76" s="246">
        <f>IF('Scheduled Intervals'!AQ5&gt;0,ROUND(('Parts Cost Per Job'!AQ5*((1+$B$37)*$B$38))*ROUNDDOWN($B$1/'Scheduled Intervals'!AQ5,0),2),0)</f>
        <v>0</v>
      </c>
      <c r="AR76" s="246">
        <f>IF('Scheduled Intervals'!AR5&gt;0,ROUND(('Parts Cost Per Job'!AR5*((1+$B$37)*$B$38))*ROUNDDOWN($B$1/'Scheduled Intervals'!AR5,0),2),0)</f>
        <v>0</v>
      </c>
      <c r="AS76" s="246">
        <f>IF('Scheduled Intervals'!AS5&gt;0,ROUND(('Parts Cost Per Job'!AS5*((1+$B$37)*$B$38))*ROUNDDOWN($B$1/'Scheduled Intervals'!AS5,0),2),0)</f>
        <v>0</v>
      </c>
      <c r="AT76" s="246">
        <f>IF('Scheduled Intervals'!AT5&gt;0,ROUND(('Parts Cost Per Job'!AT5*((1+$B$37)*$B$38))*ROUNDDOWN($B$1/'Scheduled Intervals'!AT5,0),2),0)</f>
        <v>33.200000000000003</v>
      </c>
      <c r="AU76" s="246">
        <f>IF('Scheduled Intervals'!AU5&gt;0,ROUND(('Parts Cost Per Job'!AU5*((1+$B$37)*$B$38))*ROUNDDOWN($B$1/'Scheduled Intervals'!AU5,0),2),0)</f>
        <v>0</v>
      </c>
      <c r="AV76" s="246">
        <f>IF('Scheduled Intervals'!AV5&gt;0,ROUND(('Parts Cost Per Job'!AV5*((1+$B$37)*$B$38))*ROUNDDOWN($B$1/'Scheduled Intervals'!AV5,0),2),0)</f>
        <v>0</v>
      </c>
      <c r="AW76" s="246">
        <f>IF('Scheduled Intervals'!AW5&gt;0,ROUND(('Parts Cost Per Job'!AW5*((1+$B$37)*$B$38))*ROUNDDOWN($B$1/'Scheduled Intervals'!AW5,0),2),0)</f>
        <v>0</v>
      </c>
      <c r="AX76" s="246">
        <f>IF('Scheduled Intervals'!AX5&gt;0,ROUND(('Parts Cost Per Job'!AX5*((1+$B$37)*$B$38))*ROUNDDOWN($B$1/'Scheduled Intervals'!AX5,0),2),0)</f>
        <v>0</v>
      </c>
      <c r="AY76" s="246">
        <f>IF('Scheduled Intervals'!AY5&gt;0,ROUND(('Parts Cost Per Job'!AY5*((1+$B$37)*$B$38))*ROUNDDOWN($B$1/'Scheduled Intervals'!AY5,0),2),0)</f>
        <v>0</v>
      </c>
      <c r="AZ76" s="246">
        <f>IF('Scheduled Intervals'!AZ5&gt;0,ROUND(('Parts Cost Per Job'!AZ5*((1+$B$37)*$B$38))*ROUNDDOWN($B$1/'Scheduled Intervals'!AZ5,0),2),0)</f>
        <v>0</v>
      </c>
      <c r="BA76" s="246">
        <f>IF('Scheduled Intervals'!BA5&gt;0,ROUND(('Parts Cost Per Job'!BA5*((1+$B$37)*$B$38))*ROUNDDOWN($B$1/'Scheduled Intervals'!BA5,0),2),0)</f>
        <v>0</v>
      </c>
      <c r="BB76" s="246">
        <f>IF('Scheduled Intervals'!BB5&gt;0,ROUND(('Parts Cost Per Job'!BB5*((1+$B$37)*$B$38))*ROUNDDOWN($B$1/'Scheduled Intervals'!BB5,0),2),0)</f>
        <v>118.33</v>
      </c>
      <c r="BC76" s="246">
        <f>IF('Scheduled Intervals'!BC5&gt;0,ROUND(('Parts Cost Per Job'!BC5*((1+$B$37)*$B$38))*ROUNDDOWN($B$1/'Scheduled Intervals'!BC5,0),2),0)</f>
        <v>0</v>
      </c>
      <c r="BD76" s="246">
        <f>IF('Scheduled Intervals'!BD5&gt;0,ROUND(('Parts Cost Per Job'!BD5*((1+$B$37)*$B$38))*ROUNDDOWN($B$1/'Scheduled Intervals'!BD5,0),2),0)</f>
        <v>0</v>
      </c>
      <c r="BE76" s="246">
        <f>IF('Scheduled Intervals'!BE5&gt;0,ROUND(('Parts Cost Per Job'!BE5*((1+$B$37)*$B$38))*ROUNDDOWN($B$1/'Scheduled Intervals'!BE5,0),2),0)</f>
        <v>0</v>
      </c>
      <c r="BF76" s="246">
        <f>IF('Scheduled Intervals'!BF5&gt;0,ROUND(('Parts Cost Per Job'!BF5*((1+$B$37)*$B$38))*ROUNDDOWN($B$1/'Scheduled Intervals'!BF5,0),2),0)</f>
        <v>0</v>
      </c>
      <c r="BG76" s="246">
        <f>IF('Scheduled Intervals'!BG5&gt;0,ROUND(('Parts Cost Per Job'!BG5*((1+$B$37)*$B$38))*ROUNDDOWN($B$1/'Scheduled Intervals'!BG5,0),2),0)</f>
        <v>0</v>
      </c>
      <c r="BH76" s="246">
        <f>IF('Scheduled Intervals'!BH5&gt;0,ROUND(('Parts Cost Per Job'!BH5*((1+$B$37)*$B$38))*ROUNDDOWN($B$1/'Scheduled Intervals'!BH5,0),2),0)</f>
        <v>94.09</v>
      </c>
      <c r="BI76" s="246">
        <f>IF('Scheduled Intervals'!BI5&gt;0,ROUND(('Parts Cost Per Job'!BI5*((1+$B$37)*$B$38))*ROUNDDOWN($B$1/'Scheduled Intervals'!BI5,0),2),0)</f>
        <v>0</v>
      </c>
      <c r="BJ76" s="246">
        <f>IF('Scheduled Intervals'!BJ5&gt;0,ROUND(('Parts Cost Per Job'!BJ5*((1+$B$37)*$B$38))*ROUNDDOWN($B$1/'Scheduled Intervals'!BJ5,0),2),0)</f>
        <v>0</v>
      </c>
      <c r="BK76" s="246">
        <f>IF('Scheduled Intervals'!BK5&gt;0,ROUND(('Parts Cost Per Job'!BK5*((1+$B$37)*$B$38))*ROUNDDOWN($B$1/'Scheduled Intervals'!BK5,0),2),0)</f>
        <v>0</v>
      </c>
      <c r="BL76" s="246">
        <f>IF('Scheduled Intervals'!BL5&gt;0,ROUND(('Parts Cost Per Job'!BL5*((1+$B$37)*$B$38))*ROUNDDOWN($B$1/'Scheduled Intervals'!BL5,0),2),0)</f>
        <v>0</v>
      </c>
      <c r="BM76" s="246">
        <f>IF('Scheduled Intervals'!BM5&gt;0,ROUND(('Parts Cost Per Job'!BM5*((1+$B$37)*$B$38))*ROUNDDOWN($B$1/'Scheduled Intervals'!BM5,0),2),0)</f>
        <v>0</v>
      </c>
      <c r="BN76" s="246">
        <f>IF(AND('Scheduled Intervals'!BN$4="annual",'Plan Summary'!$C$5&lt;'Scheduled Intervals'!$U5*('Plan Summary'!$C$9/12)),ROUND('Parts Cost Per Job'!BN5*((1+$B$37)*$B$38)*ROUND('Plan Summary'!$C$9/12,0),2),0)</f>
        <v>140.13999999999999</v>
      </c>
      <c r="BO76" s="246">
        <f>IF(AND('Scheduled Intervals'!BO$4="annual",'Plan Summary'!$C$5&lt;'Scheduled Intervals'!$U5*('Plan Summary'!$C$9/12)),ROUND('Parts Cost Per Job'!BO5*((1+$B$37)*$B$38)*ROUND('Plan Summary'!$C$9/12,0),2),0)</f>
        <v>55.33</v>
      </c>
      <c r="BP76" s="246">
        <f>IF(AND('Scheduled Intervals'!BP$4="annual",'Plan Summary'!$C$5&lt;'Scheduled Intervals'!$U5*('Plan Summary'!$C$9/12)),ROUND('Parts Cost Per Job'!BP5*((1+$B$37)*$B$38)*ROUND('Plan Summary'!$C$9/12,0),2),0)</f>
        <v>0</v>
      </c>
      <c r="BQ76" s="246">
        <f t="shared" si="3"/>
        <v>645.34</v>
      </c>
      <c r="BR76" s="246"/>
    </row>
    <row r="77" spans="1:70" ht="16" x14ac:dyDescent="0.2">
      <c r="A77" s="18" t="str">
        <f>+'Scheduled Intervals'!A6</f>
        <v>Zero Turn Diesel</v>
      </c>
      <c r="B77" s="246">
        <f>ROUND((('Parts Cost Per Job'!B6)*((1+$B$37)*$B$38)),2)</f>
        <v>44.92</v>
      </c>
      <c r="C77" s="246">
        <f>ROUND((('Parts Cost Per Job'!C6)*((1+$B$37)*$B$38)),2)</f>
        <v>0</v>
      </c>
      <c r="D77" s="246">
        <f>ROUND((('Parts Cost Per Job'!D6)*((1+$B$37)*$B$38)),2)</f>
        <v>0</v>
      </c>
      <c r="E77" s="246">
        <f>ROUND((('Parts Cost Per Job'!E6)*((1+$B$37)*$B$38)),2)</f>
        <v>0</v>
      </c>
      <c r="F77" s="246">
        <f>ROUND((('Parts Cost Per Job'!F6)*((1+$B$37)*$B$38)),2)</f>
        <v>27.07</v>
      </c>
      <c r="G77" s="246">
        <f>ROUND((('Parts Cost Per Job'!G6)*((1+$B$37)*$B$38)),2)</f>
        <v>0</v>
      </c>
      <c r="H77" s="246">
        <f>ROUND((('Parts Cost Per Job'!H6)*((1+$B$37)*$B$38)),2)</f>
        <v>11.07</v>
      </c>
      <c r="I77" s="246">
        <f>ROUND((('Parts Cost Per Job'!I6)*((1+$B$37)*$B$38)),2)</f>
        <v>0</v>
      </c>
      <c r="J77" s="246">
        <f>ROUND((('Parts Cost Per Job'!J6)*((1+$B$37)*$B$38)),2)</f>
        <v>0</v>
      </c>
      <c r="K77" s="246">
        <f>ROUND((('Parts Cost Per Job'!K6)*((1+$B$37)*$B$38)),2)</f>
        <v>0</v>
      </c>
      <c r="L77" s="246">
        <f>ROUND((('Parts Cost Per Job'!L6)*((1+$B$37)*$B$38)),2)</f>
        <v>0</v>
      </c>
      <c r="M77" s="246">
        <f>ROUND((('Parts Cost Per Job'!M6)*((1+$B$37)*$B$38)),2)</f>
        <v>0</v>
      </c>
      <c r="N77" s="246">
        <f>ROUND((('Parts Cost Per Job'!N6)*((1+$B$37)*$B$38)),2)</f>
        <v>0</v>
      </c>
      <c r="O77" s="246">
        <f>ROUND((('Parts Cost Per Job'!O6)*((1+$B$37)*$B$38)),2)</f>
        <v>0</v>
      </c>
      <c r="P77" s="246">
        <f>ROUND((('Parts Cost Per Job'!P6)*((1+$B$37)*$B$38)),2)</f>
        <v>0</v>
      </c>
      <c r="Q77" s="246">
        <f>ROUND((('Parts Cost Per Job'!Q6)*((1+$B$37)*$B$38)),2)</f>
        <v>0</v>
      </c>
      <c r="R77" s="246">
        <f>ROUND((('Parts Cost Per Job'!R6)*((1+$B$37)*$B$38)),2)</f>
        <v>0</v>
      </c>
      <c r="S77" s="246">
        <f>ROUND((('Parts Cost Per Job'!S6)*((1+$B$37)*$B$38)),2)</f>
        <v>0</v>
      </c>
      <c r="T77" s="246">
        <f>ROUND((('Parts Cost Per Job'!T6)*((1+$B$37)*$B$38)),2)</f>
        <v>0</v>
      </c>
      <c r="U77" s="246">
        <f>IF('Scheduled Intervals'!U6&gt;0,ROUND(('Parts Cost Per Job'!U6*((1+$B$37)*$B$38))*ROUNDDOWN($B$1/'Scheduled Intervals'!U6,0),2),0)</f>
        <v>44.92</v>
      </c>
      <c r="V77" s="246">
        <f>IF('Scheduled Intervals'!V6&gt;0,ROUND(('Parts Cost Per Job'!V6*((1+$B$37)*$B$38))*ROUNDDOWN($B$1/'Scheduled Intervals'!V6,0),2),0)</f>
        <v>0</v>
      </c>
      <c r="W77" s="246">
        <f>IF('Scheduled Intervals'!W6&gt;0,ROUND(('Parts Cost Per Job'!W6*((1+$B$37)*$B$38))*ROUNDDOWN($B$1/'Scheduled Intervals'!W6,0),2),0)</f>
        <v>0</v>
      </c>
      <c r="X77" s="246">
        <f>IF('Scheduled Intervals'!X6&gt;0,ROUND(('Parts Cost Per Job'!X6*((1+$B$37)*$B$38))*ROUNDDOWN($B$1/'Scheduled Intervals'!X6,0),2),0)</f>
        <v>0</v>
      </c>
      <c r="Y77" s="246">
        <f>IF('Scheduled Intervals'!Y6&gt;0,ROUND(('Parts Cost Per Job'!Y6*((1+$B$37)*$B$38))*ROUNDDOWN($B$1/'Scheduled Intervals'!Y6,0),2),0)</f>
        <v>0</v>
      </c>
      <c r="Z77" s="246">
        <f>IF('Scheduled Intervals'!Z6&gt;0,ROUND(('Parts Cost Per Job'!Z6*((1+$B$37)*$B$38))*ROUNDDOWN($B$1/'Scheduled Intervals'!Z6,0),2),0)</f>
        <v>0</v>
      </c>
      <c r="AA77" s="246">
        <f>IF('Scheduled Intervals'!AA6&gt;0,ROUND(('Parts Cost Per Job'!AA6*((1+$B$37)*$B$38))*ROUNDDOWN($B$1/'Scheduled Intervals'!AA6,0),2),0)</f>
        <v>0</v>
      </c>
      <c r="AB77" s="246">
        <f>IF('Scheduled Intervals'!AB6&gt;0,ROUND(('Parts Cost Per Job'!AB6*((1+$B$37)*$B$38))*ROUNDDOWN($B$1/'Scheduled Intervals'!AB6,0),2),0)</f>
        <v>0</v>
      </c>
      <c r="AC77" s="246">
        <f>IF('Scheduled Intervals'!AC6&gt;0,ROUND(('Parts Cost Per Job'!AC6*((1+$B$37)*$B$38))*ROUNDDOWN($B$1/'Scheduled Intervals'!AC6,0),2),0)</f>
        <v>52.69</v>
      </c>
      <c r="AD77" s="246">
        <f>IF('Scheduled Intervals'!AD6&gt;0,ROUND(('Parts Cost Per Job'!AD6*((1+$B$37)*$B$38))*ROUNDDOWN($B$1/'Scheduled Intervals'!AD6,0),2),0)</f>
        <v>0</v>
      </c>
      <c r="AE77" s="246">
        <f>IF('Scheduled Intervals'!AE6&gt;0,ROUND(('Parts Cost Per Job'!AE6*((1+$B$37)*$B$38))*ROUNDDOWN($B$1/'Scheduled Intervals'!AE6,0),2),0)</f>
        <v>0</v>
      </c>
      <c r="AF77" s="246">
        <f>IF('Scheduled Intervals'!AF6&gt;0,ROUND(('Parts Cost Per Job'!AF6*((1+$B$37)*$B$38))*ROUNDDOWN($B$1/'Scheduled Intervals'!AF6,0),2),0)</f>
        <v>0</v>
      </c>
      <c r="AG77" s="246">
        <f>IF('Scheduled Intervals'!AG6&gt;0,ROUND(('Parts Cost Per Job'!AG6*((1+$B$37)*$B$38))*ROUNDDOWN($B$1/'Scheduled Intervals'!AG6,0),2),0)</f>
        <v>0</v>
      </c>
      <c r="AH77" s="246">
        <f>IF('Scheduled Intervals'!AH6&gt;0,ROUND(('Parts Cost Per Job'!AH6*((1+$B$37)*$B$38))*ROUNDDOWN($B$1/'Scheduled Intervals'!AH6,0),2),0)</f>
        <v>0</v>
      </c>
      <c r="AI77" s="246">
        <f>IF('Scheduled Intervals'!AI6&gt;0,ROUND(('Parts Cost Per Job'!AI6*((1+$B$37)*$B$38))*ROUNDDOWN($B$1/'Scheduled Intervals'!AI6,0),2),0)</f>
        <v>0</v>
      </c>
      <c r="AJ77" s="246">
        <f>IF('Scheduled Intervals'!AJ6&gt;0,ROUND(('Parts Cost Per Job'!AJ6*((1+$B$37)*$B$38))*ROUNDDOWN($B$1/'Scheduled Intervals'!AJ6,0),2),0)</f>
        <v>0</v>
      </c>
      <c r="AK77" s="246">
        <f>IF('Scheduled Intervals'!AK6&gt;0,ROUND(('Parts Cost Per Job'!AK6*((1+$B$37)*$B$38))*ROUNDDOWN($B$1/'Scheduled Intervals'!AK6,0),2),0)</f>
        <v>0</v>
      </c>
      <c r="AL77" s="246">
        <f>IF('Scheduled Intervals'!AL6&gt;0,ROUND(('Parts Cost Per Job'!AL6*((1+$B$37)*$B$38))*ROUNDDOWN($B$1/'Scheduled Intervals'!AL6,0),2),0)</f>
        <v>0</v>
      </c>
      <c r="AM77" s="246">
        <f>IF('Scheduled Intervals'!AM6&gt;0,ROUND(('Parts Cost Per Job'!AM6*((1+$B$37)*$B$38))*ROUNDDOWN($B$1/'Scheduled Intervals'!AM6,0),2),0)</f>
        <v>0</v>
      </c>
      <c r="AN77" s="246">
        <f>IF('Scheduled Intervals'!AN6&gt;0,ROUND(('Parts Cost Per Job'!AN6*((1+$B$37)*$B$38))*ROUNDDOWN($B$1/'Scheduled Intervals'!AN6,0),2),0)</f>
        <v>0</v>
      </c>
      <c r="AO77" s="246">
        <f>IF('Scheduled Intervals'!AO6&gt;0,ROUND(('Parts Cost Per Job'!AO6*((1+$B$37)*$B$38))*ROUNDDOWN($B$1/'Scheduled Intervals'!AO6,0),2),0)</f>
        <v>0</v>
      </c>
      <c r="AP77" s="246">
        <f>IF('Scheduled Intervals'!AP6&gt;0,ROUND(('Parts Cost Per Job'!AP6*((1+$B$37)*$B$38))*ROUNDDOWN($B$1/'Scheduled Intervals'!AP6,0),2),0)</f>
        <v>0</v>
      </c>
      <c r="AQ77" s="246">
        <f>IF('Scheduled Intervals'!AQ6&gt;0,ROUND(('Parts Cost Per Job'!AQ6*((1+$B$37)*$B$38))*ROUNDDOWN($B$1/'Scheduled Intervals'!AQ6,0),2),0)</f>
        <v>0</v>
      </c>
      <c r="AR77" s="246">
        <f>IF('Scheduled Intervals'!AR6&gt;0,ROUND(('Parts Cost Per Job'!AR6*((1+$B$37)*$B$38))*ROUNDDOWN($B$1/'Scheduled Intervals'!AR6,0),2),0)</f>
        <v>0</v>
      </c>
      <c r="AS77" s="246">
        <f>IF('Scheduled Intervals'!AS6&gt;0,ROUND(('Parts Cost Per Job'!AS6*((1+$B$37)*$B$38))*ROUNDDOWN($B$1/'Scheduled Intervals'!AS6,0),2),0)</f>
        <v>0</v>
      </c>
      <c r="AT77" s="246">
        <f>IF('Scheduled Intervals'!AT6&gt;0,ROUND(('Parts Cost Per Job'!AT6*((1+$B$37)*$B$38))*ROUNDDOWN($B$1/'Scheduled Intervals'!AT6,0),2),0)</f>
        <v>11.07</v>
      </c>
      <c r="AU77" s="246">
        <f>IF('Scheduled Intervals'!AU6&gt;0,ROUND(('Parts Cost Per Job'!AU6*((1+$B$37)*$B$38))*ROUNDDOWN($B$1/'Scheduled Intervals'!AU6,0),2),0)</f>
        <v>0</v>
      </c>
      <c r="AV77" s="246">
        <f>IF('Scheduled Intervals'!AV6&gt;0,ROUND(('Parts Cost Per Job'!AV6*((1+$B$37)*$B$38))*ROUNDDOWN($B$1/'Scheduled Intervals'!AV6,0),2),0)</f>
        <v>0</v>
      </c>
      <c r="AW77" s="246">
        <f>IF('Scheduled Intervals'!AW6&gt;0,ROUND(('Parts Cost Per Job'!AW6*((1+$B$37)*$B$38))*ROUNDDOWN($B$1/'Scheduled Intervals'!AW6,0),2),0)</f>
        <v>0</v>
      </c>
      <c r="AX77" s="246">
        <f>IF('Scheduled Intervals'!AX6&gt;0,ROUND(('Parts Cost Per Job'!AX6*((1+$B$37)*$B$38))*ROUNDDOWN($B$1/'Scheduled Intervals'!AX6,0),2),0)</f>
        <v>0</v>
      </c>
      <c r="AY77" s="246">
        <f>IF('Scheduled Intervals'!AY6&gt;0,ROUND(('Parts Cost Per Job'!AY6*((1+$B$37)*$B$38))*ROUNDDOWN($B$1/'Scheduled Intervals'!AY6,0),2),0)</f>
        <v>0</v>
      </c>
      <c r="AZ77" s="246">
        <f>IF('Scheduled Intervals'!AZ6&gt;0,ROUND(('Parts Cost Per Job'!AZ6*((1+$B$37)*$B$38))*ROUNDDOWN($B$1/'Scheduled Intervals'!AZ6,0),2),0)</f>
        <v>0</v>
      </c>
      <c r="BA77" s="246">
        <f>IF('Scheduled Intervals'!BA6&gt;0,ROUND(('Parts Cost Per Job'!BA6*((1+$B$37)*$B$38))*ROUNDDOWN($B$1/'Scheduled Intervals'!BA6,0),2),0)</f>
        <v>0</v>
      </c>
      <c r="BB77" s="246">
        <f>IF('Scheduled Intervals'!BB6&gt;0,ROUND(('Parts Cost Per Job'!BB6*((1+$B$37)*$B$38))*ROUNDDOWN($B$1/'Scheduled Intervals'!BB6,0),2),0)</f>
        <v>0</v>
      </c>
      <c r="BC77" s="246">
        <f>IF('Scheduled Intervals'!BC6&gt;0,ROUND(('Parts Cost Per Job'!BC6*((1+$B$37)*$B$38))*ROUNDDOWN($B$1/'Scheduled Intervals'!BC6,0),2),0)</f>
        <v>0</v>
      </c>
      <c r="BD77" s="246">
        <f>IF('Scheduled Intervals'!BD6&gt;0,ROUND(('Parts Cost Per Job'!BD6*((1+$B$37)*$B$38))*ROUNDDOWN($B$1/'Scheduled Intervals'!BD6,0),2),0)</f>
        <v>0</v>
      </c>
      <c r="BE77" s="246">
        <f>IF('Scheduled Intervals'!BE6&gt;0,ROUND(('Parts Cost Per Job'!BE6*((1+$B$37)*$B$38))*ROUNDDOWN($B$1/'Scheduled Intervals'!BE6,0),2),0)</f>
        <v>0</v>
      </c>
      <c r="BF77" s="246">
        <f>IF('Scheduled Intervals'!BF6&gt;0,ROUND(('Parts Cost Per Job'!BF6*((1+$B$37)*$B$38))*ROUNDDOWN($B$1/'Scheduled Intervals'!BF6,0),2),0)</f>
        <v>0</v>
      </c>
      <c r="BG77" s="246">
        <f>IF('Scheduled Intervals'!BG6&gt;0,ROUND(('Parts Cost Per Job'!BG6*((1+$B$37)*$B$38))*ROUNDDOWN($B$1/'Scheduled Intervals'!BG6,0),2),0)</f>
        <v>0</v>
      </c>
      <c r="BH77" s="246">
        <f>IF('Scheduled Intervals'!BH6&gt;0,ROUND(('Parts Cost Per Job'!BH6*((1+$B$37)*$B$38))*ROUNDDOWN($B$1/'Scheduled Intervals'!BH6,0),2),0)</f>
        <v>0</v>
      </c>
      <c r="BI77" s="246">
        <f>IF('Scheduled Intervals'!BI6&gt;0,ROUND(('Parts Cost Per Job'!BI6*((1+$B$37)*$B$38))*ROUNDDOWN($B$1/'Scheduled Intervals'!BI6,0),2),0)</f>
        <v>0</v>
      </c>
      <c r="BJ77" s="246">
        <f>IF('Scheduled Intervals'!BJ6&gt;0,ROUND(('Parts Cost Per Job'!BJ6*((1+$B$37)*$B$38))*ROUNDDOWN($B$1/'Scheduled Intervals'!BJ6,0),2),0)</f>
        <v>0</v>
      </c>
      <c r="BK77" s="246">
        <f>IF('Scheduled Intervals'!BK6&gt;0,ROUND(('Parts Cost Per Job'!BK6*((1+$B$37)*$B$38))*ROUNDDOWN($B$1/'Scheduled Intervals'!BK6,0),2),0)</f>
        <v>0</v>
      </c>
      <c r="BL77" s="246">
        <f>IF('Scheduled Intervals'!BL6&gt;0,ROUND(('Parts Cost Per Job'!BL6*((1+$B$37)*$B$38))*ROUNDDOWN($B$1/'Scheduled Intervals'!BL6,0),2),0)</f>
        <v>0</v>
      </c>
      <c r="BM77" s="246">
        <f>IF('Scheduled Intervals'!BM6&gt;0,ROUND(('Parts Cost Per Job'!BM6*((1+$B$37)*$B$38))*ROUNDDOWN($B$1/'Scheduled Intervals'!BM6,0),2),0)</f>
        <v>0</v>
      </c>
      <c r="BN77" s="246">
        <f>IF(AND('Scheduled Intervals'!BN$4="annual",'Plan Summary'!$C$5&lt;'Scheduled Intervals'!$U6*('Plan Summary'!$C$9/12)),ROUND('Parts Cost Per Job'!BN6*((1+$B$37)*$B$38)*ROUND('Plan Summary'!$C$9/12,0),2),0)</f>
        <v>224.59</v>
      </c>
      <c r="BO77" s="246">
        <f>IF(AND('Scheduled Intervals'!BO$4="annual",'Plan Summary'!$C$5&lt;'Scheduled Intervals'!$U6*('Plan Summary'!$C$9/12)),ROUND('Parts Cost Per Job'!BO6*((1+$B$37)*$B$38)*ROUND('Plan Summary'!$C$9/12,0),2),0)</f>
        <v>55.33</v>
      </c>
      <c r="BP77" s="246">
        <f>IF(AND('Scheduled Intervals'!BP$4="annual",'Plan Summary'!$C$5&lt;'Scheduled Intervals'!$U6*('Plan Summary'!$C$9/12)),ROUND('Parts Cost Per Job'!BP6*((1+$B$37)*$B$38)*ROUND('Plan Summary'!$C$9/12,0),2),0)</f>
        <v>0</v>
      </c>
      <c r="BQ77" s="246">
        <f t="shared" si="3"/>
        <v>471.66</v>
      </c>
      <c r="BR77" s="246"/>
    </row>
    <row r="78" spans="1:70" ht="16" x14ac:dyDescent="0.2">
      <c r="A78" s="18" t="str">
        <f>+'Scheduled Intervals'!A7</f>
        <v>Compact L series</v>
      </c>
      <c r="B78" s="246">
        <f>ROUND((('Parts Cost Per Job'!B7)*((1+$B$37)*$B$38)),2)</f>
        <v>45.92</v>
      </c>
      <c r="C78" s="246">
        <f>ROUND((('Parts Cost Per Job'!C7)*((1+$B$37)*$B$38)),2)</f>
        <v>0</v>
      </c>
      <c r="D78" s="246">
        <f>ROUND((('Parts Cost Per Job'!D7)*((1+$B$37)*$B$38)),2)</f>
        <v>0</v>
      </c>
      <c r="E78" s="246">
        <f>ROUND((('Parts Cost Per Job'!E7)*((1+$B$37)*$B$38)),2)</f>
        <v>0</v>
      </c>
      <c r="F78" s="246">
        <f>ROUND((('Parts Cost Per Job'!F7)*((1+$B$37)*$B$38)),2)</f>
        <v>27.07</v>
      </c>
      <c r="G78" s="246">
        <f>ROUND((('Parts Cost Per Job'!G7)*((1+$B$37)*$B$38)),2)</f>
        <v>0</v>
      </c>
      <c r="H78" s="246">
        <f>ROUND((('Parts Cost Per Job'!H7)*((1+$B$37)*$B$38)),2)</f>
        <v>11.07</v>
      </c>
      <c r="I78" s="246">
        <f>ROUND((('Parts Cost Per Job'!I7)*((1+$B$37)*$B$38)),2)</f>
        <v>0</v>
      </c>
      <c r="J78" s="246">
        <f>ROUND((('Parts Cost Per Job'!J7)*((1+$B$37)*$B$38)),2)</f>
        <v>0</v>
      </c>
      <c r="K78" s="246">
        <f>ROUND((('Parts Cost Per Job'!K7)*((1+$B$37)*$B$38)),2)</f>
        <v>0</v>
      </c>
      <c r="L78" s="246">
        <f>ROUND((('Parts Cost Per Job'!L7)*((1+$B$37)*$B$38)),2)</f>
        <v>0</v>
      </c>
      <c r="M78" s="246">
        <f>ROUND((('Parts Cost Per Job'!M7)*((1+$B$37)*$B$38)),2)</f>
        <v>27.07</v>
      </c>
      <c r="N78" s="246">
        <f>ROUND((('Parts Cost Per Job'!N7)*((1+$B$37)*$B$38)),2)</f>
        <v>0</v>
      </c>
      <c r="O78" s="246">
        <f>ROUND((('Parts Cost Per Job'!O7)*((1+$B$37)*$B$38)),2)</f>
        <v>0</v>
      </c>
      <c r="P78" s="246">
        <f>ROUND((('Parts Cost Per Job'!P7)*((1+$B$37)*$B$38)),2)</f>
        <v>0</v>
      </c>
      <c r="Q78" s="246">
        <f>ROUND((('Parts Cost Per Job'!Q7)*((1+$B$37)*$B$38)),2)</f>
        <v>0</v>
      </c>
      <c r="R78" s="246">
        <f>ROUND((('Parts Cost Per Job'!R7)*((1+$B$37)*$B$38)),2)</f>
        <v>0</v>
      </c>
      <c r="S78" s="246">
        <f>ROUND((('Parts Cost Per Job'!S7)*((1+$B$37)*$B$38)),2)</f>
        <v>0</v>
      </c>
      <c r="T78" s="246">
        <f>ROUND((('Parts Cost Per Job'!T7)*((1+$B$37)*$B$38)),2)</f>
        <v>0</v>
      </c>
      <c r="U78" s="246">
        <f>IF('Scheduled Intervals'!U7&gt;0,ROUND(('Parts Cost Per Job'!U7*((1+$B$37)*$B$38))*ROUNDDOWN($B$1/'Scheduled Intervals'!U7,0),2),0)</f>
        <v>45.92</v>
      </c>
      <c r="V78" s="246">
        <f>IF('Scheduled Intervals'!V7&gt;0,ROUND(('Parts Cost Per Job'!V7*((1+$B$37)*$B$38))*ROUNDDOWN($B$1/'Scheduled Intervals'!V7,0),2),0)</f>
        <v>0</v>
      </c>
      <c r="W78" s="246">
        <f>IF('Scheduled Intervals'!W7&gt;0,ROUND(('Parts Cost Per Job'!W7*((1+$B$37)*$B$38))*ROUNDDOWN($B$1/'Scheduled Intervals'!W7,0),2),0)</f>
        <v>0</v>
      </c>
      <c r="X78" s="246">
        <f>IF('Scheduled Intervals'!X7&gt;0,ROUND(('Parts Cost Per Job'!X7*((1+$B$37)*$B$38))*ROUNDDOWN($B$1/'Scheduled Intervals'!X7,0),2),0)</f>
        <v>0</v>
      </c>
      <c r="Y78" s="246">
        <f>IF('Scheduled Intervals'!Y7&gt;0,ROUND(('Parts Cost Per Job'!Y7*((1+$B$37)*$B$38))*ROUNDDOWN($B$1/'Scheduled Intervals'!Y7,0),2),0)</f>
        <v>0</v>
      </c>
      <c r="Z78" s="246">
        <f>IF('Scheduled Intervals'!Z7&gt;0,ROUND(('Parts Cost Per Job'!Z7*((1+$B$37)*$B$38))*ROUNDDOWN($B$1/'Scheduled Intervals'!Z7,0),2),0)</f>
        <v>0</v>
      </c>
      <c r="AA78" s="246">
        <f>IF('Scheduled Intervals'!AA7&gt;0,ROUND(('Parts Cost Per Job'!AA7*((1+$B$37)*$B$38))*ROUNDDOWN($B$1/'Scheduled Intervals'!AA7,0),2),0)</f>
        <v>0</v>
      </c>
      <c r="AB78" s="246">
        <f>IF('Scheduled Intervals'!AB7&gt;0,ROUND(('Parts Cost Per Job'!AB7*((1+$B$37)*$B$38))*ROUNDDOWN($B$1/'Scheduled Intervals'!AB7,0),2),0)</f>
        <v>0</v>
      </c>
      <c r="AC78" s="246">
        <f>IF('Scheduled Intervals'!AC7&gt;0,ROUND(('Parts Cost Per Job'!AC7*((1+$B$37)*$B$38))*ROUNDDOWN($B$1/'Scheduled Intervals'!AC7,0),2),0)</f>
        <v>27.07</v>
      </c>
      <c r="AD78" s="246">
        <f>IF('Scheduled Intervals'!AD7&gt;0,ROUND(('Parts Cost Per Job'!AD7*((1+$B$37)*$B$38))*ROUNDDOWN($B$1/'Scheduled Intervals'!AD7,0),2),0)</f>
        <v>0</v>
      </c>
      <c r="AE78" s="246">
        <f>IF('Scheduled Intervals'!AE7&gt;0,ROUND(('Parts Cost Per Job'!AE7*((1+$B$37)*$B$38))*ROUNDDOWN($B$1/'Scheduled Intervals'!AE7,0),2),0)</f>
        <v>0</v>
      </c>
      <c r="AF78" s="246">
        <f>IF('Scheduled Intervals'!AF7&gt;0,ROUND(('Parts Cost Per Job'!AF7*((1+$B$37)*$B$38))*ROUNDDOWN($B$1/'Scheduled Intervals'!AF7,0),2),0)</f>
        <v>0</v>
      </c>
      <c r="AG78" s="246">
        <f>IF('Scheduled Intervals'!AG7&gt;0,ROUND(('Parts Cost Per Job'!AG7*((1+$B$37)*$B$38))*ROUNDDOWN($B$1/'Scheduled Intervals'!AG7,0),2),0)</f>
        <v>0</v>
      </c>
      <c r="AH78" s="246">
        <f>IF('Scheduled Intervals'!AH7&gt;0,ROUND(('Parts Cost Per Job'!AH7*((1+$B$37)*$B$38))*ROUNDDOWN($B$1/'Scheduled Intervals'!AH7,0),2),0)</f>
        <v>0</v>
      </c>
      <c r="AI78" s="246">
        <f>IF('Scheduled Intervals'!AI7&gt;0,ROUND(('Parts Cost Per Job'!AI7*((1+$B$37)*$B$38))*ROUNDDOWN($B$1/'Scheduled Intervals'!AI7,0),2),0)</f>
        <v>0</v>
      </c>
      <c r="AJ78" s="246">
        <f>IF('Scheduled Intervals'!AJ7&gt;0,ROUND(('Parts Cost Per Job'!AJ7*((1+$B$37)*$B$38))*ROUNDDOWN($B$1/'Scheduled Intervals'!AJ7,0),2),0)</f>
        <v>0</v>
      </c>
      <c r="AK78" s="246">
        <f>IF('Scheduled Intervals'!AK7&gt;0,ROUND(('Parts Cost Per Job'!AK7*((1+$B$37)*$B$38))*ROUNDDOWN($B$1/'Scheduled Intervals'!AK7,0),2),0)</f>
        <v>0</v>
      </c>
      <c r="AL78" s="246">
        <f>IF('Scheduled Intervals'!AL7&gt;0,ROUND(('Parts Cost Per Job'!AL7*((1+$B$37)*$B$38))*ROUNDDOWN($B$1/'Scheduled Intervals'!AL7,0),2),0)</f>
        <v>0</v>
      </c>
      <c r="AM78" s="246">
        <f>IF('Scheduled Intervals'!AM7&gt;0,ROUND(('Parts Cost Per Job'!AM7*((1+$B$37)*$B$38))*ROUNDDOWN($B$1/'Scheduled Intervals'!AM7,0),2),0)</f>
        <v>0</v>
      </c>
      <c r="AN78" s="246">
        <f>IF('Scheduled Intervals'!AN7&gt;0,ROUND(('Parts Cost Per Job'!AN7*((1+$B$37)*$B$38))*ROUNDDOWN($B$1/'Scheduled Intervals'!AN7,0),2),0)</f>
        <v>0</v>
      </c>
      <c r="AO78" s="246">
        <f>IF('Scheduled Intervals'!AO7&gt;0,ROUND(('Parts Cost Per Job'!AO7*((1+$B$37)*$B$38))*ROUNDDOWN($B$1/'Scheduled Intervals'!AO7,0),2),0)</f>
        <v>0</v>
      </c>
      <c r="AP78" s="246">
        <f>IF('Scheduled Intervals'!AP7&gt;0,ROUND(('Parts Cost Per Job'!AP7*((1+$B$37)*$B$38))*ROUNDDOWN($B$1/'Scheduled Intervals'!AP7,0),2),0)</f>
        <v>0</v>
      </c>
      <c r="AQ78" s="246">
        <f>IF('Scheduled Intervals'!AQ7&gt;0,ROUND(('Parts Cost Per Job'!AQ7*((1+$B$37)*$B$38))*ROUNDDOWN($B$1/'Scheduled Intervals'!AQ7,0),2),0)</f>
        <v>0</v>
      </c>
      <c r="AR78" s="246">
        <f>IF('Scheduled Intervals'!AR7&gt;0,ROUND(('Parts Cost Per Job'!AR7*((1+$B$37)*$B$38))*ROUNDDOWN($B$1/'Scheduled Intervals'!AR7,0),2),0)</f>
        <v>0</v>
      </c>
      <c r="AS78" s="246">
        <f>IF('Scheduled Intervals'!AS7&gt;0,ROUND(('Parts Cost Per Job'!AS7*((1+$B$37)*$B$38))*ROUNDDOWN($B$1/'Scheduled Intervals'!AS7,0),2),0)</f>
        <v>0</v>
      </c>
      <c r="AT78" s="246">
        <f>IF('Scheduled Intervals'!AT7&gt;0,ROUND(('Parts Cost Per Job'!AT7*((1+$B$37)*$B$38))*ROUNDDOWN($B$1/'Scheduled Intervals'!AT7,0),2),0)</f>
        <v>11.07</v>
      </c>
      <c r="AU78" s="246">
        <f>IF('Scheduled Intervals'!AU7&gt;0,ROUND(('Parts Cost Per Job'!AU7*((1+$B$37)*$B$38))*ROUNDDOWN($B$1/'Scheduled Intervals'!AU7,0),2),0)</f>
        <v>0</v>
      </c>
      <c r="AV78" s="246">
        <f>IF('Scheduled Intervals'!AV7&gt;0,ROUND(('Parts Cost Per Job'!AV7*((1+$B$37)*$B$38))*ROUNDDOWN($B$1/'Scheduled Intervals'!AV7,0),2),0)</f>
        <v>0</v>
      </c>
      <c r="AW78" s="246">
        <f>IF('Scheduled Intervals'!AW7&gt;0,ROUND(('Parts Cost Per Job'!AW7*((1+$B$37)*$B$38))*ROUNDDOWN($B$1/'Scheduled Intervals'!AW7,0),2),0)</f>
        <v>0</v>
      </c>
      <c r="AX78" s="246">
        <f>IF('Scheduled Intervals'!AX7&gt;0,ROUND(('Parts Cost Per Job'!AX7*((1+$B$37)*$B$38))*ROUNDDOWN($B$1/'Scheduled Intervals'!AX7,0),2),0)</f>
        <v>0</v>
      </c>
      <c r="AY78" s="246">
        <f>IF('Scheduled Intervals'!AY7&gt;0,ROUND(('Parts Cost Per Job'!AY7*((1+$B$37)*$B$38))*ROUNDDOWN($B$1/'Scheduled Intervals'!AY7,0),2),0)</f>
        <v>0</v>
      </c>
      <c r="AZ78" s="246">
        <f>IF('Scheduled Intervals'!AZ7&gt;0,ROUND(('Parts Cost Per Job'!AZ7*((1+$B$37)*$B$38))*ROUNDDOWN($B$1/'Scheduled Intervals'!AZ7,0),2),0)</f>
        <v>0</v>
      </c>
      <c r="BA78" s="246">
        <f>IF('Scheduled Intervals'!BA7&gt;0,ROUND(('Parts Cost Per Job'!BA7*((1+$B$37)*$B$38))*ROUNDDOWN($B$1/'Scheduled Intervals'!BA7,0),2),0)</f>
        <v>0</v>
      </c>
      <c r="BB78" s="246">
        <f>IF('Scheduled Intervals'!BB7&gt;0,ROUND(('Parts Cost Per Job'!BB7*((1+$B$37)*$B$38))*ROUNDDOWN($B$1/'Scheduled Intervals'!BB7,0),2),0)</f>
        <v>0</v>
      </c>
      <c r="BC78" s="246">
        <f>IF('Scheduled Intervals'!BC7&gt;0,ROUND(('Parts Cost Per Job'!BC7*((1+$B$37)*$B$38))*ROUNDDOWN($B$1/'Scheduled Intervals'!BC7,0),2),0)</f>
        <v>0</v>
      </c>
      <c r="BD78" s="246">
        <f>IF('Scheduled Intervals'!BD7&gt;0,ROUND(('Parts Cost Per Job'!BD7*((1+$B$37)*$B$38))*ROUNDDOWN($B$1/'Scheduled Intervals'!BD7,0),2),0)</f>
        <v>0</v>
      </c>
      <c r="BE78" s="246">
        <f>IF('Scheduled Intervals'!BE7&gt;0,ROUND(('Parts Cost Per Job'!BE7*((1+$B$37)*$B$38))*ROUNDDOWN($B$1/'Scheduled Intervals'!BE7,0),2),0)</f>
        <v>0</v>
      </c>
      <c r="BF78" s="246">
        <f>IF('Scheduled Intervals'!BF7&gt;0,ROUND(('Parts Cost Per Job'!BF7*((1+$B$37)*$B$38))*ROUNDDOWN($B$1/'Scheduled Intervals'!BF7,0),2),0)</f>
        <v>0</v>
      </c>
      <c r="BG78" s="246">
        <f>IF('Scheduled Intervals'!BG7&gt;0,ROUND(('Parts Cost Per Job'!BG7*((1+$B$37)*$B$38))*ROUNDDOWN($B$1/'Scheduled Intervals'!BG7,0),2),0)</f>
        <v>0</v>
      </c>
      <c r="BH78" s="246">
        <f>IF('Scheduled Intervals'!BH7&gt;0,ROUND(('Parts Cost Per Job'!BH7*((1+$B$37)*$B$38))*ROUNDDOWN($B$1/'Scheduled Intervals'!BH7,0),2),0)</f>
        <v>0</v>
      </c>
      <c r="BI78" s="246">
        <f>IF('Scheduled Intervals'!BI7&gt;0,ROUND(('Parts Cost Per Job'!BI7*((1+$B$37)*$B$38))*ROUNDDOWN($B$1/'Scheduled Intervals'!BI7,0),2),0)</f>
        <v>0</v>
      </c>
      <c r="BJ78" s="246">
        <f>IF('Scheduled Intervals'!BJ7&gt;0,ROUND(('Parts Cost Per Job'!BJ7*((1+$B$37)*$B$38))*ROUNDDOWN($B$1/'Scheduled Intervals'!BJ7,0),2),0)</f>
        <v>0</v>
      </c>
      <c r="BK78" s="246">
        <f>IF('Scheduled Intervals'!BK7&gt;0,ROUND(('Parts Cost Per Job'!BK7*((1+$B$37)*$B$38))*ROUNDDOWN($B$1/'Scheduled Intervals'!BK7,0),2),0)</f>
        <v>0</v>
      </c>
      <c r="BL78" s="246">
        <f>IF('Scheduled Intervals'!BL7&gt;0,ROUND(('Parts Cost Per Job'!BL7*((1+$B$37)*$B$38))*ROUNDDOWN($B$1/'Scheduled Intervals'!BL7,0),2),0)</f>
        <v>0</v>
      </c>
      <c r="BM78" s="246">
        <f>IF('Scheduled Intervals'!BM7&gt;0,ROUND(('Parts Cost Per Job'!BM7*((1+$B$37)*$B$38))*ROUNDDOWN($B$1/'Scheduled Intervals'!BM7,0),2),0)</f>
        <v>0</v>
      </c>
      <c r="BN78" s="246">
        <f>IF(AND('Scheduled Intervals'!BN$4="annual",'Plan Summary'!$C$5&lt;'Scheduled Intervals'!$U7*('Plan Summary'!$C$9/12)),ROUND('Parts Cost Per Job'!BN7*((1+$B$37)*$B$38)*ROUND('Plan Summary'!$C$9/12,0),2),0)</f>
        <v>229.61</v>
      </c>
      <c r="BO78" s="246">
        <f>IF(AND('Scheduled Intervals'!BO$4="annual",'Plan Summary'!$C$5&lt;'Scheduled Intervals'!$U7*('Plan Summary'!$C$9/12)),ROUND('Parts Cost Per Job'!BO7*((1+$B$37)*$B$38)*ROUND('Plan Summary'!$C$9/12,0),2),0)</f>
        <v>55.33</v>
      </c>
      <c r="BP78" s="246">
        <f>IF(AND('Scheduled Intervals'!BP$4="annual",'Plan Summary'!$C$5&lt;'Scheduled Intervals'!$U7*('Plan Summary'!$C$9/12)),ROUND('Parts Cost Per Job'!BP7*((1+$B$37)*$B$38)*ROUND('Plan Summary'!$C$9/12,0),2),0)</f>
        <v>0</v>
      </c>
      <c r="BQ78" s="246">
        <f t="shared" si="3"/>
        <v>480.13</v>
      </c>
      <c r="BR78" s="246"/>
    </row>
    <row r="79" spans="1:70" ht="16" x14ac:dyDescent="0.2">
      <c r="A79" s="18" t="str">
        <f>+'Scheduled Intervals'!A8</f>
        <v>Utility under 75 MX&amp;M</v>
      </c>
      <c r="B79" s="246">
        <f>ROUND((('Parts Cost Per Job'!B8)*((1+$B$37)*$B$38)),2)</f>
        <v>58.01</v>
      </c>
      <c r="C79" s="246">
        <f>ROUND((('Parts Cost Per Job'!C8)*((1+$B$37)*$B$38)),2)</f>
        <v>0</v>
      </c>
      <c r="D79" s="246">
        <f>ROUND((('Parts Cost Per Job'!D8)*((1+$B$37)*$B$38)),2)</f>
        <v>0</v>
      </c>
      <c r="E79" s="246">
        <f>ROUND((('Parts Cost Per Job'!E8)*((1+$B$37)*$B$38)),2)</f>
        <v>0</v>
      </c>
      <c r="F79" s="246">
        <f>ROUND((('Parts Cost Per Job'!F8)*((1+$B$37)*$B$38)),2)</f>
        <v>77.44</v>
      </c>
      <c r="G79" s="246">
        <f>ROUND((('Parts Cost Per Job'!G8)*((1+$B$37)*$B$38)),2)</f>
        <v>0</v>
      </c>
      <c r="H79" s="246">
        <f>ROUND((('Parts Cost Per Job'!H8)*((1+$B$37)*$B$38)),2)</f>
        <v>11.07</v>
      </c>
      <c r="I79" s="246">
        <f>ROUND((('Parts Cost Per Job'!I8)*((1+$B$37)*$B$38)),2)</f>
        <v>0</v>
      </c>
      <c r="J79" s="246">
        <f>ROUND((('Parts Cost Per Job'!J8)*((1+$B$37)*$B$38)),2)</f>
        <v>0</v>
      </c>
      <c r="K79" s="246">
        <f>ROUND((('Parts Cost Per Job'!K8)*((1+$B$37)*$B$38)),2)</f>
        <v>0</v>
      </c>
      <c r="L79" s="246">
        <f>ROUND((('Parts Cost Per Job'!L8)*((1+$B$37)*$B$38)),2)</f>
        <v>0</v>
      </c>
      <c r="M79" s="246">
        <f>ROUND((('Parts Cost Per Job'!M8)*((1+$B$37)*$B$38)),2)</f>
        <v>0</v>
      </c>
      <c r="N79" s="246">
        <f>ROUND((('Parts Cost Per Job'!N8)*((1+$B$37)*$B$38)),2)</f>
        <v>0</v>
      </c>
      <c r="O79" s="246">
        <f>ROUND((('Parts Cost Per Job'!O8)*((1+$B$37)*$B$38)),2)</f>
        <v>0</v>
      </c>
      <c r="P79" s="246">
        <f>ROUND((('Parts Cost Per Job'!P8)*((1+$B$37)*$B$38)),2)</f>
        <v>0</v>
      </c>
      <c r="Q79" s="246">
        <f>ROUND((('Parts Cost Per Job'!Q8)*((1+$B$37)*$B$38)),2)</f>
        <v>0</v>
      </c>
      <c r="R79" s="246">
        <f>ROUND((('Parts Cost Per Job'!R8)*((1+$B$37)*$B$38)),2)</f>
        <v>0</v>
      </c>
      <c r="S79" s="246">
        <f>ROUND((('Parts Cost Per Job'!S8)*((1+$B$37)*$B$38)),2)</f>
        <v>0</v>
      </c>
      <c r="T79" s="246">
        <f>ROUND((('Parts Cost Per Job'!T8)*((1+$B$37)*$B$38)),2)</f>
        <v>0</v>
      </c>
      <c r="U79" s="246">
        <f>IF('Scheduled Intervals'!U8&gt;0,ROUND(('Parts Cost Per Job'!U8*((1+$B$37)*$B$38))*ROUNDDOWN($B$1/'Scheduled Intervals'!U8,0),2),0)</f>
        <v>0</v>
      </c>
      <c r="V79" s="246">
        <f>IF('Scheduled Intervals'!V8&gt;0,ROUND(('Parts Cost Per Job'!V8*((1+$B$37)*$B$38))*ROUNDDOWN($B$1/'Scheduled Intervals'!V8,0),2),0)</f>
        <v>0</v>
      </c>
      <c r="W79" s="246">
        <f>IF('Scheduled Intervals'!W8&gt;0,ROUND(('Parts Cost Per Job'!W8*((1+$B$37)*$B$38))*ROUNDDOWN($B$1/'Scheduled Intervals'!W8,0),2),0)</f>
        <v>0</v>
      </c>
      <c r="X79" s="246">
        <f>IF('Scheduled Intervals'!X8&gt;0,ROUND(('Parts Cost Per Job'!X8*((1+$B$37)*$B$38))*ROUNDDOWN($B$1/'Scheduled Intervals'!X8,0),2),0)</f>
        <v>0</v>
      </c>
      <c r="Y79" s="246">
        <f>IF('Scheduled Intervals'!Y8&gt;0,ROUND(('Parts Cost Per Job'!Y8*((1+$B$37)*$B$38))*ROUNDDOWN($B$1/'Scheduled Intervals'!Y8,0),2),0)</f>
        <v>0</v>
      </c>
      <c r="Z79" s="246">
        <f>IF('Scheduled Intervals'!Z8&gt;0,ROUND(('Parts Cost Per Job'!Z8*((1+$B$37)*$B$38))*ROUNDDOWN($B$1/'Scheduled Intervals'!Z8,0),2),0)</f>
        <v>0</v>
      </c>
      <c r="AA79" s="246">
        <f>IF('Scheduled Intervals'!AA8&gt;0,ROUND(('Parts Cost Per Job'!AA8*((1+$B$37)*$B$38))*ROUNDDOWN($B$1/'Scheduled Intervals'!AA8,0),2),0)</f>
        <v>0</v>
      </c>
      <c r="AB79" s="246">
        <f>IF('Scheduled Intervals'!AB8&gt;0,ROUND(('Parts Cost Per Job'!AB8*((1+$B$37)*$B$38))*ROUNDDOWN($B$1/'Scheduled Intervals'!AB8,0),2),0)</f>
        <v>0</v>
      </c>
      <c r="AC79" s="246">
        <f>IF('Scheduled Intervals'!AC8&gt;0,ROUND(('Parts Cost Per Job'!AC8*((1+$B$37)*$B$38))*ROUNDDOWN($B$1/'Scheduled Intervals'!AC8,0),2),0)</f>
        <v>0</v>
      </c>
      <c r="AD79" s="246">
        <f>IF('Scheduled Intervals'!AD8&gt;0,ROUND(('Parts Cost Per Job'!AD8*((1+$B$37)*$B$38))*ROUNDDOWN($B$1/'Scheduled Intervals'!AD8,0),2),0)</f>
        <v>0</v>
      </c>
      <c r="AE79" s="246">
        <f>IF('Scheduled Intervals'!AE8&gt;0,ROUND(('Parts Cost Per Job'!AE8*((1+$B$37)*$B$38))*ROUNDDOWN($B$1/'Scheduled Intervals'!AE8,0),2),0)</f>
        <v>0</v>
      </c>
      <c r="AF79" s="246">
        <f>IF('Scheduled Intervals'!AF8&gt;0,ROUND(('Parts Cost Per Job'!AF8*((1+$B$37)*$B$38))*ROUNDDOWN($B$1/'Scheduled Intervals'!AF8,0),2),0)</f>
        <v>0</v>
      </c>
      <c r="AG79" s="246">
        <f>IF('Scheduled Intervals'!AG8&gt;0,ROUND(('Parts Cost Per Job'!AG8*((1+$B$37)*$B$38))*ROUNDDOWN($B$1/'Scheduled Intervals'!AG8,0),2),0)</f>
        <v>0</v>
      </c>
      <c r="AH79" s="246">
        <f>IF('Scheduled Intervals'!AH8&gt;0,ROUND(('Parts Cost Per Job'!AH8*((1+$B$37)*$B$38))*ROUNDDOWN($B$1/'Scheduled Intervals'!AH8,0),2),0)</f>
        <v>0</v>
      </c>
      <c r="AI79" s="246">
        <f>IF('Scheduled Intervals'!AI8&gt;0,ROUND(('Parts Cost Per Job'!AI8*((1+$B$37)*$B$38))*ROUNDDOWN($B$1/'Scheduled Intervals'!AI8,0),2),0)</f>
        <v>0</v>
      </c>
      <c r="AJ79" s="246">
        <f>IF('Scheduled Intervals'!AJ8&gt;0,ROUND(('Parts Cost Per Job'!AJ8*((1+$B$37)*$B$38))*ROUNDDOWN($B$1/'Scheduled Intervals'!AJ8,0),2),0)</f>
        <v>0</v>
      </c>
      <c r="AK79" s="246">
        <f>IF('Scheduled Intervals'!AK8&gt;0,ROUND(('Parts Cost Per Job'!AK8*((1+$B$37)*$B$38))*ROUNDDOWN($B$1/'Scheduled Intervals'!AK8,0),2),0)</f>
        <v>0</v>
      </c>
      <c r="AL79" s="246">
        <f>IF('Scheduled Intervals'!AL8&gt;0,ROUND(('Parts Cost Per Job'!AL8*((1+$B$37)*$B$38))*ROUNDDOWN($B$1/'Scheduled Intervals'!AL8,0),2),0)</f>
        <v>0</v>
      </c>
      <c r="AM79" s="246">
        <f>IF('Scheduled Intervals'!AM8&gt;0,ROUND(('Parts Cost Per Job'!AM8*((1+$B$37)*$B$38))*ROUNDDOWN($B$1/'Scheduled Intervals'!AM8,0),2),0)</f>
        <v>0</v>
      </c>
      <c r="AN79" s="246">
        <f>IF('Scheduled Intervals'!AN8&gt;0,ROUND(('Parts Cost Per Job'!AN8*((1+$B$37)*$B$38))*ROUNDDOWN($B$1/'Scheduled Intervals'!AN8,0),2),0)</f>
        <v>0</v>
      </c>
      <c r="AO79" s="246">
        <f>IF('Scheduled Intervals'!AO8&gt;0,ROUND(('Parts Cost Per Job'!AO8*((1+$B$37)*$B$38))*ROUNDDOWN($B$1/'Scheduled Intervals'!AO8,0),2),0)</f>
        <v>0</v>
      </c>
      <c r="AP79" s="246">
        <f>IF('Scheduled Intervals'!AP8&gt;0,ROUND(('Parts Cost Per Job'!AP8*((1+$B$37)*$B$38))*ROUNDDOWN($B$1/'Scheduled Intervals'!AP8,0),2),0)</f>
        <v>0</v>
      </c>
      <c r="AQ79" s="246">
        <f>IF('Scheduled Intervals'!AQ8&gt;0,ROUND(('Parts Cost Per Job'!AQ8*((1+$B$37)*$B$38))*ROUNDDOWN($B$1/'Scheduled Intervals'!AQ8,0),2),0)</f>
        <v>0</v>
      </c>
      <c r="AR79" s="246">
        <f>IF('Scheduled Intervals'!AR8&gt;0,ROUND(('Parts Cost Per Job'!AR8*((1+$B$37)*$B$38))*ROUNDDOWN($B$1/'Scheduled Intervals'!AR8,0),2),0)</f>
        <v>0</v>
      </c>
      <c r="AS79" s="246">
        <f>IF('Scheduled Intervals'!AS8&gt;0,ROUND(('Parts Cost Per Job'!AS8*((1+$B$37)*$B$38))*ROUNDDOWN($B$1/'Scheduled Intervals'!AS8,0),2),0)</f>
        <v>0</v>
      </c>
      <c r="AT79" s="246">
        <f>IF('Scheduled Intervals'!AT8&gt;0,ROUND(('Parts Cost Per Job'!AT8*((1+$B$37)*$B$38))*ROUNDDOWN($B$1/'Scheduled Intervals'!AT8,0),2),0)</f>
        <v>0</v>
      </c>
      <c r="AU79" s="246">
        <f>IF('Scheduled Intervals'!AU8&gt;0,ROUND(('Parts Cost Per Job'!AU8*((1+$B$37)*$B$38))*ROUNDDOWN($B$1/'Scheduled Intervals'!AU8,0),2),0)</f>
        <v>0</v>
      </c>
      <c r="AV79" s="246">
        <f>IF('Scheduled Intervals'!AV8&gt;0,ROUND(('Parts Cost Per Job'!AV8*((1+$B$37)*$B$38))*ROUNDDOWN($B$1/'Scheduled Intervals'!AV8,0),2),0)</f>
        <v>0</v>
      </c>
      <c r="AW79" s="246">
        <f>IF('Scheduled Intervals'!AW8&gt;0,ROUND(('Parts Cost Per Job'!AW8*((1+$B$37)*$B$38))*ROUNDDOWN($B$1/'Scheduled Intervals'!AW8,0),2),0)</f>
        <v>0</v>
      </c>
      <c r="AX79" s="246">
        <f>IF('Scheduled Intervals'!AX8&gt;0,ROUND(('Parts Cost Per Job'!AX8*((1+$B$37)*$B$38))*ROUNDDOWN($B$1/'Scheduled Intervals'!AX8,0),2),0)</f>
        <v>0</v>
      </c>
      <c r="AY79" s="246">
        <f>IF('Scheduled Intervals'!AY8&gt;0,ROUND(('Parts Cost Per Job'!AY8*((1+$B$37)*$B$38))*ROUNDDOWN($B$1/'Scheduled Intervals'!AY8,0),2),0)</f>
        <v>0</v>
      </c>
      <c r="AZ79" s="246">
        <f>IF('Scheduled Intervals'!AZ8&gt;0,ROUND(('Parts Cost Per Job'!AZ8*((1+$B$37)*$B$38))*ROUNDDOWN($B$1/'Scheduled Intervals'!AZ8,0),2),0)</f>
        <v>0</v>
      </c>
      <c r="BA79" s="246">
        <f>IF('Scheduled Intervals'!BA8&gt;0,ROUND(('Parts Cost Per Job'!BA8*((1+$B$37)*$B$38))*ROUNDDOWN($B$1/'Scheduled Intervals'!BA8,0),2),0)</f>
        <v>0</v>
      </c>
      <c r="BB79" s="246">
        <f>IF('Scheduled Intervals'!BB8&gt;0,ROUND(('Parts Cost Per Job'!BB8*((1+$B$37)*$B$38))*ROUNDDOWN($B$1/'Scheduled Intervals'!BB8,0),2),0)</f>
        <v>0</v>
      </c>
      <c r="BC79" s="246">
        <f>IF('Scheduled Intervals'!BC8&gt;0,ROUND(('Parts Cost Per Job'!BC8*((1+$B$37)*$B$38))*ROUNDDOWN($B$1/'Scheduled Intervals'!BC8,0),2),0)</f>
        <v>0</v>
      </c>
      <c r="BD79" s="246">
        <f>IF('Scheduled Intervals'!BD8&gt;0,ROUND(('Parts Cost Per Job'!BD8*((1+$B$37)*$B$38))*ROUNDDOWN($B$1/'Scheduled Intervals'!BD8,0),2),0)</f>
        <v>0</v>
      </c>
      <c r="BE79" s="246">
        <f>IF('Scheduled Intervals'!BE8&gt;0,ROUND(('Parts Cost Per Job'!BE8*((1+$B$37)*$B$38))*ROUNDDOWN($B$1/'Scheduled Intervals'!BE8,0),2),0)</f>
        <v>0</v>
      </c>
      <c r="BF79" s="246">
        <f>IF('Scheduled Intervals'!BF8&gt;0,ROUND(('Parts Cost Per Job'!BF8*((1+$B$37)*$B$38))*ROUNDDOWN($B$1/'Scheduled Intervals'!BF8,0),2),0)</f>
        <v>0</v>
      </c>
      <c r="BG79" s="246">
        <f>IF('Scheduled Intervals'!BG8&gt;0,ROUND(('Parts Cost Per Job'!BG8*((1+$B$37)*$B$38))*ROUNDDOWN($B$1/'Scheduled Intervals'!BG8,0),2),0)</f>
        <v>0</v>
      </c>
      <c r="BH79" s="246">
        <f>IF('Scheduled Intervals'!BH8&gt;0,ROUND(('Parts Cost Per Job'!BH8*((1+$B$37)*$B$38))*ROUNDDOWN($B$1/'Scheduled Intervals'!BH8,0),2),0)</f>
        <v>0</v>
      </c>
      <c r="BI79" s="246">
        <f>IF('Scheduled Intervals'!BI8&gt;0,ROUND(('Parts Cost Per Job'!BI8*((1+$B$37)*$B$38))*ROUNDDOWN($B$1/'Scheduled Intervals'!BI8,0),2),0)</f>
        <v>0</v>
      </c>
      <c r="BJ79" s="246">
        <f>IF('Scheduled Intervals'!BJ8&gt;0,ROUND(('Parts Cost Per Job'!BJ8*((1+$B$37)*$B$38))*ROUNDDOWN($B$1/'Scheduled Intervals'!BJ8,0),2),0)</f>
        <v>0</v>
      </c>
      <c r="BK79" s="246">
        <f>IF('Scheduled Intervals'!BK8&gt;0,ROUND(('Parts Cost Per Job'!BK8*((1+$B$37)*$B$38))*ROUNDDOWN($B$1/'Scheduled Intervals'!BK8,0),2),0)</f>
        <v>0</v>
      </c>
      <c r="BL79" s="246">
        <f>IF('Scheduled Intervals'!BL8&gt;0,ROUND(('Parts Cost Per Job'!BL8*((1+$B$37)*$B$38))*ROUNDDOWN($B$1/'Scheduled Intervals'!BL8,0),2),0)</f>
        <v>0</v>
      </c>
      <c r="BM79" s="246">
        <f>IF('Scheduled Intervals'!BM8&gt;0,ROUND(('Parts Cost Per Job'!BM8*((1+$B$37)*$B$38))*ROUNDDOWN($B$1/'Scheduled Intervals'!BM8,0),2),0)</f>
        <v>0</v>
      </c>
      <c r="BN79" s="246">
        <f>IF(AND('Scheduled Intervals'!BN$4="annual",'Plan Summary'!$C$5&lt;'Scheduled Intervals'!$U8*('Plan Summary'!$C$9/12)),ROUND('Parts Cost Per Job'!BN8*((1+$B$37)*$B$38)*ROUND('Plan Summary'!$C$9/12,0),2),0)</f>
        <v>290.04000000000002</v>
      </c>
      <c r="BO79" s="246">
        <f>IF(AND('Scheduled Intervals'!BO$4="annual",'Plan Summary'!$C$5&lt;'Scheduled Intervals'!$U8*('Plan Summary'!$C$9/12)),ROUND('Parts Cost Per Job'!BO8*((1+$B$37)*$B$38)*ROUND('Plan Summary'!$C$9/12,0),2),0)</f>
        <v>55.33</v>
      </c>
      <c r="BP79" s="246">
        <f>IF(AND('Scheduled Intervals'!BP$4="annual",'Plan Summary'!$C$5&lt;'Scheduled Intervals'!$U8*('Plan Summary'!$C$9/12)),ROUND('Parts Cost Per Job'!BP8*((1+$B$37)*$B$38)*ROUND('Plan Summary'!$C$9/12,0),2),0)</f>
        <v>0</v>
      </c>
      <c r="BQ79" s="246">
        <f t="shared" si="3"/>
        <v>491.89</v>
      </c>
      <c r="BR79" s="246"/>
    </row>
    <row r="80" spans="1:70" ht="16" x14ac:dyDescent="0.2">
      <c r="A80" s="18" t="str">
        <f>+'Scheduled Intervals'!A9</f>
        <v>Utility over 75 M4 class</v>
      </c>
      <c r="B80" s="246">
        <f>ROUND((('Parts Cost Per Job'!B9)*((1+$B$37)*$B$38)),2)</f>
        <v>95.66</v>
      </c>
      <c r="C80" s="246">
        <f>ROUND((('Parts Cost Per Job'!C9)*((1+$B$37)*$B$38)),2)</f>
        <v>0</v>
      </c>
      <c r="D80" s="246">
        <f>ROUND((('Parts Cost Per Job'!D9)*((1+$B$37)*$B$38)),2)</f>
        <v>0</v>
      </c>
      <c r="E80" s="246">
        <f>ROUND((('Parts Cost Per Job'!E9)*((1+$B$37)*$B$38)),2)</f>
        <v>0</v>
      </c>
      <c r="F80" s="246">
        <f>ROUND((('Parts Cost Per Job'!F9)*((1+$B$37)*$B$38)),2)</f>
        <v>0</v>
      </c>
      <c r="G80" s="246">
        <f>ROUND((('Parts Cost Per Job'!G9)*((1+$B$37)*$B$38)),2)</f>
        <v>0</v>
      </c>
      <c r="H80" s="246">
        <f>ROUND((('Parts Cost Per Job'!H9)*((1+$B$37)*$B$38)),2)</f>
        <v>11.07</v>
      </c>
      <c r="I80" s="246">
        <f>ROUND((('Parts Cost Per Job'!I9)*((1+$B$37)*$B$38)),2)</f>
        <v>0</v>
      </c>
      <c r="J80" s="246">
        <f>ROUND((('Parts Cost Per Job'!J9)*((1+$B$37)*$B$38)),2)</f>
        <v>0</v>
      </c>
      <c r="K80" s="246">
        <f>ROUND((('Parts Cost Per Job'!K9)*((1+$B$37)*$B$38)),2)</f>
        <v>0</v>
      </c>
      <c r="L80" s="246">
        <f>ROUND((('Parts Cost Per Job'!L9)*((1+$B$37)*$B$38)),2)</f>
        <v>0</v>
      </c>
      <c r="M80" s="246">
        <f>ROUND((('Parts Cost Per Job'!M9)*((1+$B$37)*$B$38)),2)</f>
        <v>0</v>
      </c>
      <c r="N80" s="246">
        <f>ROUND((('Parts Cost Per Job'!N9)*((1+$B$37)*$B$38)),2)</f>
        <v>0</v>
      </c>
      <c r="O80" s="246">
        <f>ROUND((('Parts Cost Per Job'!O9)*((1+$B$37)*$B$38)),2)</f>
        <v>0</v>
      </c>
      <c r="P80" s="246">
        <f>ROUND((('Parts Cost Per Job'!P9)*((1+$B$37)*$B$38)),2)</f>
        <v>0</v>
      </c>
      <c r="Q80" s="246">
        <f>ROUND((('Parts Cost Per Job'!Q9)*((1+$B$37)*$B$38)),2)</f>
        <v>0</v>
      </c>
      <c r="R80" s="246">
        <f>ROUND((('Parts Cost Per Job'!R9)*((1+$B$37)*$B$38)),2)</f>
        <v>0</v>
      </c>
      <c r="S80" s="246">
        <f>ROUND((('Parts Cost Per Job'!S9)*((1+$B$37)*$B$38)),2)</f>
        <v>0</v>
      </c>
      <c r="T80" s="246">
        <f>ROUND((('Parts Cost Per Job'!T9)*((1+$B$37)*$B$38)),2)</f>
        <v>0</v>
      </c>
      <c r="U80" s="246">
        <f>IF('Scheduled Intervals'!U9&gt;0,ROUND(('Parts Cost Per Job'!U9*((1+$B$37)*$B$38))*ROUNDDOWN($B$1/'Scheduled Intervals'!U9,0),2),0)</f>
        <v>0</v>
      </c>
      <c r="V80" s="246">
        <f>IF('Scheduled Intervals'!V9&gt;0,ROUND(('Parts Cost Per Job'!V9*((1+$B$37)*$B$38))*ROUNDDOWN($B$1/'Scheduled Intervals'!V9,0),2),0)</f>
        <v>0</v>
      </c>
      <c r="W80" s="246">
        <f>IF('Scheduled Intervals'!W9&gt;0,ROUND(('Parts Cost Per Job'!W9*((1+$B$37)*$B$38))*ROUNDDOWN($B$1/'Scheduled Intervals'!W9,0),2),0)</f>
        <v>0</v>
      </c>
      <c r="X80" s="246">
        <f>IF('Scheduled Intervals'!X9&gt;0,ROUND(('Parts Cost Per Job'!X9*((1+$B$37)*$B$38))*ROUNDDOWN($B$1/'Scheduled Intervals'!X9,0),2),0)</f>
        <v>0</v>
      </c>
      <c r="Y80" s="246">
        <f>IF('Scheduled Intervals'!Y9&gt;0,ROUND(('Parts Cost Per Job'!Y9*((1+$B$37)*$B$38))*ROUNDDOWN($B$1/'Scheduled Intervals'!Y9,0),2),0)</f>
        <v>0</v>
      </c>
      <c r="Z80" s="246">
        <f>IF('Scheduled Intervals'!Z9&gt;0,ROUND(('Parts Cost Per Job'!Z9*((1+$B$37)*$B$38))*ROUNDDOWN($B$1/'Scheduled Intervals'!Z9,0),2),0)</f>
        <v>0</v>
      </c>
      <c r="AA80" s="246">
        <f>IF('Scheduled Intervals'!AA9&gt;0,ROUND(('Parts Cost Per Job'!AA9*((1+$B$37)*$B$38))*ROUNDDOWN($B$1/'Scheduled Intervals'!AA9,0),2),0)</f>
        <v>0</v>
      </c>
      <c r="AB80" s="246">
        <f>IF('Scheduled Intervals'!AB9&gt;0,ROUND(('Parts Cost Per Job'!AB9*((1+$B$37)*$B$38))*ROUNDDOWN($B$1/'Scheduled Intervals'!AB9,0),2),0)</f>
        <v>0</v>
      </c>
      <c r="AC80" s="246">
        <f>IF('Scheduled Intervals'!AC9&gt;0,ROUND(('Parts Cost Per Job'!AC9*((1+$B$37)*$B$38))*ROUNDDOWN($B$1/'Scheduled Intervals'!AC9,0),2),0)</f>
        <v>0</v>
      </c>
      <c r="AD80" s="246">
        <f>IF('Scheduled Intervals'!AD9&gt;0,ROUND(('Parts Cost Per Job'!AD9*((1+$B$37)*$B$38))*ROUNDDOWN($B$1/'Scheduled Intervals'!AD9,0),2),0)</f>
        <v>0</v>
      </c>
      <c r="AE80" s="246">
        <f>IF('Scheduled Intervals'!AE9&gt;0,ROUND(('Parts Cost Per Job'!AE9*((1+$B$37)*$B$38))*ROUNDDOWN($B$1/'Scheduled Intervals'!AE9,0),2),0)</f>
        <v>0</v>
      </c>
      <c r="AF80" s="246">
        <f>IF('Scheduled Intervals'!AF9&gt;0,ROUND(('Parts Cost Per Job'!AF9*((1+$B$37)*$B$38))*ROUNDDOWN($B$1/'Scheduled Intervals'!AF9,0),2),0)</f>
        <v>0</v>
      </c>
      <c r="AG80" s="246">
        <f>IF('Scheduled Intervals'!AG9&gt;0,ROUND(('Parts Cost Per Job'!AG9*((1+$B$37)*$B$38))*ROUNDDOWN($B$1/'Scheduled Intervals'!AG9,0),2),0)</f>
        <v>0</v>
      </c>
      <c r="AH80" s="246">
        <f>IF('Scheduled Intervals'!AH9&gt;0,ROUND(('Parts Cost Per Job'!AH9*((1+$B$37)*$B$38))*ROUNDDOWN($B$1/'Scheduled Intervals'!AH9,0),2),0)</f>
        <v>0</v>
      </c>
      <c r="AI80" s="246">
        <f>IF('Scheduled Intervals'!AI9&gt;0,ROUND(('Parts Cost Per Job'!AI9*((1+$B$37)*$B$38))*ROUNDDOWN($B$1/'Scheduled Intervals'!AI9,0),2),0)</f>
        <v>0</v>
      </c>
      <c r="AJ80" s="246">
        <f>IF('Scheduled Intervals'!AJ9&gt;0,ROUND(('Parts Cost Per Job'!AJ9*((1+$B$37)*$B$38))*ROUNDDOWN($B$1/'Scheduled Intervals'!AJ9,0),2),0)</f>
        <v>0</v>
      </c>
      <c r="AK80" s="246">
        <f>IF('Scheduled Intervals'!AK9&gt;0,ROUND(('Parts Cost Per Job'!AK9*((1+$B$37)*$B$38))*ROUNDDOWN($B$1/'Scheduled Intervals'!AK9,0),2),0)</f>
        <v>0</v>
      </c>
      <c r="AL80" s="246">
        <f>IF('Scheduled Intervals'!AL9&gt;0,ROUND(('Parts Cost Per Job'!AL9*((1+$B$37)*$B$38))*ROUNDDOWN($B$1/'Scheduled Intervals'!AL9,0),2),0)</f>
        <v>0</v>
      </c>
      <c r="AM80" s="246">
        <f>IF('Scheduled Intervals'!AM9&gt;0,ROUND(('Parts Cost Per Job'!AM9*((1+$B$37)*$B$38))*ROUNDDOWN($B$1/'Scheduled Intervals'!AM9,0),2),0)</f>
        <v>0</v>
      </c>
      <c r="AN80" s="246">
        <f>IF('Scheduled Intervals'!AN9&gt;0,ROUND(('Parts Cost Per Job'!AN9*((1+$B$37)*$B$38))*ROUNDDOWN($B$1/'Scheduled Intervals'!AN9,0),2),0)</f>
        <v>0</v>
      </c>
      <c r="AO80" s="246">
        <f>IF('Scheduled Intervals'!AO9&gt;0,ROUND(('Parts Cost Per Job'!AO9*((1+$B$37)*$B$38))*ROUNDDOWN($B$1/'Scheduled Intervals'!AO9,0),2),0)</f>
        <v>0</v>
      </c>
      <c r="AP80" s="246">
        <f>IF('Scheduled Intervals'!AP9&gt;0,ROUND(('Parts Cost Per Job'!AP9*((1+$B$37)*$B$38))*ROUNDDOWN($B$1/'Scheduled Intervals'!AP9,0),2),0)</f>
        <v>0</v>
      </c>
      <c r="AQ80" s="246">
        <f>IF('Scheduled Intervals'!AQ9&gt;0,ROUND(('Parts Cost Per Job'!AQ9*((1+$B$37)*$B$38))*ROUNDDOWN($B$1/'Scheduled Intervals'!AQ9,0),2),0)</f>
        <v>0</v>
      </c>
      <c r="AR80" s="246">
        <f>IF('Scheduled Intervals'!AR9&gt;0,ROUND(('Parts Cost Per Job'!AR9*((1+$B$37)*$B$38))*ROUNDDOWN($B$1/'Scheduled Intervals'!AR9,0),2),0)</f>
        <v>0</v>
      </c>
      <c r="AS80" s="246">
        <f>IF('Scheduled Intervals'!AS9&gt;0,ROUND(('Parts Cost Per Job'!AS9*((1+$B$37)*$B$38))*ROUNDDOWN($B$1/'Scheduled Intervals'!AS9,0),2),0)</f>
        <v>0</v>
      </c>
      <c r="AT80" s="246">
        <f>IF('Scheduled Intervals'!AT9&gt;0,ROUND(('Parts Cost Per Job'!AT9*((1+$B$37)*$B$38))*ROUNDDOWN($B$1/'Scheduled Intervals'!AT9,0),2),0)</f>
        <v>0</v>
      </c>
      <c r="AU80" s="246">
        <f>IF('Scheduled Intervals'!AU9&gt;0,ROUND(('Parts Cost Per Job'!AU9*((1+$B$37)*$B$38))*ROUNDDOWN($B$1/'Scheduled Intervals'!AU9,0),2),0)</f>
        <v>0</v>
      </c>
      <c r="AV80" s="246">
        <f>IF('Scheduled Intervals'!AV9&gt;0,ROUND(('Parts Cost Per Job'!AV9*((1+$B$37)*$B$38))*ROUNDDOWN($B$1/'Scheduled Intervals'!AV9,0),2),0)</f>
        <v>0</v>
      </c>
      <c r="AW80" s="246">
        <f>IF('Scheduled Intervals'!AW9&gt;0,ROUND(('Parts Cost Per Job'!AW9*((1+$B$37)*$B$38))*ROUNDDOWN($B$1/'Scheduled Intervals'!AW9,0),2),0)</f>
        <v>0</v>
      </c>
      <c r="AX80" s="246">
        <f>IF('Scheduled Intervals'!AX9&gt;0,ROUND(('Parts Cost Per Job'!AX9*((1+$B$37)*$B$38))*ROUNDDOWN($B$1/'Scheduled Intervals'!AX9,0),2),0)</f>
        <v>0</v>
      </c>
      <c r="AY80" s="246">
        <f>IF('Scheduled Intervals'!AY9&gt;0,ROUND(('Parts Cost Per Job'!AY9*((1+$B$37)*$B$38))*ROUNDDOWN($B$1/'Scheduled Intervals'!AY9,0),2),0)</f>
        <v>0</v>
      </c>
      <c r="AZ80" s="246">
        <f>IF('Scheduled Intervals'!AZ9&gt;0,ROUND(('Parts Cost Per Job'!AZ9*((1+$B$37)*$B$38))*ROUNDDOWN($B$1/'Scheduled Intervals'!AZ9,0),2),0)</f>
        <v>0</v>
      </c>
      <c r="BA80" s="246">
        <f>IF('Scheduled Intervals'!BA9&gt;0,ROUND(('Parts Cost Per Job'!BA9*((1+$B$37)*$B$38))*ROUNDDOWN($B$1/'Scheduled Intervals'!BA9,0),2),0)</f>
        <v>0</v>
      </c>
      <c r="BB80" s="246">
        <f>IF('Scheduled Intervals'!BB9&gt;0,ROUND(('Parts Cost Per Job'!BB9*((1+$B$37)*$B$38))*ROUNDDOWN($B$1/'Scheduled Intervals'!BB9,0),2),0)</f>
        <v>0</v>
      </c>
      <c r="BC80" s="246">
        <f>IF('Scheduled Intervals'!BC9&gt;0,ROUND(('Parts Cost Per Job'!BC9*((1+$B$37)*$B$38))*ROUNDDOWN($B$1/'Scheduled Intervals'!BC9,0),2),0)</f>
        <v>0</v>
      </c>
      <c r="BD80" s="246">
        <f>IF('Scheduled Intervals'!BD9&gt;0,ROUND(('Parts Cost Per Job'!BD9*((1+$B$37)*$B$38))*ROUNDDOWN($B$1/'Scheduled Intervals'!BD9,0),2),0)</f>
        <v>0</v>
      </c>
      <c r="BE80" s="246">
        <f>IF('Scheduled Intervals'!BE9&gt;0,ROUND(('Parts Cost Per Job'!BE9*((1+$B$37)*$B$38))*ROUNDDOWN($B$1/'Scheduled Intervals'!BE9,0),2),0)</f>
        <v>0</v>
      </c>
      <c r="BF80" s="246">
        <f>IF('Scheduled Intervals'!BF9&gt;0,ROUND(('Parts Cost Per Job'!BF9*((1+$B$37)*$B$38))*ROUNDDOWN($B$1/'Scheduled Intervals'!BF9,0),2),0)</f>
        <v>0</v>
      </c>
      <c r="BG80" s="246">
        <f>IF('Scheduled Intervals'!BG9&gt;0,ROUND(('Parts Cost Per Job'!BG9*((1+$B$37)*$B$38))*ROUNDDOWN($B$1/'Scheduled Intervals'!BG9,0),2),0)</f>
        <v>0</v>
      </c>
      <c r="BH80" s="246">
        <f>IF('Scheduled Intervals'!BH9&gt;0,ROUND(('Parts Cost Per Job'!BH9*((1+$B$37)*$B$38))*ROUNDDOWN($B$1/'Scheduled Intervals'!BH9,0),2),0)</f>
        <v>0</v>
      </c>
      <c r="BI80" s="246">
        <f>IF('Scheduled Intervals'!BI9&gt;0,ROUND(('Parts Cost Per Job'!BI9*((1+$B$37)*$B$38))*ROUNDDOWN($B$1/'Scheduled Intervals'!BI9,0),2),0)</f>
        <v>0</v>
      </c>
      <c r="BJ80" s="246">
        <f>IF('Scheduled Intervals'!BJ9&gt;0,ROUND(('Parts Cost Per Job'!BJ9*((1+$B$37)*$B$38))*ROUNDDOWN($B$1/'Scheduled Intervals'!BJ9,0),2),0)</f>
        <v>0</v>
      </c>
      <c r="BK80" s="246">
        <f>IF('Scheduled Intervals'!BK9&gt;0,ROUND(('Parts Cost Per Job'!BK9*((1+$B$37)*$B$38))*ROUNDDOWN($B$1/'Scheduled Intervals'!BK9,0),2),0)</f>
        <v>0</v>
      </c>
      <c r="BL80" s="246">
        <f>IF('Scheduled Intervals'!BL9&gt;0,ROUND(('Parts Cost Per Job'!BL9*((1+$B$37)*$B$38))*ROUNDDOWN($B$1/'Scheduled Intervals'!BL9,0),2),0)</f>
        <v>0</v>
      </c>
      <c r="BM80" s="246">
        <f>IF('Scheduled Intervals'!BM9&gt;0,ROUND(('Parts Cost Per Job'!BM9*((1+$B$37)*$B$38))*ROUNDDOWN($B$1/'Scheduled Intervals'!BM9,0),2),0)</f>
        <v>0</v>
      </c>
      <c r="BN80" s="246">
        <f>IF(AND('Scheduled Intervals'!BN$4="annual",'Plan Summary'!$C$5&lt;'Scheduled Intervals'!$U9*('Plan Summary'!$C$9/12)),ROUND('Parts Cost Per Job'!BN9*((1+$B$37)*$B$38)*ROUND('Plan Summary'!$C$9/12,0),2),0)</f>
        <v>478.3</v>
      </c>
      <c r="BO80" s="246">
        <f>IF(AND('Scheduled Intervals'!BO$4="annual",'Plan Summary'!$C$5&lt;'Scheduled Intervals'!$U9*('Plan Summary'!$C$9/12)),ROUND('Parts Cost Per Job'!BO9*((1+$B$37)*$B$38)*ROUND('Plan Summary'!$C$9/12,0),2),0)</f>
        <v>55.33</v>
      </c>
      <c r="BP80" s="246">
        <f>IF(AND('Scheduled Intervals'!BP$4="annual",'Plan Summary'!$C$5&lt;'Scheduled Intervals'!$U9*('Plan Summary'!$C$9/12)),ROUND('Parts Cost Per Job'!BP9*((1+$B$37)*$B$38)*ROUND('Plan Summary'!$C$9/12,0),2),0)</f>
        <v>0</v>
      </c>
      <c r="BQ80" s="246">
        <f t="shared" si="3"/>
        <v>640.36</v>
      </c>
      <c r="BR80" s="246"/>
    </row>
    <row r="81" spans="1:70" ht="16" x14ac:dyDescent="0.2">
      <c r="A81" s="18" t="str">
        <f>+'Scheduled Intervals'!A10</f>
        <v>Large Ag M6</v>
      </c>
      <c r="B81" s="246">
        <f>ROUND((('Parts Cost Per Job'!B10)*((1+$B$37)*$B$38)),2)</f>
        <v>166.46</v>
      </c>
      <c r="C81" s="246">
        <f>ROUND((('Parts Cost Per Job'!C10)*((1+$B$37)*$B$38)),2)</f>
        <v>0</v>
      </c>
      <c r="D81" s="246">
        <f>ROUND((('Parts Cost Per Job'!D10)*((1+$B$37)*$B$38)),2)</f>
        <v>0</v>
      </c>
      <c r="E81" s="246">
        <f>ROUND((('Parts Cost Per Job'!E10)*((1+$B$37)*$B$38)),2)</f>
        <v>0</v>
      </c>
      <c r="F81" s="246">
        <f>ROUND((('Parts Cost Per Job'!F10)*((1+$B$37)*$B$38)),2)</f>
        <v>100.49</v>
      </c>
      <c r="G81" s="246">
        <f>ROUND((('Parts Cost Per Job'!G10)*((1+$B$37)*$B$38)),2)</f>
        <v>0</v>
      </c>
      <c r="H81" s="246">
        <f>ROUND((('Parts Cost Per Job'!H10)*((1+$B$37)*$B$38)),2)</f>
        <v>11.07</v>
      </c>
      <c r="I81" s="246">
        <f>ROUND((('Parts Cost Per Job'!I10)*((1+$B$37)*$B$38)),2)</f>
        <v>0</v>
      </c>
      <c r="J81" s="246">
        <f>ROUND((('Parts Cost Per Job'!J10)*((1+$B$37)*$B$38)),2)</f>
        <v>0</v>
      </c>
      <c r="K81" s="246">
        <f>ROUND((('Parts Cost Per Job'!K10)*((1+$B$37)*$B$38)),2)</f>
        <v>0</v>
      </c>
      <c r="L81" s="246">
        <f>ROUND((('Parts Cost Per Job'!L10)*((1+$B$37)*$B$38)),2)</f>
        <v>0</v>
      </c>
      <c r="M81" s="246">
        <f>ROUND((('Parts Cost Per Job'!M10)*((1+$B$37)*$B$38)),2)</f>
        <v>0</v>
      </c>
      <c r="N81" s="246">
        <f>ROUND((('Parts Cost Per Job'!N10)*((1+$B$37)*$B$38)),2)</f>
        <v>0</v>
      </c>
      <c r="O81" s="246">
        <f>ROUND((('Parts Cost Per Job'!O10)*((1+$B$37)*$B$38)),2)</f>
        <v>0</v>
      </c>
      <c r="P81" s="246">
        <f>ROUND((('Parts Cost Per Job'!P10)*((1+$B$37)*$B$38)),2)</f>
        <v>0</v>
      </c>
      <c r="Q81" s="246">
        <f>ROUND((('Parts Cost Per Job'!Q10)*((1+$B$37)*$B$38)),2)</f>
        <v>0</v>
      </c>
      <c r="R81" s="246">
        <f>ROUND((('Parts Cost Per Job'!R10)*((1+$B$37)*$B$38)),2)</f>
        <v>0</v>
      </c>
      <c r="S81" s="246">
        <f>ROUND((('Parts Cost Per Job'!S10)*((1+$B$37)*$B$38)),2)</f>
        <v>0</v>
      </c>
      <c r="T81" s="246">
        <f>ROUND((('Parts Cost Per Job'!T10)*((1+$B$37)*$B$38)),2)</f>
        <v>0</v>
      </c>
      <c r="U81" s="246">
        <f>IF('Scheduled Intervals'!U10&gt;0,ROUND(('Parts Cost Per Job'!U10*((1+$B$37)*$B$38))*ROUNDDOWN($B$1/'Scheduled Intervals'!U10,0),2),0)</f>
        <v>0</v>
      </c>
      <c r="V81" s="246">
        <f>IF('Scheduled Intervals'!V10&gt;0,ROUND(('Parts Cost Per Job'!V10*((1+$B$37)*$B$38))*ROUNDDOWN($B$1/'Scheduled Intervals'!V10,0),2),0)</f>
        <v>0</v>
      </c>
      <c r="W81" s="246">
        <f>IF('Scheduled Intervals'!W10&gt;0,ROUND(('Parts Cost Per Job'!W10*((1+$B$37)*$B$38))*ROUNDDOWN($B$1/'Scheduled Intervals'!W10,0),2),0)</f>
        <v>0</v>
      </c>
      <c r="X81" s="246">
        <f>IF('Scheduled Intervals'!X10&gt;0,ROUND(('Parts Cost Per Job'!X10*((1+$B$37)*$B$38))*ROUNDDOWN($B$1/'Scheduled Intervals'!X10,0),2),0)</f>
        <v>0</v>
      </c>
      <c r="Y81" s="246">
        <f>IF('Scheduled Intervals'!Y10&gt;0,ROUND(('Parts Cost Per Job'!Y10*((1+$B$37)*$B$38))*ROUNDDOWN($B$1/'Scheduled Intervals'!Y10,0),2),0)</f>
        <v>0</v>
      </c>
      <c r="Z81" s="246">
        <f>IF('Scheduled Intervals'!Z10&gt;0,ROUND(('Parts Cost Per Job'!Z10*((1+$B$37)*$B$38))*ROUNDDOWN($B$1/'Scheduled Intervals'!Z10,0),2),0)</f>
        <v>0</v>
      </c>
      <c r="AA81" s="246">
        <f>IF('Scheduled Intervals'!AA10&gt;0,ROUND(('Parts Cost Per Job'!AA10*((1+$B$37)*$B$38))*ROUNDDOWN($B$1/'Scheduled Intervals'!AA10,0),2),0)</f>
        <v>0</v>
      </c>
      <c r="AB81" s="246">
        <f>IF('Scheduled Intervals'!AB10&gt;0,ROUND(('Parts Cost Per Job'!AB10*((1+$B$37)*$B$38))*ROUNDDOWN($B$1/'Scheduled Intervals'!AB10,0),2),0)</f>
        <v>0</v>
      </c>
      <c r="AC81" s="246">
        <f>IF('Scheduled Intervals'!AC10&gt;0,ROUND(('Parts Cost Per Job'!AC10*((1+$B$37)*$B$38))*ROUNDDOWN($B$1/'Scheduled Intervals'!AC10,0),2),0)</f>
        <v>0</v>
      </c>
      <c r="AD81" s="246">
        <f>IF('Scheduled Intervals'!AD10&gt;0,ROUND(('Parts Cost Per Job'!AD10*((1+$B$37)*$B$38))*ROUNDDOWN($B$1/'Scheduled Intervals'!AD10,0),2),0)</f>
        <v>0</v>
      </c>
      <c r="AE81" s="246">
        <f>IF('Scheduled Intervals'!AE10&gt;0,ROUND(('Parts Cost Per Job'!AE10*((1+$B$37)*$B$38))*ROUNDDOWN($B$1/'Scheduled Intervals'!AE10,0),2),0)</f>
        <v>0</v>
      </c>
      <c r="AF81" s="246">
        <f>IF('Scheduled Intervals'!AF10&gt;0,ROUND(('Parts Cost Per Job'!AF10*((1+$B$37)*$B$38))*ROUNDDOWN($B$1/'Scheduled Intervals'!AF10,0),2),0)</f>
        <v>0</v>
      </c>
      <c r="AG81" s="246">
        <f>IF('Scheduled Intervals'!AG10&gt;0,ROUND(('Parts Cost Per Job'!AG10*((1+$B$37)*$B$38))*ROUNDDOWN($B$1/'Scheduled Intervals'!AG10,0),2),0)</f>
        <v>0</v>
      </c>
      <c r="AH81" s="246">
        <f>IF('Scheduled Intervals'!AH10&gt;0,ROUND(('Parts Cost Per Job'!AH10*((1+$B$37)*$B$38))*ROUNDDOWN($B$1/'Scheduled Intervals'!AH10,0),2),0)</f>
        <v>0</v>
      </c>
      <c r="AI81" s="246">
        <f>IF('Scheduled Intervals'!AI10&gt;0,ROUND(('Parts Cost Per Job'!AI10*((1+$B$37)*$B$38))*ROUNDDOWN($B$1/'Scheduled Intervals'!AI10,0),2),0)</f>
        <v>0</v>
      </c>
      <c r="AJ81" s="246">
        <f>IF('Scheduled Intervals'!AJ10&gt;0,ROUND(('Parts Cost Per Job'!AJ10*((1+$B$37)*$B$38))*ROUNDDOWN($B$1/'Scheduled Intervals'!AJ10,0),2),0)</f>
        <v>0</v>
      </c>
      <c r="AK81" s="246">
        <f>IF('Scheduled Intervals'!AK10&gt;0,ROUND(('Parts Cost Per Job'!AK10*((1+$B$37)*$B$38))*ROUNDDOWN($B$1/'Scheduled Intervals'!AK10,0),2),0)</f>
        <v>0</v>
      </c>
      <c r="AL81" s="246">
        <f>IF('Scheduled Intervals'!AL10&gt;0,ROUND(('Parts Cost Per Job'!AL10*((1+$B$37)*$B$38))*ROUNDDOWN($B$1/'Scheduled Intervals'!AL10,0),2),0)</f>
        <v>0</v>
      </c>
      <c r="AM81" s="246">
        <f>IF('Scheduled Intervals'!AM10&gt;0,ROUND(('Parts Cost Per Job'!AM10*((1+$B$37)*$B$38))*ROUNDDOWN($B$1/'Scheduled Intervals'!AM10,0),2),0)</f>
        <v>0</v>
      </c>
      <c r="AN81" s="246">
        <f>IF('Scheduled Intervals'!AN10&gt;0,ROUND(('Parts Cost Per Job'!AN10*((1+$B$37)*$B$38))*ROUNDDOWN($B$1/'Scheduled Intervals'!AN10,0),2),0)</f>
        <v>0</v>
      </c>
      <c r="AO81" s="246">
        <f>IF('Scheduled Intervals'!AO10&gt;0,ROUND(('Parts Cost Per Job'!AO10*((1+$B$37)*$B$38))*ROUNDDOWN($B$1/'Scheduled Intervals'!AO10,0),2),0)</f>
        <v>0</v>
      </c>
      <c r="AP81" s="246">
        <f>IF('Scheduled Intervals'!AP10&gt;0,ROUND(('Parts Cost Per Job'!AP10*((1+$B$37)*$B$38))*ROUNDDOWN($B$1/'Scheduled Intervals'!AP10,0),2),0)</f>
        <v>0</v>
      </c>
      <c r="AQ81" s="246">
        <f>IF('Scheduled Intervals'!AQ10&gt;0,ROUND(('Parts Cost Per Job'!AQ10*((1+$B$37)*$B$38))*ROUNDDOWN($B$1/'Scheduled Intervals'!AQ10,0),2),0)</f>
        <v>0</v>
      </c>
      <c r="AR81" s="246">
        <f>IF('Scheduled Intervals'!AR10&gt;0,ROUND(('Parts Cost Per Job'!AR10*((1+$B$37)*$B$38))*ROUNDDOWN($B$1/'Scheduled Intervals'!AR10,0),2),0)</f>
        <v>0</v>
      </c>
      <c r="AS81" s="246">
        <f>IF('Scheduled Intervals'!AS10&gt;0,ROUND(('Parts Cost Per Job'!AS10*((1+$B$37)*$B$38))*ROUNDDOWN($B$1/'Scheduled Intervals'!AS10,0),2),0)</f>
        <v>0</v>
      </c>
      <c r="AT81" s="246">
        <f>IF('Scheduled Intervals'!AT10&gt;0,ROUND(('Parts Cost Per Job'!AT10*((1+$B$37)*$B$38))*ROUNDDOWN($B$1/'Scheduled Intervals'!AT10,0),2),0)</f>
        <v>0</v>
      </c>
      <c r="AU81" s="246">
        <f>IF('Scheduled Intervals'!AU10&gt;0,ROUND(('Parts Cost Per Job'!AU10*((1+$B$37)*$B$38))*ROUNDDOWN($B$1/'Scheduled Intervals'!AU10,0),2),0)</f>
        <v>0</v>
      </c>
      <c r="AV81" s="246">
        <f>IF('Scheduled Intervals'!AV10&gt;0,ROUND(('Parts Cost Per Job'!AV10*((1+$B$37)*$B$38))*ROUNDDOWN($B$1/'Scheduled Intervals'!AV10,0),2),0)</f>
        <v>0</v>
      </c>
      <c r="AW81" s="246">
        <f>IF('Scheduled Intervals'!AW10&gt;0,ROUND(('Parts Cost Per Job'!AW10*((1+$B$37)*$B$38))*ROUNDDOWN($B$1/'Scheduled Intervals'!AW10,0),2),0)</f>
        <v>0</v>
      </c>
      <c r="AX81" s="246">
        <f>IF('Scheduled Intervals'!AX10&gt;0,ROUND(('Parts Cost Per Job'!AX10*((1+$B$37)*$B$38))*ROUNDDOWN($B$1/'Scheduled Intervals'!AX10,0),2),0)</f>
        <v>0</v>
      </c>
      <c r="AY81" s="246">
        <f>IF('Scheduled Intervals'!AY10&gt;0,ROUND(('Parts Cost Per Job'!AY10*((1+$B$37)*$B$38))*ROUNDDOWN($B$1/'Scheduled Intervals'!AY10,0),2),0)</f>
        <v>0</v>
      </c>
      <c r="AZ81" s="246">
        <f>IF('Scheduled Intervals'!AZ10&gt;0,ROUND(('Parts Cost Per Job'!AZ10*((1+$B$37)*$B$38))*ROUNDDOWN($B$1/'Scheduled Intervals'!AZ10,0),2),0)</f>
        <v>0</v>
      </c>
      <c r="BA81" s="246">
        <f>IF('Scheduled Intervals'!BA10&gt;0,ROUND(('Parts Cost Per Job'!BA10*((1+$B$37)*$B$38))*ROUNDDOWN($B$1/'Scheduled Intervals'!BA10,0),2),0)</f>
        <v>0</v>
      </c>
      <c r="BB81" s="246">
        <f>IF('Scheduled Intervals'!BB10&gt;0,ROUND(('Parts Cost Per Job'!BB10*((1+$B$37)*$B$38))*ROUNDDOWN($B$1/'Scheduled Intervals'!BB10,0),2),0)</f>
        <v>0</v>
      </c>
      <c r="BC81" s="246">
        <f>IF('Scheduled Intervals'!BC10&gt;0,ROUND(('Parts Cost Per Job'!BC10*((1+$B$37)*$B$38))*ROUNDDOWN($B$1/'Scheduled Intervals'!BC10,0),2),0)</f>
        <v>0</v>
      </c>
      <c r="BD81" s="246">
        <f>IF('Scheduled Intervals'!BD10&gt;0,ROUND(('Parts Cost Per Job'!BD10*((1+$B$37)*$B$38))*ROUNDDOWN($B$1/'Scheduled Intervals'!BD10,0),2),0)</f>
        <v>0</v>
      </c>
      <c r="BE81" s="246">
        <f>IF('Scheduled Intervals'!BE10&gt;0,ROUND(('Parts Cost Per Job'!BE10*((1+$B$37)*$B$38))*ROUNDDOWN($B$1/'Scheduled Intervals'!BE10,0),2),0)</f>
        <v>0</v>
      </c>
      <c r="BF81" s="246">
        <f>IF('Scheduled Intervals'!BF10&gt;0,ROUND(('Parts Cost Per Job'!BF10*((1+$B$37)*$B$38))*ROUNDDOWN($B$1/'Scheduled Intervals'!BF10,0),2),0)</f>
        <v>0</v>
      </c>
      <c r="BG81" s="246">
        <f>IF('Scheduled Intervals'!BG10&gt;0,ROUND(('Parts Cost Per Job'!BG10*((1+$B$37)*$B$38))*ROUNDDOWN($B$1/'Scheduled Intervals'!BG10,0),2),0)</f>
        <v>0</v>
      </c>
      <c r="BH81" s="246">
        <f>IF('Scheduled Intervals'!BH10&gt;0,ROUND(('Parts Cost Per Job'!BH10*((1+$B$37)*$B$38))*ROUNDDOWN($B$1/'Scheduled Intervals'!BH10,0),2),0)</f>
        <v>0</v>
      </c>
      <c r="BI81" s="246">
        <f>IF('Scheduled Intervals'!BI10&gt;0,ROUND(('Parts Cost Per Job'!BI10*((1+$B$37)*$B$38))*ROUNDDOWN($B$1/'Scheduled Intervals'!BI10,0),2),0)</f>
        <v>0</v>
      </c>
      <c r="BJ81" s="246">
        <f>IF('Scheduled Intervals'!BJ10&gt;0,ROUND(('Parts Cost Per Job'!BJ10*((1+$B$37)*$B$38))*ROUNDDOWN($B$1/'Scheduled Intervals'!BJ10,0),2),0)</f>
        <v>0</v>
      </c>
      <c r="BK81" s="246">
        <f>IF('Scheduled Intervals'!BK10&gt;0,ROUND(('Parts Cost Per Job'!BK10*((1+$B$37)*$B$38))*ROUNDDOWN($B$1/'Scheduled Intervals'!BK10,0),2),0)</f>
        <v>0</v>
      </c>
      <c r="BL81" s="246">
        <f>IF('Scheduled Intervals'!BL10&gt;0,ROUND(('Parts Cost Per Job'!BL10*((1+$B$37)*$B$38))*ROUNDDOWN($B$1/'Scheduled Intervals'!BL10,0),2),0)</f>
        <v>0</v>
      </c>
      <c r="BM81" s="246">
        <f>IF('Scheduled Intervals'!BM10&gt;0,ROUND(('Parts Cost Per Job'!BM10*((1+$B$37)*$B$38))*ROUNDDOWN($B$1/'Scheduled Intervals'!BM10,0),2),0)</f>
        <v>0</v>
      </c>
      <c r="BN81" s="246">
        <f>IF(AND('Scheduled Intervals'!BN$4="annual",'Plan Summary'!$C$5&lt;'Scheduled Intervals'!$U10*('Plan Summary'!$C$9/12)),ROUND('Parts Cost Per Job'!BN10*((1+$B$37)*$B$38)*ROUND('Plan Summary'!$C$9/12,0),2),0)</f>
        <v>832.32</v>
      </c>
      <c r="BO81" s="246">
        <f>IF(AND('Scheduled Intervals'!BO$4="annual",'Plan Summary'!$C$5&lt;'Scheduled Intervals'!$U10*('Plan Summary'!$C$9/12)),ROUND('Parts Cost Per Job'!BO10*((1+$B$37)*$B$38)*ROUND('Plan Summary'!$C$9/12,0),2),0)</f>
        <v>55.33</v>
      </c>
      <c r="BP81" s="246">
        <f>IF(AND('Scheduled Intervals'!BP$4="annual",'Plan Summary'!$C$5&lt;'Scheduled Intervals'!$U10*('Plan Summary'!$C$9/12)),ROUND('Parts Cost Per Job'!BP10*((1+$B$37)*$B$38)*ROUND('Plan Summary'!$C$9/12,0),2),0)</f>
        <v>0</v>
      </c>
      <c r="BQ81" s="246">
        <f t="shared" si="3"/>
        <v>1165.67</v>
      </c>
      <c r="BR81" s="246"/>
    </row>
    <row r="82" spans="1:70" ht="16" x14ac:dyDescent="0.2">
      <c r="A82" s="18" t="str">
        <f>+'Scheduled Intervals'!A11</f>
        <v>Skid Steer</v>
      </c>
      <c r="B82" s="246">
        <f>ROUND((('Parts Cost Per Job'!B11)*((1+$B$37)*$B$38)),2)</f>
        <v>86.54</v>
      </c>
      <c r="C82" s="246">
        <f>ROUND((('Parts Cost Per Job'!C11)*((1+$B$37)*$B$38)),2)</f>
        <v>0</v>
      </c>
      <c r="D82" s="246">
        <f>ROUND((('Parts Cost Per Job'!D11)*((1+$B$37)*$B$38)),2)</f>
        <v>0</v>
      </c>
      <c r="E82" s="246">
        <f>ROUND((('Parts Cost Per Job'!E11)*((1+$B$37)*$B$38)),2)</f>
        <v>0</v>
      </c>
      <c r="F82" s="246">
        <f>ROUND((('Parts Cost Per Job'!F11)*((1+$B$37)*$B$38)),2)</f>
        <v>77.44</v>
      </c>
      <c r="G82" s="246">
        <f>ROUND((('Parts Cost Per Job'!G11)*((1+$B$37)*$B$38)),2)</f>
        <v>0</v>
      </c>
      <c r="H82" s="246">
        <f>ROUND((('Parts Cost Per Job'!H11)*((1+$B$37)*$B$38)),2)</f>
        <v>11.07</v>
      </c>
      <c r="I82" s="246">
        <f>ROUND((('Parts Cost Per Job'!I11)*((1+$B$37)*$B$38)),2)</f>
        <v>0</v>
      </c>
      <c r="J82" s="246">
        <f>ROUND((('Parts Cost Per Job'!J11)*((1+$B$37)*$B$38)),2)</f>
        <v>0</v>
      </c>
      <c r="K82" s="246">
        <f>ROUND((('Parts Cost Per Job'!K11)*((1+$B$37)*$B$38)),2)</f>
        <v>0</v>
      </c>
      <c r="L82" s="246">
        <f>ROUND((('Parts Cost Per Job'!L11)*((1+$B$37)*$B$38)),2)</f>
        <v>0</v>
      </c>
      <c r="M82" s="246">
        <f>ROUND((('Parts Cost Per Job'!M11)*((1+$B$37)*$B$38)),2)</f>
        <v>0</v>
      </c>
      <c r="N82" s="246">
        <f>ROUND((('Parts Cost Per Job'!N11)*((1+$B$37)*$B$38)),2)</f>
        <v>0</v>
      </c>
      <c r="O82" s="246">
        <f>ROUND((('Parts Cost Per Job'!O11)*((1+$B$37)*$B$38)),2)</f>
        <v>0</v>
      </c>
      <c r="P82" s="246">
        <f>ROUND((('Parts Cost Per Job'!P11)*((1+$B$37)*$B$38)),2)</f>
        <v>0</v>
      </c>
      <c r="Q82" s="246">
        <f>ROUND((('Parts Cost Per Job'!Q11)*((1+$B$37)*$B$38)),2)</f>
        <v>118.3</v>
      </c>
      <c r="R82" s="246">
        <f>ROUND((('Parts Cost Per Job'!R11)*((1+$B$37)*$B$38)),2)</f>
        <v>0</v>
      </c>
      <c r="S82" s="246">
        <f>ROUND((('Parts Cost Per Job'!S11)*((1+$B$37)*$B$38)),2)</f>
        <v>0</v>
      </c>
      <c r="T82" s="246">
        <f>ROUND((('Parts Cost Per Job'!T11)*((1+$B$37)*$B$38)),2)</f>
        <v>0</v>
      </c>
      <c r="U82" s="246">
        <f>IF('Scheduled Intervals'!U11&gt;0,ROUND(('Parts Cost Per Job'!U11*((1+$B$37)*$B$38))*ROUNDDOWN($B$1/'Scheduled Intervals'!U11,0),2),0)</f>
        <v>0</v>
      </c>
      <c r="V82" s="246">
        <f>IF('Scheduled Intervals'!V11&gt;0,ROUND(('Parts Cost Per Job'!V11*((1+$B$37)*$B$38))*ROUNDDOWN($B$1/'Scheduled Intervals'!V11,0),2),0)</f>
        <v>0</v>
      </c>
      <c r="W82" s="246">
        <f>IF('Scheduled Intervals'!W11&gt;0,ROUND(('Parts Cost Per Job'!W11*((1+$B$37)*$B$38))*ROUNDDOWN($B$1/'Scheduled Intervals'!W11,0),2),0)</f>
        <v>0</v>
      </c>
      <c r="X82" s="246">
        <f>IF('Scheduled Intervals'!X11&gt;0,ROUND(('Parts Cost Per Job'!X11*((1+$B$37)*$B$38))*ROUNDDOWN($B$1/'Scheduled Intervals'!X11,0),2),0)</f>
        <v>0</v>
      </c>
      <c r="Y82" s="246">
        <f>IF('Scheduled Intervals'!Y11&gt;0,ROUND(('Parts Cost Per Job'!Y11*((1+$B$37)*$B$38))*ROUNDDOWN($B$1/'Scheduled Intervals'!Y11,0),2),0)</f>
        <v>0</v>
      </c>
      <c r="Z82" s="246">
        <f>IF('Scheduled Intervals'!Z11&gt;0,ROUND(('Parts Cost Per Job'!Z11*((1+$B$37)*$B$38))*ROUNDDOWN($B$1/'Scheduled Intervals'!Z11,0),2),0)</f>
        <v>0</v>
      </c>
      <c r="AA82" s="246">
        <f>IF('Scheduled Intervals'!AA11&gt;0,ROUND(('Parts Cost Per Job'!AA11*((1+$B$37)*$B$38))*ROUNDDOWN($B$1/'Scheduled Intervals'!AA11,0),2),0)</f>
        <v>0</v>
      </c>
      <c r="AB82" s="246">
        <f>IF('Scheduled Intervals'!AB11&gt;0,ROUND(('Parts Cost Per Job'!AB11*((1+$B$37)*$B$38))*ROUNDDOWN($B$1/'Scheduled Intervals'!AB11,0),2),0)</f>
        <v>0</v>
      </c>
      <c r="AC82" s="246">
        <f>IF('Scheduled Intervals'!AC11&gt;0,ROUND(('Parts Cost Per Job'!AC11*((1+$B$37)*$B$38))*ROUNDDOWN($B$1/'Scheduled Intervals'!AC11,0),2),0)</f>
        <v>0</v>
      </c>
      <c r="AD82" s="246">
        <f>IF('Scheduled Intervals'!AD11&gt;0,ROUND(('Parts Cost Per Job'!AD11*((1+$B$37)*$B$38))*ROUNDDOWN($B$1/'Scheduled Intervals'!AD11,0),2),0)</f>
        <v>0</v>
      </c>
      <c r="AE82" s="246">
        <f>IF('Scheduled Intervals'!AE11&gt;0,ROUND(('Parts Cost Per Job'!AE11*((1+$B$37)*$B$38))*ROUNDDOWN($B$1/'Scheduled Intervals'!AE11,0),2),0)</f>
        <v>0</v>
      </c>
      <c r="AF82" s="246">
        <f>IF('Scheduled Intervals'!AF11&gt;0,ROUND(('Parts Cost Per Job'!AF11*((1+$B$37)*$B$38))*ROUNDDOWN($B$1/'Scheduled Intervals'!AF11,0),2),0)</f>
        <v>0</v>
      </c>
      <c r="AG82" s="246">
        <f>IF('Scheduled Intervals'!AG11&gt;0,ROUND(('Parts Cost Per Job'!AG11*((1+$B$37)*$B$38))*ROUNDDOWN($B$1/'Scheduled Intervals'!AG11,0),2),0)</f>
        <v>0</v>
      </c>
      <c r="AH82" s="246">
        <f>IF('Scheduled Intervals'!AH11&gt;0,ROUND(('Parts Cost Per Job'!AH11*((1+$B$37)*$B$38))*ROUNDDOWN($B$1/'Scheduled Intervals'!AH11,0),2),0)</f>
        <v>0</v>
      </c>
      <c r="AI82" s="246">
        <f>IF('Scheduled Intervals'!AI11&gt;0,ROUND(('Parts Cost Per Job'!AI11*((1+$B$37)*$B$38))*ROUNDDOWN($B$1/'Scheduled Intervals'!AI11,0),2),0)</f>
        <v>0</v>
      </c>
      <c r="AJ82" s="246">
        <f>IF('Scheduled Intervals'!AJ11&gt;0,ROUND(('Parts Cost Per Job'!AJ11*((1+$B$37)*$B$38))*ROUNDDOWN($B$1/'Scheduled Intervals'!AJ11,0),2),0)</f>
        <v>0</v>
      </c>
      <c r="AK82" s="246">
        <f>IF('Scheduled Intervals'!AK11&gt;0,ROUND(('Parts Cost Per Job'!AK11*((1+$B$37)*$B$38))*ROUNDDOWN($B$1/'Scheduled Intervals'!AK11,0),2),0)</f>
        <v>0</v>
      </c>
      <c r="AL82" s="246">
        <f>IF('Scheduled Intervals'!AL11&gt;0,ROUND(('Parts Cost Per Job'!AL11*((1+$B$37)*$B$38))*ROUNDDOWN($B$1/'Scheduled Intervals'!AL11,0),2),0)</f>
        <v>0</v>
      </c>
      <c r="AM82" s="246">
        <f>IF('Scheduled Intervals'!AM11&gt;0,ROUND(('Parts Cost Per Job'!AM11*((1+$B$37)*$B$38))*ROUNDDOWN($B$1/'Scheduled Intervals'!AM11,0),2),0)</f>
        <v>0</v>
      </c>
      <c r="AN82" s="246">
        <f>IF('Scheduled Intervals'!AN11&gt;0,ROUND(('Parts Cost Per Job'!AN11*((1+$B$37)*$B$38))*ROUNDDOWN($B$1/'Scheduled Intervals'!AN11,0),2),0)</f>
        <v>0</v>
      </c>
      <c r="AO82" s="246">
        <f>IF('Scheduled Intervals'!AO11&gt;0,ROUND(('Parts Cost Per Job'!AO11*((1+$B$37)*$B$38))*ROUNDDOWN($B$1/'Scheduled Intervals'!AO11,0),2),0)</f>
        <v>0</v>
      </c>
      <c r="AP82" s="246">
        <f>IF('Scheduled Intervals'!AP11&gt;0,ROUND(('Parts Cost Per Job'!AP11*((1+$B$37)*$B$38))*ROUNDDOWN($B$1/'Scheduled Intervals'!AP11,0),2),0)</f>
        <v>0</v>
      </c>
      <c r="AQ82" s="246">
        <f>IF('Scheduled Intervals'!AQ11&gt;0,ROUND(('Parts Cost Per Job'!AQ11*((1+$B$37)*$B$38))*ROUNDDOWN($B$1/'Scheduled Intervals'!AQ11,0),2),0)</f>
        <v>0</v>
      </c>
      <c r="AR82" s="246">
        <f>IF('Scheduled Intervals'!AR11&gt;0,ROUND(('Parts Cost Per Job'!AR11*((1+$B$37)*$B$38))*ROUNDDOWN($B$1/'Scheduled Intervals'!AR11,0),2),0)</f>
        <v>0</v>
      </c>
      <c r="AS82" s="246">
        <f>IF('Scheduled Intervals'!AS11&gt;0,ROUND(('Parts Cost Per Job'!AS11*((1+$B$37)*$B$38))*ROUNDDOWN($B$1/'Scheduled Intervals'!AS11,0),2),0)</f>
        <v>0</v>
      </c>
      <c r="AT82" s="246">
        <f>IF('Scheduled Intervals'!AT11&gt;0,ROUND(('Parts Cost Per Job'!AT11*((1+$B$37)*$B$38))*ROUNDDOWN($B$1/'Scheduled Intervals'!AT11,0),2),0)</f>
        <v>0</v>
      </c>
      <c r="AU82" s="246">
        <f>IF('Scheduled Intervals'!AU11&gt;0,ROUND(('Parts Cost Per Job'!AU11*((1+$B$37)*$B$38))*ROUNDDOWN($B$1/'Scheduled Intervals'!AU11,0),2),0)</f>
        <v>0</v>
      </c>
      <c r="AV82" s="246">
        <f>IF('Scheduled Intervals'!AV11&gt;0,ROUND(('Parts Cost Per Job'!AV11*((1+$B$37)*$B$38))*ROUNDDOWN($B$1/'Scheduled Intervals'!AV11,0),2),0)</f>
        <v>0</v>
      </c>
      <c r="AW82" s="246">
        <f>IF('Scheduled Intervals'!AW11&gt;0,ROUND(('Parts Cost Per Job'!AW11*((1+$B$37)*$B$38))*ROUNDDOWN($B$1/'Scheduled Intervals'!AW11,0),2),0)</f>
        <v>0</v>
      </c>
      <c r="AX82" s="246">
        <f>IF('Scheduled Intervals'!AX11&gt;0,ROUND(('Parts Cost Per Job'!AX11*((1+$B$37)*$B$38))*ROUNDDOWN($B$1/'Scheduled Intervals'!AX11,0),2),0)</f>
        <v>0</v>
      </c>
      <c r="AY82" s="246">
        <f>IF('Scheduled Intervals'!AY11&gt;0,ROUND(('Parts Cost Per Job'!AY11*((1+$B$37)*$B$38))*ROUNDDOWN($B$1/'Scheduled Intervals'!AY11,0),2),0)</f>
        <v>0</v>
      </c>
      <c r="AZ82" s="246">
        <f>IF('Scheduled Intervals'!AZ11&gt;0,ROUND(('Parts Cost Per Job'!AZ11*((1+$B$37)*$B$38))*ROUNDDOWN($B$1/'Scheduled Intervals'!AZ11,0),2),0)</f>
        <v>0</v>
      </c>
      <c r="BA82" s="246">
        <f>IF('Scheduled Intervals'!BA11&gt;0,ROUND(('Parts Cost Per Job'!BA11*((1+$B$37)*$B$38))*ROUNDDOWN($B$1/'Scheduled Intervals'!BA11,0),2),0)</f>
        <v>0</v>
      </c>
      <c r="BB82" s="246">
        <f>IF('Scheduled Intervals'!BB11&gt;0,ROUND(('Parts Cost Per Job'!BB11*((1+$B$37)*$B$38))*ROUNDDOWN($B$1/'Scheduled Intervals'!BB11,0),2),0)</f>
        <v>0</v>
      </c>
      <c r="BC82" s="246">
        <f>IF('Scheduled Intervals'!BC11&gt;0,ROUND(('Parts Cost Per Job'!BC11*((1+$B$37)*$B$38))*ROUNDDOWN($B$1/'Scheduled Intervals'!BC11,0),2),0)</f>
        <v>0</v>
      </c>
      <c r="BD82" s="246">
        <f>IF('Scheduled Intervals'!BD11&gt;0,ROUND(('Parts Cost Per Job'!BD11*((1+$B$37)*$B$38))*ROUNDDOWN($B$1/'Scheduled Intervals'!BD11,0),2),0)</f>
        <v>0</v>
      </c>
      <c r="BE82" s="246">
        <f>IF('Scheduled Intervals'!BE11&gt;0,ROUND(('Parts Cost Per Job'!BE11*((1+$B$37)*$B$38))*ROUNDDOWN($B$1/'Scheduled Intervals'!BE11,0),2),0)</f>
        <v>0</v>
      </c>
      <c r="BF82" s="246">
        <f>IF('Scheduled Intervals'!BF11&gt;0,ROUND(('Parts Cost Per Job'!BF11*((1+$B$37)*$B$38))*ROUNDDOWN($B$1/'Scheduled Intervals'!BF11,0),2),0)</f>
        <v>0</v>
      </c>
      <c r="BG82" s="246">
        <f>IF('Scheduled Intervals'!BG11&gt;0,ROUND(('Parts Cost Per Job'!BG11*((1+$B$37)*$B$38))*ROUNDDOWN($B$1/'Scheduled Intervals'!BG11,0),2),0)</f>
        <v>0</v>
      </c>
      <c r="BH82" s="246">
        <f>IF('Scheduled Intervals'!BH11&gt;0,ROUND(('Parts Cost Per Job'!BH11*((1+$B$37)*$B$38))*ROUNDDOWN($B$1/'Scheduled Intervals'!BH11,0),2),0)</f>
        <v>0</v>
      </c>
      <c r="BI82" s="246">
        <f>IF('Scheduled Intervals'!BI11&gt;0,ROUND(('Parts Cost Per Job'!BI11*((1+$B$37)*$B$38))*ROUNDDOWN($B$1/'Scheduled Intervals'!BI11,0),2),0)</f>
        <v>0</v>
      </c>
      <c r="BJ82" s="246">
        <f>IF('Scheduled Intervals'!BJ11&gt;0,ROUND(('Parts Cost Per Job'!BJ11*((1+$B$37)*$B$38))*ROUNDDOWN($B$1/'Scheduled Intervals'!BJ11,0),2),0)</f>
        <v>0</v>
      </c>
      <c r="BK82" s="246">
        <f>IF('Scheduled Intervals'!BK11&gt;0,ROUND(('Parts Cost Per Job'!BK11*((1+$B$37)*$B$38))*ROUNDDOWN($B$1/'Scheduled Intervals'!BK11,0),2),0)</f>
        <v>0</v>
      </c>
      <c r="BL82" s="246">
        <f>IF('Scheduled Intervals'!BL11&gt;0,ROUND(('Parts Cost Per Job'!BL11*((1+$B$37)*$B$38))*ROUNDDOWN($B$1/'Scheduled Intervals'!BL11,0),2),0)</f>
        <v>0</v>
      </c>
      <c r="BM82" s="246">
        <f>IF('Scheduled Intervals'!BM11&gt;0,ROUND(('Parts Cost Per Job'!BM11*((1+$B$37)*$B$38))*ROUNDDOWN($B$1/'Scheduled Intervals'!BM11,0),2),0)</f>
        <v>0</v>
      </c>
      <c r="BN82" s="246">
        <f>IF(AND('Scheduled Intervals'!BN$4="annual",'Plan Summary'!$C$5&lt;'Scheduled Intervals'!$U11*('Plan Summary'!$C$9/12)),ROUND('Parts Cost Per Job'!BN11*((1+$B$37)*$B$38)*ROUND('Plan Summary'!$C$9/12,0),2),0)</f>
        <v>432.8</v>
      </c>
      <c r="BO82" s="246">
        <f>IF(AND('Scheduled Intervals'!BO$4="annual",'Plan Summary'!$C$5&lt;'Scheduled Intervals'!$U11*('Plan Summary'!$C$9/12)),ROUND('Parts Cost Per Job'!BO11*((1+$B$37)*$B$38)*ROUND('Plan Summary'!$C$9/12,0),2),0)</f>
        <v>55.33</v>
      </c>
      <c r="BP82" s="246">
        <f>IF(AND('Scheduled Intervals'!BP$4="annual",'Plan Summary'!$C$5&lt;'Scheduled Intervals'!$U11*('Plan Summary'!$C$9/12)),ROUND('Parts Cost Per Job'!BP11*((1+$B$37)*$B$38)*ROUND('Plan Summary'!$C$9/12,0),2),0)</f>
        <v>0</v>
      </c>
      <c r="BQ82" s="246">
        <f t="shared" si="3"/>
        <v>781.48000000000013</v>
      </c>
      <c r="BR82" s="246"/>
    </row>
    <row r="83" spans="1:70" ht="16" x14ac:dyDescent="0.2">
      <c r="A83" s="18" t="str">
        <f>+'Scheduled Intervals'!A12</f>
        <v>Excavator - under 3.5 ton</v>
      </c>
      <c r="B83" s="246">
        <f>ROUND((('Parts Cost Per Job'!B12)*((1+$B$37)*$B$38)),2)</f>
        <v>82.18</v>
      </c>
      <c r="C83" s="246">
        <f>ROUND((('Parts Cost Per Job'!C12)*((1+$B$37)*$B$38)),2)</f>
        <v>0</v>
      </c>
      <c r="D83" s="246">
        <f>ROUND((('Parts Cost Per Job'!D12)*((1+$B$37)*$B$38)),2)</f>
        <v>0</v>
      </c>
      <c r="E83" s="246">
        <f>ROUND((('Parts Cost Per Job'!E12)*((1+$B$37)*$B$38)),2)</f>
        <v>0</v>
      </c>
      <c r="F83" s="246">
        <f>ROUND((('Parts Cost Per Job'!F12)*((1+$B$37)*$B$38)),2)</f>
        <v>0</v>
      </c>
      <c r="G83" s="246">
        <f>ROUND((('Parts Cost Per Job'!G12)*((1+$B$37)*$B$38)),2)</f>
        <v>0</v>
      </c>
      <c r="H83" s="246">
        <f>ROUND((('Parts Cost Per Job'!H12)*((1+$B$37)*$B$38)),2)</f>
        <v>11.07</v>
      </c>
      <c r="I83" s="246">
        <f>ROUND((('Parts Cost Per Job'!I12)*((1+$B$37)*$B$38)),2)</f>
        <v>0</v>
      </c>
      <c r="J83" s="246">
        <f>ROUND((('Parts Cost Per Job'!J12)*((1+$B$37)*$B$38)),2)</f>
        <v>0</v>
      </c>
      <c r="K83" s="246">
        <f>ROUND((('Parts Cost Per Job'!K12)*((1+$B$37)*$B$38)),2)</f>
        <v>0</v>
      </c>
      <c r="L83" s="246">
        <f>ROUND((('Parts Cost Per Job'!L12)*((1+$B$37)*$B$38)),2)</f>
        <v>0</v>
      </c>
      <c r="M83" s="246">
        <f>ROUND((('Parts Cost Per Job'!M12)*((1+$B$37)*$B$38)),2)</f>
        <v>0</v>
      </c>
      <c r="N83" s="246">
        <f>ROUND((('Parts Cost Per Job'!N12)*((1+$B$37)*$B$38)),2)</f>
        <v>0</v>
      </c>
      <c r="O83" s="246">
        <f>ROUND((('Parts Cost Per Job'!O12)*((1+$B$37)*$B$38)),2)</f>
        <v>0</v>
      </c>
      <c r="P83" s="246">
        <f>ROUND((('Parts Cost Per Job'!P12)*((1+$B$37)*$B$38)),2)</f>
        <v>0</v>
      </c>
      <c r="Q83" s="246">
        <f>ROUND((('Parts Cost Per Job'!Q12)*((1+$B$37)*$B$38)),2)</f>
        <v>116.73</v>
      </c>
      <c r="R83" s="246">
        <f>ROUND((('Parts Cost Per Job'!R12)*((1+$B$37)*$B$38)),2)</f>
        <v>0</v>
      </c>
      <c r="S83" s="246">
        <f>ROUND((('Parts Cost Per Job'!S12)*((1+$B$37)*$B$38)),2)</f>
        <v>0</v>
      </c>
      <c r="T83" s="246">
        <f>ROUND((('Parts Cost Per Job'!T12)*((1+$B$37)*$B$38)),2)</f>
        <v>0</v>
      </c>
      <c r="U83" s="246">
        <f>IF('Scheduled Intervals'!U12&gt;0,ROUND(('Parts Cost Per Job'!U12*((1+$B$37)*$B$38))*ROUNDDOWN($B$1/'Scheduled Intervals'!U12,0),2),0)</f>
        <v>0</v>
      </c>
      <c r="V83" s="246">
        <f>IF('Scheduled Intervals'!V12&gt;0,ROUND(('Parts Cost Per Job'!V12*((1+$B$37)*$B$38))*ROUNDDOWN($B$1/'Scheduled Intervals'!V12,0),2),0)</f>
        <v>0</v>
      </c>
      <c r="W83" s="246">
        <f>IF('Scheduled Intervals'!W12&gt;0,ROUND(('Parts Cost Per Job'!W12*((1+$B$37)*$B$38))*ROUNDDOWN($B$1/'Scheduled Intervals'!W12,0),2),0)</f>
        <v>0</v>
      </c>
      <c r="X83" s="246">
        <f>IF('Scheduled Intervals'!X12&gt;0,ROUND(('Parts Cost Per Job'!X12*((1+$B$37)*$B$38))*ROUNDDOWN($B$1/'Scheduled Intervals'!X12,0),2),0)</f>
        <v>0</v>
      </c>
      <c r="Y83" s="246">
        <f>IF('Scheduled Intervals'!Y12&gt;0,ROUND(('Parts Cost Per Job'!Y12*((1+$B$37)*$B$38))*ROUNDDOWN($B$1/'Scheduled Intervals'!Y12,0),2),0)</f>
        <v>0</v>
      </c>
      <c r="Z83" s="246">
        <f>IF('Scheduled Intervals'!Z12&gt;0,ROUND(('Parts Cost Per Job'!Z12*((1+$B$37)*$B$38))*ROUNDDOWN($B$1/'Scheduled Intervals'!Z12,0),2),0)</f>
        <v>0</v>
      </c>
      <c r="AA83" s="246">
        <f>IF('Scheduled Intervals'!AA12&gt;0,ROUND(('Parts Cost Per Job'!AA12*((1+$B$37)*$B$38))*ROUNDDOWN($B$1/'Scheduled Intervals'!AA12,0),2),0)</f>
        <v>0</v>
      </c>
      <c r="AB83" s="246">
        <f>IF('Scheduled Intervals'!AB12&gt;0,ROUND(('Parts Cost Per Job'!AB12*((1+$B$37)*$B$38))*ROUNDDOWN($B$1/'Scheduled Intervals'!AB12,0),2),0)</f>
        <v>0</v>
      </c>
      <c r="AC83" s="246">
        <f>IF('Scheduled Intervals'!AC12&gt;0,ROUND(('Parts Cost Per Job'!AC12*((1+$B$37)*$B$38))*ROUNDDOWN($B$1/'Scheduled Intervals'!AC12,0),2),0)</f>
        <v>0</v>
      </c>
      <c r="AD83" s="246">
        <f>IF('Scheduled Intervals'!AD12&gt;0,ROUND(('Parts Cost Per Job'!AD12*((1+$B$37)*$B$38))*ROUNDDOWN($B$1/'Scheduled Intervals'!AD12,0),2),0)</f>
        <v>0</v>
      </c>
      <c r="AE83" s="246">
        <f>IF('Scheduled Intervals'!AE12&gt;0,ROUND(('Parts Cost Per Job'!AE12*((1+$B$37)*$B$38))*ROUNDDOWN($B$1/'Scheduled Intervals'!AE12,0),2),0)</f>
        <v>0</v>
      </c>
      <c r="AF83" s="246">
        <f>IF('Scheduled Intervals'!AF12&gt;0,ROUND(('Parts Cost Per Job'!AF12*((1+$B$37)*$B$38))*ROUNDDOWN($B$1/'Scheduled Intervals'!AF12,0),2),0)</f>
        <v>0</v>
      </c>
      <c r="AG83" s="246">
        <f>IF('Scheduled Intervals'!AG12&gt;0,ROUND(('Parts Cost Per Job'!AG12*((1+$B$37)*$B$38))*ROUNDDOWN($B$1/'Scheduled Intervals'!AG12,0),2),0)</f>
        <v>0</v>
      </c>
      <c r="AH83" s="246">
        <f>IF('Scheduled Intervals'!AH12&gt;0,ROUND(('Parts Cost Per Job'!AH12*((1+$B$37)*$B$38))*ROUNDDOWN($B$1/'Scheduled Intervals'!AH12,0),2),0)</f>
        <v>0</v>
      </c>
      <c r="AI83" s="246">
        <f>IF('Scheduled Intervals'!AI12&gt;0,ROUND(('Parts Cost Per Job'!AI12*((1+$B$37)*$B$38))*ROUNDDOWN($B$1/'Scheduled Intervals'!AI12,0),2),0)</f>
        <v>0</v>
      </c>
      <c r="AJ83" s="246">
        <f>IF('Scheduled Intervals'!AJ12&gt;0,ROUND(('Parts Cost Per Job'!AJ12*((1+$B$37)*$B$38))*ROUNDDOWN($B$1/'Scheduled Intervals'!AJ12,0),2),0)</f>
        <v>0</v>
      </c>
      <c r="AK83" s="246">
        <f>IF('Scheduled Intervals'!AK12&gt;0,ROUND(('Parts Cost Per Job'!AK12*((1+$B$37)*$B$38))*ROUNDDOWN($B$1/'Scheduled Intervals'!AK12,0),2),0)</f>
        <v>0</v>
      </c>
      <c r="AL83" s="246">
        <f>IF('Scheduled Intervals'!AL12&gt;0,ROUND(('Parts Cost Per Job'!AL12*((1+$B$37)*$B$38))*ROUNDDOWN($B$1/'Scheduled Intervals'!AL12,0),2),0)</f>
        <v>0</v>
      </c>
      <c r="AM83" s="246">
        <f>IF('Scheduled Intervals'!AM12&gt;0,ROUND(('Parts Cost Per Job'!AM12*((1+$B$37)*$B$38))*ROUNDDOWN($B$1/'Scheduled Intervals'!AM12,0),2),0)</f>
        <v>0</v>
      </c>
      <c r="AN83" s="246">
        <f>IF('Scheduled Intervals'!AN12&gt;0,ROUND(('Parts Cost Per Job'!AN12*((1+$B$37)*$B$38))*ROUNDDOWN($B$1/'Scheduled Intervals'!AN12,0),2),0)</f>
        <v>0</v>
      </c>
      <c r="AO83" s="246">
        <f>IF('Scheduled Intervals'!AO12&gt;0,ROUND(('Parts Cost Per Job'!AO12*((1+$B$37)*$B$38))*ROUNDDOWN($B$1/'Scheduled Intervals'!AO12,0),2),0)</f>
        <v>0</v>
      </c>
      <c r="AP83" s="246">
        <f>IF('Scheduled Intervals'!AP12&gt;0,ROUND(('Parts Cost Per Job'!AP12*((1+$B$37)*$B$38))*ROUNDDOWN($B$1/'Scheduled Intervals'!AP12,0),2),0)</f>
        <v>0</v>
      </c>
      <c r="AQ83" s="246">
        <f>IF('Scheduled Intervals'!AQ12&gt;0,ROUND(('Parts Cost Per Job'!AQ12*((1+$B$37)*$B$38))*ROUNDDOWN($B$1/'Scheduled Intervals'!AQ12,0),2),0)</f>
        <v>0</v>
      </c>
      <c r="AR83" s="246">
        <f>IF('Scheduled Intervals'!AR12&gt;0,ROUND(('Parts Cost Per Job'!AR12*((1+$B$37)*$B$38))*ROUNDDOWN($B$1/'Scheduled Intervals'!AR12,0),2),0)</f>
        <v>0</v>
      </c>
      <c r="AS83" s="246">
        <f>IF('Scheduled Intervals'!AS12&gt;0,ROUND(('Parts Cost Per Job'!AS12*((1+$B$37)*$B$38))*ROUNDDOWN($B$1/'Scheduled Intervals'!AS12,0),2),0)</f>
        <v>0</v>
      </c>
      <c r="AT83" s="246">
        <f>IF('Scheduled Intervals'!AT12&gt;0,ROUND(('Parts Cost Per Job'!AT12*((1+$B$37)*$B$38))*ROUNDDOWN($B$1/'Scheduled Intervals'!AT12,0),2),0)</f>
        <v>0</v>
      </c>
      <c r="AU83" s="246">
        <f>IF('Scheduled Intervals'!AU12&gt;0,ROUND(('Parts Cost Per Job'!AU12*((1+$B$37)*$B$38))*ROUNDDOWN($B$1/'Scheduled Intervals'!AU12,0),2),0)</f>
        <v>0</v>
      </c>
      <c r="AV83" s="246">
        <f>IF('Scheduled Intervals'!AV12&gt;0,ROUND(('Parts Cost Per Job'!AV12*((1+$B$37)*$B$38))*ROUNDDOWN($B$1/'Scheduled Intervals'!AV12,0),2),0)</f>
        <v>0</v>
      </c>
      <c r="AW83" s="246">
        <f>IF('Scheduled Intervals'!AW12&gt;0,ROUND(('Parts Cost Per Job'!AW12*((1+$B$37)*$B$38))*ROUNDDOWN($B$1/'Scheduled Intervals'!AW12,0),2),0)</f>
        <v>0</v>
      </c>
      <c r="AX83" s="246">
        <f>IF('Scheduled Intervals'!AX12&gt;0,ROUND(('Parts Cost Per Job'!AX12*((1+$B$37)*$B$38))*ROUNDDOWN($B$1/'Scheduled Intervals'!AX12,0),2),0)</f>
        <v>0</v>
      </c>
      <c r="AY83" s="246">
        <f>IF('Scheduled Intervals'!AY12&gt;0,ROUND(('Parts Cost Per Job'!AY12*((1+$B$37)*$B$38))*ROUNDDOWN($B$1/'Scheduled Intervals'!AY12,0),2),0)</f>
        <v>0</v>
      </c>
      <c r="AZ83" s="246">
        <f>IF('Scheduled Intervals'!AZ12&gt;0,ROUND(('Parts Cost Per Job'!AZ12*((1+$B$37)*$B$38))*ROUNDDOWN($B$1/'Scheduled Intervals'!AZ12,0),2),0)</f>
        <v>0</v>
      </c>
      <c r="BA83" s="246">
        <f>IF('Scheduled Intervals'!BA12&gt;0,ROUND(('Parts Cost Per Job'!BA12*((1+$B$37)*$B$38))*ROUNDDOWN($B$1/'Scheduled Intervals'!BA12,0),2),0)</f>
        <v>0</v>
      </c>
      <c r="BB83" s="246">
        <f>IF('Scheduled Intervals'!BB12&gt;0,ROUND(('Parts Cost Per Job'!BB12*((1+$B$37)*$B$38))*ROUNDDOWN($B$1/'Scheduled Intervals'!BB12,0),2),0)</f>
        <v>0</v>
      </c>
      <c r="BC83" s="246">
        <f>IF('Scheduled Intervals'!BC12&gt;0,ROUND(('Parts Cost Per Job'!BC12*((1+$B$37)*$B$38))*ROUNDDOWN($B$1/'Scheduled Intervals'!BC12,0),2),0)</f>
        <v>0</v>
      </c>
      <c r="BD83" s="246">
        <f>IF('Scheduled Intervals'!BD12&gt;0,ROUND(('Parts Cost Per Job'!BD12*((1+$B$37)*$B$38))*ROUNDDOWN($B$1/'Scheduled Intervals'!BD12,0),2),0)</f>
        <v>0</v>
      </c>
      <c r="BE83" s="246">
        <f>IF('Scheduled Intervals'!BE12&gt;0,ROUND(('Parts Cost Per Job'!BE12*((1+$B$37)*$B$38))*ROUNDDOWN($B$1/'Scheduled Intervals'!BE12,0),2),0)</f>
        <v>0</v>
      </c>
      <c r="BF83" s="246">
        <f>IF('Scheduled Intervals'!BF12&gt;0,ROUND(('Parts Cost Per Job'!BF12*((1+$B$37)*$B$38))*ROUNDDOWN($B$1/'Scheduled Intervals'!BF12,0),2),0)</f>
        <v>0</v>
      </c>
      <c r="BG83" s="246">
        <f>IF('Scheduled Intervals'!BG12&gt;0,ROUND(('Parts Cost Per Job'!BG12*((1+$B$37)*$B$38))*ROUNDDOWN($B$1/'Scheduled Intervals'!BG12,0),2),0)</f>
        <v>0</v>
      </c>
      <c r="BH83" s="246">
        <f>IF('Scheduled Intervals'!BH12&gt;0,ROUND(('Parts Cost Per Job'!BH12*((1+$B$37)*$B$38))*ROUNDDOWN($B$1/'Scheduled Intervals'!BH12,0),2),0)</f>
        <v>0</v>
      </c>
      <c r="BI83" s="246">
        <f>IF('Scheduled Intervals'!BI12&gt;0,ROUND(('Parts Cost Per Job'!BI12*((1+$B$37)*$B$38))*ROUNDDOWN($B$1/'Scheduled Intervals'!BI12,0),2),0)</f>
        <v>0</v>
      </c>
      <c r="BJ83" s="246">
        <f>IF('Scheduled Intervals'!BJ12&gt;0,ROUND(('Parts Cost Per Job'!BJ12*((1+$B$37)*$B$38))*ROUNDDOWN($B$1/'Scheduled Intervals'!BJ12,0),2),0)</f>
        <v>0</v>
      </c>
      <c r="BK83" s="246">
        <f>IF('Scheduled Intervals'!BK12&gt;0,ROUND(('Parts Cost Per Job'!BK12*((1+$B$37)*$B$38))*ROUNDDOWN($B$1/'Scheduled Intervals'!BK12,0),2),0)</f>
        <v>0</v>
      </c>
      <c r="BL83" s="246">
        <f>IF('Scheduled Intervals'!BL12&gt;0,ROUND(('Parts Cost Per Job'!BL12*((1+$B$37)*$B$38))*ROUNDDOWN($B$1/'Scheduled Intervals'!BL12,0),2),0)</f>
        <v>0</v>
      </c>
      <c r="BM83" s="246">
        <f>IF('Scheduled Intervals'!BM12&gt;0,ROUND(('Parts Cost Per Job'!BM12*((1+$B$37)*$B$38))*ROUNDDOWN($B$1/'Scheduled Intervals'!BM12,0),2),0)</f>
        <v>0</v>
      </c>
      <c r="BN83" s="246">
        <f>IF(AND('Scheduled Intervals'!BN$4="annual",'Plan Summary'!$C$5&lt;'Scheduled Intervals'!$U12*('Plan Summary'!$C$9/12)),ROUND('Parts Cost Per Job'!BN12*((1+$B$37)*$B$38)*ROUND('Plan Summary'!$C$9/12,0),2),0)</f>
        <v>410.88</v>
      </c>
      <c r="BO83" s="246">
        <f>IF(AND('Scheduled Intervals'!BO$4="annual",'Plan Summary'!$C$5&lt;'Scheduled Intervals'!$U12*('Plan Summary'!$C$9/12)),ROUND('Parts Cost Per Job'!BO12*((1+$B$37)*$B$38)*ROUND('Plan Summary'!$C$9/12,0),2),0)</f>
        <v>55.33</v>
      </c>
      <c r="BP83" s="246">
        <f>IF(AND('Scheduled Intervals'!BP$4="annual",'Plan Summary'!$C$5&lt;'Scheduled Intervals'!$U12*('Plan Summary'!$C$9/12)),ROUND('Parts Cost Per Job'!BP12*((1+$B$37)*$B$38)*ROUND('Plan Summary'!$C$9/12,0),2),0)</f>
        <v>0</v>
      </c>
      <c r="BQ83" s="246">
        <f t="shared" si="3"/>
        <v>676.19</v>
      </c>
      <c r="BR83" s="246"/>
    </row>
    <row r="84" spans="1:70" ht="16" x14ac:dyDescent="0.2">
      <c r="A84" s="18" t="str">
        <f>+'Scheduled Intervals'!A13</f>
        <v>Excavator - over 3.5 ton</v>
      </c>
      <c r="B84" s="246">
        <f>ROUND((('Parts Cost Per Job'!B13)*((1+$B$37)*$B$38)),2)</f>
        <v>82.18</v>
      </c>
      <c r="C84" s="246">
        <f>ROUND((('Parts Cost Per Job'!C13)*((1+$B$37)*$B$38)),2)</f>
        <v>0</v>
      </c>
      <c r="D84" s="246">
        <f>ROUND((('Parts Cost Per Job'!D13)*((1+$B$37)*$B$38)),2)</f>
        <v>0</v>
      </c>
      <c r="E84" s="246">
        <f>ROUND((('Parts Cost Per Job'!E13)*((1+$B$37)*$B$38)),2)</f>
        <v>0</v>
      </c>
      <c r="F84" s="246">
        <f>ROUND((('Parts Cost Per Job'!F13)*((1+$B$37)*$B$38)),2)</f>
        <v>0</v>
      </c>
      <c r="G84" s="246">
        <f>ROUND((('Parts Cost Per Job'!G13)*((1+$B$37)*$B$38)),2)</f>
        <v>0</v>
      </c>
      <c r="H84" s="246">
        <f>ROUND((('Parts Cost Per Job'!H13)*((1+$B$37)*$B$38)),2)</f>
        <v>11.07</v>
      </c>
      <c r="I84" s="246">
        <f>ROUND((('Parts Cost Per Job'!I13)*((1+$B$37)*$B$38)),2)</f>
        <v>0</v>
      </c>
      <c r="J84" s="246">
        <f>ROUND((('Parts Cost Per Job'!J13)*((1+$B$37)*$B$38)),2)</f>
        <v>0</v>
      </c>
      <c r="K84" s="246">
        <f>ROUND((('Parts Cost Per Job'!K13)*((1+$B$37)*$B$38)),2)</f>
        <v>0</v>
      </c>
      <c r="L84" s="246">
        <f>ROUND((('Parts Cost Per Job'!L13)*((1+$B$37)*$B$38)),2)</f>
        <v>0</v>
      </c>
      <c r="M84" s="246">
        <f>ROUND((('Parts Cost Per Job'!M13)*((1+$B$37)*$B$38)),2)</f>
        <v>0</v>
      </c>
      <c r="N84" s="246">
        <f>ROUND((('Parts Cost Per Job'!N13)*((1+$B$37)*$B$38)),2)</f>
        <v>0</v>
      </c>
      <c r="O84" s="246">
        <f>ROUND((('Parts Cost Per Job'!O13)*((1+$B$37)*$B$38)),2)</f>
        <v>0</v>
      </c>
      <c r="P84" s="246">
        <f>ROUND((('Parts Cost Per Job'!P13)*((1+$B$37)*$B$38)),2)</f>
        <v>0</v>
      </c>
      <c r="Q84" s="246">
        <f>ROUND((('Parts Cost Per Job'!Q13)*((1+$B$37)*$B$38)),2)</f>
        <v>116.73</v>
      </c>
      <c r="R84" s="246">
        <f>ROUND((('Parts Cost Per Job'!R13)*((1+$B$37)*$B$38)),2)</f>
        <v>0</v>
      </c>
      <c r="S84" s="246">
        <f>ROUND((('Parts Cost Per Job'!S13)*((1+$B$37)*$B$38)),2)</f>
        <v>0</v>
      </c>
      <c r="T84" s="246">
        <f>ROUND((('Parts Cost Per Job'!T13)*((1+$B$37)*$B$38)),2)</f>
        <v>0</v>
      </c>
      <c r="U84" s="246">
        <f>IF('Scheduled Intervals'!U13&gt;0,ROUND(('Parts Cost Per Job'!U13*((1+$B$37)*$B$38))*ROUNDDOWN($B$1/'Scheduled Intervals'!U13,0),2),0)</f>
        <v>0</v>
      </c>
      <c r="V84" s="246">
        <f>IF('Scheduled Intervals'!V13&gt;0,ROUND(('Parts Cost Per Job'!V13*((1+$B$37)*$B$38))*ROUNDDOWN($B$1/'Scheduled Intervals'!V13,0),2),0)</f>
        <v>0</v>
      </c>
      <c r="W84" s="246">
        <f>IF('Scheduled Intervals'!W13&gt;0,ROUND(('Parts Cost Per Job'!W13*((1+$B$37)*$B$38))*ROUNDDOWN($B$1/'Scheduled Intervals'!W13,0),2),0)</f>
        <v>0</v>
      </c>
      <c r="X84" s="246">
        <f>IF('Scheduled Intervals'!X13&gt;0,ROUND(('Parts Cost Per Job'!X13*((1+$B$37)*$B$38))*ROUNDDOWN($B$1/'Scheduled Intervals'!X13,0),2),0)</f>
        <v>0</v>
      </c>
      <c r="Y84" s="246">
        <f>IF('Scheduled Intervals'!Y13&gt;0,ROUND(('Parts Cost Per Job'!Y13*((1+$B$37)*$B$38))*ROUNDDOWN($B$1/'Scheduled Intervals'!Y13,0),2),0)</f>
        <v>0</v>
      </c>
      <c r="Z84" s="246">
        <f>IF('Scheduled Intervals'!Z13&gt;0,ROUND(('Parts Cost Per Job'!Z13*((1+$B$37)*$B$38))*ROUNDDOWN($B$1/'Scheduled Intervals'!Z13,0),2),0)</f>
        <v>0</v>
      </c>
      <c r="AA84" s="246">
        <f>IF('Scheduled Intervals'!AA13&gt;0,ROUND(('Parts Cost Per Job'!AA13*((1+$B$37)*$B$38))*ROUNDDOWN($B$1/'Scheduled Intervals'!AA13,0),2),0)</f>
        <v>0</v>
      </c>
      <c r="AB84" s="246">
        <f>IF('Scheduled Intervals'!AB13&gt;0,ROUND(('Parts Cost Per Job'!AB13*((1+$B$37)*$B$38))*ROUNDDOWN($B$1/'Scheduled Intervals'!AB13,0),2),0)</f>
        <v>0</v>
      </c>
      <c r="AC84" s="246">
        <f>IF('Scheduled Intervals'!AC13&gt;0,ROUND(('Parts Cost Per Job'!AC13*((1+$B$37)*$B$38))*ROUNDDOWN($B$1/'Scheduled Intervals'!AC13,0),2),0)</f>
        <v>0</v>
      </c>
      <c r="AD84" s="246">
        <f>IF('Scheduled Intervals'!AD13&gt;0,ROUND(('Parts Cost Per Job'!AD13*((1+$B$37)*$B$38))*ROUNDDOWN($B$1/'Scheduled Intervals'!AD13,0),2),0)</f>
        <v>0</v>
      </c>
      <c r="AE84" s="246">
        <f>IF('Scheduled Intervals'!AE13&gt;0,ROUND(('Parts Cost Per Job'!AE13*((1+$B$37)*$B$38))*ROUNDDOWN($B$1/'Scheduled Intervals'!AE13,0),2),0)</f>
        <v>0</v>
      </c>
      <c r="AF84" s="246">
        <f>IF('Scheduled Intervals'!AF13&gt;0,ROUND(('Parts Cost Per Job'!AF13*((1+$B$37)*$B$38))*ROUNDDOWN($B$1/'Scheduled Intervals'!AF13,0),2),0)</f>
        <v>0</v>
      </c>
      <c r="AG84" s="246">
        <f>IF('Scheduled Intervals'!AG13&gt;0,ROUND(('Parts Cost Per Job'!AG13*((1+$B$37)*$B$38))*ROUNDDOWN($B$1/'Scheduled Intervals'!AG13,0),2),0)</f>
        <v>0</v>
      </c>
      <c r="AH84" s="246">
        <f>IF('Scheduled Intervals'!AH13&gt;0,ROUND(('Parts Cost Per Job'!AH13*((1+$B$37)*$B$38))*ROUNDDOWN($B$1/'Scheduled Intervals'!AH13,0),2),0)</f>
        <v>0</v>
      </c>
      <c r="AI84" s="246">
        <f>IF('Scheduled Intervals'!AI13&gt;0,ROUND(('Parts Cost Per Job'!AI13*((1+$B$37)*$B$38))*ROUNDDOWN($B$1/'Scheduled Intervals'!AI13,0),2),0)</f>
        <v>0</v>
      </c>
      <c r="AJ84" s="246">
        <f>IF('Scheduled Intervals'!AJ13&gt;0,ROUND(('Parts Cost Per Job'!AJ13*((1+$B$37)*$B$38))*ROUNDDOWN($B$1/'Scheduled Intervals'!AJ13,0),2),0)</f>
        <v>0</v>
      </c>
      <c r="AK84" s="246">
        <f>IF('Scheduled Intervals'!AK13&gt;0,ROUND(('Parts Cost Per Job'!AK13*((1+$B$37)*$B$38))*ROUNDDOWN($B$1/'Scheduled Intervals'!AK13,0),2),0)</f>
        <v>0</v>
      </c>
      <c r="AL84" s="246">
        <f>IF('Scheduled Intervals'!AL13&gt;0,ROUND(('Parts Cost Per Job'!AL13*((1+$B$37)*$B$38))*ROUNDDOWN($B$1/'Scheduled Intervals'!AL13,0),2),0)</f>
        <v>0</v>
      </c>
      <c r="AM84" s="246">
        <f>IF('Scheduled Intervals'!AM13&gt;0,ROUND(('Parts Cost Per Job'!AM13*((1+$B$37)*$B$38))*ROUNDDOWN($B$1/'Scheduled Intervals'!AM13,0),2),0)</f>
        <v>0</v>
      </c>
      <c r="AN84" s="246">
        <f>IF('Scheduled Intervals'!AN13&gt;0,ROUND(('Parts Cost Per Job'!AN13*((1+$B$37)*$B$38))*ROUNDDOWN($B$1/'Scheduled Intervals'!AN13,0),2),0)</f>
        <v>0</v>
      </c>
      <c r="AO84" s="246">
        <f>IF('Scheduled Intervals'!AO13&gt;0,ROUND(('Parts Cost Per Job'!AO13*((1+$B$37)*$B$38))*ROUNDDOWN($B$1/'Scheduled Intervals'!AO13,0),2),0)</f>
        <v>0</v>
      </c>
      <c r="AP84" s="246">
        <f>IF('Scheduled Intervals'!AP13&gt;0,ROUND(('Parts Cost Per Job'!AP13*((1+$B$37)*$B$38))*ROUNDDOWN($B$1/'Scheduled Intervals'!AP13,0),2),0)</f>
        <v>0</v>
      </c>
      <c r="AQ84" s="246">
        <f>IF('Scheduled Intervals'!AQ13&gt;0,ROUND(('Parts Cost Per Job'!AQ13*((1+$B$37)*$B$38))*ROUNDDOWN($B$1/'Scheduled Intervals'!AQ13,0),2),0)</f>
        <v>0</v>
      </c>
      <c r="AR84" s="246">
        <f>IF('Scheduled Intervals'!AR13&gt;0,ROUND(('Parts Cost Per Job'!AR13*((1+$B$37)*$B$38))*ROUNDDOWN($B$1/'Scheduled Intervals'!AR13,0),2),0)</f>
        <v>0</v>
      </c>
      <c r="AS84" s="246">
        <f>IF('Scheduled Intervals'!AS13&gt;0,ROUND(('Parts Cost Per Job'!AS13*((1+$B$37)*$B$38))*ROUNDDOWN($B$1/'Scheduled Intervals'!AS13,0),2),0)</f>
        <v>0</v>
      </c>
      <c r="AT84" s="246">
        <f>IF('Scheduled Intervals'!AT13&gt;0,ROUND(('Parts Cost Per Job'!AT13*((1+$B$37)*$B$38))*ROUNDDOWN($B$1/'Scheduled Intervals'!AT13,0),2),0)</f>
        <v>0</v>
      </c>
      <c r="AU84" s="246">
        <f>IF('Scheduled Intervals'!AU13&gt;0,ROUND(('Parts Cost Per Job'!AU13*((1+$B$37)*$B$38))*ROUNDDOWN($B$1/'Scheduled Intervals'!AU13,0),2),0)</f>
        <v>0</v>
      </c>
      <c r="AV84" s="246">
        <f>IF('Scheduled Intervals'!AV13&gt;0,ROUND(('Parts Cost Per Job'!AV13*((1+$B$37)*$B$38))*ROUNDDOWN($B$1/'Scheduled Intervals'!AV13,0),2),0)</f>
        <v>0</v>
      </c>
      <c r="AW84" s="246">
        <f>IF('Scheduled Intervals'!AW13&gt;0,ROUND(('Parts Cost Per Job'!AW13*((1+$B$37)*$B$38))*ROUNDDOWN($B$1/'Scheduled Intervals'!AW13,0),2),0)</f>
        <v>0</v>
      </c>
      <c r="AX84" s="246">
        <f>IF('Scheduled Intervals'!AX13&gt;0,ROUND(('Parts Cost Per Job'!AX13*((1+$B$37)*$B$38))*ROUNDDOWN($B$1/'Scheduled Intervals'!AX13,0),2),0)</f>
        <v>0</v>
      </c>
      <c r="AY84" s="246">
        <f>IF('Scheduled Intervals'!AY13&gt;0,ROUND(('Parts Cost Per Job'!AY13*((1+$B$37)*$B$38))*ROUNDDOWN($B$1/'Scheduled Intervals'!AY13,0),2),0)</f>
        <v>0</v>
      </c>
      <c r="AZ84" s="246">
        <f>IF('Scheduled Intervals'!AZ13&gt;0,ROUND(('Parts Cost Per Job'!AZ13*((1+$B$37)*$B$38))*ROUNDDOWN($B$1/'Scheduled Intervals'!AZ13,0),2),0)</f>
        <v>0</v>
      </c>
      <c r="BA84" s="246">
        <f>IF('Scheduled Intervals'!BA13&gt;0,ROUND(('Parts Cost Per Job'!BA13*((1+$B$37)*$B$38))*ROUNDDOWN($B$1/'Scheduled Intervals'!BA13,0),2),0)</f>
        <v>0</v>
      </c>
      <c r="BB84" s="246">
        <f>IF('Scheduled Intervals'!BB13&gt;0,ROUND(('Parts Cost Per Job'!BB13*((1+$B$37)*$B$38))*ROUNDDOWN($B$1/'Scheduled Intervals'!BB13,0),2),0)</f>
        <v>0</v>
      </c>
      <c r="BC84" s="246">
        <f>IF('Scheduled Intervals'!BC13&gt;0,ROUND(('Parts Cost Per Job'!BC13*((1+$B$37)*$B$38))*ROUNDDOWN($B$1/'Scheduled Intervals'!BC13,0),2),0)</f>
        <v>0</v>
      </c>
      <c r="BD84" s="246">
        <f>IF('Scheduled Intervals'!BD13&gt;0,ROUND(('Parts Cost Per Job'!BD13*((1+$B$37)*$B$38))*ROUNDDOWN($B$1/'Scheduled Intervals'!BD13,0),2),0)</f>
        <v>0</v>
      </c>
      <c r="BE84" s="246">
        <f>IF('Scheduled Intervals'!BE13&gt;0,ROUND(('Parts Cost Per Job'!BE13*((1+$B$37)*$B$38))*ROUNDDOWN($B$1/'Scheduled Intervals'!BE13,0),2),0)</f>
        <v>0</v>
      </c>
      <c r="BF84" s="246">
        <f>IF('Scheduled Intervals'!BF13&gt;0,ROUND(('Parts Cost Per Job'!BF13*((1+$B$37)*$B$38))*ROUNDDOWN($B$1/'Scheduled Intervals'!BF13,0),2),0)</f>
        <v>0</v>
      </c>
      <c r="BG84" s="246">
        <f>IF('Scheduled Intervals'!BG13&gt;0,ROUND(('Parts Cost Per Job'!BG13*((1+$B$37)*$B$38))*ROUNDDOWN($B$1/'Scheduled Intervals'!BG13,0),2),0)</f>
        <v>0</v>
      </c>
      <c r="BH84" s="246">
        <f>IF('Scheduled Intervals'!BH13&gt;0,ROUND(('Parts Cost Per Job'!BH13*((1+$B$37)*$B$38))*ROUNDDOWN($B$1/'Scheduled Intervals'!BH13,0),2),0)</f>
        <v>0</v>
      </c>
      <c r="BI84" s="246">
        <f>IF('Scheduled Intervals'!BI13&gt;0,ROUND(('Parts Cost Per Job'!BI13*((1+$B$37)*$B$38))*ROUNDDOWN($B$1/'Scheduled Intervals'!BI13,0),2),0)</f>
        <v>0</v>
      </c>
      <c r="BJ84" s="246">
        <f>IF('Scheduled Intervals'!BJ13&gt;0,ROUND(('Parts Cost Per Job'!BJ13*((1+$B$37)*$B$38))*ROUNDDOWN($B$1/'Scheduled Intervals'!BJ13,0),2),0)</f>
        <v>0</v>
      </c>
      <c r="BK84" s="246">
        <f>IF('Scheduled Intervals'!BK13&gt;0,ROUND(('Parts Cost Per Job'!BK13*((1+$B$37)*$B$38))*ROUNDDOWN($B$1/'Scheduled Intervals'!BK13,0),2),0)</f>
        <v>0</v>
      </c>
      <c r="BL84" s="246">
        <f>IF('Scheduled Intervals'!BL13&gt;0,ROUND(('Parts Cost Per Job'!BL13*((1+$B$37)*$B$38))*ROUNDDOWN($B$1/'Scheduled Intervals'!BL13,0),2),0)</f>
        <v>0</v>
      </c>
      <c r="BM84" s="246">
        <f>IF('Scheduled Intervals'!BM13&gt;0,ROUND(('Parts Cost Per Job'!BM13*((1+$B$37)*$B$38))*ROUNDDOWN($B$1/'Scheduled Intervals'!BM13,0),2),0)</f>
        <v>0</v>
      </c>
      <c r="BN84" s="246">
        <f>IF(AND('Scheduled Intervals'!BN$4="annual",'Plan Summary'!$C$5&lt;'Scheduled Intervals'!$U13*('Plan Summary'!$C$9/12)),ROUND('Parts Cost Per Job'!BN13*((1+$B$37)*$B$38)*ROUND('Plan Summary'!$C$9/12,0),2),0)</f>
        <v>410.88</v>
      </c>
      <c r="BO84" s="246">
        <f>IF(AND('Scheduled Intervals'!BO$4="annual",'Plan Summary'!$C$5&lt;'Scheduled Intervals'!$U13*('Plan Summary'!$C$9/12)),ROUND('Parts Cost Per Job'!BO13*((1+$B$37)*$B$38)*ROUND('Plan Summary'!$C$9/12,0),2),0)</f>
        <v>55.33</v>
      </c>
      <c r="BP84" s="246">
        <f>IF(AND('Scheduled Intervals'!BP$4="annual",'Plan Summary'!$C$5&lt;'Scheduled Intervals'!$U13*('Plan Summary'!$C$9/12)),ROUND('Parts Cost Per Job'!BP13*((1+$B$37)*$B$38)*ROUND('Plan Summary'!$C$9/12,0),2),0)</f>
        <v>0</v>
      </c>
      <c r="BQ84" s="246">
        <f t="shared" si="3"/>
        <v>676.19</v>
      </c>
      <c r="BR84" s="246"/>
    </row>
    <row r="85" spans="1:70" ht="16" x14ac:dyDescent="0.2">
      <c r="A85" s="18" t="str">
        <f>+'Scheduled Intervals'!A14</f>
        <v>Wheel Loader</v>
      </c>
      <c r="B85" s="246">
        <f>ROUND((('Parts Cost Per Job'!B14)*((1+$B$37)*$B$38)),2)</f>
        <v>80.52</v>
      </c>
      <c r="C85" s="246">
        <f>ROUND((('Parts Cost Per Job'!C14)*((1+$B$37)*$B$38)),2)</f>
        <v>0</v>
      </c>
      <c r="D85" s="246">
        <f>ROUND((('Parts Cost Per Job'!D14)*((1+$B$37)*$B$38)),2)</f>
        <v>0</v>
      </c>
      <c r="E85" s="246">
        <f>ROUND((('Parts Cost Per Job'!E14)*((1+$B$37)*$B$38)),2)</f>
        <v>0</v>
      </c>
      <c r="F85" s="246">
        <f>ROUND((('Parts Cost Per Job'!F14)*((1+$B$37)*$B$38)),2)</f>
        <v>0</v>
      </c>
      <c r="G85" s="246">
        <f>ROUND((('Parts Cost Per Job'!G14)*((1+$B$37)*$B$38)),2)</f>
        <v>0</v>
      </c>
      <c r="H85" s="246">
        <f>ROUND((('Parts Cost Per Job'!H14)*((1+$B$37)*$B$38)),2)</f>
        <v>11.07</v>
      </c>
      <c r="I85" s="246">
        <f>ROUND((('Parts Cost Per Job'!I14)*((1+$B$37)*$B$38)),2)</f>
        <v>0</v>
      </c>
      <c r="J85" s="246">
        <f>ROUND((('Parts Cost Per Job'!J14)*((1+$B$37)*$B$38)),2)</f>
        <v>0</v>
      </c>
      <c r="K85" s="246">
        <f>ROUND((('Parts Cost Per Job'!K14)*((1+$B$37)*$B$38)),2)</f>
        <v>0</v>
      </c>
      <c r="L85" s="246">
        <f>ROUND((('Parts Cost Per Job'!L14)*((1+$B$37)*$B$38)),2)</f>
        <v>0</v>
      </c>
      <c r="M85" s="246">
        <f>ROUND((('Parts Cost Per Job'!M14)*((1+$B$37)*$B$38)),2)</f>
        <v>0</v>
      </c>
      <c r="N85" s="246">
        <f>ROUND((('Parts Cost Per Job'!N14)*((1+$B$37)*$B$38)),2)</f>
        <v>0</v>
      </c>
      <c r="O85" s="246">
        <f>ROUND((('Parts Cost Per Job'!O14)*((1+$B$37)*$B$38)),2)</f>
        <v>0</v>
      </c>
      <c r="P85" s="246">
        <f>ROUND((('Parts Cost Per Job'!P14)*((1+$B$37)*$B$38)),2)</f>
        <v>0</v>
      </c>
      <c r="Q85" s="246">
        <f>ROUND((('Parts Cost Per Job'!Q14)*((1+$B$37)*$B$38)),2)</f>
        <v>0</v>
      </c>
      <c r="R85" s="246">
        <f>ROUND((('Parts Cost Per Job'!R14)*((1+$B$37)*$B$38)),2)</f>
        <v>72.33</v>
      </c>
      <c r="S85" s="246">
        <f>ROUND((('Parts Cost Per Job'!S14)*((1+$B$37)*$B$38)),2)</f>
        <v>0</v>
      </c>
      <c r="T85" s="246">
        <f>ROUND((('Parts Cost Per Job'!T14)*((1+$B$37)*$B$38)),2)</f>
        <v>0</v>
      </c>
      <c r="U85" s="246">
        <f>IF('Scheduled Intervals'!U14&gt;0,ROUND(('Parts Cost Per Job'!U14*((1+$B$37)*$B$38))*ROUNDDOWN($B$1/'Scheduled Intervals'!U14,0),2),0)</f>
        <v>0</v>
      </c>
      <c r="V85" s="246">
        <f>IF('Scheduled Intervals'!V14&gt;0,ROUND(('Parts Cost Per Job'!V14*((1+$B$37)*$B$38))*ROUNDDOWN($B$1/'Scheduled Intervals'!V14,0),2),0)</f>
        <v>0</v>
      </c>
      <c r="W85" s="246">
        <f>IF('Scheduled Intervals'!W14&gt;0,ROUND(('Parts Cost Per Job'!W14*((1+$B$37)*$B$38))*ROUNDDOWN($B$1/'Scheduled Intervals'!W14,0),2),0)</f>
        <v>0</v>
      </c>
      <c r="X85" s="246">
        <f>IF('Scheduled Intervals'!X14&gt;0,ROUND(('Parts Cost Per Job'!X14*((1+$B$37)*$B$38))*ROUNDDOWN($B$1/'Scheduled Intervals'!X14,0),2),0)</f>
        <v>0</v>
      </c>
      <c r="Y85" s="246">
        <f>IF('Scheduled Intervals'!Y14&gt;0,ROUND(('Parts Cost Per Job'!Y14*((1+$B$37)*$B$38))*ROUNDDOWN($B$1/'Scheduled Intervals'!Y14,0),2),0)</f>
        <v>0</v>
      </c>
      <c r="Z85" s="246">
        <f>IF('Scheduled Intervals'!Z14&gt;0,ROUND(('Parts Cost Per Job'!Z14*((1+$B$37)*$B$38))*ROUNDDOWN($B$1/'Scheduled Intervals'!Z14,0),2),0)</f>
        <v>0</v>
      </c>
      <c r="AA85" s="246">
        <f>IF('Scheduled Intervals'!AA14&gt;0,ROUND(('Parts Cost Per Job'!AA14*((1+$B$37)*$B$38))*ROUNDDOWN($B$1/'Scheduled Intervals'!AA14,0),2),0)</f>
        <v>0</v>
      </c>
      <c r="AB85" s="246">
        <f>IF('Scheduled Intervals'!AB14&gt;0,ROUND(('Parts Cost Per Job'!AB14*((1+$B$37)*$B$38))*ROUNDDOWN($B$1/'Scheduled Intervals'!AB14,0),2),0)</f>
        <v>0</v>
      </c>
      <c r="AC85" s="246">
        <f>IF('Scheduled Intervals'!AC14&gt;0,ROUND(('Parts Cost Per Job'!AC14*((1+$B$37)*$B$38))*ROUNDDOWN($B$1/'Scheduled Intervals'!AC14,0),2),0)</f>
        <v>0</v>
      </c>
      <c r="AD85" s="246">
        <f>IF('Scheduled Intervals'!AD14&gt;0,ROUND(('Parts Cost Per Job'!AD14*((1+$B$37)*$B$38))*ROUNDDOWN($B$1/'Scheduled Intervals'!AD14,0),2),0)</f>
        <v>0</v>
      </c>
      <c r="AE85" s="246">
        <f>IF('Scheduled Intervals'!AE14&gt;0,ROUND(('Parts Cost Per Job'!AE14*((1+$B$37)*$B$38))*ROUNDDOWN($B$1/'Scheduled Intervals'!AE14,0),2),0)</f>
        <v>0</v>
      </c>
      <c r="AF85" s="246">
        <f>IF('Scheduled Intervals'!AF14&gt;0,ROUND(('Parts Cost Per Job'!AF14*((1+$B$37)*$B$38))*ROUNDDOWN($B$1/'Scheduled Intervals'!AF14,0),2),0)</f>
        <v>0</v>
      </c>
      <c r="AG85" s="246">
        <f>IF('Scheduled Intervals'!AG14&gt;0,ROUND(('Parts Cost Per Job'!AG14*((1+$B$37)*$B$38))*ROUNDDOWN($B$1/'Scheduled Intervals'!AG14,0),2),0)</f>
        <v>0</v>
      </c>
      <c r="AH85" s="246">
        <f>IF('Scheduled Intervals'!AH14&gt;0,ROUND(('Parts Cost Per Job'!AH14*((1+$B$37)*$B$38))*ROUNDDOWN($B$1/'Scheduled Intervals'!AH14,0),2),0)</f>
        <v>0</v>
      </c>
      <c r="AI85" s="246">
        <f>IF('Scheduled Intervals'!AI14&gt;0,ROUND(('Parts Cost Per Job'!AI14*((1+$B$37)*$B$38))*ROUNDDOWN($B$1/'Scheduled Intervals'!AI14,0),2),0)</f>
        <v>0</v>
      </c>
      <c r="AJ85" s="246">
        <f>IF('Scheduled Intervals'!AJ14&gt;0,ROUND(('Parts Cost Per Job'!AJ14*((1+$B$37)*$B$38))*ROUNDDOWN($B$1/'Scheduled Intervals'!AJ14,0),2),0)</f>
        <v>0</v>
      </c>
      <c r="AK85" s="246">
        <f>IF('Scheduled Intervals'!AK14&gt;0,ROUND(('Parts Cost Per Job'!AK14*((1+$B$37)*$B$38))*ROUNDDOWN($B$1/'Scheduled Intervals'!AK14,0),2),0)</f>
        <v>0</v>
      </c>
      <c r="AL85" s="246">
        <f>IF('Scheduled Intervals'!AL14&gt;0,ROUND(('Parts Cost Per Job'!AL14*((1+$B$37)*$B$38))*ROUNDDOWN($B$1/'Scheduled Intervals'!AL14,0),2),0)</f>
        <v>0</v>
      </c>
      <c r="AM85" s="246">
        <f>IF('Scheduled Intervals'!AM14&gt;0,ROUND(('Parts Cost Per Job'!AM14*((1+$B$37)*$B$38))*ROUNDDOWN($B$1/'Scheduled Intervals'!AM14,0),2),0)</f>
        <v>0</v>
      </c>
      <c r="AN85" s="246">
        <f>IF('Scheduled Intervals'!AN14&gt;0,ROUND(('Parts Cost Per Job'!AN14*((1+$B$37)*$B$38))*ROUNDDOWN($B$1/'Scheduled Intervals'!AN14,0),2),0)</f>
        <v>0</v>
      </c>
      <c r="AO85" s="246">
        <f>IF('Scheduled Intervals'!AO14&gt;0,ROUND(('Parts Cost Per Job'!AO14*((1+$B$37)*$B$38))*ROUNDDOWN($B$1/'Scheduled Intervals'!AO14,0),2),0)</f>
        <v>0</v>
      </c>
      <c r="AP85" s="246">
        <f>IF('Scheduled Intervals'!AP14&gt;0,ROUND(('Parts Cost Per Job'!AP14*((1+$B$37)*$B$38))*ROUNDDOWN($B$1/'Scheduled Intervals'!AP14,0),2),0)</f>
        <v>0</v>
      </c>
      <c r="AQ85" s="246">
        <f>IF('Scheduled Intervals'!AQ14&gt;0,ROUND(('Parts Cost Per Job'!AQ14*((1+$B$37)*$B$38))*ROUNDDOWN($B$1/'Scheduled Intervals'!AQ14,0),2),0)</f>
        <v>0</v>
      </c>
      <c r="AR85" s="246">
        <f>IF('Scheduled Intervals'!AR14&gt;0,ROUND(('Parts Cost Per Job'!AR14*((1+$B$37)*$B$38))*ROUNDDOWN($B$1/'Scheduled Intervals'!AR14,0),2),0)</f>
        <v>0</v>
      </c>
      <c r="AS85" s="246">
        <f>IF('Scheduled Intervals'!AS14&gt;0,ROUND(('Parts Cost Per Job'!AS14*((1+$B$37)*$B$38))*ROUNDDOWN($B$1/'Scheduled Intervals'!AS14,0),2),0)</f>
        <v>0</v>
      </c>
      <c r="AT85" s="246">
        <f>IF('Scheduled Intervals'!AT14&gt;0,ROUND(('Parts Cost Per Job'!AT14*((1+$B$37)*$B$38))*ROUNDDOWN($B$1/'Scheduled Intervals'!AT14,0),2),0)</f>
        <v>0</v>
      </c>
      <c r="AU85" s="246">
        <f>IF('Scheduled Intervals'!AU14&gt;0,ROUND(('Parts Cost Per Job'!AU14*((1+$B$37)*$B$38))*ROUNDDOWN($B$1/'Scheduled Intervals'!AU14,0),2),0)</f>
        <v>0</v>
      </c>
      <c r="AV85" s="246">
        <f>IF('Scheduled Intervals'!AV14&gt;0,ROUND(('Parts Cost Per Job'!AV14*((1+$B$37)*$B$38))*ROUNDDOWN($B$1/'Scheduled Intervals'!AV14,0),2),0)</f>
        <v>0</v>
      </c>
      <c r="AW85" s="246">
        <f>IF('Scheduled Intervals'!AW14&gt;0,ROUND(('Parts Cost Per Job'!AW14*((1+$B$37)*$B$38))*ROUNDDOWN($B$1/'Scheduled Intervals'!AW14,0),2),0)</f>
        <v>0</v>
      </c>
      <c r="AX85" s="246">
        <f>IF('Scheduled Intervals'!AX14&gt;0,ROUND(('Parts Cost Per Job'!AX14*((1+$B$37)*$B$38))*ROUNDDOWN($B$1/'Scheduled Intervals'!AX14,0),2),0)</f>
        <v>0</v>
      </c>
      <c r="AY85" s="246">
        <f>IF('Scheduled Intervals'!AY14&gt;0,ROUND(('Parts Cost Per Job'!AY14*((1+$B$37)*$B$38))*ROUNDDOWN($B$1/'Scheduled Intervals'!AY14,0),2),0)</f>
        <v>0</v>
      </c>
      <c r="AZ85" s="246">
        <f>IF('Scheduled Intervals'!AZ14&gt;0,ROUND(('Parts Cost Per Job'!AZ14*((1+$B$37)*$B$38))*ROUNDDOWN($B$1/'Scheduled Intervals'!AZ14,0),2),0)</f>
        <v>0</v>
      </c>
      <c r="BA85" s="246">
        <f>IF('Scheduled Intervals'!BA14&gt;0,ROUND(('Parts Cost Per Job'!BA14*((1+$B$37)*$B$38))*ROUNDDOWN($B$1/'Scheduled Intervals'!BA14,0),2),0)</f>
        <v>0</v>
      </c>
      <c r="BB85" s="246">
        <f>IF('Scheduled Intervals'!BB14&gt;0,ROUND(('Parts Cost Per Job'!BB14*((1+$B$37)*$B$38))*ROUNDDOWN($B$1/'Scheduled Intervals'!BB14,0),2),0)</f>
        <v>0</v>
      </c>
      <c r="BC85" s="246">
        <f>IF('Scheduled Intervals'!BC14&gt;0,ROUND(('Parts Cost Per Job'!BC14*((1+$B$37)*$B$38))*ROUNDDOWN($B$1/'Scheduled Intervals'!BC14,0),2),0)</f>
        <v>0</v>
      </c>
      <c r="BD85" s="246">
        <f>IF('Scheduled Intervals'!BD14&gt;0,ROUND(('Parts Cost Per Job'!BD14*((1+$B$37)*$B$38))*ROUNDDOWN($B$1/'Scheduled Intervals'!BD14,0),2),0)</f>
        <v>0</v>
      </c>
      <c r="BE85" s="246">
        <f>IF('Scheduled Intervals'!BE14&gt;0,ROUND(('Parts Cost Per Job'!BE14*((1+$B$37)*$B$38))*ROUNDDOWN($B$1/'Scheduled Intervals'!BE14,0),2),0)</f>
        <v>0</v>
      </c>
      <c r="BF85" s="246">
        <f>IF('Scheduled Intervals'!BF14&gt;0,ROUND(('Parts Cost Per Job'!BF14*((1+$B$37)*$B$38))*ROUNDDOWN($B$1/'Scheduled Intervals'!BF14,0),2),0)</f>
        <v>0</v>
      </c>
      <c r="BG85" s="246">
        <f>IF('Scheduled Intervals'!BG14&gt;0,ROUND(('Parts Cost Per Job'!BG14*((1+$B$37)*$B$38))*ROUNDDOWN($B$1/'Scheduled Intervals'!BG14,0),2),0)</f>
        <v>0</v>
      </c>
      <c r="BH85" s="246">
        <f>IF('Scheduled Intervals'!BH14&gt;0,ROUND(('Parts Cost Per Job'!BH14*((1+$B$37)*$B$38))*ROUNDDOWN($B$1/'Scheduled Intervals'!BH14,0),2),0)</f>
        <v>0</v>
      </c>
      <c r="BI85" s="246">
        <f>IF('Scheduled Intervals'!BI14&gt;0,ROUND(('Parts Cost Per Job'!BI14*((1+$B$37)*$B$38))*ROUNDDOWN($B$1/'Scheduled Intervals'!BI14,0),2),0)</f>
        <v>0</v>
      </c>
      <c r="BJ85" s="246">
        <f>IF('Scheduled Intervals'!BJ14&gt;0,ROUND(('Parts Cost Per Job'!BJ14*((1+$B$37)*$B$38))*ROUNDDOWN($B$1/'Scheduled Intervals'!BJ14,0),2),0)</f>
        <v>0</v>
      </c>
      <c r="BK85" s="246">
        <f>IF('Scheduled Intervals'!BK14&gt;0,ROUND(('Parts Cost Per Job'!BK14*((1+$B$37)*$B$38))*ROUNDDOWN($B$1/'Scheduled Intervals'!BK14,0),2),0)</f>
        <v>0</v>
      </c>
      <c r="BL85" s="246">
        <f>IF('Scheduled Intervals'!BL14&gt;0,ROUND(('Parts Cost Per Job'!BL14*((1+$B$37)*$B$38))*ROUNDDOWN($B$1/'Scheduled Intervals'!BL14,0),2),0)</f>
        <v>0</v>
      </c>
      <c r="BM85" s="246">
        <f>IF('Scheduled Intervals'!BM14&gt;0,ROUND(('Parts Cost Per Job'!BM14*((1+$B$37)*$B$38))*ROUNDDOWN($B$1/'Scheduled Intervals'!BM14,0),2),0)</f>
        <v>0</v>
      </c>
      <c r="BN85" s="246">
        <f>IF(AND('Scheduled Intervals'!BN$4="annual",'Plan Summary'!$C$5&lt;'Scheduled Intervals'!$U14*('Plan Summary'!$C$9/12)),ROUND('Parts Cost Per Job'!BN14*((1+$B$37)*$B$38)*ROUND('Plan Summary'!$C$9/12,0),2),0)</f>
        <v>402.58</v>
      </c>
      <c r="BO85" s="246">
        <f>IF(AND('Scheduled Intervals'!BO$4="annual",'Plan Summary'!$C$5&lt;'Scheduled Intervals'!$U14*('Plan Summary'!$C$9/12)),ROUND('Parts Cost Per Job'!BO14*((1+$B$37)*$B$38)*ROUND('Plan Summary'!$C$9/12,0),2),0)</f>
        <v>55.33</v>
      </c>
      <c r="BP85" s="246">
        <f>IF(AND('Scheduled Intervals'!BP$4="annual",'Plan Summary'!$C$5&lt;'Scheduled Intervals'!$U14*('Plan Summary'!$C$9/12)),ROUND('Parts Cost Per Job'!BP14*((1+$B$37)*$B$38)*ROUND('Plan Summary'!$C$9/12,0),2),0)</f>
        <v>0</v>
      </c>
      <c r="BQ85" s="246">
        <f t="shared" si="3"/>
        <v>621.83000000000004</v>
      </c>
      <c r="BR85" s="246"/>
    </row>
    <row r="86" spans="1:70" ht="16" x14ac:dyDescent="0.2">
      <c r="A86" s="18" t="str">
        <f>+'Scheduled Intervals'!A15</f>
        <v>Telehandler</v>
      </c>
      <c r="B86" s="246">
        <f>ROUND((('Parts Cost Per Job'!B15)*((1+$B$37)*$B$38)),2)</f>
        <v>159.43</v>
      </c>
      <c r="C86" s="246">
        <f>ROUND((('Parts Cost Per Job'!C15)*((1+$B$37)*$B$38)),2)</f>
        <v>0</v>
      </c>
      <c r="D86" s="246">
        <f>ROUND((('Parts Cost Per Job'!D15)*((1+$B$37)*$B$38)),2)</f>
        <v>0</v>
      </c>
      <c r="E86" s="246">
        <f>ROUND((('Parts Cost Per Job'!E15)*((1+$B$37)*$B$38)),2)</f>
        <v>0</v>
      </c>
      <c r="F86" s="246">
        <f>ROUND((('Parts Cost Per Job'!F15)*((1+$B$37)*$B$38)),2)</f>
        <v>0</v>
      </c>
      <c r="G86" s="246">
        <f>ROUND((('Parts Cost Per Job'!G15)*((1+$B$37)*$B$38)),2)</f>
        <v>0</v>
      </c>
      <c r="H86" s="246">
        <f>ROUND((('Parts Cost Per Job'!H15)*((1+$B$37)*$B$38)),2)</f>
        <v>11.07</v>
      </c>
      <c r="I86" s="246">
        <f>ROUND((('Parts Cost Per Job'!I15)*((1+$B$37)*$B$38)),2)</f>
        <v>0</v>
      </c>
      <c r="J86" s="246">
        <f>ROUND((('Parts Cost Per Job'!J15)*((1+$B$37)*$B$38)),2)</f>
        <v>0</v>
      </c>
      <c r="K86" s="246">
        <f>ROUND((('Parts Cost Per Job'!K15)*((1+$B$37)*$B$38)),2)</f>
        <v>0</v>
      </c>
      <c r="L86" s="246">
        <f>ROUND((('Parts Cost Per Job'!L15)*((1+$B$37)*$B$38)),2)</f>
        <v>0</v>
      </c>
      <c r="M86" s="246">
        <f>ROUND((('Parts Cost Per Job'!M15)*((1+$B$37)*$B$38)),2)</f>
        <v>0</v>
      </c>
      <c r="N86" s="246">
        <f>ROUND((('Parts Cost Per Job'!N15)*((1+$B$37)*$B$38)),2)</f>
        <v>0</v>
      </c>
      <c r="O86" s="246">
        <f>ROUND((('Parts Cost Per Job'!O15)*((1+$B$37)*$B$38)),2)</f>
        <v>0</v>
      </c>
      <c r="P86" s="246">
        <f>ROUND((('Parts Cost Per Job'!P15)*((1+$B$37)*$B$38)),2)</f>
        <v>0</v>
      </c>
      <c r="Q86" s="246">
        <f>ROUND((('Parts Cost Per Job'!Q15)*((1+$B$37)*$B$38)),2)</f>
        <v>0</v>
      </c>
      <c r="R86" s="246">
        <f>ROUND((('Parts Cost Per Job'!R15)*((1+$B$37)*$B$38)),2)</f>
        <v>76.510000000000005</v>
      </c>
      <c r="S86" s="246">
        <f>ROUND((('Parts Cost Per Job'!S15)*((1+$B$37)*$B$38)),2)</f>
        <v>0</v>
      </c>
      <c r="T86" s="246">
        <f>ROUND((('Parts Cost Per Job'!T15)*((1+$B$37)*$B$38)),2)</f>
        <v>0</v>
      </c>
      <c r="U86" s="246">
        <f>IF('Scheduled Intervals'!U15&gt;0,ROUND(('Parts Cost Per Job'!U15*((1+$B$37)*$B$38))*ROUNDDOWN($B$1/'Scheduled Intervals'!U15,0),2),0)</f>
        <v>0</v>
      </c>
      <c r="V86" s="246">
        <f>IF('Scheduled Intervals'!V15&gt;0,ROUND(('Parts Cost Per Job'!V15*((1+$B$37)*$B$38))*ROUNDDOWN($B$1/'Scheduled Intervals'!V15,0),2),0)</f>
        <v>0</v>
      </c>
      <c r="W86" s="246">
        <f>IF('Scheduled Intervals'!W15&gt;0,ROUND(('Parts Cost Per Job'!W15*((1+$B$37)*$B$38))*ROUNDDOWN($B$1/'Scheduled Intervals'!W15,0),2),0)</f>
        <v>0</v>
      </c>
      <c r="X86" s="246">
        <f>IF('Scheduled Intervals'!X15&gt;0,ROUND(('Parts Cost Per Job'!X15*((1+$B$37)*$B$38))*ROUNDDOWN($B$1/'Scheduled Intervals'!X15,0),2),0)</f>
        <v>0</v>
      </c>
      <c r="Y86" s="246">
        <f>IF('Scheduled Intervals'!Y15&gt;0,ROUND(('Parts Cost Per Job'!Y15*((1+$B$37)*$B$38))*ROUNDDOWN($B$1/'Scheduled Intervals'!Y15,0),2),0)</f>
        <v>0</v>
      </c>
      <c r="Z86" s="246">
        <f>IF('Scheduled Intervals'!Z15&gt;0,ROUND(('Parts Cost Per Job'!Z15*((1+$B$37)*$B$38))*ROUNDDOWN($B$1/'Scheduled Intervals'!Z15,0),2),0)</f>
        <v>0</v>
      </c>
      <c r="AA86" s="246">
        <f>IF('Scheduled Intervals'!AA15&gt;0,ROUND(('Parts Cost Per Job'!AA15*((1+$B$37)*$B$38))*ROUNDDOWN($B$1/'Scheduled Intervals'!AA15,0),2),0)</f>
        <v>0</v>
      </c>
      <c r="AB86" s="246">
        <f>IF('Scheduled Intervals'!AB15&gt;0,ROUND(('Parts Cost Per Job'!AB15*((1+$B$37)*$B$38))*ROUNDDOWN($B$1/'Scheduled Intervals'!AB15,0),2),0)</f>
        <v>0</v>
      </c>
      <c r="AC86" s="246">
        <f>IF('Scheduled Intervals'!AC15&gt;0,ROUND(('Parts Cost Per Job'!AC15*((1+$B$37)*$B$38))*ROUNDDOWN($B$1/'Scheduled Intervals'!AC15,0),2),0)</f>
        <v>0</v>
      </c>
      <c r="AD86" s="246">
        <f>IF('Scheduled Intervals'!AD15&gt;0,ROUND(('Parts Cost Per Job'!AD15*((1+$B$37)*$B$38))*ROUNDDOWN($B$1/'Scheduled Intervals'!AD15,0),2),0)</f>
        <v>0</v>
      </c>
      <c r="AE86" s="246">
        <f>IF('Scheduled Intervals'!AE15&gt;0,ROUND(('Parts Cost Per Job'!AE15*((1+$B$37)*$B$38))*ROUNDDOWN($B$1/'Scheduled Intervals'!AE15,0),2),0)</f>
        <v>0</v>
      </c>
      <c r="AF86" s="246">
        <f>IF('Scheduled Intervals'!AF15&gt;0,ROUND(('Parts Cost Per Job'!AF15*((1+$B$37)*$B$38))*ROUNDDOWN($B$1/'Scheduled Intervals'!AF15,0),2),0)</f>
        <v>0</v>
      </c>
      <c r="AG86" s="246">
        <f>IF('Scheduled Intervals'!AG15&gt;0,ROUND(('Parts Cost Per Job'!AG15*((1+$B$37)*$B$38))*ROUNDDOWN($B$1/'Scheduled Intervals'!AG15,0),2),0)</f>
        <v>0</v>
      </c>
      <c r="AH86" s="246">
        <f>IF('Scheduled Intervals'!AH15&gt;0,ROUND(('Parts Cost Per Job'!AH15*((1+$B$37)*$B$38))*ROUNDDOWN($B$1/'Scheduled Intervals'!AH15,0),2),0)</f>
        <v>0</v>
      </c>
      <c r="AI86" s="246">
        <f>IF('Scheduled Intervals'!AI15&gt;0,ROUND(('Parts Cost Per Job'!AI15*((1+$B$37)*$B$38))*ROUNDDOWN($B$1/'Scheduled Intervals'!AI15,0),2),0)</f>
        <v>0</v>
      </c>
      <c r="AJ86" s="246">
        <f>IF('Scheduled Intervals'!AJ15&gt;0,ROUND(('Parts Cost Per Job'!AJ15*((1+$B$37)*$B$38))*ROUNDDOWN($B$1/'Scheduled Intervals'!AJ15,0),2),0)</f>
        <v>0</v>
      </c>
      <c r="AK86" s="246">
        <f>IF('Scheduled Intervals'!AK15&gt;0,ROUND(('Parts Cost Per Job'!AK15*((1+$B$37)*$B$38))*ROUNDDOWN($B$1/'Scheduled Intervals'!AK15,0),2),0)</f>
        <v>0</v>
      </c>
      <c r="AL86" s="246">
        <f>IF('Scheduled Intervals'!AL15&gt;0,ROUND(('Parts Cost Per Job'!AL15*((1+$B$37)*$B$38))*ROUNDDOWN($B$1/'Scheduled Intervals'!AL15,0),2),0)</f>
        <v>0</v>
      </c>
      <c r="AM86" s="246">
        <f>IF('Scheduled Intervals'!AM15&gt;0,ROUND(('Parts Cost Per Job'!AM15*((1+$B$37)*$B$38))*ROUNDDOWN($B$1/'Scheduled Intervals'!AM15,0),2),0)</f>
        <v>0</v>
      </c>
      <c r="AN86" s="246">
        <f>IF('Scheduled Intervals'!AN15&gt;0,ROUND(('Parts Cost Per Job'!AN15*((1+$B$37)*$B$38))*ROUNDDOWN($B$1/'Scheduled Intervals'!AN15,0),2),0)</f>
        <v>0</v>
      </c>
      <c r="AO86" s="246">
        <f>IF('Scheduled Intervals'!AO15&gt;0,ROUND(('Parts Cost Per Job'!AO15*((1+$B$37)*$B$38))*ROUNDDOWN($B$1/'Scheduled Intervals'!AO15,0),2),0)</f>
        <v>0</v>
      </c>
      <c r="AP86" s="246">
        <f>IF('Scheduled Intervals'!AP15&gt;0,ROUND(('Parts Cost Per Job'!AP15*((1+$B$37)*$B$38))*ROUNDDOWN($B$1/'Scheduled Intervals'!AP15,0),2),0)</f>
        <v>0</v>
      </c>
      <c r="AQ86" s="246">
        <f>IF('Scheduled Intervals'!AQ15&gt;0,ROUND(('Parts Cost Per Job'!AQ15*((1+$B$37)*$B$38))*ROUNDDOWN($B$1/'Scheduled Intervals'!AQ15,0),2),0)</f>
        <v>0</v>
      </c>
      <c r="AR86" s="246">
        <f>IF('Scheduled Intervals'!AR15&gt;0,ROUND(('Parts Cost Per Job'!AR15*((1+$B$37)*$B$38))*ROUNDDOWN($B$1/'Scheduled Intervals'!AR15,0),2),0)</f>
        <v>0</v>
      </c>
      <c r="AS86" s="246">
        <f>IF('Scheduled Intervals'!AS15&gt;0,ROUND(('Parts Cost Per Job'!AS15*((1+$B$37)*$B$38))*ROUNDDOWN($B$1/'Scheduled Intervals'!AS15,0),2),0)</f>
        <v>0</v>
      </c>
      <c r="AT86" s="246">
        <f>IF('Scheduled Intervals'!AT15&gt;0,ROUND(('Parts Cost Per Job'!AT15*((1+$B$37)*$B$38))*ROUNDDOWN($B$1/'Scheduled Intervals'!AT15,0),2),0)</f>
        <v>0</v>
      </c>
      <c r="AU86" s="246">
        <f>IF('Scheduled Intervals'!AU15&gt;0,ROUND(('Parts Cost Per Job'!AU15*((1+$B$37)*$B$38))*ROUNDDOWN($B$1/'Scheduled Intervals'!AU15,0),2),0)</f>
        <v>0</v>
      </c>
      <c r="AV86" s="246">
        <f>IF('Scheduled Intervals'!AV15&gt;0,ROUND(('Parts Cost Per Job'!AV15*((1+$B$37)*$B$38))*ROUNDDOWN($B$1/'Scheduled Intervals'!AV15,0),2),0)</f>
        <v>0</v>
      </c>
      <c r="AW86" s="246">
        <f>IF('Scheduled Intervals'!AW15&gt;0,ROUND(('Parts Cost Per Job'!AW15*((1+$B$37)*$B$38))*ROUNDDOWN($B$1/'Scheduled Intervals'!AW15,0),2),0)</f>
        <v>0</v>
      </c>
      <c r="AX86" s="246">
        <f>IF('Scheduled Intervals'!AX15&gt;0,ROUND(('Parts Cost Per Job'!AX15*((1+$B$37)*$B$38))*ROUNDDOWN($B$1/'Scheduled Intervals'!AX15,0),2),0)</f>
        <v>0</v>
      </c>
      <c r="AY86" s="246">
        <f>IF('Scheduled Intervals'!AY15&gt;0,ROUND(('Parts Cost Per Job'!AY15*((1+$B$37)*$B$38))*ROUNDDOWN($B$1/'Scheduled Intervals'!AY15,0),2),0)</f>
        <v>0</v>
      </c>
      <c r="AZ86" s="246">
        <f>IF('Scheduled Intervals'!AZ15&gt;0,ROUND(('Parts Cost Per Job'!AZ15*((1+$B$37)*$B$38))*ROUNDDOWN($B$1/'Scheduled Intervals'!AZ15,0),2),0)</f>
        <v>0</v>
      </c>
      <c r="BA86" s="246">
        <f>IF('Scheduled Intervals'!BA15&gt;0,ROUND(('Parts Cost Per Job'!BA15*((1+$B$37)*$B$38))*ROUNDDOWN($B$1/'Scheduled Intervals'!BA15,0),2),0)</f>
        <v>0</v>
      </c>
      <c r="BB86" s="246">
        <f>IF('Scheduled Intervals'!BB15&gt;0,ROUND(('Parts Cost Per Job'!BB15*((1+$B$37)*$B$38))*ROUNDDOWN($B$1/'Scheduled Intervals'!BB15,0),2),0)</f>
        <v>0</v>
      </c>
      <c r="BC86" s="246">
        <f>IF('Scheduled Intervals'!BC15&gt;0,ROUND(('Parts Cost Per Job'!BC15*((1+$B$37)*$B$38))*ROUNDDOWN($B$1/'Scheduled Intervals'!BC15,0),2),0)</f>
        <v>0</v>
      </c>
      <c r="BD86" s="246">
        <f>IF('Scheduled Intervals'!BD15&gt;0,ROUND(('Parts Cost Per Job'!BD15*((1+$B$37)*$B$38))*ROUNDDOWN($B$1/'Scheduled Intervals'!BD15,0),2),0)</f>
        <v>0</v>
      </c>
      <c r="BE86" s="246">
        <f>IF('Scheduled Intervals'!BE15&gt;0,ROUND(('Parts Cost Per Job'!BE15*((1+$B$37)*$B$38))*ROUNDDOWN($B$1/'Scheduled Intervals'!BE15,0),2),0)</f>
        <v>0</v>
      </c>
      <c r="BF86" s="246">
        <f>IF('Scheduled Intervals'!BF15&gt;0,ROUND(('Parts Cost Per Job'!BF15*((1+$B$37)*$B$38))*ROUNDDOWN($B$1/'Scheduled Intervals'!BF15,0),2),0)</f>
        <v>0</v>
      </c>
      <c r="BG86" s="246">
        <f>IF('Scheduled Intervals'!BG15&gt;0,ROUND(('Parts Cost Per Job'!BG15*((1+$B$37)*$B$38))*ROUNDDOWN($B$1/'Scheduled Intervals'!BG15,0),2),0)</f>
        <v>0</v>
      </c>
      <c r="BH86" s="246">
        <f>IF('Scheduled Intervals'!BH15&gt;0,ROUND(('Parts Cost Per Job'!BH15*((1+$B$37)*$B$38))*ROUNDDOWN($B$1/'Scheduled Intervals'!BH15,0),2),0)</f>
        <v>0</v>
      </c>
      <c r="BI86" s="246">
        <f>IF('Scheduled Intervals'!BI15&gt;0,ROUND(('Parts Cost Per Job'!BI15*((1+$B$37)*$B$38))*ROUNDDOWN($B$1/'Scheduled Intervals'!BI15,0),2),0)</f>
        <v>0</v>
      </c>
      <c r="BJ86" s="246">
        <f>IF('Scheduled Intervals'!BJ15&gt;0,ROUND(('Parts Cost Per Job'!BJ15*((1+$B$37)*$B$38))*ROUNDDOWN($B$1/'Scheduled Intervals'!BJ15,0),2),0)</f>
        <v>0</v>
      </c>
      <c r="BK86" s="246">
        <f>IF('Scheduled Intervals'!BK15&gt;0,ROUND(('Parts Cost Per Job'!BK15*((1+$B$37)*$B$38))*ROUNDDOWN($B$1/'Scheduled Intervals'!BK15,0),2),0)</f>
        <v>0</v>
      </c>
      <c r="BL86" s="246">
        <f>IF('Scheduled Intervals'!BL15&gt;0,ROUND(('Parts Cost Per Job'!BL15*((1+$B$37)*$B$38))*ROUNDDOWN($B$1/'Scheduled Intervals'!BL15,0),2),0)</f>
        <v>0</v>
      </c>
      <c r="BM86" s="246">
        <f>IF('Scheduled Intervals'!BM15&gt;0,ROUND(('Parts Cost Per Job'!BM15*((1+$B$37)*$B$38))*ROUNDDOWN($B$1/'Scheduled Intervals'!BM15,0),2),0)</f>
        <v>0</v>
      </c>
      <c r="BN86" s="246">
        <f>IF(AND('Scheduled Intervals'!BN$4="annual",'Plan Summary'!$C$5&lt;'Scheduled Intervals'!$U15*('Plan Summary'!$C$9/12)),ROUND('Parts Cost Per Job'!BN15*((1+$B$37)*$B$38)*ROUND('Plan Summary'!$C$9/12,0),2),0)</f>
        <v>797.16</v>
      </c>
      <c r="BO86" s="246">
        <f>IF(AND('Scheduled Intervals'!BO$4="annual",'Plan Summary'!$C$5&lt;'Scheduled Intervals'!$U15*('Plan Summary'!$C$9/12)),ROUND('Parts Cost Per Job'!BO15*((1+$B$37)*$B$38)*ROUND('Plan Summary'!$C$9/12,0),2),0)</f>
        <v>55.33</v>
      </c>
      <c r="BP86" s="246">
        <f>IF(AND('Scheduled Intervals'!BP$4="annual",'Plan Summary'!$C$5&lt;'Scheduled Intervals'!$U15*('Plan Summary'!$C$9/12)),ROUND('Parts Cost Per Job'!BP15*((1+$B$37)*$B$38)*ROUND('Plan Summary'!$C$9/12,0),2),0)</f>
        <v>0</v>
      </c>
      <c r="BQ86" s="246">
        <f t="shared" si="3"/>
        <v>1099.5</v>
      </c>
      <c r="BR86" s="246"/>
    </row>
    <row r="87" spans="1:70" ht="16" x14ac:dyDescent="0.2">
      <c r="A87" s="18" t="str">
        <f>+'Scheduled Intervals'!A16</f>
        <v>Mahindra Emax</v>
      </c>
      <c r="B87" s="246">
        <f>ROUND((('Parts Cost Per Job'!B16)*((1+$B$37)*$B$38)),2)</f>
        <v>49.46</v>
      </c>
      <c r="C87" s="246">
        <f>ROUND((('Parts Cost Per Job'!C16)*((1+$B$37)*$B$38)),2)</f>
        <v>0</v>
      </c>
      <c r="D87" s="246">
        <f>ROUND((('Parts Cost Per Job'!D16)*((1+$B$37)*$B$38)),2)</f>
        <v>0</v>
      </c>
      <c r="E87" s="246">
        <f>ROUND((('Parts Cost Per Job'!E16)*((1+$B$37)*$B$38)),2)</f>
        <v>149.02000000000001</v>
      </c>
      <c r="F87" s="246">
        <f>ROUND((('Parts Cost Per Job'!F16)*((1+$B$37)*$B$38)),2)</f>
        <v>30.98</v>
      </c>
      <c r="G87" s="246">
        <f>ROUND((('Parts Cost Per Job'!G16)*((1+$B$37)*$B$38)),2)</f>
        <v>0</v>
      </c>
      <c r="H87" s="246">
        <f>ROUND((('Parts Cost Per Job'!H16)*((1+$B$37)*$B$38)),2)</f>
        <v>11.07</v>
      </c>
      <c r="I87" s="246">
        <f>ROUND((('Parts Cost Per Job'!I16)*((1+$B$37)*$B$38)),2)</f>
        <v>0</v>
      </c>
      <c r="J87" s="246">
        <f>ROUND((('Parts Cost Per Job'!J16)*((1+$B$37)*$B$38)),2)</f>
        <v>0</v>
      </c>
      <c r="K87" s="246">
        <f>ROUND((('Parts Cost Per Job'!K16)*((1+$B$37)*$B$38)),2)</f>
        <v>0</v>
      </c>
      <c r="L87" s="246">
        <f>ROUND((('Parts Cost Per Job'!L16)*((1+$B$37)*$B$38)),2)</f>
        <v>36.17</v>
      </c>
      <c r="M87" s="246">
        <f>ROUND((('Parts Cost Per Job'!M16)*((1+$B$37)*$B$38)),2)</f>
        <v>0</v>
      </c>
      <c r="N87" s="246">
        <f>ROUND((('Parts Cost Per Job'!N16)*((1+$B$37)*$B$38)),2)</f>
        <v>0</v>
      </c>
      <c r="O87" s="246">
        <f>ROUND((('Parts Cost Per Job'!O16)*((1+$B$37)*$B$38)),2)</f>
        <v>0</v>
      </c>
      <c r="P87" s="246">
        <f>ROUND((('Parts Cost Per Job'!P16)*((1+$B$37)*$B$38)),2)</f>
        <v>0</v>
      </c>
      <c r="Q87" s="246">
        <f>ROUND((('Parts Cost Per Job'!Q16)*((1+$B$37)*$B$38)),2)</f>
        <v>0</v>
      </c>
      <c r="R87" s="246">
        <f>ROUND((('Parts Cost Per Job'!R16)*((1+$B$37)*$B$38)),2)</f>
        <v>0</v>
      </c>
      <c r="S87" s="246">
        <f>ROUND((('Parts Cost Per Job'!S16)*((1+$B$37)*$B$38)),2)</f>
        <v>0</v>
      </c>
      <c r="T87" s="246">
        <f>ROUND((('Parts Cost Per Job'!T16)*((1+$B$37)*$B$38)),2)</f>
        <v>0</v>
      </c>
      <c r="U87" s="246">
        <f>IF('Scheduled Intervals'!U16&gt;0,ROUND(('Parts Cost Per Job'!U16*((1+$B$37)*$B$38))*ROUNDDOWN($B$1/'Scheduled Intervals'!U16,0),2),0)</f>
        <v>49.46</v>
      </c>
      <c r="V87" s="246">
        <f>IF('Scheduled Intervals'!V16&gt;0,ROUND(('Parts Cost Per Job'!V16*((1+$B$37)*$B$38))*ROUNDDOWN($B$1/'Scheduled Intervals'!V16,0),2),0)</f>
        <v>0</v>
      </c>
      <c r="W87" s="246">
        <f>IF('Scheduled Intervals'!W16&gt;0,ROUND(('Parts Cost Per Job'!W16*((1+$B$37)*$B$38))*ROUNDDOWN($B$1/'Scheduled Intervals'!W16,0),2),0)</f>
        <v>0</v>
      </c>
      <c r="X87" s="246">
        <f>IF('Scheduled Intervals'!X16&gt;0,ROUND(('Parts Cost Per Job'!X16*((1+$B$37)*$B$38))*ROUNDDOWN($B$1/'Scheduled Intervals'!X16,0),2),0)</f>
        <v>0</v>
      </c>
      <c r="Y87" s="246">
        <f>IF('Scheduled Intervals'!Y16&gt;0,ROUND(('Parts Cost Per Job'!Y16*((1+$B$37)*$B$38))*ROUNDDOWN($B$1/'Scheduled Intervals'!Y16,0),2),0)</f>
        <v>0</v>
      </c>
      <c r="Z87" s="246">
        <f>IF('Scheduled Intervals'!Z16&gt;0,ROUND(('Parts Cost Per Job'!Z16*((1+$B$37)*$B$38))*ROUNDDOWN($B$1/'Scheduled Intervals'!Z16,0),2),0)</f>
        <v>60.29</v>
      </c>
      <c r="AA87" s="246">
        <f>IF('Scheduled Intervals'!AA16&gt;0,ROUND(('Parts Cost Per Job'!AA16*((1+$B$37)*$B$38))*ROUNDDOWN($B$1/'Scheduled Intervals'!AA16,0),2),0)</f>
        <v>0</v>
      </c>
      <c r="AB87" s="246">
        <f>IF('Scheduled Intervals'!AB16&gt;0,ROUND(('Parts Cost Per Job'!AB16*((1+$B$37)*$B$38))*ROUNDDOWN($B$1/'Scheduled Intervals'!AB16,0),2),0)</f>
        <v>0</v>
      </c>
      <c r="AC87" s="246">
        <f>IF('Scheduled Intervals'!AC16&gt;0,ROUND(('Parts Cost Per Job'!AC16*((1+$B$37)*$B$38))*ROUNDDOWN($B$1/'Scheduled Intervals'!AC16,0),2),0)</f>
        <v>0</v>
      </c>
      <c r="AD87" s="246">
        <f>IF('Scheduled Intervals'!AD16&gt;0,ROUND(('Parts Cost Per Job'!AD16*((1+$B$37)*$B$38))*ROUNDDOWN($B$1/'Scheduled Intervals'!AD16,0),2),0)</f>
        <v>0</v>
      </c>
      <c r="AE87" s="246">
        <f>IF('Scheduled Intervals'!AE16&gt;0,ROUND(('Parts Cost Per Job'!AE16*((1+$B$37)*$B$38))*ROUNDDOWN($B$1/'Scheduled Intervals'!AE16,0),2),0)</f>
        <v>30.98</v>
      </c>
      <c r="AF87" s="246">
        <f>IF('Scheduled Intervals'!AF16&gt;0,ROUND(('Parts Cost Per Job'!AF16*((1+$B$37)*$B$38))*ROUNDDOWN($B$1/'Scheduled Intervals'!AF16,0),2),0)</f>
        <v>0</v>
      </c>
      <c r="AG87" s="246">
        <f>IF('Scheduled Intervals'!AG16&gt;0,ROUND(('Parts Cost Per Job'!AG16*((1+$B$37)*$B$38))*ROUNDDOWN($B$1/'Scheduled Intervals'!AG16,0),2),0)</f>
        <v>0</v>
      </c>
      <c r="AH87" s="246">
        <f>IF('Scheduled Intervals'!AH16&gt;0,ROUND(('Parts Cost Per Job'!AH16*((1+$B$37)*$B$38))*ROUNDDOWN($B$1/'Scheduled Intervals'!AH16,0),2),0)</f>
        <v>0</v>
      </c>
      <c r="AI87" s="246">
        <f>IF('Scheduled Intervals'!AI16&gt;0,ROUND(('Parts Cost Per Job'!AI16*((1+$B$37)*$B$38))*ROUNDDOWN($B$1/'Scheduled Intervals'!AI16,0),2),0)</f>
        <v>0</v>
      </c>
      <c r="AJ87" s="246">
        <f>IF('Scheduled Intervals'!AJ16&gt;0,ROUND(('Parts Cost Per Job'!AJ16*((1+$B$37)*$B$38))*ROUNDDOWN($B$1/'Scheduled Intervals'!AJ16,0),2),0)</f>
        <v>0</v>
      </c>
      <c r="AK87" s="246">
        <f>IF('Scheduled Intervals'!AK16&gt;0,ROUND(('Parts Cost Per Job'!AK16*((1+$B$37)*$B$38))*ROUNDDOWN($B$1/'Scheduled Intervals'!AK16,0),2),0)</f>
        <v>0</v>
      </c>
      <c r="AL87" s="246">
        <f>IF('Scheduled Intervals'!AL16&gt;0,ROUND(('Parts Cost Per Job'!AL16*((1+$B$37)*$B$38))*ROUNDDOWN($B$1/'Scheduled Intervals'!AL16,0),2),0)</f>
        <v>0</v>
      </c>
      <c r="AM87" s="246">
        <f>IF('Scheduled Intervals'!AM16&gt;0,ROUND(('Parts Cost Per Job'!AM16*((1+$B$37)*$B$38))*ROUNDDOWN($B$1/'Scheduled Intervals'!AM16,0),2),0)</f>
        <v>0</v>
      </c>
      <c r="AN87" s="246">
        <f>IF('Scheduled Intervals'!AN16&gt;0,ROUND(('Parts Cost Per Job'!AN16*((1+$B$37)*$B$38))*ROUNDDOWN($B$1/'Scheduled Intervals'!AN16,0),2),0)</f>
        <v>0</v>
      </c>
      <c r="AO87" s="246">
        <f>IF('Scheduled Intervals'!AO16&gt;0,ROUND(('Parts Cost Per Job'!AO16*((1+$B$37)*$B$38))*ROUNDDOWN($B$1/'Scheduled Intervals'!AO16,0),2),0)</f>
        <v>0</v>
      </c>
      <c r="AP87" s="246">
        <f>IF('Scheduled Intervals'!AP16&gt;0,ROUND(('Parts Cost Per Job'!AP16*((1+$B$37)*$B$38))*ROUNDDOWN($B$1/'Scheduled Intervals'!AP16,0),2),0)</f>
        <v>0</v>
      </c>
      <c r="AQ87" s="246">
        <f>IF('Scheduled Intervals'!AQ16&gt;0,ROUND(('Parts Cost Per Job'!AQ16*((1+$B$37)*$B$38))*ROUNDDOWN($B$1/'Scheduled Intervals'!AQ16,0),2),0)</f>
        <v>0</v>
      </c>
      <c r="AR87" s="246">
        <f>IF('Scheduled Intervals'!AR16&gt;0,ROUND(('Parts Cost Per Job'!AR16*((1+$B$37)*$B$38))*ROUNDDOWN($B$1/'Scheduled Intervals'!AR16,0),2),0)</f>
        <v>0</v>
      </c>
      <c r="AS87" s="246">
        <f>IF('Scheduled Intervals'!AS16&gt;0,ROUND(('Parts Cost Per Job'!AS16*((1+$B$37)*$B$38))*ROUNDDOWN($B$1/'Scheduled Intervals'!AS16,0),2),0)</f>
        <v>0</v>
      </c>
      <c r="AT87" s="246">
        <f>IF('Scheduled Intervals'!AT16&gt;0,ROUND(('Parts Cost Per Job'!AT16*((1+$B$37)*$B$38))*ROUNDDOWN($B$1/'Scheduled Intervals'!AT16,0),2),0)</f>
        <v>11.07</v>
      </c>
      <c r="AU87" s="246">
        <f>IF('Scheduled Intervals'!AU16&gt;0,ROUND(('Parts Cost Per Job'!AU16*((1+$B$37)*$B$38))*ROUNDDOWN($B$1/'Scheduled Intervals'!AU16,0),2),0)</f>
        <v>0</v>
      </c>
      <c r="AV87" s="246">
        <f>IF('Scheduled Intervals'!AV16&gt;0,ROUND(('Parts Cost Per Job'!AV16*((1+$B$37)*$B$38))*ROUNDDOWN($B$1/'Scheduled Intervals'!AV16,0),2),0)</f>
        <v>0</v>
      </c>
      <c r="AW87" s="246">
        <f>IF('Scheduled Intervals'!AW16&gt;0,ROUND(('Parts Cost Per Job'!AW16*((1+$B$37)*$B$38))*ROUNDDOWN($B$1/'Scheduled Intervals'!AW16,0),2),0)</f>
        <v>0</v>
      </c>
      <c r="AX87" s="246">
        <f>IF('Scheduled Intervals'!AX16&gt;0,ROUND(('Parts Cost Per Job'!AX16*((1+$B$37)*$B$38))*ROUNDDOWN($B$1/'Scheduled Intervals'!AX16,0),2),0)</f>
        <v>0</v>
      </c>
      <c r="AY87" s="246">
        <f>IF('Scheduled Intervals'!AY16&gt;0,ROUND(('Parts Cost Per Job'!AY16*((1+$B$37)*$B$38))*ROUNDDOWN($B$1/'Scheduled Intervals'!AY16,0),2),0)</f>
        <v>0</v>
      </c>
      <c r="AZ87" s="246">
        <f>IF('Scheduled Intervals'!AZ16&gt;0,ROUND(('Parts Cost Per Job'!AZ16*((1+$B$37)*$B$38))*ROUNDDOWN($B$1/'Scheduled Intervals'!AZ16,0),2),0)</f>
        <v>0</v>
      </c>
      <c r="BA87" s="246">
        <f>IF('Scheduled Intervals'!BA16&gt;0,ROUND(('Parts Cost Per Job'!BA16*((1+$B$37)*$B$38))*ROUNDDOWN($B$1/'Scheduled Intervals'!BA16,0),2),0)</f>
        <v>0</v>
      </c>
      <c r="BB87" s="246">
        <f>IF('Scheduled Intervals'!BB16&gt;0,ROUND(('Parts Cost Per Job'!BB16*((1+$B$37)*$B$38))*ROUNDDOWN($B$1/'Scheduled Intervals'!BB16,0),2),0)</f>
        <v>0</v>
      </c>
      <c r="BC87" s="246">
        <f>IF('Scheduled Intervals'!BC16&gt;0,ROUND(('Parts Cost Per Job'!BC16*((1+$B$37)*$B$38))*ROUNDDOWN($B$1/'Scheduled Intervals'!BC16,0),2),0)</f>
        <v>0</v>
      </c>
      <c r="BD87" s="246">
        <f>IF('Scheduled Intervals'!BD16&gt;0,ROUND(('Parts Cost Per Job'!BD16*((1+$B$37)*$B$38))*ROUNDDOWN($B$1/'Scheduled Intervals'!BD16,0),2),0)</f>
        <v>0</v>
      </c>
      <c r="BE87" s="246">
        <f>IF('Scheduled Intervals'!BE16&gt;0,ROUND(('Parts Cost Per Job'!BE16*((1+$B$37)*$B$38))*ROUNDDOWN($B$1/'Scheduled Intervals'!BE16,0),2),0)</f>
        <v>0</v>
      </c>
      <c r="BF87" s="246">
        <f>IF('Scheduled Intervals'!BF16&gt;0,ROUND(('Parts Cost Per Job'!BF16*((1+$B$37)*$B$38))*ROUNDDOWN($B$1/'Scheduled Intervals'!BF16,0),2),0)</f>
        <v>0</v>
      </c>
      <c r="BG87" s="246">
        <f>IF('Scheduled Intervals'!BG16&gt;0,ROUND(('Parts Cost Per Job'!BG16*((1+$B$37)*$B$38))*ROUNDDOWN($B$1/'Scheduled Intervals'!BG16,0),2),0)</f>
        <v>0</v>
      </c>
      <c r="BH87" s="246">
        <f>IF('Scheduled Intervals'!BH16&gt;0,ROUND(('Parts Cost Per Job'!BH16*((1+$B$37)*$B$38))*ROUNDDOWN($B$1/'Scheduled Intervals'!BH16,0),2),0)</f>
        <v>0</v>
      </c>
      <c r="BI87" s="246">
        <f>IF('Scheduled Intervals'!BI16&gt;0,ROUND(('Parts Cost Per Job'!BI16*((1+$B$37)*$B$38))*ROUNDDOWN($B$1/'Scheduled Intervals'!BI16,0),2),0)</f>
        <v>0</v>
      </c>
      <c r="BJ87" s="246">
        <f>IF('Scheduled Intervals'!BJ16&gt;0,ROUND(('Parts Cost Per Job'!BJ16*((1+$B$37)*$B$38))*ROUNDDOWN($B$1/'Scheduled Intervals'!BJ16,0),2),0)</f>
        <v>0</v>
      </c>
      <c r="BK87" s="246">
        <f>IF('Scheduled Intervals'!BK16&gt;0,ROUND(('Parts Cost Per Job'!BK16*((1+$B$37)*$B$38))*ROUNDDOWN($B$1/'Scheduled Intervals'!BK16,0),2),0)</f>
        <v>0</v>
      </c>
      <c r="BL87" s="246">
        <f>IF('Scheduled Intervals'!BL16&gt;0,ROUND(('Parts Cost Per Job'!BL16*((1+$B$37)*$B$38))*ROUNDDOWN($B$1/'Scheduled Intervals'!BL16,0),2),0)</f>
        <v>0</v>
      </c>
      <c r="BM87" s="246">
        <f>IF('Scheduled Intervals'!BM16&gt;0,ROUND(('Parts Cost Per Job'!BM16*((1+$B$37)*$B$38))*ROUNDDOWN($B$1/'Scheduled Intervals'!BM16,0),2),0)</f>
        <v>0</v>
      </c>
      <c r="BN87" s="246">
        <f>IF(AND('Scheduled Intervals'!BN$4="annual",'Plan Summary'!$C$5&lt;'Scheduled Intervals'!$U16*('Plan Summary'!$C$9/12)),ROUND('Parts Cost Per Job'!BN16*((1+$B$37)*$B$38)*ROUND('Plan Summary'!$C$9/12,0),2),0)</f>
        <v>247.3</v>
      </c>
      <c r="BO87" s="246">
        <f>IF(AND('Scheduled Intervals'!BO$4="annual",'Plan Summary'!$C$5&lt;'Scheduled Intervals'!$U16*('Plan Summary'!$C$9/12)),ROUND('Parts Cost Per Job'!BO16*((1+$B$37)*$B$38)*ROUND('Plan Summary'!$C$9/12,0),2),0)</f>
        <v>55.33</v>
      </c>
      <c r="BP87" s="246">
        <f>IF(AND('Scheduled Intervals'!BP$4="annual",'Plan Summary'!$C$5&lt;'Scheduled Intervals'!$U16*('Plan Summary'!$C$9/12)),ROUND('Parts Cost Per Job'!BP16*((1+$B$37)*$B$38)*ROUND('Plan Summary'!$C$9/12,0),2),0)</f>
        <v>0</v>
      </c>
      <c r="BQ87" s="246">
        <f t="shared" si="3"/>
        <v>731.13</v>
      </c>
      <c r="BR87" s="246"/>
    </row>
    <row r="88" spans="1:70" ht="16" x14ac:dyDescent="0.2">
      <c r="A88" s="18" t="str">
        <f>+'Scheduled Intervals'!A17</f>
        <v>Mahindra 1600 Series</v>
      </c>
      <c r="B88" s="246">
        <f>ROUND((('Parts Cost Per Job'!B17)*((1+$B$37)*$B$38)),2)</f>
        <v>38.770000000000003</v>
      </c>
      <c r="C88" s="246">
        <f>ROUND((('Parts Cost Per Job'!C17)*((1+$B$37)*$B$38)),2)</f>
        <v>0</v>
      </c>
      <c r="D88" s="246">
        <f>ROUND((('Parts Cost Per Job'!D17)*((1+$B$37)*$B$38)),2)</f>
        <v>0</v>
      </c>
      <c r="E88" s="246">
        <f>ROUND((('Parts Cost Per Job'!E17)*((1+$B$37)*$B$38)),2)</f>
        <v>280.37</v>
      </c>
      <c r="F88" s="246">
        <f>ROUND((('Parts Cost Per Job'!F17)*((1+$B$37)*$B$38)),2)</f>
        <v>43.99</v>
      </c>
      <c r="G88" s="246">
        <f>ROUND((('Parts Cost Per Job'!G17)*((1+$B$37)*$B$38)),2)</f>
        <v>0</v>
      </c>
      <c r="H88" s="246">
        <f>ROUND((('Parts Cost Per Job'!H17)*((1+$B$37)*$B$38)),2)</f>
        <v>11.07</v>
      </c>
      <c r="I88" s="246">
        <f>ROUND((('Parts Cost Per Job'!I17)*((1+$B$37)*$B$38)),2)</f>
        <v>0</v>
      </c>
      <c r="J88" s="246">
        <f>ROUND((('Parts Cost Per Job'!J17)*((1+$B$37)*$B$38)),2)</f>
        <v>0</v>
      </c>
      <c r="K88" s="246">
        <f>ROUND((('Parts Cost Per Job'!K17)*((1+$B$37)*$B$38)),2)</f>
        <v>85.93</v>
      </c>
      <c r="L88" s="246">
        <f>ROUND((('Parts Cost Per Job'!L17)*((1+$B$37)*$B$38)),2)</f>
        <v>45.21</v>
      </c>
      <c r="M88" s="246">
        <f>ROUND((('Parts Cost Per Job'!M17)*((1+$B$37)*$B$38)),2)</f>
        <v>0</v>
      </c>
      <c r="N88" s="246">
        <f>ROUND((('Parts Cost Per Job'!N17)*((1+$B$37)*$B$38)),2)</f>
        <v>0</v>
      </c>
      <c r="O88" s="246">
        <f>ROUND((('Parts Cost Per Job'!O17)*((1+$B$37)*$B$38)),2)</f>
        <v>0</v>
      </c>
      <c r="P88" s="246">
        <f>ROUND((('Parts Cost Per Job'!P17)*((1+$B$37)*$B$38)),2)</f>
        <v>0</v>
      </c>
      <c r="Q88" s="246">
        <f>ROUND((('Parts Cost Per Job'!Q17)*((1+$B$37)*$B$38)),2)</f>
        <v>0</v>
      </c>
      <c r="R88" s="246">
        <f>ROUND((('Parts Cost Per Job'!R17)*((1+$B$37)*$B$38)),2)</f>
        <v>0</v>
      </c>
      <c r="S88" s="246">
        <f>ROUND((('Parts Cost Per Job'!S17)*((1+$B$37)*$B$38)),2)</f>
        <v>0</v>
      </c>
      <c r="T88" s="246">
        <f>ROUND((('Parts Cost Per Job'!T17)*((1+$B$37)*$B$38)),2)</f>
        <v>0</v>
      </c>
      <c r="U88" s="246">
        <f>IF('Scheduled Intervals'!U17&gt;0,ROUND(('Parts Cost Per Job'!U17*((1+$B$37)*$B$38))*ROUNDDOWN($B$1/'Scheduled Intervals'!U17,0),2),0)</f>
        <v>116.32</v>
      </c>
      <c r="V88" s="246">
        <f>IF('Scheduled Intervals'!V17&gt;0,ROUND(('Parts Cost Per Job'!V17*((1+$B$37)*$B$38))*ROUNDDOWN($B$1/'Scheduled Intervals'!V17,0),2),0)</f>
        <v>0</v>
      </c>
      <c r="W88" s="246">
        <f>IF('Scheduled Intervals'!W17&gt;0,ROUND(('Parts Cost Per Job'!W17*((1+$B$37)*$B$38))*ROUNDDOWN($B$1/'Scheduled Intervals'!W17,0),2),0)</f>
        <v>0</v>
      </c>
      <c r="X88" s="246">
        <f>IF('Scheduled Intervals'!X17&gt;0,ROUND(('Parts Cost Per Job'!X17*((1+$B$37)*$B$38))*ROUNDDOWN($B$1/'Scheduled Intervals'!X17,0),2),0)</f>
        <v>0</v>
      </c>
      <c r="Y88" s="246">
        <f>IF('Scheduled Intervals'!Y17&gt;0,ROUND(('Parts Cost Per Job'!Y17*((1+$B$37)*$B$38))*ROUNDDOWN($B$1/'Scheduled Intervals'!Y17,0),2),0)</f>
        <v>0</v>
      </c>
      <c r="Z88" s="246">
        <f>IF('Scheduled Intervals'!Z17&gt;0,ROUND(('Parts Cost Per Job'!Z17*((1+$B$37)*$B$38))*ROUNDDOWN($B$1/'Scheduled Intervals'!Z17,0),2),0)</f>
        <v>257.8</v>
      </c>
      <c r="AA88" s="246">
        <f>IF('Scheduled Intervals'!AA17&gt;0,ROUND(('Parts Cost Per Job'!AA17*((1+$B$37)*$B$38))*ROUNDDOWN($B$1/'Scheduled Intervals'!AA17,0),2),0)</f>
        <v>0</v>
      </c>
      <c r="AB88" s="246">
        <f>IF('Scheduled Intervals'!AB17&gt;0,ROUND(('Parts Cost Per Job'!AB17*((1+$B$37)*$B$38))*ROUNDDOWN($B$1/'Scheduled Intervals'!AB17,0),2),0)</f>
        <v>280.37</v>
      </c>
      <c r="AC88" s="246">
        <f>IF('Scheduled Intervals'!AC17&gt;0,ROUND(('Parts Cost Per Job'!AC17*((1+$B$37)*$B$38))*ROUNDDOWN($B$1/'Scheduled Intervals'!AC17,0),2),0)</f>
        <v>0</v>
      </c>
      <c r="AD88" s="246">
        <f>IF('Scheduled Intervals'!AD17&gt;0,ROUND(('Parts Cost Per Job'!AD17*((1+$B$37)*$B$38))*ROUNDDOWN($B$1/'Scheduled Intervals'!AD17,0),2),0)</f>
        <v>0</v>
      </c>
      <c r="AE88" s="246">
        <f>IF('Scheduled Intervals'!AE17&gt;0,ROUND(('Parts Cost Per Job'!AE17*((1+$B$37)*$B$38))*ROUNDDOWN($B$1/'Scheduled Intervals'!AE17,0),2),0)</f>
        <v>43.99</v>
      </c>
      <c r="AF88" s="246">
        <f>IF('Scheduled Intervals'!AF17&gt;0,ROUND(('Parts Cost Per Job'!AF17*((1+$B$37)*$B$38))*ROUNDDOWN($B$1/'Scheduled Intervals'!AF17,0),2),0)</f>
        <v>0</v>
      </c>
      <c r="AG88" s="246">
        <f>IF('Scheduled Intervals'!AG17&gt;0,ROUND(('Parts Cost Per Job'!AG17*((1+$B$37)*$B$38))*ROUNDDOWN($B$1/'Scheduled Intervals'!AG17,0),2),0)</f>
        <v>0</v>
      </c>
      <c r="AH88" s="246">
        <f>IF('Scheduled Intervals'!AH17&gt;0,ROUND(('Parts Cost Per Job'!AH17*((1+$B$37)*$B$38))*ROUNDDOWN($B$1/'Scheduled Intervals'!AH17,0),2),0)</f>
        <v>0</v>
      </c>
      <c r="AI88" s="246">
        <f>IF('Scheduled Intervals'!AI17&gt;0,ROUND(('Parts Cost Per Job'!AI17*((1+$B$37)*$B$38))*ROUNDDOWN($B$1/'Scheduled Intervals'!AI17,0),2),0)</f>
        <v>0</v>
      </c>
      <c r="AJ88" s="246">
        <f>IF('Scheduled Intervals'!AJ17&gt;0,ROUND(('Parts Cost Per Job'!AJ17*((1+$B$37)*$B$38))*ROUNDDOWN($B$1/'Scheduled Intervals'!AJ17,0),2),0)</f>
        <v>0</v>
      </c>
      <c r="AK88" s="246">
        <f>IF('Scheduled Intervals'!AK17&gt;0,ROUND(('Parts Cost Per Job'!AK17*((1+$B$37)*$B$38))*ROUNDDOWN($B$1/'Scheduled Intervals'!AK17,0),2),0)</f>
        <v>0</v>
      </c>
      <c r="AL88" s="246">
        <f>IF('Scheduled Intervals'!AL17&gt;0,ROUND(('Parts Cost Per Job'!AL17*((1+$B$37)*$B$38))*ROUNDDOWN($B$1/'Scheduled Intervals'!AL17,0),2),0)</f>
        <v>0</v>
      </c>
      <c r="AM88" s="246">
        <f>IF('Scheduled Intervals'!AM17&gt;0,ROUND(('Parts Cost Per Job'!AM17*((1+$B$37)*$B$38))*ROUNDDOWN($B$1/'Scheduled Intervals'!AM17,0),2),0)</f>
        <v>0</v>
      </c>
      <c r="AN88" s="246">
        <f>IF('Scheduled Intervals'!AN17&gt;0,ROUND(('Parts Cost Per Job'!AN17*((1+$B$37)*$B$38))*ROUNDDOWN($B$1/'Scheduled Intervals'!AN17,0),2),0)</f>
        <v>0</v>
      </c>
      <c r="AO88" s="246">
        <f>IF('Scheduled Intervals'!AO17&gt;0,ROUND(('Parts Cost Per Job'!AO17*((1+$B$37)*$B$38))*ROUNDDOWN($B$1/'Scheduled Intervals'!AO17,0),2),0)</f>
        <v>0</v>
      </c>
      <c r="AP88" s="246">
        <f>IF('Scheduled Intervals'!AP17&gt;0,ROUND(('Parts Cost Per Job'!AP17*((1+$B$37)*$B$38))*ROUNDDOWN($B$1/'Scheduled Intervals'!AP17,0),2),0)</f>
        <v>0</v>
      </c>
      <c r="AQ88" s="246">
        <f>IF('Scheduled Intervals'!AQ17&gt;0,ROUND(('Parts Cost Per Job'!AQ17*((1+$B$37)*$B$38))*ROUNDDOWN($B$1/'Scheduled Intervals'!AQ17,0),2),0)</f>
        <v>0</v>
      </c>
      <c r="AR88" s="246">
        <f>IF('Scheduled Intervals'!AR17&gt;0,ROUND(('Parts Cost Per Job'!AR17*((1+$B$37)*$B$38))*ROUNDDOWN($B$1/'Scheduled Intervals'!AR17,0),2),0)</f>
        <v>0</v>
      </c>
      <c r="AS88" s="246">
        <f>IF('Scheduled Intervals'!AS17&gt;0,ROUND(('Parts Cost Per Job'!AS17*((1+$B$37)*$B$38))*ROUNDDOWN($B$1/'Scheduled Intervals'!AS17,0),2),0)</f>
        <v>0</v>
      </c>
      <c r="AT88" s="246">
        <f>IF('Scheduled Intervals'!AT17&gt;0,ROUND(('Parts Cost Per Job'!AT17*((1+$B$37)*$B$38))*ROUNDDOWN($B$1/'Scheduled Intervals'!AT17,0),2),0)</f>
        <v>33.200000000000003</v>
      </c>
      <c r="AU88" s="246">
        <f>IF('Scheduled Intervals'!AU17&gt;0,ROUND(('Parts Cost Per Job'!AU17*((1+$B$37)*$B$38))*ROUNDDOWN($B$1/'Scheduled Intervals'!AU17,0),2),0)</f>
        <v>0</v>
      </c>
      <c r="AV88" s="246">
        <f>IF('Scheduled Intervals'!AV17&gt;0,ROUND(('Parts Cost Per Job'!AV17*((1+$B$37)*$B$38))*ROUNDDOWN($B$1/'Scheduled Intervals'!AV17,0),2),0)</f>
        <v>0</v>
      </c>
      <c r="AW88" s="246">
        <f>IF('Scheduled Intervals'!AW17&gt;0,ROUND(('Parts Cost Per Job'!AW17*((1+$B$37)*$B$38))*ROUNDDOWN($B$1/'Scheduled Intervals'!AW17,0),2),0)</f>
        <v>0</v>
      </c>
      <c r="AX88" s="246">
        <f>IF('Scheduled Intervals'!AX17&gt;0,ROUND(('Parts Cost Per Job'!AX17*((1+$B$37)*$B$38))*ROUNDDOWN($B$1/'Scheduled Intervals'!AX17,0),2),0)</f>
        <v>0</v>
      </c>
      <c r="AY88" s="246">
        <f>IF('Scheduled Intervals'!AY17&gt;0,ROUND(('Parts Cost Per Job'!AY17*((1+$B$37)*$B$38))*ROUNDDOWN($B$1/'Scheduled Intervals'!AY17,0),2),0)</f>
        <v>0</v>
      </c>
      <c r="AZ88" s="246">
        <f>IF('Scheduled Intervals'!AZ17&gt;0,ROUND(('Parts Cost Per Job'!AZ17*((1+$B$37)*$B$38))*ROUNDDOWN($B$1/'Scheduled Intervals'!AZ17,0),2),0)</f>
        <v>0</v>
      </c>
      <c r="BA88" s="246">
        <f>IF('Scheduled Intervals'!BA17&gt;0,ROUND(('Parts Cost Per Job'!BA17*((1+$B$37)*$B$38))*ROUNDDOWN($B$1/'Scheduled Intervals'!BA17,0),2),0)</f>
        <v>0</v>
      </c>
      <c r="BB88" s="246">
        <f>IF('Scheduled Intervals'!BB17&gt;0,ROUND(('Parts Cost Per Job'!BB17*((1+$B$37)*$B$38))*ROUNDDOWN($B$1/'Scheduled Intervals'!BB17,0),2),0)</f>
        <v>50.96</v>
      </c>
      <c r="BC88" s="246">
        <f>IF('Scheduled Intervals'!BC17&gt;0,ROUND(('Parts Cost Per Job'!BC17*((1+$B$37)*$B$38))*ROUNDDOWN($B$1/'Scheduled Intervals'!BC17,0),2),0)</f>
        <v>0</v>
      </c>
      <c r="BD88" s="246">
        <f>IF('Scheduled Intervals'!BD17&gt;0,ROUND(('Parts Cost Per Job'!BD17*((1+$B$37)*$B$38))*ROUNDDOWN($B$1/'Scheduled Intervals'!BD17,0),2),0)</f>
        <v>0</v>
      </c>
      <c r="BE88" s="246">
        <f>IF('Scheduled Intervals'!BE17&gt;0,ROUND(('Parts Cost Per Job'!BE17*((1+$B$37)*$B$38))*ROUNDDOWN($B$1/'Scheduled Intervals'!BE17,0),2),0)</f>
        <v>0</v>
      </c>
      <c r="BF88" s="246">
        <f>IF('Scheduled Intervals'!BF17&gt;0,ROUND(('Parts Cost Per Job'!BF17*((1+$B$37)*$B$38))*ROUNDDOWN($B$1/'Scheduled Intervals'!BF17,0),2),0)</f>
        <v>0</v>
      </c>
      <c r="BG88" s="246">
        <f>IF('Scheduled Intervals'!BG17&gt;0,ROUND(('Parts Cost Per Job'!BG17*((1+$B$37)*$B$38))*ROUNDDOWN($B$1/'Scheduled Intervals'!BG17,0),2),0)</f>
        <v>0</v>
      </c>
      <c r="BH88" s="246">
        <f>IF('Scheduled Intervals'!BH17&gt;0,ROUND(('Parts Cost Per Job'!BH17*((1+$B$37)*$B$38))*ROUNDDOWN($B$1/'Scheduled Intervals'!BH17,0),2),0)</f>
        <v>0</v>
      </c>
      <c r="BI88" s="246">
        <f>IF('Scheduled Intervals'!BI17&gt;0,ROUND(('Parts Cost Per Job'!BI17*((1+$B$37)*$B$38))*ROUNDDOWN($B$1/'Scheduled Intervals'!BI17,0),2),0)</f>
        <v>0</v>
      </c>
      <c r="BJ88" s="246">
        <f>IF('Scheduled Intervals'!BJ17&gt;0,ROUND(('Parts Cost Per Job'!BJ17*((1+$B$37)*$B$38))*ROUNDDOWN($B$1/'Scheduled Intervals'!BJ17,0),2),0)</f>
        <v>0</v>
      </c>
      <c r="BK88" s="246">
        <f>IF('Scheduled Intervals'!BK17&gt;0,ROUND(('Parts Cost Per Job'!BK17*((1+$B$37)*$B$38))*ROUNDDOWN($B$1/'Scheduled Intervals'!BK17,0),2),0)</f>
        <v>0</v>
      </c>
      <c r="BL88" s="246">
        <f>IF('Scheduled Intervals'!BL17&gt;0,ROUND(('Parts Cost Per Job'!BL17*((1+$B$37)*$B$38))*ROUNDDOWN($B$1/'Scheduled Intervals'!BL17,0),2),0)</f>
        <v>0</v>
      </c>
      <c r="BM88" s="246">
        <f>IF('Scheduled Intervals'!BM17&gt;0,ROUND(('Parts Cost Per Job'!BM17*((1+$B$37)*$B$38))*ROUNDDOWN($B$1/'Scheduled Intervals'!BM17,0),2),0)</f>
        <v>0</v>
      </c>
      <c r="BN88" s="246">
        <f>IF(AND('Scheduled Intervals'!BN$4="annual",'Plan Summary'!$C$5&lt;'Scheduled Intervals'!$U17*('Plan Summary'!$C$9/12)),ROUND('Parts Cost Per Job'!BN17*((1+$B$37)*$B$38)*ROUND('Plan Summary'!$C$9/12,0),2),0)</f>
        <v>193.87</v>
      </c>
      <c r="BO88" s="246">
        <f>IF(AND('Scheduled Intervals'!BO$4="annual",'Plan Summary'!$C$5&lt;'Scheduled Intervals'!$U17*('Plan Summary'!$C$9/12)),ROUND('Parts Cost Per Job'!BO17*((1+$B$37)*$B$38)*ROUND('Plan Summary'!$C$9/12,0),2),0)</f>
        <v>55.33</v>
      </c>
      <c r="BP88" s="246">
        <f>IF(AND('Scheduled Intervals'!BP$4="annual",'Plan Summary'!$C$5&lt;'Scheduled Intervals'!$U17*('Plan Summary'!$C$9/12)),ROUND('Parts Cost Per Job'!BP17*((1+$B$37)*$B$38)*ROUND('Plan Summary'!$C$9/12,0),2),0)</f>
        <v>0</v>
      </c>
      <c r="BQ88" s="246">
        <f t="shared" si="3"/>
        <v>1537.1799999999998</v>
      </c>
      <c r="BR88" s="246"/>
    </row>
    <row r="89" spans="1:70" ht="16" x14ac:dyDescent="0.2">
      <c r="A89" s="18" t="str">
        <f>+'Scheduled Intervals'!A18</f>
        <v>Mahindra 4500</v>
      </c>
      <c r="B89" s="246">
        <f>ROUND((('Parts Cost Per Job'!B18)*((1+$B$37)*$B$38)),2)</f>
        <v>85.79</v>
      </c>
      <c r="C89" s="246">
        <f>ROUND((('Parts Cost Per Job'!C18)*((1+$B$37)*$B$38)),2)</f>
        <v>0</v>
      </c>
      <c r="D89" s="246">
        <f>ROUND((('Parts Cost Per Job'!D18)*((1+$B$37)*$B$38)),2)</f>
        <v>0</v>
      </c>
      <c r="E89" s="246">
        <f>ROUND((('Parts Cost Per Job'!E18)*((1+$B$37)*$B$38)),2)</f>
        <v>0</v>
      </c>
      <c r="F89" s="246">
        <f>ROUND((('Parts Cost Per Job'!F18)*((1+$B$37)*$B$38)),2)</f>
        <v>26.47</v>
      </c>
      <c r="G89" s="246">
        <f>ROUND((('Parts Cost Per Job'!G18)*((1+$B$37)*$B$38)),2)</f>
        <v>0</v>
      </c>
      <c r="H89" s="246">
        <f>ROUND((('Parts Cost Per Job'!H18)*((1+$B$37)*$B$38)),2)</f>
        <v>11.07</v>
      </c>
      <c r="I89" s="246">
        <f>ROUND((('Parts Cost Per Job'!I18)*((1+$B$37)*$B$38)),2)</f>
        <v>0</v>
      </c>
      <c r="J89" s="246">
        <f>ROUND((('Parts Cost Per Job'!J18)*((1+$B$37)*$B$38)),2)</f>
        <v>0</v>
      </c>
      <c r="K89" s="246">
        <f>ROUND((('Parts Cost Per Job'!K18)*((1+$B$37)*$B$38)),2)</f>
        <v>0</v>
      </c>
      <c r="L89" s="246">
        <f>ROUND((('Parts Cost Per Job'!L18)*((1+$B$37)*$B$38)),2)</f>
        <v>0</v>
      </c>
      <c r="M89" s="246">
        <f>ROUND((('Parts Cost Per Job'!M18)*((1+$B$37)*$B$38)),2)</f>
        <v>0</v>
      </c>
      <c r="N89" s="246">
        <f>ROUND((('Parts Cost Per Job'!N18)*((1+$B$37)*$B$38)),2)</f>
        <v>0</v>
      </c>
      <c r="O89" s="246">
        <f>ROUND((('Parts Cost Per Job'!O18)*((1+$B$37)*$B$38)),2)</f>
        <v>0</v>
      </c>
      <c r="P89" s="246">
        <f>ROUND((('Parts Cost Per Job'!P18)*((1+$B$37)*$B$38)),2)</f>
        <v>0</v>
      </c>
      <c r="Q89" s="246">
        <f>ROUND((('Parts Cost Per Job'!Q18)*((1+$B$37)*$B$38)),2)</f>
        <v>0</v>
      </c>
      <c r="R89" s="246">
        <f>ROUND((('Parts Cost Per Job'!R18)*((1+$B$37)*$B$38)),2)</f>
        <v>0</v>
      </c>
      <c r="S89" s="246">
        <f>ROUND((('Parts Cost Per Job'!S18)*((1+$B$37)*$B$38)),2)</f>
        <v>0</v>
      </c>
      <c r="T89" s="246">
        <f>ROUND((('Parts Cost Per Job'!T18)*((1+$B$37)*$B$38)),2)</f>
        <v>0</v>
      </c>
      <c r="U89" s="246">
        <f>IF('Scheduled Intervals'!U18&gt;0,ROUND(('Parts Cost Per Job'!U18*((1+$B$37)*$B$38))*ROUNDDOWN($B$1/'Scheduled Intervals'!U18,0),2),0)</f>
        <v>0</v>
      </c>
      <c r="V89" s="246">
        <f>IF('Scheduled Intervals'!V18&gt;0,ROUND(('Parts Cost Per Job'!V18*((1+$B$37)*$B$38))*ROUNDDOWN($B$1/'Scheduled Intervals'!V18,0),2),0)</f>
        <v>0</v>
      </c>
      <c r="W89" s="246">
        <f>IF('Scheduled Intervals'!W18&gt;0,ROUND(('Parts Cost Per Job'!W18*((1+$B$37)*$B$38))*ROUNDDOWN($B$1/'Scheduled Intervals'!W18,0),2),0)</f>
        <v>0</v>
      </c>
      <c r="X89" s="246">
        <f>IF('Scheduled Intervals'!X18&gt;0,ROUND(('Parts Cost Per Job'!X18*((1+$B$37)*$B$38))*ROUNDDOWN($B$1/'Scheduled Intervals'!X18,0),2),0)</f>
        <v>0</v>
      </c>
      <c r="Y89" s="246">
        <f>IF('Scheduled Intervals'!Y18&gt;0,ROUND(('Parts Cost Per Job'!Y18*((1+$B$37)*$B$38))*ROUNDDOWN($B$1/'Scheduled Intervals'!Y18,0),2),0)</f>
        <v>0</v>
      </c>
      <c r="Z89" s="246">
        <f>IF('Scheduled Intervals'!Z18&gt;0,ROUND(('Parts Cost Per Job'!Z18*((1+$B$37)*$B$38))*ROUNDDOWN($B$1/'Scheduled Intervals'!Z18,0),2),0)</f>
        <v>40.01</v>
      </c>
      <c r="AA89" s="246">
        <f>IF('Scheduled Intervals'!AA18&gt;0,ROUND(('Parts Cost Per Job'!AA18*((1+$B$37)*$B$38))*ROUNDDOWN($B$1/'Scheduled Intervals'!AA18,0),2),0)</f>
        <v>0</v>
      </c>
      <c r="AB89" s="246">
        <f>IF('Scheduled Intervals'!AB18&gt;0,ROUND(('Parts Cost Per Job'!AB18*((1+$B$37)*$B$38))*ROUNDDOWN($B$1/'Scheduled Intervals'!AB18,0),2),0)</f>
        <v>0</v>
      </c>
      <c r="AC89" s="246">
        <f>IF('Scheduled Intervals'!AC18&gt;0,ROUND(('Parts Cost Per Job'!AC18*((1+$B$37)*$B$38))*ROUNDDOWN($B$1/'Scheduled Intervals'!AC18,0),2),0)</f>
        <v>0</v>
      </c>
      <c r="AD89" s="246">
        <f>IF('Scheduled Intervals'!AD18&gt;0,ROUND(('Parts Cost Per Job'!AD18*((1+$B$37)*$B$38))*ROUNDDOWN($B$1/'Scheduled Intervals'!AD18,0),2),0)</f>
        <v>0</v>
      </c>
      <c r="AE89" s="246">
        <f>IF('Scheduled Intervals'!AE18&gt;0,ROUND(('Parts Cost Per Job'!AE18*((1+$B$37)*$B$38))*ROUNDDOWN($B$1/'Scheduled Intervals'!AE18,0),2),0)</f>
        <v>0</v>
      </c>
      <c r="AF89" s="246">
        <f>IF('Scheduled Intervals'!AF18&gt;0,ROUND(('Parts Cost Per Job'!AF18*((1+$B$37)*$B$38))*ROUNDDOWN($B$1/'Scheduled Intervals'!AF18,0),2),0)</f>
        <v>0</v>
      </c>
      <c r="AG89" s="246">
        <f>IF('Scheduled Intervals'!AG18&gt;0,ROUND(('Parts Cost Per Job'!AG18*((1+$B$37)*$B$38))*ROUNDDOWN($B$1/'Scheduled Intervals'!AG18,0),2),0)</f>
        <v>0</v>
      </c>
      <c r="AH89" s="246">
        <f>IF('Scheduled Intervals'!AH18&gt;0,ROUND(('Parts Cost Per Job'!AH18*((1+$B$37)*$B$38))*ROUNDDOWN($B$1/'Scheduled Intervals'!AH18,0),2),0)</f>
        <v>0</v>
      </c>
      <c r="AI89" s="246">
        <f>IF('Scheduled Intervals'!AI18&gt;0,ROUND(('Parts Cost Per Job'!AI18*((1+$B$37)*$B$38))*ROUNDDOWN($B$1/'Scheduled Intervals'!AI18,0),2),0)</f>
        <v>0</v>
      </c>
      <c r="AJ89" s="246">
        <f>IF('Scheduled Intervals'!AJ18&gt;0,ROUND(('Parts Cost Per Job'!AJ18*((1+$B$37)*$B$38))*ROUNDDOWN($B$1/'Scheduled Intervals'!AJ18,0),2),0)</f>
        <v>0</v>
      </c>
      <c r="AK89" s="246">
        <f>IF('Scheduled Intervals'!AK18&gt;0,ROUND(('Parts Cost Per Job'!AK18*((1+$B$37)*$B$38))*ROUNDDOWN($B$1/'Scheduled Intervals'!AK18,0),2),0)</f>
        <v>0</v>
      </c>
      <c r="AL89" s="246">
        <f>IF('Scheduled Intervals'!AL18&gt;0,ROUND(('Parts Cost Per Job'!AL18*((1+$B$37)*$B$38))*ROUNDDOWN($B$1/'Scheduled Intervals'!AL18,0),2),0)</f>
        <v>81.510000000000005</v>
      </c>
      <c r="AM89" s="246">
        <f>IF('Scheduled Intervals'!AM18&gt;0,ROUND(('Parts Cost Per Job'!AM18*((1+$B$37)*$B$38))*ROUNDDOWN($B$1/'Scheduled Intervals'!AM18,0),2),0)</f>
        <v>0</v>
      </c>
      <c r="AN89" s="246">
        <f>IF('Scheduled Intervals'!AN18&gt;0,ROUND(('Parts Cost Per Job'!AN18*((1+$B$37)*$B$38))*ROUNDDOWN($B$1/'Scheduled Intervals'!AN18,0),2),0)</f>
        <v>0</v>
      </c>
      <c r="AO89" s="246">
        <f>IF('Scheduled Intervals'!AO18&gt;0,ROUND(('Parts Cost Per Job'!AO18*((1+$B$37)*$B$38))*ROUNDDOWN($B$1/'Scheduled Intervals'!AO18,0),2),0)</f>
        <v>0</v>
      </c>
      <c r="AP89" s="246">
        <f>IF('Scheduled Intervals'!AP18&gt;0,ROUND(('Parts Cost Per Job'!AP18*((1+$B$37)*$B$38))*ROUNDDOWN($B$1/'Scheduled Intervals'!AP18,0),2),0)</f>
        <v>0</v>
      </c>
      <c r="AQ89" s="246">
        <f>IF('Scheduled Intervals'!AQ18&gt;0,ROUND(('Parts Cost Per Job'!AQ18*((1+$B$37)*$B$38))*ROUNDDOWN($B$1/'Scheduled Intervals'!AQ18,0),2),0)</f>
        <v>0</v>
      </c>
      <c r="AR89" s="246">
        <f>IF('Scheduled Intervals'!AR18&gt;0,ROUND(('Parts Cost Per Job'!AR18*((1+$B$37)*$B$38))*ROUNDDOWN($B$1/'Scheduled Intervals'!AR18,0),2),0)</f>
        <v>0</v>
      </c>
      <c r="AS89" s="246">
        <f>IF('Scheduled Intervals'!AS18&gt;0,ROUND(('Parts Cost Per Job'!AS18*((1+$B$37)*$B$38))*ROUNDDOWN($B$1/'Scheduled Intervals'!AS18,0),2),0)</f>
        <v>0</v>
      </c>
      <c r="AT89" s="246">
        <f>IF('Scheduled Intervals'!AT18&gt;0,ROUND(('Parts Cost Per Job'!AT18*((1+$B$37)*$B$38))*ROUNDDOWN($B$1/'Scheduled Intervals'!AT18,0),2),0)</f>
        <v>11.07</v>
      </c>
      <c r="AU89" s="246">
        <f>IF('Scheduled Intervals'!AU18&gt;0,ROUND(('Parts Cost Per Job'!AU18*((1+$B$37)*$B$38))*ROUNDDOWN($B$1/'Scheduled Intervals'!AU18,0),2),0)</f>
        <v>0</v>
      </c>
      <c r="AV89" s="246">
        <f>IF('Scheduled Intervals'!AV18&gt;0,ROUND(('Parts Cost Per Job'!AV18*((1+$B$37)*$B$38))*ROUNDDOWN($B$1/'Scheduled Intervals'!AV18,0),2),0)</f>
        <v>0</v>
      </c>
      <c r="AW89" s="246">
        <f>IF('Scheduled Intervals'!AW18&gt;0,ROUND(('Parts Cost Per Job'!AW18*((1+$B$37)*$B$38))*ROUNDDOWN($B$1/'Scheduled Intervals'!AW18,0),2),0)</f>
        <v>0</v>
      </c>
      <c r="AX89" s="246">
        <f>IF('Scheduled Intervals'!AX18&gt;0,ROUND(('Parts Cost Per Job'!AX18*((1+$B$37)*$B$38))*ROUNDDOWN($B$1/'Scheduled Intervals'!AX18,0),2),0)</f>
        <v>0</v>
      </c>
      <c r="AY89" s="246">
        <f>IF('Scheduled Intervals'!AY18&gt;0,ROUND(('Parts Cost Per Job'!AY18*((1+$B$37)*$B$38))*ROUNDDOWN($B$1/'Scheduled Intervals'!AY18,0),2),0)</f>
        <v>0</v>
      </c>
      <c r="AZ89" s="246">
        <f>IF('Scheduled Intervals'!AZ18&gt;0,ROUND(('Parts Cost Per Job'!AZ18*((1+$B$37)*$B$38))*ROUNDDOWN($B$1/'Scheduled Intervals'!AZ18,0),2),0)</f>
        <v>0</v>
      </c>
      <c r="BA89" s="246">
        <f>IF('Scheduled Intervals'!BA18&gt;0,ROUND(('Parts Cost Per Job'!BA18*((1+$B$37)*$B$38))*ROUNDDOWN($B$1/'Scheduled Intervals'!BA18,0),2),0)</f>
        <v>0</v>
      </c>
      <c r="BB89" s="246">
        <f>IF('Scheduled Intervals'!BB18&gt;0,ROUND(('Parts Cost Per Job'!BB18*((1+$B$37)*$B$38))*ROUNDDOWN($B$1/'Scheduled Intervals'!BB18,0),2),0)</f>
        <v>0</v>
      </c>
      <c r="BC89" s="246">
        <f>IF('Scheduled Intervals'!BC18&gt;0,ROUND(('Parts Cost Per Job'!BC18*((1+$B$37)*$B$38))*ROUNDDOWN($B$1/'Scheduled Intervals'!BC18,0),2),0)</f>
        <v>0</v>
      </c>
      <c r="BD89" s="246">
        <f>IF('Scheduled Intervals'!BD18&gt;0,ROUND(('Parts Cost Per Job'!BD18*((1+$B$37)*$B$38))*ROUNDDOWN($B$1/'Scheduled Intervals'!BD18,0),2),0)</f>
        <v>0</v>
      </c>
      <c r="BE89" s="246">
        <f>IF('Scheduled Intervals'!BE18&gt;0,ROUND(('Parts Cost Per Job'!BE18*((1+$B$37)*$B$38))*ROUNDDOWN($B$1/'Scheduled Intervals'!BE18,0),2),0)</f>
        <v>0</v>
      </c>
      <c r="BF89" s="246">
        <f>IF('Scheduled Intervals'!BF18&gt;0,ROUND(('Parts Cost Per Job'!BF18*((1+$B$37)*$B$38))*ROUNDDOWN($B$1/'Scheduled Intervals'!BF18,0),2),0)</f>
        <v>0</v>
      </c>
      <c r="BG89" s="246">
        <f>IF('Scheduled Intervals'!BG18&gt;0,ROUND(('Parts Cost Per Job'!BG18*((1+$B$37)*$B$38))*ROUNDDOWN($B$1/'Scheduled Intervals'!BG18,0),2),0)</f>
        <v>0</v>
      </c>
      <c r="BH89" s="246">
        <f>IF('Scheduled Intervals'!BH18&gt;0,ROUND(('Parts Cost Per Job'!BH18*((1+$B$37)*$B$38))*ROUNDDOWN($B$1/'Scheduled Intervals'!BH18,0),2),0)</f>
        <v>0</v>
      </c>
      <c r="BI89" s="246">
        <f>IF('Scheduled Intervals'!BI18&gt;0,ROUND(('Parts Cost Per Job'!BI18*((1+$B$37)*$B$38))*ROUNDDOWN($B$1/'Scheduled Intervals'!BI18,0),2),0)</f>
        <v>0</v>
      </c>
      <c r="BJ89" s="246">
        <f>IF('Scheduled Intervals'!BJ18&gt;0,ROUND(('Parts Cost Per Job'!BJ18*((1+$B$37)*$B$38))*ROUNDDOWN($B$1/'Scheduled Intervals'!BJ18,0),2),0)</f>
        <v>0</v>
      </c>
      <c r="BK89" s="246">
        <f>IF('Scheduled Intervals'!BK18&gt;0,ROUND(('Parts Cost Per Job'!BK18*((1+$B$37)*$B$38))*ROUNDDOWN($B$1/'Scheduled Intervals'!BK18,0),2),0)</f>
        <v>0</v>
      </c>
      <c r="BL89" s="246">
        <f>IF('Scheduled Intervals'!BL18&gt;0,ROUND(('Parts Cost Per Job'!BL18*((1+$B$37)*$B$38))*ROUNDDOWN($B$1/'Scheduled Intervals'!BL18,0),2),0)</f>
        <v>0</v>
      </c>
      <c r="BM89" s="246">
        <f>IF('Scheduled Intervals'!BM18&gt;0,ROUND(('Parts Cost Per Job'!BM18*((1+$B$37)*$B$38))*ROUNDDOWN($B$1/'Scheduled Intervals'!BM18,0),2),0)</f>
        <v>0</v>
      </c>
      <c r="BN89" s="246">
        <f>IF(AND('Scheduled Intervals'!BN$4="annual",'Plan Summary'!$C$5&lt;'Scheduled Intervals'!$U18*('Plan Summary'!$C$9/12)),ROUND('Parts Cost Per Job'!BN18*((1+$B$37)*$B$38)*ROUND('Plan Summary'!$C$9/12,0),2),0)</f>
        <v>428.94</v>
      </c>
      <c r="BO89" s="246">
        <f>IF(AND('Scheduled Intervals'!BO$4="annual",'Plan Summary'!$C$5&lt;'Scheduled Intervals'!$U18*('Plan Summary'!$C$9/12)),ROUND('Parts Cost Per Job'!BO18*((1+$B$37)*$B$38)*ROUND('Plan Summary'!$C$9/12,0),2),0)</f>
        <v>55.33</v>
      </c>
      <c r="BP89" s="246">
        <f>IF(AND('Scheduled Intervals'!BP$4="annual",'Plan Summary'!$C$5&lt;'Scheduled Intervals'!$U18*('Plan Summary'!$C$9/12)),ROUND('Parts Cost Per Job'!BP18*((1+$B$37)*$B$38)*ROUND('Plan Summary'!$C$9/12,0),2),0)</f>
        <v>0</v>
      </c>
      <c r="BQ89" s="246">
        <f t="shared" si="3"/>
        <v>740.19</v>
      </c>
      <c r="BR89" s="246"/>
    </row>
    <row r="90" spans="1:70" ht="16" x14ac:dyDescent="0.2">
      <c r="A90" s="18" t="str">
        <f>+'Scheduled Intervals'!A19</f>
        <v>Mahindra 5500</v>
      </c>
      <c r="B90" s="246">
        <f>ROUND((('Parts Cost Per Job'!B19)*((1+$B$37)*$B$38)),2)</f>
        <v>85.79</v>
      </c>
      <c r="C90" s="246">
        <f>ROUND((('Parts Cost Per Job'!C19)*((1+$B$37)*$B$38)),2)</f>
        <v>0</v>
      </c>
      <c r="D90" s="246">
        <f>ROUND((('Parts Cost Per Job'!D19)*((1+$B$37)*$B$38)),2)</f>
        <v>0</v>
      </c>
      <c r="E90" s="246">
        <f>ROUND((('Parts Cost Per Job'!E19)*((1+$B$37)*$B$38)),2)</f>
        <v>0</v>
      </c>
      <c r="F90" s="246">
        <f>ROUND((('Parts Cost Per Job'!F19)*((1+$B$37)*$B$38)),2)</f>
        <v>58.46</v>
      </c>
      <c r="G90" s="246">
        <f>ROUND((('Parts Cost Per Job'!G19)*((1+$B$37)*$B$38)),2)</f>
        <v>0</v>
      </c>
      <c r="H90" s="246">
        <f>ROUND((('Parts Cost Per Job'!H19)*((1+$B$37)*$B$38)),2)</f>
        <v>11.07</v>
      </c>
      <c r="I90" s="246">
        <f>ROUND((('Parts Cost Per Job'!I19)*((1+$B$37)*$B$38)),2)</f>
        <v>0</v>
      </c>
      <c r="J90" s="246">
        <f>ROUND((('Parts Cost Per Job'!J19)*((1+$B$37)*$B$38)),2)</f>
        <v>0</v>
      </c>
      <c r="K90" s="246">
        <f>ROUND((('Parts Cost Per Job'!K19)*((1+$B$37)*$B$38)),2)</f>
        <v>0</v>
      </c>
      <c r="L90" s="246">
        <f>ROUND((('Parts Cost Per Job'!L19)*((1+$B$37)*$B$38)),2)</f>
        <v>0</v>
      </c>
      <c r="M90" s="246">
        <f>ROUND((('Parts Cost Per Job'!M19)*((1+$B$37)*$B$38)),2)</f>
        <v>0</v>
      </c>
      <c r="N90" s="246">
        <f>ROUND((('Parts Cost Per Job'!N19)*((1+$B$37)*$B$38)),2)</f>
        <v>0</v>
      </c>
      <c r="O90" s="246">
        <f>ROUND((('Parts Cost Per Job'!O19)*((1+$B$37)*$B$38)),2)</f>
        <v>0</v>
      </c>
      <c r="P90" s="246">
        <f>ROUND((('Parts Cost Per Job'!P19)*((1+$B$37)*$B$38)),2)</f>
        <v>0</v>
      </c>
      <c r="Q90" s="246">
        <f>ROUND((('Parts Cost Per Job'!Q19)*((1+$B$37)*$B$38)),2)</f>
        <v>0</v>
      </c>
      <c r="R90" s="246">
        <f>ROUND((('Parts Cost Per Job'!R19)*((1+$B$37)*$B$38)),2)</f>
        <v>0</v>
      </c>
      <c r="S90" s="246">
        <f>ROUND((('Parts Cost Per Job'!S19)*((1+$B$37)*$B$38)),2)</f>
        <v>0</v>
      </c>
      <c r="T90" s="246">
        <f>ROUND((('Parts Cost Per Job'!T19)*((1+$B$37)*$B$38)),2)</f>
        <v>0</v>
      </c>
      <c r="U90" s="246">
        <f>IF('Scheduled Intervals'!U19&gt;0,ROUND(('Parts Cost Per Job'!U19*((1+$B$37)*$B$38))*ROUNDDOWN($B$1/'Scheduled Intervals'!U19,0),2),0)</f>
        <v>85.79</v>
      </c>
      <c r="V90" s="246">
        <f>IF('Scheduled Intervals'!V19&gt;0,ROUND(('Parts Cost Per Job'!V19*((1+$B$37)*$B$38))*ROUNDDOWN($B$1/'Scheduled Intervals'!V19,0),2),0)</f>
        <v>0</v>
      </c>
      <c r="W90" s="246">
        <f>IF('Scheduled Intervals'!W19&gt;0,ROUND(('Parts Cost Per Job'!W19*((1+$B$37)*$B$38))*ROUNDDOWN($B$1/'Scheduled Intervals'!W19,0),2),0)</f>
        <v>0</v>
      </c>
      <c r="X90" s="246">
        <f>IF('Scheduled Intervals'!X19&gt;0,ROUND(('Parts Cost Per Job'!X19*((1+$B$37)*$B$38))*ROUNDDOWN($B$1/'Scheduled Intervals'!X19,0),2),0)</f>
        <v>0</v>
      </c>
      <c r="Y90" s="246">
        <f>IF('Scheduled Intervals'!Y19&gt;0,ROUND(('Parts Cost Per Job'!Y19*((1+$B$37)*$B$38))*ROUNDDOWN($B$1/'Scheduled Intervals'!Y19,0),2),0)</f>
        <v>0</v>
      </c>
      <c r="Z90" s="246">
        <f>IF('Scheduled Intervals'!Z19&gt;0,ROUND(('Parts Cost Per Job'!Z19*((1+$B$37)*$B$38))*ROUNDDOWN($B$1/'Scheduled Intervals'!Z19,0),2),0)</f>
        <v>0</v>
      </c>
      <c r="AA90" s="246">
        <f>IF('Scheduled Intervals'!AA19&gt;0,ROUND(('Parts Cost Per Job'!AA19*((1+$B$37)*$B$38))*ROUNDDOWN($B$1/'Scheduled Intervals'!AA19,0),2),0)</f>
        <v>0</v>
      </c>
      <c r="AB90" s="246">
        <f>IF('Scheduled Intervals'!AB19&gt;0,ROUND(('Parts Cost Per Job'!AB19*((1+$B$37)*$B$38))*ROUNDDOWN($B$1/'Scheduled Intervals'!AB19,0),2),0)</f>
        <v>0</v>
      </c>
      <c r="AC90" s="246">
        <f>IF('Scheduled Intervals'!AC19&gt;0,ROUND(('Parts Cost Per Job'!AC19*((1+$B$37)*$B$38))*ROUNDDOWN($B$1/'Scheduled Intervals'!AC19,0),2),0)</f>
        <v>0</v>
      </c>
      <c r="AD90" s="246">
        <f>IF('Scheduled Intervals'!AD19&gt;0,ROUND(('Parts Cost Per Job'!AD19*((1+$B$37)*$B$38))*ROUNDDOWN($B$1/'Scheduled Intervals'!AD19,0),2),0)</f>
        <v>0</v>
      </c>
      <c r="AE90" s="246">
        <f>IF('Scheduled Intervals'!AE19&gt;0,ROUND(('Parts Cost Per Job'!AE19*((1+$B$37)*$B$38))*ROUNDDOWN($B$1/'Scheduled Intervals'!AE19,0),2),0)</f>
        <v>0</v>
      </c>
      <c r="AF90" s="246">
        <f>IF('Scheduled Intervals'!AF19&gt;0,ROUND(('Parts Cost Per Job'!AF19*((1+$B$37)*$B$38))*ROUNDDOWN($B$1/'Scheduled Intervals'!AF19,0),2),0)</f>
        <v>0</v>
      </c>
      <c r="AG90" s="246">
        <f>IF('Scheduled Intervals'!AG19&gt;0,ROUND(('Parts Cost Per Job'!AG19*((1+$B$37)*$B$38))*ROUNDDOWN($B$1/'Scheduled Intervals'!AG19,0),2),0)</f>
        <v>0</v>
      </c>
      <c r="AH90" s="246">
        <f>IF('Scheduled Intervals'!AH19&gt;0,ROUND(('Parts Cost Per Job'!AH19*((1+$B$37)*$B$38))*ROUNDDOWN($B$1/'Scheduled Intervals'!AH19,0),2),0)</f>
        <v>0</v>
      </c>
      <c r="AI90" s="246">
        <f>IF('Scheduled Intervals'!AI19&gt;0,ROUND(('Parts Cost Per Job'!AI19*((1+$B$37)*$B$38))*ROUNDDOWN($B$1/'Scheduled Intervals'!AI19,0),2),0)</f>
        <v>0</v>
      </c>
      <c r="AJ90" s="246">
        <f>IF('Scheduled Intervals'!AJ19&gt;0,ROUND(('Parts Cost Per Job'!AJ19*((1+$B$37)*$B$38))*ROUNDDOWN($B$1/'Scheduled Intervals'!AJ19,0),2),0)</f>
        <v>0</v>
      </c>
      <c r="AK90" s="246">
        <f>IF('Scheduled Intervals'!AK19&gt;0,ROUND(('Parts Cost Per Job'!AK19*((1+$B$37)*$B$38))*ROUNDDOWN($B$1/'Scheduled Intervals'!AK19,0),2),0)</f>
        <v>0</v>
      </c>
      <c r="AL90" s="246">
        <f>IF('Scheduled Intervals'!AL19&gt;0,ROUND(('Parts Cost Per Job'!AL19*((1+$B$37)*$B$38))*ROUNDDOWN($B$1/'Scheduled Intervals'!AL19,0),2),0)</f>
        <v>0</v>
      </c>
      <c r="AM90" s="246">
        <f>IF('Scheduled Intervals'!AM19&gt;0,ROUND(('Parts Cost Per Job'!AM19*((1+$B$37)*$B$38))*ROUNDDOWN($B$1/'Scheduled Intervals'!AM19,0),2),0)</f>
        <v>0</v>
      </c>
      <c r="AN90" s="246">
        <f>IF('Scheduled Intervals'!AN19&gt;0,ROUND(('Parts Cost Per Job'!AN19*((1+$B$37)*$B$38))*ROUNDDOWN($B$1/'Scheduled Intervals'!AN19,0),2),0)</f>
        <v>0</v>
      </c>
      <c r="AO90" s="246">
        <f>IF('Scheduled Intervals'!AO19&gt;0,ROUND(('Parts Cost Per Job'!AO19*((1+$B$37)*$B$38))*ROUNDDOWN($B$1/'Scheduled Intervals'!AO19,0),2),0)</f>
        <v>0</v>
      </c>
      <c r="AP90" s="246">
        <f>IF('Scheduled Intervals'!AP19&gt;0,ROUND(('Parts Cost Per Job'!AP19*((1+$B$37)*$B$38))*ROUNDDOWN($B$1/'Scheduled Intervals'!AP19,0),2),0)</f>
        <v>0</v>
      </c>
      <c r="AQ90" s="246">
        <f>IF('Scheduled Intervals'!AQ19&gt;0,ROUND(('Parts Cost Per Job'!AQ19*((1+$B$37)*$B$38))*ROUNDDOWN($B$1/'Scheduled Intervals'!AQ19,0),2),0)</f>
        <v>0</v>
      </c>
      <c r="AR90" s="246">
        <f>IF('Scheduled Intervals'!AR19&gt;0,ROUND(('Parts Cost Per Job'!AR19*((1+$B$37)*$B$38))*ROUNDDOWN($B$1/'Scheduled Intervals'!AR19,0),2),0)</f>
        <v>0</v>
      </c>
      <c r="AS90" s="246">
        <f>IF('Scheduled Intervals'!AS19&gt;0,ROUND(('Parts Cost Per Job'!AS19*((1+$B$37)*$B$38))*ROUNDDOWN($B$1/'Scheduled Intervals'!AS19,0),2),0)</f>
        <v>0</v>
      </c>
      <c r="AT90" s="246">
        <f>IF('Scheduled Intervals'!AT19&gt;0,ROUND(('Parts Cost Per Job'!AT19*((1+$B$37)*$B$38))*ROUNDDOWN($B$1/'Scheduled Intervals'!AT19,0),2),0)</f>
        <v>11.07</v>
      </c>
      <c r="AU90" s="246">
        <f>IF('Scheduled Intervals'!AU19&gt;0,ROUND(('Parts Cost Per Job'!AU19*((1+$B$37)*$B$38))*ROUNDDOWN($B$1/'Scheduled Intervals'!AU19,0),2),0)</f>
        <v>0</v>
      </c>
      <c r="AV90" s="246">
        <f>IF('Scheduled Intervals'!AV19&gt;0,ROUND(('Parts Cost Per Job'!AV19*((1+$B$37)*$B$38))*ROUNDDOWN($B$1/'Scheduled Intervals'!AV19,0),2),0)</f>
        <v>0</v>
      </c>
      <c r="AW90" s="246">
        <f>IF('Scheduled Intervals'!AW19&gt;0,ROUND(('Parts Cost Per Job'!AW19*((1+$B$37)*$B$38))*ROUNDDOWN($B$1/'Scheduled Intervals'!AW19,0),2),0)</f>
        <v>0</v>
      </c>
      <c r="AX90" s="246">
        <f>IF('Scheduled Intervals'!AX19&gt;0,ROUND(('Parts Cost Per Job'!AX19*((1+$B$37)*$B$38))*ROUNDDOWN($B$1/'Scheduled Intervals'!AX19,0),2),0)</f>
        <v>0</v>
      </c>
      <c r="AY90" s="246">
        <f>IF('Scheduled Intervals'!AY19&gt;0,ROUND(('Parts Cost Per Job'!AY19*((1+$B$37)*$B$38))*ROUNDDOWN($B$1/'Scheduled Intervals'!AY19,0),2),0)</f>
        <v>0</v>
      </c>
      <c r="AZ90" s="246">
        <f>IF('Scheduled Intervals'!AZ19&gt;0,ROUND(('Parts Cost Per Job'!AZ19*((1+$B$37)*$B$38))*ROUNDDOWN($B$1/'Scheduled Intervals'!AZ19,0),2),0)</f>
        <v>0</v>
      </c>
      <c r="BA90" s="246">
        <f>IF('Scheduled Intervals'!BA19&gt;0,ROUND(('Parts Cost Per Job'!BA19*((1+$B$37)*$B$38))*ROUNDDOWN($B$1/'Scheduled Intervals'!BA19,0),2),0)</f>
        <v>0</v>
      </c>
      <c r="BB90" s="246">
        <f>IF('Scheduled Intervals'!BB19&gt;0,ROUND(('Parts Cost Per Job'!BB19*((1+$B$37)*$B$38))*ROUNDDOWN($B$1/'Scheduled Intervals'!BB19,0),2),0)</f>
        <v>0</v>
      </c>
      <c r="BC90" s="246">
        <f>IF('Scheduled Intervals'!BC19&gt;0,ROUND(('Parts Cost Per Job'!BC19*((1+$B$37)*$B$38))*ROUNDDOWN($B$1/'Scheduled Intervals'!BC19,0),2),0)</f>
        <v>0</v>
      </c>
      <c r="BD90" s="246">
        <f>IF('Scheduled Intervals'!BD19&gt;0,ROUND(('Parts Cost Per Job'!BD19*((1+$B$37)*$B$38))*ROUNDDOWN($B$1/'Scheduled Intervals'!BD19,0),2),0)</f>
        <v>0</v>
      </c>
      <c r="BE90" s="246">
        <f>IF('Scheduled Intervals'!BE19&gt;0,ROUND(('Parts Cost Per Job'!BE19*((1+$B$37)*$B$38))*ROUNDDOWN($B$1/'Scheduled Intervals'!BE19,0),2),0)</f>
        <v>0</v>
      </c>
      <c r="BF90" s="246">
        <f>IF('Scheduled Intervals'!BF19&gt;0,ROUND(('Parts Cost Per Job'!BF19*((1+$B$37)*$B$38))*ROUNDDOWN($B$1/'Scheduled Intervals'!BF19,0),2),0)</f>
        <v>0</v>
      </c>
      <c r="BG90" s="246">
        <f>IF('Scheduled Intervals'!BG19&gt;0,ROUND(('Parts Cost Per Job'!BG19*((1+$B$37)*$B$38))*ROUNDDOWN($B$1/'Scheduled Intervals'!BG19,0),2),0)</f>
        <v>0</v>
      </c>
      <c r="BH90" s="246">
        <f>IF('Scheduled Intervals'!BH19&gt;0,ROUND(('Parts Cost Per Job'!BH19*((1+$B$37)*$B$38))*ROUNDDOWN($B$1/'Scheduled Intervals'!BH19,0),2),0)</f>
        <v>0</v>
      </c>
      <c r="BI90" s="246">
        <f>IF('Scheduled Intervals'!BI19&gt;0,ROUND(('Parts Cost Per Job'!BI19*((1+$B$37)*$B$38))*ROUNDDOWN($B$1/'Scheduled Intervals'!BI19,0),2),0)</f>
        <v>0</v>
      </c>
      <c r="BJ90" s="246">
        <f>IF('Scheduled Intervals'!BJ19&gt;0,ROUND(('Parts Cost Per Job'!BJ19*((1+$B$37)*$B$38))*ROUNDDOWN($B$1/'Scheduled Intervals'!BJ19,0),2),0)</f>
        <v>0</v>
      </c>
      <c r="BK90" s="246">
        <f>IF('Scheduled Intervals'!BK19&gt;0,ROUND(('Parts Cost Per Job'!BK19*((1+$B$37)*$B$38))*ROUNDDOWN($B$1/'Scheduled Intervals'!BK19,0),2),0)</f>
        <v>0</v>
      </c>
      <c r="BL90" s="246">
        <f>IF('Scheduled Intervals'!BL19&gt;0,ROUND(('Parts Cost Per Job'!BL19*((1+$B$37)*$B$38))*ROUNDDOWN($B$1/'Scheduled Intervals'!BL19,0),2),0)</f>
        <v>0</v>
      </c>
      <c r="BM90" s="246">
        <f>IF('Scheduled Intervals'!BM19&gt;0,ROUND(('Parts Cost Per Job'!BM19*((1+$B$37)*$B$38))*ROUNDDOWN($B$1/'Scheduled Intervals'!BM19,0),2),0)</f>
        <v>0</v>
      </c>
      <c r="BN90" s="246">
        <f>IF(AND('Scheduled Intervals'!BN$4="annual",'Plan Summary'!$C$5&lt;'Scheduled Intervals'!$U19*('Plan Summary'!$C$9/12)),ROUND('Parts Cost Per Job'!BN19*((1+$B$37)*$B$38)*ROUND('Plan Summary'!$C$9/12,0),2),0)</f>
        <v>428.94</v>
      </c>
      <c r="BO90" s="246">
        <f>IF(AND('Scheduled Intervals'!BO$4="annual",'Plan Summary'!$C$5&lt;'Scheduled Intervals'!$U19*('Plan Summary'!$C$9/12)),ROUND('Parts Cost Per Job'!BO19*((1+$B$37)*$B$38)*ROUND('Plan Summary'!$C$9/12,0),2),0)</f>
        <v>55.33</v>
      </c>
      <c r="BP90" s="246">
        <f>IF(AND('Scheduled Intervals'!BP$4="annual",'Plan Summary'!$C$5&lt;'Scheduled Intervals'!$U19*('Plan Summary'!$C$9/12)),ROUND('Parts Cost Per Job'!BP19*((1+$B$37)*$B$38)*ROUND('Plan Summary'!$C$9/12,0),2),0)</f>
        <v>0</v>
      </c>
      <c r="BQ90" s="246">
        <f t="shared" si="3"/>
        <v>736.45</v>
      </c>
      <c r="BR90" s="246"/>
    </row>
    <row r="91" spans="1:70" ht="16" x14ac:dyDescent="0.2">
      <c r="A91" s="18" t="str">
        <f>+'Scheduled Intervals'!A20</f>
        <v>Mahindra 6000</v>
      </c>
      <c r="B91" s="246">
        <f>ROUND((('Parts Cost Per Job'!B20)*((1+$B$37)*$B$38)),2)</f>
        <v>85.79</v>
      </c>
      <c r="C91" s="246">
        <f>ROUND((('Parts Cost Per Job'!C20)*((1+$B$37)*$B$38)),2)</f>
        <v>0</v>
      </c>
      <c r="D91" s="246">
        <f>ROUND((('Parts Cost Per Job'!D20)*((1+$B$37)*$B$38)),2)</f>
        <v>0</v>
      </c>
      <c r="E91" s="246">
        <f>ROUND((('Parts Cost Per Job'!E20)*((1+$B$37)*$B$38)),2)</f>
        <v>0</v>
      </c>
      <c r="F91" s="246">
        <f>ROUND((('Parts Cost Per Job'!F20)*((1+$B$37)*$B$38)),2)</f>
        <v>102.95</v>
      </c>
      <c r="G91" s="246">
        <f>ROUND((('Parts Cost Per Job'!G20)*((1+$B$37)*$B$38)),2)</f>
        <v>0</v>
      </c>
      <c r="H91" s="246">
        <f>ROUND((('Parts Cost Per Job'!H20)*((1+$B$37)*$B$38)),2)</f>
        <v>11.07</v>
      </c>
      <c r="I91" s="246">
        <f>ROUND((('Parts Cost Per Job'!I20)*((1+$B$37)*$B$38)),2)</f>
        <v>0</v>
      </c>
      <c r="J91" s="246">
        <f>ROUND((('Parts Cost Per Job'!J20)*((1+$B$37)*$B$38)),2)</f>
        <v>0</v>
      </c>
      <c r="K91" s="246">
        <f>ROUND((('Parts Cost Per Job'!K20)*((1+$B$37)*$B$38)),2)</f>
        <v>0</v>
      </c>
      <c r="L91" s="246">
        <f>ROUND((('Parts Cost Per Job'!L20)*((1+$B$37)*$B$38)),2)</f>
        <v>0</v>
      </c>
      <c r="M91" s="246">
        <f>ROUND((('Parts Cost Per Job'!M20)*((1+$B$37)*$B$38)),2)</f>
        <v>0</v>
      </c>
      <c r="N91" s="246">
        <f>ROUND((('Parts Cost Per Job'!N20)*((1+$B$37)*$B$38)),2)</f>
        <v>0</v>
      </c>
      <c r="O91" s="246">
        <f>ROUND((('Parts Cost Per Job'!O20)*((1+$B$37)*$B$38)),2)</f>
        <v>0</v>
      </c>
      <c r="P91" s="246">
        <f>ROUND((('Parts Cost Per Job'!P20)*((1+$B$37)*$B$38)),2)</f>
        <v>0</v>
      </c>
      <c r="Q91" s="246">
        <f>ROUND((('Parts Cost Per Job'!Q20)*((1+$B$37)*$B$38)),2)</f>
        <v>0</v>
      </c>
      <c r="R91" s="246">
        <f>ROUND((('Parts Cost Per Job'!R20)*((1+$B$37)*$B$38)),2)</f>
        <v>0</v>
      </c>
      <c r="S91" s="246">
        <f>ROUND((('Parts Cost Per Job'!S20)*((1+$B$37)*$B$38)),2)</f>
        <v>0</v>
      </c>
      <c r="T91" s="246">
        <f>ROUND((('Parts Cost Per Job'!T20)*((1+$B$37)*$B$38)),2)</f>
        <v>0</v>
      </c>
      <c r="U91" s="246">
        <f>IF('Scheduled Intervals'!U20&gt;0,ROUND(('Parts Cost Per Job'!U20*((1+$B$37)*$B$38))*ROUNDDOWN($B$1/'Scheduled Intervals'!U20,0),2),0)</f>
        <v>0</v>
      </c>
      <c r="V91" s="246">
        <f>IF('Scheduled Intervals'!V20&gt;0,ROUND(('Parts Cost Per Job'!V20*((1+$B$37)*$B$38))*ROUNDDOWN($B$1/'Scheduled Intervals'!V20,0),2),0)</f>
        <v>0</v>
      </c>
      <c r="W91" s="246">
        <f>IF('Scheduled Intervals'!W20&gt;0,ROUND(('Parts Cost Per Job'!W20*((1+$B$37)*$B$38))*ROUNDDOWN($B$1/'Scheduled Intervals'!W20,0),2),0)</f>
        <v>0</v>
      </c>
      <c r="X91" s="246">
        <f>IF('Scheduled Intervals'!X20&gt;0,ROUND(('Parts Cost Per Job'!X20*((1+$B$37)*$B$38))*ROUNDDOWN($B$1/'Scheduled Intervals'!X20,0),2),0)</f>
        <v>0</v>
      </c>
      <c r="Y91" s="246">
        <f>IF('Scheduled Intervals'!Y20&gt;0,ROUND(('Parts Cost Per Job'!Y20*((1+$B$37)*$B$38))*ROUNDDOWN($B$1/'Scheduled Intervals'!Y20,0),2),0)</f>
        <v>0</v>
      </c>
      <c r="Z91" s="246">
        <f>IF('Scheduled Intervals'!Z20&gt;0,ROUND(('Parts Cost Per Job'!Z20*((1+$B$37)*$B$38))*ROUNDDOWN($B$1/'Scheduled Intervals'!Z20,0),2),0)</f>
        <v>40.01</v>
      </c>
      <c r="AA91" s="246">
        <f>IF('Scheduled Intervals'!AA20&gt;0,ROUND(('Parts Cost Per Job'!AA20*((1+$B$37)*$B$38))*ROUNDDOWN($B$1/'Scheduled Intervals'!AA20,0),2),0)</f>
        <v>0</v>
      </c>
      <c r="AB91" s="246">
        <f>IF('Scheduled Intervals'!AB20&gt;0,ROUND(('Parts Cost Per Job'!AB20*((1+$B$37)*$B$38))*ROUNDDOWN($B$1/'Scheduled Intervals'!AB20,0),2),0)</f>
        <v>0</v>
      </c>
      <c r="AC91" s="246">
        <f>IF('Scheduled Intervals'!AC20&gt;0,ROUND(('Parts Cost Per Job'!AC20*((1+$B$37)*$B$38))*ROUNDDOWN($B$1/'Scheduled Intervals'!AC20,0),2),0)</f>
        <v>0</v>
      </c>
      <c r="AD91" s="246">
        <f>IF('Scheduled Intervals'!AD20&gt;0,ROUND(('Parts Cost Per Job'!AD20*((1+$B$37)*$B$38))*ROUNDDOWN($B$1/'Scheduled Intervals'!AD20,0),2),0)</f>
        <v>0</v>
      </c>
      <c r="AE91" s="246">
        <f>IF('Scheduled Intervals'!AE20&gt;0,ROUND(('Parts Cost Per Job'!AE20*((1+$B$37)*$B$38))*ROUNDDOWN($B$1/'Scheduled Intervals'!AE20,0),2),0)</f>
        <v>0</v>
      </c>
      <c r="AF91" s="246">
        <f>IF('Scheduled Intervals'!AF20&gt;0,ROUND(('Parts Cost Per Job'!AF20*((1+$B$37)*$B$38))*ROUNDDOWN($B$1/'Scheduled Intervals'!AF20,0),2),0)</f>
        <v>0</v>
      </c>
      <c r="AG91" s="246">
        <f>IF('Scheduled Intervals'!AG20&gt;0,ROUND(('Parts Cost Per Job'!AG20*((1+$B$37)*$B$38))*ROUNDDOWN($B$1/'Scheduled Intervals'!AG20,0),2),0)</f>
        <v>0</v>
      </c>
      <c r="AH91" s="246">
        <f>IF('Scheduled Intervals'!AH20&gt;0,ROUND(('Parts Cost Per Job'!AH20*((1+$B$37)*$B$38))*ROUNDDOWN($B$1/'Scheduled Intervals'!AH20,0),2),0)</f>
        <v>0</v>
      </c>
      <c r="AI91" s="246">
        <f>IF('Scheduled Intervals'!AI20&gt;0,ROUND(('Parts Cost Per Job'!AI20*((1+$B$37)*$B$38))*ROUNDDOWN($B$1/'Scheduled Intervals'!AI20,0),2),0)</f>
        <v>0</v>
      </c>
      <c r="AJ91" s="246">
        <f>IF('Scheduled Intervals'!AJ20&gt;0,ROUND(('Parts Cost Per Job'!AJ20*((1+$B$37)*$B$38))*ROUNDDOWN($B$1/'Scheduled Intervals'!AJ20,0),2),0)</f>
        <v>0</v>
      </c>
      <c r="AK91" s="246">
        <f>IF('Scheduled Intervals'!AK20&gt;0,ROUND(('Parts Cost Per Job'!AK20*((1+$B$37)*$B$38))*ROUNDDOWN($B$1/'Scheduled Intervals'!AK20,0),2),0)</f>
        <v>0</v>
      </c>
      <c r="AL91" s="246">
        <f>IF('Scheduled Intervals'!AL20&gt;0,ROUND(('Parts Cost Per Job'!AL20*((1+$B$37)*$B$38))*ROUNDDOWN($B$1/'Scheduled Intervals'!AL20,0),2),0)</f>
        <v>0</v>
      </c>
      <c r="AM91" s="246">
        <f>IF('Scheduled Intervals'!AM20&gt;0,ROUND(('Parts Cost Per Job'!AM20*((1+$B$37)*$B$38))*ROUNDDOWN($B$1/'Scheduled Intervals'!AM20,0),2),0)</f>
        <v>0</v>
      </c>
      <c r="AN91" s="246">
        <f>IF('Scheduled Intervals'!AN20&gt;0,ROUND(('Parts Cost Per Job'!AN20*((1+$B$37)*$B$38))*ROUNDDOWN($B$1/'Scheduled Intervals'!AN20,0),2),0)</f>
        <v>0</v>
      </c>
      <c r="AO91" s="246">
        <f>IF('Scheduled Intervals'!AO20&gt;0,ROUND(('Parts Cost Per Job'!AO20*((1+$B$37)*$B$38))*ROUNDDOWN($B$1/'Scheduled Intervals'!AO20,0),2),0)</f>
        <v>0</v>
      </c>
      <c r="AP91" s="246">
        <f>IF('Scheduled Intervals'!AP20&gt;0,ROUND(('Parts Cost Per Job'!AP20*((1+$B$37)*$B$38))*ROUNDDOWN($B$1/'Scheduled Intervals'!AP20,0),2),0)</f>
        <v>0</v>
      </c>
      <c r="AQ91" s="246">
        <f>IF('Scheduled Intervals'!AQ20&gt;0,ROUND(('Parts Cost Per Job'!AQ20*((1+$B$37)*$B$38))*ROUNDDOWN($B$1/'Scheduled Intervals'!AQ20,0),2),0)</f>
        <v>0</v>
      </c>
      <c r="AR91" s="246">
        <f>IF('Scheduled Intervals'!AR20&gt;0,ROUND(('Parts Cost Per Job'!AR20*((1+$B$37)*$B$38))*ROUNDDOWN($B$1/'Scheduled Intervals'!AR20,0),2),0)</f>
        <v>0</v>
      </c>
      <c r="AS91" s="246">
        <f>IF('Scheduled Intervals'!AS20&gt;0,ROUND(('Parts Cost Per Job'!AS20*((1+$B$37)*$B$38))*ROUNDDOWN($B$1/'Scheduled Intervals'!AS20,0),2),0)</f>
        <v>0</v>
      </c>
      <c r="AT91" s="246">
        <f>IF('Scheduled Intervals'!AT20&gt;0,ROUND(('Parts Cost Per Job'!AT20*((1+$B$37)*$B$38))*ROUNDDOWN($B$1/'Scheduled Intervals'!AT20,0),2),0)</f>
        <v>11.07</v>
      </c>
      <c r="AU91" s="246">
        <f>IF('Scheduled Intervals'!AU20&gt;0,ROUND(('Parts Cost Per Job'!AU20*((1+$B$37)*$B$38))*ROUNDDOWN($B$1/'Scheduled Intervals'!AU20,0),2),0)</f>
        <v>0</v>
      </c>
      <c r="AV91" s="246">
        <f>IF('Scheduled Intervals'!AV20&gt;0,ROUND(('Parts Cost Per Job'!AV20*((1+$B$37)*$B$38))*ROUNDDOWN($B$1/'Scheduled Intervals'!AV20,0),2),0)</f>
        <v>0</v>
      </c>
      <c r="AW91" s="246">
        <f>IF('Scheduled Intervals'!AW20&gt;0,ROUND(('Parts Cost Per Job'!AW20*((1+$B$37)*$B$38))*ROUNDDOWN($B$1/'Scheduled Intervals'!AW20,0),2),0)</f>
        <v>0</v>
      </c>
      <c r="AX91" s="246">
        <f>IF('Scheduled Intervals'!AX20&gt;0,ROUND(('Parts Cost Per Job'!AX20*((1+$B$37)*$B$38))*ROUNDDOWN($B$1/'Scheduled Intervals'!AX20,0),2),0)</f>
        <v>0</v>
      </c>
      <c r="AY91" s="246">
        <f>IF('Scheduled Intervals'!AY20&gt;0,ROUND(('Parts Cost Per Job'!AY20*((1+$B$37)*$B$38))*ROUNDDOWN($B$1/'Scheduled Intervals'!AY20,0),2),0)</f>
        <v>0</v>
      </c>
      <c r="AZ91" s="246">
        <f>IF('Scheduled Intervals'!AZ20&gt;0,ROUND(('Parts Cost Per Job'!AZ20*((1+$B$37)*$B$38))*ROUNDDOWN($B$1/'Scheduled Intervals'!AZ20,0),2),0)</f>
        <v>0</v>
      </c>
      <c r="BA91" s="246">
        <f>IF('Scheduled Intervals'!BA20&gt;0,ROUND(('Parts Cost Per Job'!BA20*((1+$B$37)*$B$38))*ROUNDDOWN($B$1/'Scheduled Intervals'!BA20,0),2),0)</f>
        <v>0</v>
      </c>
      <c r="BB91" s="246">
        <f>IF('Scheduled Intervals'!BB20&gt;0,ROUND(('Parts Cost Per Job'!BB20*((1+$B$37)*$B$38))*ROUNDDOWN($B$1/'Scheduled Intervals'!BB20,0),2),0)</f>
        <v>0</v>
      </c>
      <c r="BC91" s="246">
        <f>IF('Scheduled Intervals'!BC20&gt;0,ROUND(('Parts Cost Per Job'!BC20*((1+$B$37)*$B$38))*ROUNDDOWN($B$1/'Scheduled Intervals'!BC20,0),2),0)</f>
        <v>0</v>
      </c>
      <c r="BD91" s="246">
        <f>IF('Scheduled Intervals'!BD20&gt;0,ROUND(('Parts Cost Per Job'!BD20*((1+$B$37)*$B$38))*ROUNDDOWN($B$1/'Scheduled Intervals'!BD20,0),2),0)</f>
        <v>0</v>
      </c>
      <c r="BE91" s="246">
        <f>IF('Scheduled Intervals'!BE20&gt;0,ROUND(('Parts Cost Per Job'!BE20*((1+$B$37)*$B$38))*ROUNDDOWN($B$1/'Scheduled Intervals'!BE20,0),2),0)</f>
        <v>0</v>
      </c>
      <c r="BF91" s="246">
        <f>IF('Scheduled Intervals'!BF20&gt;0,ROUND(('Parts Cost Per Job'!BF20*((1+$B$37)*$B$38))*ROUNDDOWN($B$1/'Scheduled Intervals'!BF20,0),2),0)</f>
        <v>0</v>
      </c>
      <c r="BG91" s="246">
        <f>IF('Scheduled Intervals'!BG20&gt;0,ROUND(('Parts Cost Per Job'!BG20*((1+$B$37)*$B$38))*ROUNDDOWN($B$1/'Scheduled Intervals'!BG20,0),2),0)</f>
        <v>0</v>
      </c>
      <c r="BH91" s="246">
        <f>IF('Scheduled Intervals'!BH20&gt;0,ROUND(('Parts Cost Per Job'!BH20*((1+$B$37)*$B$38))*ROUNDDOWN($B$1/'Scheduled Intervals'!BH20,0),2),0)</f>
        <v>0</v>
      </c>
      <c r="BI91" s="246">
        <f>IF('Scheduled Intervals'!BI20&gt;0,ROUND(('Parts Cost Per Job'!BI20*((1+$B$37)*$B$38))*ROUNDDOWN($B$1/'Scheduled Intervals'!BI20,0),2),0)</f>
        <v>0</v>
      </c>
      <c r="BJ91" s="246">
        <f>IF('Scheduled Intervals'!BJ20&gt;0,ROUND(('Parts Cost Per Job'!BJ20*((1+$B$37)*$B$38))*ROUNDDOWN($B$1/'Scheduled Intervals'!BJ20,0),2),0)</f>
        <v>0</v>
      </c>
      <c r="BK91" s="246">
        <f>IF('Scheduled Intervals'!BK20&gt;0,ROUND(('Parts Cost Per Job'!BK20*((1+$B$37)*$B$38))*ROUNDDOWN($B$1/'Scheduled Intervals'!BK20,0),2),0)</f>
        <v>0</v>
      </c>
      <c r="BL91" s="246">
        <f>IF('Scheduled Intervals'!BL20&gt;0,ROUND(('Parts Cost Per Job'!BL20*((1+$B$37)*$B$38))*ROUNDDOWN($B$1/'Scheduled Intervals'!BL20,0),2),0)</f>
        <v>0</v>
      </c>
      <c r="BM91" s="246">
        <f>IF('Scheduled Intervals'!BM20&gt;0,ROUND(('Parts Cost Per Job'!BM20*((1+$B$37)*$B$38))*ROUNDDOWN($B$1/'Scheduled Intervals'!BM20,0),2),0)</f>
        <v>0</v>
      </c>
      <c r="BN91" s="246">
        <f>IF(AND('Scheduled Intervals'!BN$4="annual",'Plan Summary'!$C$5&lt;'Scheduled Intervals'!$U20*('Plan Summary'!$C$9/12)),ROUND('Parts Cost Per Job'!BN20*((1+$B$37)*$B$38)*ROUND('Plan Summary'!$C$9/12,0),2),0)</f>
        <v>428.94</v>
      </c>
      <c r="BO91" s="246">
        <f>IF(AND('Scheduled Intervals'!BO$4="annual",'Plan Summary'!$C$5&lt;'Scheduled Intervals'!$U20*('Plan Summary'!$C$9/12)),ROUND('Parts Cost Per Job'!BO20*((1+$B$37)*$B$38)*ROUND('Plan Summary'!$C$9/12,0),2),0)</f>
        <v>55.33</v>
      </c>
      <c r="BP91" s="246">
        <f>IF(AND('Scheduled Intervals'!BP$4="annual",'Plan Summary'!$C$5&lt;'Scheduled Intervals'!$U20*('Plan Summary'!$C$9/12)),ROUND('Parts Cost Per Job'!BP20*((1+$B$37)*$B$38)*ROUND('Plan Summary'!$C$9/12,0),2),0)</f>
        <v>0</v>
      </c>
      <c r="BQ91" s="246">
        <f t="shared" si="3"/>
        <v>735.16</v>
      </c>
      <c r="BR91" s="246"/>
    </row>
    <row r="92" spans="1:70" ht="16" x14ac:dyDescent="0.2">
      <c r="A92" s="18" t="str">
        <f>+'Scheduled Intervals'!A21</f>
        <v>Takeuchi TL 8/10/12</v>
      </c>
      <c r="B92" s="246">
        <f>ROUND((('Parts Cost Per Job'!B21)*((1+$B$37)*$B$38)),2)</f>
        <v>112.28</v>
      </c>
      <c r="C92" s="246">
        <f>ROUND((('Parts Cost Per Job'!C21)*((1+$B$37)*$B$38)),2)</f>
        <v>0</v>
      </c>
      <c r="D92" s="246">
        <f>ROUND((('Parts Cost Per Job'!D21)*((1+$B$37)*$B$38)),2)</f>
        <v>0</v>
      </c>
      <c r="E92" s="246">
        <f>ROUND((('Parts Cost Per Job'!E21)*((1+$B$37)*$B$38)),2)</f>
        <v>0</v>
      </c>
      <c r="F92" s="246">
        <f>ROUND((('Parts Cost Per Job'!F21)*((1+$B$37)*$B$38)),2)</f>
        <v>81.27</v>
      </c>
      <c r="G92" s="246">
        <f>ROUND((('Parts Cost Per Job'!G21)*((1+$B$37)*$B$38)),2)</f>
        <v>0</v>
      </c>
      <c r="H92" s="246">
        <f>ROUND((('Parts Cost Per Job'!H21)*((1+$B$37)*$B$38)),2)</f>
        <v>11.07</v>
      </c>
      <c r="I92" s="246">
        <f>ROUND((('Parts Cost Per Job'!I21)*((1+$B$37)*$B$38)),2)</f>
        <v>0</v>
      </c>
      <c r="J92" s="246">
        <f>ROUND((('Parts Cost Per Job'!J21)*((1+$B$37)*$B$38)),2)</f>
        <v>0</v>
      </c>
      <c r="K92" s="246">
        <f>ROUND((('Parts Cost Per Job'!K21)*((1+$B$37)*$B$38)),2)</f>
        <v>0</v>
      </c>
      <c r="L92" s="246">
        <f>ROUND((('Parts Cost Per Job'!L21)*((1+$B$37)*$B$38)),2)</f>
        <v>0</v>
      </c>
      <c r="M92" s="246">
        <f>ROUND((('Parts Cost Per Job'!M21)*((1+$B$37)*$B$38)),2)</f>
        <v>81.27</v>
      </c>
      <c r="N92" s="246">
        <f>ROUND((('Parts Cost Per Job'!N21)*((1+$B$37)*$B$38)),2)</f>
        <v>0</v>
      </c>
      <c r="O92" s="246">
        <f>ROUND((('Parts Cost Per Job'!O21)*((1+$B$37)*$B$38)),2)</f>
        <v>0</v>
      </c>
      <c r="P92" s="246">
        <f>ROUND((('Parts Cost Per Job'!P21)*((1+$B$37)*$B$38)),2)</f>
        <v>44.32</v>
      </c>
      <c r="Q92" s="246">
        <f>ROUND((('Parts Cost Per Job'!Q21)*((1+$B$37)*$B$38)),2)</f>
        <v>0</v>
      </c>
      <c r="R92" s="246">
        <f>ROUND((('Parts Cost Per Job'!R21)*((1+$B$37)*$B$38)),2)</f>
        <v>0</v>
      </c>
      <c r="S92" s="246">
        <f>ROUND((('Parts Cost Per Job'!S21)*((1+$B$37)*$B$38)),2)</f>
        <v>0</v>
      </c>
      <c r="T92" s="246">
        <f>ROUND((('Parts Cost Per Job'!T21)*((1+$B$37)*$B$38)),2)</f>
        <v>0</v>
      </c>
      <c r="U92" s="246">
        <f>IF('Scheduled Intervals'!U21&gt;0,ROUND(('Parts Cost Per Job'!U21*((1+$B$37)*$B$38))*ROUNDDOWN($B$1/'Scheduled Intervals'!U21,0),2),0)</f>
        <v>0</v>
      </c>
      <c r="V92" s="246">
        <f>IF('Scheduled Intervals'!V21&gt;0,ROUND(('Parts Cost Per Job'!V21*((1+$B$37)*$B$38))*ROUNDDOWN($B$1/'Scheduled Intervals'!V21,0),2),0)</f>
        <v>0</v>
      </c>
      <c r="W92" s="246">
        <f>IF('Scheduled Intervals'!W21&gt;0,ROUND(('Parts Cost Per Job'!W21*((1+$B$37)*$B$38))*ROUNDDOWN($B$1/'Scheduled Intervals'!W21,0),2),0)</f>
        <v>0</v>
      </c>
      <c r="X92" s="246">
        <f>IF('Scheduled Intervals'!X21&gt;0,ROUND(('Parts Cost Per Job'!X21*((1+$B$37)*$B$38))*ROUNDDOWN($B$1/'Scheduled Intervals'!X21,0),2),0)</f>
        <v>0</v>
      </c>
      <c r="Y92" s="246">
        <f>IF('Scheduled Intervals'!Y21&gt;0,ROUND(('Parts Cost Per Job'!Y21*((1+$B$37)*$B$38))*ROUNDDOWN($B$1/'Scheduled Intervals'!Y21,0),2),0)</f>
        <v>0</v>
      </c>
      <c r="Z92" s="246">
        <f>IF('Scheduled Intervals'!Z21&gt;0,ROUND(('Parts Cost Per Job'!Z21*((1+$B$37)*$B$38))*ROUNDDOWN($B$1/'Scheduled Intervals'!Z21,0),2),0)</f>
        <v>0</v>
      </c>
      <c r="AA92" s="246">
        <f>IF('Scheduled Intervals'!AA21&gt;0,ROUND(('Parts Cost Per Job'!AA21*((1+$B$37)*$B$38))*ROUNDDOWN($B$1/'Scheduled Intervals'!AA21,0),2),0)</f>
        <v>0</v>
      </c>
      <c r="AB92" s="246">
        <f>IF('Scheduled Intervals'!AB21&gt;0,ROUND(('Parts Cost Per Job'!AB21*((1+$B$37)*$B$38))*ROUNDDOWN($B$1/'Scheduled Intervals'!AB21,0),2),0)</f>
        <v>0</v>
      </c>
      <c r="AC92" s="246">
        <f>IF('Scheduled Intervals'!AC21&gt;0,ROUND(('Parts Cost Per Job'!AC21*((1+$B$37)*$B$38))*ROUNDDOWN($B$1/'Scheduled Intervals'!AC21,0),2),0)</f>
        <v>0</v>
      </c>
      <c r="AD92" s="246">
        <f>IF('Scheduled Intervals'!AD21&gt;0,ROUND(('Parts Cost Per Job'!AD21*((1+$B$37)*$B$38))*ROUNDDOWN($B$1/'Scheduled Intervals'!AD21,0),2),0)</f>
        <v>0</v>
      </c>
      <c r="AE92" s="246">
        <f>IF('Scheduled Intervals'!AE21&gt;0,ROUND(('Parts Cost Per Job'!AE21*((1+$B$37)*$B$38))*ROUNDDOWN($B$1/'Scheduled Intervals'!AE21,0),2),0)</f>
        <v>0</v>
      </c>
      <c r="AF92" s="246">
        <f>IF('Scheduled Intervals'!AF21&gt;0,ROUND(('Parts Cost Per Job'!AF21*((1+$B$37)*$B$38))*ROUNDDOWN($B$1/'Scheduled Intervals'!AF21,0),2),0)</f>
        <v>0</v>
      </c>
      <c r="AG92" s="246">
        <f>IF('Scheduled Intervals'!AG21&gt;0,ROUND(('Parts Cost Per Job'!AG21*((1+$B$37)*$B$38))*ROUNDDOWN($B$1/'Scheduled Intervals'!AG21,0),2),0)</f>
        <v>0</v>
      </c>
      <c r="AH92" s="246">
        <f>IF('Scheduled Intervals'!AH21&gt;0,ROUND(('Parts Cost Per Job'!AH21*((1+$B$37)*$B$38))*ROUNDDOWN($B$1/'Scheduled Intervals'!AH21,0),2),0)</f>
        <v>0</v>
      </c>
      <c r="AI92" s="246">
        <f>IF('Scheduled Intervals'!AI21&gt;0,ROUND(('Parts Cost Per Job'!AI21*((1+$B$37)*$B$38))*ROUNDDOWN($B$1/'Scheduled Intervals'!AI21,0),2),0)</f>
        <v>0</v>
      </c>
      <c r="AJ92" s="246">
        <f>IF('Scheduled Intervals'!AJ21&gt;0,ROUND(('Parts Cost Per Job'!AJ21*((1+$B$37)*$B$38))*ROUNDDOWN($B$1/'Scheduled Intervals'!AJ21,0),2),0)</f>
        <v>0</v>
      </c>
      <c r="AK92" s="246">
        <f>IF('Scheduled Intervals'!AK21&gt;0,ROUND(('Parts Cost Per Job'!AK21*((1+$B$37)*$B$38))*ROUNDDOWN($B$1/'Scheduled Intervals'!AK21,0),2),0)</f>
        <v>0</v>
      </c>
      <c r="AL92" s="246">
        <f>IF('Scheduled Intervals'!AL21&gt;0,ROUND(('Parts Cost Per Job'!AL21*((1+$B$37)*$B$38))*ROUNDDOWN($B$1/'Scheduled Intervals'!AL21,0),2),0)</f>
        <v>36.17</v>
      </c>
      <c r="AM92" s="246">
        <f>IF('Scheduled Intervals'!AM21&gt;0,ROUND(('Parts Cost Per Job'!AM21*((1+$B$37)*$B$38))*ROUNDDOWN($B$1/'Scheduled Intervals'!AM21,0),2),0)</f>
        <v>0</v>
      </c>
      <c r="AN92" s="246">
        <f>IF('Scheduled Intervals'!AN21&gt;0,ROUND(('Parts Cost Per Job'!AN21*((1+$B$37)*$B$38))*ROUNDDOWN($B$1/'Scheduled Intervals'!AN21,0),2),0)</f>
        <v>0</v>
      </c>
      <c r="AO92" s="246">
        <f>IF('Scheduled Intervals'!AO21&gt;0,ROUND(('Parts Cost Per Job'!AO21*((1+$B$37)*$B$38))*ROUNDDOWN($B$1/'Scheduled Intervals'!AO21,0),2),0)</f>
        <v>0</v>
      </c>
      <c r="AP92" s="246">
        <f>IF('Scheduled Intervals'!AP21&gt;0,ROUND(('Parts Cost Per Job'!AP21*((1+$B$37)*$B$38))*ROUNDDOWN($B$1/'Scheduled Intervals'!AP21,0),2),0)</f>
        <v>0</v>
      </c>
      <c r="AQ92" s="246">
        <f>IF('Scheduled Intervals'!AQ21&gt;0,ROUND(('Parts Cost Per Job'!AQ21*((1+$B$37)*$B$38))*ROUNDDOWN($B$1/'Scheduled Intervals'!AQ21,0),2),0)</f>
        <v>0</v>
      </c>
      <c r="AR92" s="246">
        <f>IF('Scheduled Intervals'!AR21&gt;0,ROUND(('Parts Cost Per Job'!AR21*((1+$B$37)*$B$38))*ROUNDDOWN($B$1/'Scheduled Intervals'!AR21,0),2),0)</f>
        <v>0</v>
      </c>
      <c r="AS92" s="246">
        <f>IF('Scheduled Intervals'!AS21&gt;0,ROUND(('Parts Cost Per Job'!AS21*((1+$B$37)*$B$38))*ROUNDDOWN($B$1/'Scheduled Intervals'!AS21,0),2),0)</f>
        <v>0</v>
      </c>
      <c r="AT92" s="246">
        <f>IF('Scheduled Intervals'!AT21&gt;0,ROUND(('Parts Cost Per Job'!AT21*((1+$B$37)*$B$38))*ROUNDDOWN($B$1/'Scheduled Intervals'!AT21,0),2),0)</f>
        <v>0</v>
      </c>
      <c r="AU92" s="246">
        <f>IF('Scheduled Intervals'!AU21&gt;0,ROUND(('Parts Cost Per Job'!AU21*((1+$B$37)*$B$38))*ROUNDDOWN($B$1/'Scheduled Intervals'!AU21,0),2),0)</f>
        <v>0</v>
      </c>
      <c r="AV92" s="246">
        <f>IF('Scheduled Intervals'!AV21&gt;0,ROUND(('Parts Cost Per Job'!AV21*((1+$B$37)*$B$38))*ROUNDDOWN($B$1/'Scheduled Intervals'!AV21,0),2),0)</f>
        <v>0</v>
      </c>
      <c r="AW92" s="246">
        <f>IF('Scheduled Intervals'!AW21&gt;0,ROUND(('Parts Cost Per Job'!AW21*((1+$B$37)*$B$38))*ROUNDDOWN($B$1/'Scheduled Intervals'!AW21,0),2),0)</f>
        <v>0</v>
      </c>
      <c r="AX92" s="246">
        <f>IF('Scheduled Intervals'!AX21&gt;0,ROUND(('Parts Cost Per Job'!AX21*((1+$B$37)*$B$38))*ROUNDDOWN($B$1/'Scheduled Intervals'!AX21,0),2),0)</f>
        <v>0</v>
      </c>
      <c r="AY92" s="246">
        <f>IF('Scheduled Intervals'!AY21&gt;0,ROUND(('Parts Cost Per Job'!AY21*((1+$B$37)*$B$38))*ROUNDDOWN($B$1/'Scheduled Intervals'!AY21,0),2),0)</f>
        <v>0</v>
      </c>
      <c r="AZ92" s="246">
        <f>IF('Scheduled Intervals'!AZ21&gt;0,ROUND(('Parts Cost Per Job'!AZ21*((1+$B$37)*$B$38))*ROUNDDOWN($B$1/'Scheduled Intervals'!AZ21,0),2),0)</f>
        <v>0</v>
      </c>
      <c r="BA92" s="246">
        <f>IF('Scheduled Intervals'!BA21&gt;0,ROUND(('Parts Cost Per Job'!BA21*((1+$B$37)*$B$38))*ROUNDDOWN($B$1/'Scheduled Intervals'!BA21,0),2),0)</f>
        <v>0</v>
      </c>
      <c r="BB92" s="246">
        <f>IF('Scheduled Intervals'!BB21&gt;0,ROUND(('Parts Cost Per Job'!BB21*((1+$B$37)*$B$38))*ROUNDDOWN($B$1/'Scheduled Intervals'!BB21,0),2),0)</f>
        <v>93.42</v>
      </c>
      <c r="BC92" s="246">
        <f>IF('Scheduled Intervals'!BC21&gt;0,ROUND(('Parts Cost Per Job'!BC21*((1+$B$37)*$B$38))*ROUNDDOWN($B$1/'Scheduled Intervals'!BC21,0),2),0)</f>
        <v>0</v>
      </c>
      <c r="BD92" s="246">
        <f>IF('Scheduled Intervals'!BD21&gt;0,ROUND(('Parts Cost Per Job'!BD21*((1+$B$37)*$B$38))*ROUNDDOWN($B$1/'Scheduled Intervals'!BD21,0),2),0)</f>
        <v>0</v>
      </c>
      <c r="BE92" s="246">
        <f>IF('Scheduled Intervals'!BE21&gt;0,ROUND(('Parts Cost Per Job'!BE21*((1+$B$37)*$B$38))*ROUNDDOWN($B$1/'Scheduled Intervals'!BE21,0),2),0)</f>
        <v>0</v>
      </c>
      <c r="BF92" s="246">
        <f>IF('Scheduled Intervals'!BF21&gt;0,ROUND(('Parts Cost Per Job'!BF21*((1+$B$37)*$B$38))*ROUNDDOWN($B$1/'Scheduled Intervals'!BF21,0),2),0)</f>
        <v>0</v>
      </c>
      <c r="BG92" s="246">
        <f>IF('Scheduled Intervals'!BG21&gt;0,ROUND(('Parts Cost Per Job'!BG21*((1+$B$37)*$B$38))*ROUNDDOWN($B$1/'Scheduled Intervals'!BG21,0),2),0)</f>
        <v>0</v>
      </c>
      <c r="BH92" s="246">
        <f>IF('Scheduled Intervals'!BH21&gt;0,ROUND(('Parts Cost Per Job'!BH21*((1+$B$37)*$B$38))*ROUNDDOWN($B$1/'Scheduled Intervals'!BH21,0),2),0)</f>
        <v>0</v>
      </c>
      <c r="BI92" s="246">
        <f>IF('Scheduled Intervals'!BI21&gt;0,ROUND(('Parts Cost Per Job'!BI21*((1+$B$37)*$B$38))*ROUNDDOWN($B$1/'Scheduled Intervals'!BI21,0),2),0)</f>
        <v>0</v>
      </c>
      <c r="BJ92" s="246">
        <f>IF('Scheduled Intervals'!BJ21&gt;0,ROUND(('Parts Cost Per Job'!BJ21*((1+$B$37)*$B$38))*ROUNDDOWN($B$1/'Scheduled Intervals'!BJ21,0),2),0)</f>
        <v>0</v>
      </c>
      <c r="BK92" s="246">
        <f>IF('Scheduled Intervals'!BK21&gt;0,ROUND(('Parts Cost Per Job'!BK21*((1+$B$37)*$B$38))*ROUNDDOWN($B$1/'Scheduled Intervals'!BK21,0),2),0)</f>
        <v>0</v>
      </c>
      <c r="BL92" s="246">
        <f>IF('Scheduled Intervals'!BL21&gt;0,ROUND(('Parts Cost Per Job'!BL21*((1+$B$37)*$B$38))*ROUNDDOWN($B$1/'Scheduled Intervals'!BL21,0),2),0)</f>
        <v>0</v>
      </c>
      <c r="BM92" s="246">
        <f>IF('Scheduled Intervals'!BM21&gt;0,ROUND(('Parts Cost Per Job'!BM21*((1+$B$37)*$B$38))*ROUNDDOWN($B$1/'Scheduled Intervals'!BM21,0),2),0)</f>
        <v>0</v>
      </c>
      <c r="BN92" s="246">
        <f>IF(AND('Scheduled Intervals'!BN$4="annual",'Plan Summary'!$C$5&lt;'Scheduled Intervals'!$U21*('Plan Summary'!$C$9/12)),ROUND('Parts Cost Per Job'!BN21*((1+$B$37)*$B$38)*ROUND('Plan Summary'!$C$9/12,0),2),0)</f>
        <v>561.39</v>
      </c>
      <c r="BO92" s="246">
        <f>IF(AND('Scheduled Intervals'!BO$4="annual",'Plan Summary'!$C$5&lt;'Scheduled Intervals'!$U21*('Plan Summary'!$C$9/12)),ROUND('Parts Cost Per Job'!BO21*((1+$B$37)*$B$38)*ROUND('Plan Summary'!$C$9/12,0),2),0)</f>
        <v>55.33</v>
      </c>
      <c r="BP92" s="246">
        <f>IF(AND('Scheduled Intervals'!BP$4="annual",'Plan Summary'!$C$5&lt;'Scheduled Intervals'!$U21*('Plan Summary'!$C$9/12)),ROUND('Parts Cost Per Job'!BP21*((1+$B$37)*$B$38)*ROUND('Plan Summary'!$C$9/12,0),2),0)</f>
        <v>0</v>
      </c>
      <c r="BQ92" s="246">
        <f t="shared" si="3"/>
        <v>1076.52</v>
      </c>
      <c r="BR92" s="246"/>
    </row>
    <row r="93" spans="1:70" ht="16" x14ac:dyDescent="0.2">
      <c r="A93" s="18" t="str">
        <f>+'Scheduled Intervals'!A22</f>
        <v>Takeuchi 228-235-250</v>
      </c>
      <c r="B93" s="246">
        <f>ROUND((('Parts Cost Per Job'!B22)*((1+$B$37)*$B$38)),2)</f>
        <v>112.27</v>
      </c>
      <c r="C93" s="246">
        <f>ROUND((('Parts Cost Per Job'!C22)*((1+$B$37)*$B$38)),2)</f>
        <v>0</v>
      </c>
      <c r="D93" s="246">
        <f>ROUND((('Parts Cost Per Job'!D22)*((1+$B$37)*$B$38)),2)</f>
        <v>0</v>
      </c>
      <c r="E93" s="246">
        <f>ROUND((('Parts Cost Per Job'!E22)*((1+$B$37)*$B$38)),2)</f>
        <v>0</v>
      </c>
      <c r="F93" s="246">
        <f>ROUND((('Parts Cost Per Job'!F22)*((1+$B$37)*$B$38)),2)</f>
        <v>0</v>
      </c>
      <c r="G93" s="246">
        <f>ROUND((('Parts Cost Per Job'!G22)*((1+$B$37)*$B$38)),2)</f>
        <v>0</v>
      </c>
      <c r="H93" s="246">
        <f>ROUND((('Parts Cost Per Job'!H22)*((1+$B$37)*$B$38)),2)</f>
        <v>11.07</v>
      </c>
      <c r="I93" s="246">
        <f>ROUND((('Parts Cost Per Job'!I22)*((1+$B$37)*$B$38)),2)</f>
        <v>0</v>
      </c>
      <c r="J93" s="246">
        <f>ROUND((('Parts Cost Per Job'!J22)*((1+$B$37)*$B$38)),2)</f>
        <v>0</v>
      </c>
      <c r="K93" s="246">
        <f>ROUND((('Parts Cost Per Job'!K22)*((1+$B$37)*$B$38)),2)</f>
        <v>0</v>
      </c>
      <c r="L93" s="246">
        <f>ROUND((('Parts Cost Per Job'!L22)*((1+$B$37)*$B$38)),2)</f>
        <v>0</v>
      </c>
      <c r="M93" s="246">
        <f>ROUND((('Parts Cost Per Job'!M22)*((1+$B$37)*$B$38)),2)</f>
        <v>0</v>
      </c>
      <c r="N93" s="246">
        <f>ROUND((('Parts Cost Per Job'!N22)*((1+$B$37)*$B$38)),2)</f>
        <v>0</v>
      </c>
      <c r="O93" s="246">
        <f>ROUND((('Parts Cost Per Job'!O22)*((1+$B$37)*$B$38)),2)</f>
        <v>0</v>
      </c>
      <c r="P93" s="246">
        <f>ROUND((('Parts Cost Per Job'!P22)*((1+$B$37)*$B$38)),2)</f>
        <v>0</v>
      </c>
      <c r="Q93" s="246">
        <f>ROUND((('Parts Cost Per Job'!Q22)*((1+$B$37)*$B$38)),2)</f>
        <v>121.53</v>
      </c>
      <c r="R93" s="246">
        <f>ROUND((('Parts Cost Per Job'!R22)*((1+$B$37)*$B$38)),2)</f>
        <v>18.079999999999998</v>
      </c>
      <c r="S93" s="246">
        <f>ROUND((('Parts Cost Per Job'!S22)*((1+$B$37)*$B$38)),2)</f>
        <v>0</v>
      </c>
      <c r="T93" s="246">
        <f>ROUND((('Parts Cost Per Job'!T22)*((1+$B$37)*$B$38)),2)</f>
        <v>0</v>
      </c>
      <c r="U93" s="246">
        <f>IF('Scheduled Intervals'!U22&gt;0,ROUND(('Parts Cost Per Job'!U22*((1+$B$37)*$B$38))*ROUNDDOWN($B$1/'Scheduled Intervals'!U22,0),2),0)</f>
        <v>59.56</v>
      </c>
      <c r="V93" s="246">
        <f>IF('Scheduled Intervals'!V22&gt;0,ROUND(('Parts Cost Per Job'!V22*((1+$B$37)*$B$38))*ROUNDDOWN($B$1/'Scheduled Intervals'!V22,0),2),0)</f>
        <v>0</v>
      </c>
      <c r="W93" s="246">
        <f>IF('Scheduled Intervals'!W22&gt;0,ROUND(('Parts Cost Per Job'!W22*((1+$B$37)*$B$38))*ROUNDDOWN($B$1/'Scheduled Intervals'!W22,0),2),0)</f>
        <v>0</v>
      </c>
      <c r="X93" s="246">
        <f>IF('Scheduled Intervals'!X22&gt;0,ROUND(('Parts Cost Per Job'!X22*((1+$B$37)*$B$38))*ROUNDDOWN($B$1/'Scheduled Intervals'!X22,0),2),0)</f>
        <v>0</v>
      </c>
      <c r="Y93" s="246">
        <f>IF('Scheduled Intervals'!Y22&gt;0,ROUND(('Parts Cost Per Job'!Y22*((1+$B$37)*$B$38))*ROUNDDOWN($B$1/'Scheduled Intervals'!Y22,0),2),0)</f>
        <v>0</v>
      </c>
      <c r="Z93" s="246">
        <f>IF('Scheduled Intervals'!Z22&gt;0,ROUND(('Parts Cost Per Job'!Z22*((1+$B$37)*$B$38))*ROUNDDOWN($B$1/'Scheduled Intervals'!Z22,0),2),0)</f>
        <v>0</v>
      </c>
      <c r="AA93" s="246">
        <f>IF('Scheduled Intervals'!AA22&gt;0,ROUND(('Parts Cost Per Job'!AA22*((1+$B$37)*$B$38))*ROUNDDOWN($B$1/'Scheduled Intervals'!AA22,0),2),0)</f>
        <v>0</v>
      </c>
      <c r="AB93" s="246">
        <f>IF('Scheduled Intervals'!AB22&gt;0,ROUND(('Parts Cost Per Job'!AB22*((1+$B$37)*$B$38))*ROUNDDOWN($B$1/'Scheduled Intervals'!AB22,0),2),0)</f>
        <v>0</v>
      </c>
      <c r="AC93" s="246">
        <f>IF('Scheduled Intervals'!AC22&gt;0,ROUND(('Parts Cost Per Job'!AC22*((1+$B$37)*$B$38))*ROUNDDOWN($B$1/'Scheduled Intervals'!AC22,0),2),0)</f>
        <v>0</v>
      </c>
      <c r="AD93" s="246">
        <f>IF('Scheduled Intervals'!AD22&gt;0,ROUND(('Parts Cost Per Job'!AD22*((1+$B$37)*$B$38))*ROUNDDOWN($B$1/'Scheduled Intervals'!AD22,0),2),0)</f>
        <v>0</v>
      </c>
      <c r="AE93" s="246">
        <f>IF('Scheduled Intervals'!AE22&gt;0,ROUND(('Parts Cost Per Job'!AE22*((1+$B$37)*$B$38))*ROUNDDOWN($B$1/'Scheduled Intervals'!AE22,0),2),0)</f>
        <v>0</v>
      </c>
      <c r="AF93" s="246">
        <f>IF('Scheduled Intervals'!AF22&gt;0,ROUND(('Parts Cost Per Job'!AF22*((1+$B$37)*$B$38))*ROUNDDOWN($B$1/'Scheduled Intervals'!AF22,0),2),0)</f>
        <v>0</v>
      </c>
      <c r="AG93" s="246">
        <f>IF('Scheduled Intervals'!AG22&gt;0,ROUND(('Parts Cost Per Job'!AG22*((1+$B$37)*$B$38))*ROUNDDOWN($B$1/'Scheduled Intervals'!AG22,0),2),0)</f>
        <v>0</v>
      </c>
      <c r="AH93" s="246">
        <f>IF('Scheduled Intervals'!AH22&gt;0,ROUND(('Parts Cost Per Job'!AH22*((1+$B$37)*$B$38))*ROUNDDOWN($B$1/'Scheduled Intervals'!AH22,0),2),0)</f>
        <v>0</v>
      </c>
      <c r="AI93" s="246">
        <f>IF('Scheduled Intervals'!AI22&gt;0,ROUND(('Parts Cost Per Job'!AI22*((1+$B$37)*$B$38))*ROUNDDOWN($B$1/'Scheduled Intervals'!AI22,0),2),0)</f>
        <v>0</v>
      </c>
      <c r="AJ93" s="246">
        <f>IF('Scheduled Intervals'!AJ22&gt;0,ROUND(('Parts Cost Per Job'!AJ22*((1+$B$37)*$B$38))*ROUNDDOWN($B$1/'Scheduled Intervals'!AJ22,0),2),0)</f>
        <v>0</v>
      </c>
      <c r="AK93" s="246">
        <f>IF('Scheduled Intervals'!AK22&gt;0,ROUND(('Parts Cost Per Job'!AK22*((1+$B$37)*$B$38))*ROUNDDOWN($B$1/'Scheduled Intervals'!AK22,0),2),0)</f>
        <v>0</v>
      </c>
      <c r="AL93" s="246">
        <f>IF('Scheduled Intervals'!AL22&gt;0,ROUND(('Parts Cost Per Job'!AL22*((1+$B$37)*$B$38))*ROUNDDOWN($B$1/'Scheduled Intervals'!AL22,0),2),0)</f>
        <v>0</v>
      </c>
      <c r="AM93" s="246">
        <f>IF('Scheduled Intervals'!AM22&gt;0,ROUND(('Parts Cost Per Job'!AM22*((1+$B$37)*$B$38))*ROUNDDOWN($B$1/'Scheduled Intervals'!AM22,0),2),0)</f>
        <v>0</v>
      </c>
      <c r="AN93" s="246">
        <f>IF('Scheduled Intervals'!AN22&gt;0,ROUND(('Parts Cost Per Job'!AN22*((1+$B$37)*$B$38))*ROUNDDOWN($B$1/'Scheduled Intervals'!AN22,0),2),0)</f>
        <v>0</v>
      </c>
      <c r="AO93" s="246">
        <f>IF('Scheduled Intervals'!AO22&gt;0,ROUND(('Parts Cost Per Job'!AO22*((1+$B$37)*$B$38))*ROUNDDOWN($B$1/'Scheduled Intervals'!AO22,0),2),0)</f>
        <v>0</v>
      </c>
      <c r="AP93" s="246">
        <f>IF('Scheduled Intervals'!AP22&gt;0,ROUND(('Parts Cost Per Job'!AP22*((1+$B$37)*$B$38))*ROUNDDOWN($B$1/'Scheduled Intervals'!AP22,0),2),0)</f>
        <v>0</v>
      </c>
      <c r="AQ93" s="246">
        <f>IF('Scheduled Intervals'!AQ22&gt;0,ROUND(('Parts Cost Per Job'!AQ22*((1+$B$37)*$B$38))*ROUNDDOWN($B$1/'Scheduled Intervals'!AQ22,0),2),0)</f>
        <v>0</v>
      </c>
      <c r="AR93" s="246">
        <f>IF('Scheduled Intervals'!AR22&gt;0,ROUND(('Parts Cost Per Job'!AR22*((1+$B$37)*$B$38))*ROUNDDOWN($B$1/'Scheduled Intervals'!AR22,0),2),0)</f>
        <v>0</v>
      </c>
      <c r="AS93" s="246">
        <f>IF('Scheduled Intervals'!AS22&gt;0,ROUND(('Parts Cost Per Job'!AS22*((1+$B$37)*$B$38))*ROUNDDOWN($B$1/'Scheduled Intervals'!AS22,0),2),0)</f>
        <v>0</v>
      </c>
      <c r="AT93" s="246">
        <f>IF('Scheduled Intervals'!AT22&gt;0,ROUND(('Parts Cost Per Job'!AT22*((1+$B$37)*$B$38))*ROUNDDOWN($B$1/'Scheduled Intervals'!AT22,0),2),0)</f>
        <v>11.07</v>
      </c>
      <c r="AU93" s="246">
        <f>IF('Scheduled Intervals'!AU22&gt;0,ROUND(('Parts Cost Per Job'!AU22*((1+$B$37)*$B$38))*ROUNDDOWN($B$1/'Scheduled Intervals'!AU22,0),2),0)</f>
        <v>0</v>
      </c>
      <c r="AV93" s="246">
        <f>IF('Scheduled Intervals'!AV22&gt;0,ROUND(('Parts Cost Per Job'!AV22*((1+$B$37)*$B$38))*ROUNDDOWN($B$1/'Scheduled Intervals'!AV22,0),2),0)</f>
        <v>0</v>
      </c>
      <c r="AW93" s="246">
        <f>IF('Scheduled Intervals'!AW22&gt;0,ROUND(('Parts Cost Per Job'!AW22*((1+$B$37)*$B$38))*ROUNDDOWN($B$1/'Scheduled Intervals'!AW22,0),2),0)</f>
        <v>0</v>
      </c>
      <c r="AX93" s="246">
        <f>IF('Scheduled Intervals'!AX22&gt;0,ROUND(('Parts Cost Per Job'!AX22*((1+$B$37)*$B$38))*ROUNDDOWN($B$1/'Scheduled Intervals'!AX22,0),2),0)</f>
        <v>0</v>
      </c>
      <c r="AY93" s="246">
        <f>IF('Scheduled Intervals'!AY22&gt;0,ROUND(('Parts Cost Per Job'!AY22*((1+$B$37)*$B$38))*ROUNDDOWN($B$1/'Scheduled Intervals'!AY22,0),2),0)</f>
        <v>0</v>
      </c>
      <c r="AZ93" s="246">
        <f>IF('Scheduled Intervals'!AZ22&gt;0,ROUND(('Parts Cost Per Job'!AZ22*((1+$B$37)*$B$38))*ROUNDDOWN($B$1/'Scheduled Intervals'!AZ22,0),2),0)</f>
        <v>0</v>
      </c>
      <c r="BA93" s="246">
        <f>IF('Scheduled Intervals'!BA22&gt;0,ROUND(('Parts Cost Per Job'!BA22*((1+$B$37)*$B$38))*ROUNDDOWN($B$1/'Scheduled Intervals'!BA22,0),2),0)</f>
        <v>0</v>
      </c>
      <c r="BB93" s="246">
        <f>IF('Scheduled Intervals'!BB22&gt;0,ROUND(('Parts Cost Per Job'!BB22*((1+$B$37)*$B$38))*ROUNDDOWN($B$1/'Scheduled Intervals'!BB22,0),2),0)</f>
        <v>0</v>
      </c>
      <c r="BC93" s="246">
        <f>IF('Scheduled Intervals'!BC22&gt;0,ROUND(('Parts Cost Per Job'!BC22*((1+$B$37)*$B$38))*ROUNDDOWN($B$1/'Scheduled Intervals'!BC22,0),2),0)</f>
        <v>0</v>
      </c>
      <c r="BD93" s="246">
        <f>IF('Scheduled Intervals'!BD22&gt;0,ROUND(('Parts Cost Per Job'!BD22*((1+$B$37)*$B$38))*ROUNDDOWN($B$1/'Scheduled Intervals'!BD22,0),2),0)</f>
        <v>0</v>
      </c>
      <c r="BE93" s="246">
        <f>IF('Scheduled Intervals'!BE22&gt;0,ROUND(('Parts Cost Per Job'!BE22*((1+$B$37)*$B$38))*ROUNDDOWN($B$1/'Scheduled Intervals'!BE22,0),2),0)</f>
        <v>0</v>
      </c>
      <c r="BF93" s="246">
        <f>IF('Scheduled Intervals'!BF22&gt;0,ROUND(('Parts Cost Per Job'!BF22*((1+$B$37)*$B$38))*ROUNDDOWN($B$1/'Scheduled Intervals'!BF22,0),2),0)</f>
        <v>0</v>
      </c>
      <c r="BG93" s="246">
        <f>IF('Scheduled Intervals'!BG22&gt;0,ROUND(('Parts Cost Per Job'!BG22*((1+$B$37)*$B$38))*ROUNDDOWN($B$1/'Scheduled Intervals'!BG22,0),2),0)</f>
        <v>0</v>
      </c>
      <c r="BH93" s="246">
        <f>IF('Scheduled Intervals'!BH22&gt;0,ROUND(('Parts Cost Per Job'!BH22*((1+$B$37)*$B$38))*ROUNDDOWN($B$1/'Scheduled Intervals'!BH22,0),2),0)</f>
        <v>0</v>
      </c>
      <c r="BI93" s="246">
        <f>IF('Scheduled Intervals'!BI22&gt;0,ROUND(('Parts Cost Per Job'!BI22*((1+$B$37)*$B$38))*ROUNDDOWN($B$1/'Scheduled Intervals'!BI22,0),2),0)</f>
        <v>0</v>
      </c>
      <c r="BJ93" s="246">
        <f>IF('Scheduled Intervals'!BJ22&gt;0,ROUND(('Parts Cost Per Job'!BJ22*((1+$B$37)*$B$38))*ROUNDDOWN($B$1/'Scheduled Intervals'!BJ22,0),2),0)</f>
        <v>0</v>
      </c>
      <c r="BK93" s="246">
        <f>IF('Scheduled Intervals'!BK22&gt;0,ROUND(('Parts Cost Per Job'!BK22*((1+$B$37)*$B$38))*ROUNDDOWN($B$1/'Scheduled Intervals'!BK22,0),2),0)</f>
        <v>0</v>
      </c>
      <c r="BL93" s="246">
        <f>IF('Scheduled Intervals'!BL22&gt;0,ROUND(('Parts Cost Per Job'!BL22*((1+$B$37)*$B$38))*ROUNDDOWN($B$1/'Scheduled Intervals'!BL22,0),2),0)</f>
        <v>0</v>
      </c>
      <c r="BM93" s="246">
        <f>IF('Scheduled Intervals'!BM22&gt;0,ROUND(('Parts Cost Per Job'!BM22*((1+$B$37)*$B$38))*ROUNDDOWN($B$1/'Scheduled Intervals'!BM22,0),2),0)</f>
        <v>0</v>
      </c>
      <c r="BN93" s="246">
        <f>IF(AND('Scheduled Intervals'!BN$4="annual",'Plan Summary'!$C$5&lt;'Scheduled Intervals'!$U22*('Plan Summary'!$C$9/12)),ROUND('Parts Cost Per Job'!BN22*((1+$B$37)*$B$38)*ROUND('Plan Summary'!$C$9/12,0),2),0)</f>
        <v>297.82</v>
      </c>
      <c r="BO93" s="246">
        <f>IF(AND('Scheduled Intervals'!BO$4="annual",'Plan Summary'!$C$5&lt;'Scheduled Intervals'!$U22*('Plan Summary'!$C$9/12)),ROUND('Parts Cost Per Job'!BO22*((1+$B$37)*$B$38)*ROUND('Plan Summary'!$C$9/12,0),2),0)</f>
        <v>55.33</v>
      </c>
      <c r="BP93" s="246">
        <f>IF(AND('Scheduled Intervals'!BP$4="annual",'Plan Summary'!$C$5&lt;'Scheduled Intervals'!$U22*('Plan Summary'!$C$9/12)),ROUND('Parts Cost Per Job'!BP22*((1+$B$37)*$B$38)*ROUND('Plan Summary'!$C$9/12,0),2),0)</f>
        <v>0</v>
      </c>
      <c r="BQ93" s="246">
        <f t="shared" si="3"/>
        <v>686.73</v>
      </c>
      <c r="BR93" s="246"/>
    </row>
    <row r="94" spans="1:70" ht="16" x14ac:dyDescent="0.2">
      <c r="A94" s="18" t="str">
        <f>+'Scheduled Intervals'!A23</f>
        <v>Takeuchi 260</v>
      </c>
      <c r="B94" s="246">
        <f>ROUND((('Parts Cost Per Job'!B23)*((1+$B$37)*$B$38)),2)</f>
        <v>112.27</v>
      </c>
      <c r="C94" s="246">
        <f>ROUND((('Parts Cost Per Job'!C23)*((1+$B$37)*$B$38)),2)</f>
        <v>0</v>
      </c>
      <c r="D94" s="246">
        <f>ROUND((('Parts Cost Per Job'!D23)*((1+$B$37)*$B$38)),2)</f>
        <v>0</v>
      </c>
      <c r="E94" s="246">
        <f>ROUND((('Parts Cost Per Job'!E23)*((1+$B$37)*$B$38)),2)</f>
        <v>0</v>
      </c>
      <c r="F94" s="246">
        <f>ROUND((('Parts Cost Per Job'!F23)*((1+$B$37)*$B$38)),2)</f>
        <v>0</v>
      </c>
      <c r="G94" s="246">
        <f>ROUND((('Parts Cost Per Job'!G23)*((1+$B$37)*$B$38)),2)</f>
        <v>0</v>
      </c>
      <c r="H94" s="246">
        <f>ROUND((('Parts Cost Per Job'!H23)*((1+$B$37)*$B$38)),2)</f>
        <v>11.07</v>
      </c>
      <c r="I94" s="246">
        <f>ROUND((('Parts Cost Per Job'!I23)*((1+$B$37)*$B$38)),2)</f>
        <v>0</v>
      </c>
      <c r="J94" s="246">
        <f>ROUND((('Parts Cost Per Job'!J23)*((1+$B$37)*$B$38)),2)</f>
        <v>0</v>
      </c>
      <c r="K94" s="246">
        <f>ROUND((('Parts Cost Per Job'!K23)*((1+$B$37)*$B$38)),2)</f>
        <v>0</v>
      </c>
      <c r="L94" s="246">
        <f>ROUND((('Parts Cost Per Job'!L23)*((1+$B$37)*$B$38)),2)</f>
        <v>0</v>
      </c>
      <c r="M94" s="246">
        <f>ROUND((('Parts Cost Per Job'!M23)*((1+$B$37)*$B$38)),2)</f>
        <v>0</v>
      </c>
      <c r="N94" s="246">
        <f>ROUND((('Parts Cost Per Job'!N23)*((1+$B$37)*$B$38)),2)</f>
        <v>0</v>
      </c>
      <c r="O94" s="246">
        <f>ROUND((('Parts Cost Per Job'!O23)*((1+$B$37)*$B$38)),2)</f>
        <v>0</v>
      </c>
      <c r="P94" s="246">
        <f>ROUND((('Parts Cost Per Job'!P23)*((1+$B$37)*$B$38)),2)</f>
        <v>0</v>
      </c>
      <c r="Q94" s="246">
        <f>ROUND((('Parts Cost Per Job'!Q23)*((1+$B$37)*$B$38)),2)</f>
        <v>125.59</v>
      </c>
      <c r="R94" s="246">
        <f>ROUND((('Parts Cost Per Job'!R23)*((1+$B$37)*$B$38)),2)</f>
        <v>18.079999999999998</v>
      </c>
      <c r="S94" s="246">
        <f>ROUND((('Parts Cost Per Job'!S23)*((1+$B$37)*$B$38)),2)</f>
        <v>0</v>
      </c>
      <c r="T94" s="246">
        <f>ROUND((('Parts Cost Per Job'!T23)*((1+$B$37)*$B$38)),2)</f>
        <v>0</v>
      </c>
      <c r="U94" s="246">
        <f>IF('Scheduled Intervals'!U23&gt;0,ROUND(('Parts Cost Per Job'!U23*((1+$B$37)*$B$38))*ROUNDDOWN($B$1/'Scheduled Intervals'!U23,0),2),0)</f>
        <v>0</v>
      </c>
      <c r="V94" s="246">
        <f>IF('Scheduled Intervals'!V23&gt;0,ROUND(('Parts Cost Per Job'!V23*((1+$B$37)*$B$38))*ROUNDDOWN($B$1/'Scheduled Intervals'!V23,0),2),0)</f>
        <v>0</v>
      </c>
      <c r="W94" s="246">
        <f>IF('Scheduled Intervals'!W23&gt;0,ROUND(('Parts Cost Per Job'!W23*((1+$B$37)*$B$38))*ROUNDDOWN($B$1/'Scheduled Intervals'!W23,0),2),0)</f>
        <v>0</v>
      </c>
      <c r="X94" s="246">
        <f>IF('Scheduled Intervals'!X23&gt;0,ROUND(('Parts Cost Per Job'!X23*((1+$B$37)*$B$38))*ROUNDDOWN($B$1/'Scheduled Intervals'!X23,0),2),0)</f>
        <v>54.63</v>
      </c>
      <c r="Y94" s="246">
        <f>IF('Scheduled Intervals'!Y23&gt;0,ROUND(('Parts Cost Per Job'!Y23*((1+$B$37)*$B$38))*ROUNDDOWN($B$1/'Scheduled Intervals'!Y23,0),2),0)</f>
        <v>0</v>
      </c>
      <c r="Z94" s="246">
        <f>IF('Scheduled Intervals'!Z23&gt;0,ROUND(('Parts Cost Per Job'!Z23*((1+$B$37)*$B$38))*ROUNDDOWN($B$1/'Scheduled Intervals'!Z23,0),2),0)</f>
        <v>55.21</v>
      </c>
      <c r="AA94" s="246">
        <f>IF('Scheduled Intervals'!AA23&gt;0,ROUND(('Parts Cost Per Job'!AA23*((1+$B$37)*$B$38))*ROUNDDOWN($B$1/'Scheduled Intervals'!AA23,0),2),0)</f>
        <v>0</v>
      </c>
      <c r="AB94" s="246">
        <f>IF('Scheduled Intervals'!AB23&gt;0,ROUND(('Parts Cost Per Job'!AB23*((1+$B$37)*$B$38))*ROUNDDOWN($B$1/'Scheduled Intervals'!AB23,0),2),0)</f>
        <v>0</v>
      </c>
      <c r="AC94" s="246">
        <f>IF('Scheduled Intervals'!AC23&gt;0,ROUND(('Parts Cost Per Job'!AC23*((1+$B$37)*$B$38))*ROUNDDOWN($B$1/'Scheduled Intervals'!AC23,0),2),0)</f>
        <v>0</v>
      </c>
      <c r="AD94" s="246">
        <f>IF('Scheduled Intervals'!AD23&gt;0,ROUND(('Parts Cost Per Job'!AD23*((1+$B$37)*$B$38))*ROUNDDOWN($B$1/'Scheduled Intervals'!AD23,0),2),0)</f>
        <v>0</v>
      </c>
      <c r="AE94" s="246">
        <f>IF('Scheduled Intervals'!AE23&gt;0,ROUND(('Parts Cost Per Job'!AE23*((1+$B$37)*$B$38))*ROUNDDOWN($B$1/'Scheduled Intervals'!AE23,0),2),0)</f>
        <v>0</v>
      </c>
      <c r="AF94" s="246">
        <f>IF('Scheduled Intervals'!AF23&gt;0,ROUND(('Parts Cost Per Job'!AF23*((1+$B$37)*$B$38))*ROUNDDOWN($B$1/'Scheduled Intervals'!AF23,0),2),0)</f>
        <v>0</v>
      </c>
      <c r="AG94" s="246">
        <f>IF('Scheduled Intervals'!AG23&gt;0,ROUND(('Parts Cost Per Job'!AG23*((1+$B$37)*$B$38))*ROUNDDOWN($B$1/'Scheduled Intervals'!AG23,0),2),0)</f>
        <v>0</v>
      </c>
      <c r="AH94" s="246">
        <f>IF('Scheduled Intervals'!AH23&gt;0,ROUND(('Parts Cost Per Job'!AH23*((1+$B$37)*$B$38))*ROUNDDOWN($B$1/'Scheduled Intervals'!AH23,0),2),0)</f>
        <v>0</v>
      </c>
      <c r="AI94" s="246">
        <f>IF('Scheduled Intervals'!AI23&gt;0,ROUND(('Parts Cost Per Job'!AI23*((1+$B$37)*$B$38))*ROUNDDOWN($B$1/'Scheduled Intervals'!AI23,0),2),0)</f>
        <v>0</v>
      </c>
      <c r="AJ94" s="246">
        <f>IF('Scheduled Intervals'!AJ23&gt;0,ROUND(('Parts Cost Per Job'!AJ23*((1+$B$37)*$B$38))*ROUNDDOWN($B$1/'Scheduled Intervals'!AJ23,0),2),0)</f>
        <v>0</v>
      </c>
      <c r="AK94" s="246">
        <f>IF('Scheduled Intervals'!AK23&gt;0,ROUND(('Parts Cost Per Job'!AK23*((1+$B$37)*$B$38))*ROUNDDOWN($B$1/'Scheduled Intervals'!AK23,0),2),0)</f>
        <v>0</v>
      </c>
      <c r="AL94" s="246">
        <f>IF('Scheduled Intervals'!AL23&gt;0,ROUND(('Parts Cost Per Job'!AL23*((1+$B$37)*$B$38))*ROUNDDOWN($B$1/'Scheduled Intervals'!AL23,0),2),0)</f>
        <v>0</v>
      </c>
      <c r="AM94" s="246">
        <f>IF('Scheduled Intervals'!AM23&gt;0,ROUND(('Parts Cost Per Job'!AM23*((1+$B$37)*$B$38))*ROUNDDOWN($B$1/'Scheduled Intervals'!AM23,0),2),0)</f>
        <v>0</v>
      </c>
      <c r="AN94" s="246">
        <f>IF('Scheduled Intervals'!AN23&gt;0,ROUND(('Parts Cost Per Job'!AN23*((1+$B$37)*$B$38))*ROUNDDOWN($B$1/'Scheduled Intervals'!AN23,0),2),0)</f>
        <v>0</v>
      </c>
      <c r="AO94" s="246">
        <f>IF('Scheduled Intervals'!AO23&gt;0,ROUND(('Parts Cost Per Job'!AO23*((1+$B$37)*$B$38))*ROUNDDOWN($B$1/'Scheduled Intervals'!AO23,0),2),0)</f>
        <v>0</v>
      </c>
      <c r="AP94" s="246">
        <f>IF('Scheduled Intervals'!AP23&gt;0,ROUND(('Parts Cost Per Job'!AP23*((1+$B$37)*$B$38))*ROUNDDOWN($B$1/'Scheduled Intervals'!AP23,0),2),0)</f>
        <v>0</v>
      </c>
      <c r="AQ94" s="246">
        <f>IF('Scheduled Intervals'!AQ23&gt;0,ROUND(('Parts Cost Per Job'!AQ23*((1+$B$37)*$B$38))*ROUNDDOWN($B$1/'Scheduled Intervals'!AQ23,0),2),0)</f>
        <v>0</v>
      </c>
      <c r="AR94" s="246">
        <f>IF('Scheduled Intervals'!AR23&gt;0,ROUND(('Parts Cost Per Job'!AR23*((1+$B$37)*$B$38))*ROUNDDOWN($B$1/'Scheduled Intervals'!AR23,0),2),0)</f>
        <v>0</v>
      </c>
      <c r="AS94" s="246">
        <f>IF('Scheduled Intervals'!AS23&gt;0,ROUND(('Parts Cost Per Job'!AS23*((1+$B$37)*$B$38))*ROUNDDOWN($B$1/'Scheduled Intervals'!AS23,0),2),0)</f>
        <v>0</v>
      </c>
      <c r="AT94" s="246">
        <f>IF('Scheduled Intervals'!AT23&gt;0,ROUND(('Parts Cost Per Job'!AT23*((1+$B$37)*$B$38))*ROUNDDOWN($B$1/'Scheduled Intervals'!AT23,0),2),0)</f>
        <v>0</v>
      </c>
      <c r="AU94" s="246">
        <f>IF('Scheduled Intervals'!AU23&gt;0,ROUND(('Parts Cost Per Job'!AU23*((1+$B$37)*$B$38))*ROUNDDOWN($B$1/'Scheduled Intervals'!AU23,0),2),0)</f>
        <v>0</v>
      </c>
      <c r="AV94" s="246">
        <f>IF('Scheduled Intervals'!AV23&gt;0,ROUND(('Parts Cost Per Job'!AV23*((1+$B$37)*$B$38))*ROUNDDOWN($B$1/'Scheduled Intervals'!AV23,0),2),0)</f>
        <v>0</v>
      </c>
      <c r="AW94" s="246">
        <f>IF('Scheduled Intervals'!AW23&gt;0,ROUND(('Parts Cost Per Job'!AW23*((1+$B$37)*$B$38))*ROUNDDOWN($B$1/'Scheduled Intervals'!AW23,0),2),0)</f>
        <v>0</v>
      </c>
      <c r="AX94" s="246">
        <f>IF('Scheduled Intervals'!AX23&gt;0,ROUND(('Parts Cost Per Job'!AX23*((1+$B$37)*$B$38))*ROUNDDOWN($B$1/'Scheduled Intervals'!AX23,0),2),0)</f>
        <v>0</v>
      </c>
      <c r="AY94" s="246">
        <f>IF('Scheduled Intervals'!AY23&gt;0,ROUND(('Parts Cost Per Job'!AY23*((1+$B$37)*$B$38))*ROUNDDOWN($B$1/'Scheduled Intervals'!AY23,0),2),0)</f>
        <v>0</v>
      </c>
      <c r="AZ94" s="246">
        <f>IF('Scheduled Intervals'!AZ23&gt;0,ROUND(('Parts Cost Per Job'!AZ23*((1+$B$37)*$B$38))*ROUNDDOWN($B$1/'Scheduled Intervals'!AZ23,0),2),0)</f>
        <v>0</v>
      </c>
      <c r="BA94" s="246">
        <f>IF('Scheduled Intervals'!BA23&gt;0,ROUND(('Parts Cost Per Job'!BA23*((1+$B$37)*$B$38))*ROUNDDOWN($B$1/'Scheduled Intervals'!BA23,0),2),0)</f>
        <v>0</v>
      </c>
      <c r="BB94" s="246">
        <f>IF('Scheduled Intervals'!BB23&gt;0,ROUND(('Parts Cost Per Job'!BB23*((1+$B$37)*$B$38))*ROUNDDOWN($B$1/'Scheduled Intervals'!BB23,0),2),0)</f>
        <v>0</v>
      </c>
      <c r="BC94" s="246">
        <f>IF('Scheduled Intervals'!BC23&gt;0,ROUND(('Parts Cost Per Job'!BC23*((1+$B$37)*$B$38))*ROUNDDOWN($B$1/'Scheduled Intervals'!BC23,0),2),0)</f>
        <v>0</v>
      </c>
      <c r="BD94" s="246">
        <f>IF('Scheduled Intervals'!BD23&gt;0,ROUND(('Parts Cost Per Job'!BD23*((1+$B$37)*$B$38))*ROUNDDOWN($B$1/'Scheduled Intervals'!BD23,0),2),0)</f>
        <v>0</v>
      </c>
      <c r="BE94" s="246">
        <f>IF('Scheduled Intervals'!BE23&gt;0,ROUND(('Parts Cost Per Job'!BE23*((1+$B$37)*$B$38))*ROUNDDOWN($B$1/'Scheduled Intervals'!BE23,0),2),0)</f>
        <v>0</v>
      </c>
      <c r="BF94" s="246">
        <f>IF('Scheduled Intervals'!BF23&gt;0,ROUND(('Parts Cost Per Job'!BF23*((1+$B$37)*$B$38))*ROUNDDOWN($B$1/'Scheduled Intervals'!BF23,0),2),0)</f>
        <v>0</v>
      </c>
      <c r="BG94" s="246">
        <f>IF('Scheduled Intervals'!BG23&gt;0,ROUND(('Parts Cost Per Job'!BG23*((1+$B$37)*$B$38))*ROUNDDOWN($B$1/'Scheduled Intervals'!BG23,0),2),0)</f>
        <v>0</v>
      </c>
      <c r="BH94" s="246">
        <f>IF('Scheduled Intervals'!BH23&gt;0,ROUND(('Parts Cost Per Job'!BH23*((1+$B$37)*$B$38))*ROUNDDOWN($B$1/'Scheduled Intervals'!BH23,0),2),0)</f>
        <v>0</v>
      </c>
      <c r="BI94" s="246">
        <f>IF('Scheduled Intervals'!BI23&gt;0,ROUND(('Parts Cost Per Job'!BI23*((1+$B$37)*$B$38))*ROUNDDOWN($B$1/'Scheduled Intervals'!BI23,0),2),0)</f>
        <v>0</v>
      </c>
      <c r="BJ94" s="246">
        <f>IF('Scheduled Intervals'!BJ23&gt;0,ROUND(('Parts Cost Per Job'!BJ23*((1+$B$37)*$B$38))*ROUNDDOWN($B$1/'Scheduled Intervals'!BJ23,0),2),0)</f>
        <v>0</v>
      </c>
      <c r="BK94" s="246">
        <f>IF('Scheduled Intervals'!BK23&gt;0,ROUND(('Parts Cost Per Job'!BK23*((1+$B$37)*$B$38))*ROUNDDOWN($B$1/'Scheduled Intervals'!BK23,0),2),0)</f>
        <v>0</v>
      </c>
      <c r="BL94" s="246">
        <f>IF('Scheduled Intervals'!BL23&gt;0,ROUND(('Parts Cost Per Job'!BL23*((1+$B$37)*$B$38))*ROUNDDOWN($B$1/'Scheduled Intervals'!BL23,0),2),0)</f>
        <v>0</v>
      </c>
      <c r="BM94" s="246">
        <f>IF('Scheduled Intervals'!BM23&gt;0,ROUND(('Parts Cost Per Job'!BM23*((1+$B$37)*$B$38))*ROUNDDOWN($B$1/'Scheduled Intervals'!BM23,0),2),0)</f>
        <v>0</v>
      </c>
      <c r="BN94" s="246">
        <f>IF(AND('Scheduled Intervals'!BN$4="annual",'Plan Summary'!$C$5&lt;'Scheduled Intervals'!$U23*('Plan Summary'!$C$9/12)),ROUND('Parts Cost Per Job'!BN23*((1+$B$37)*$B$38)*ROUND('Plan Summary'!$C$9/12,0),2),0)</f>
        <v>294.33</v>
      </c>
      <c r="BO94" s="246">
        <f>IF(AND('Scheduled Intervals'!BO$4="annual",'Plan Summary'!$C$5&lt;'Scheduled Intervals'!$U23*('Plan Summary'!$C$9/12)),ROUND('Parts Cost Per Job'!BO23*((1+$B$37)*$B$38)*ROUND('Plan Summary'!$C$9/12,0),2),0)</f>
        <v>55.33</v>
      </c>
      <c r="BP94" s="246">
        <f>IF(AND('Scheduled Intervals'!BP$4="annual",'Plan Summary'!$C$5&lt;'Scheduled Intervals'!$U23*('Plan Summary'!$C$9/12)),ROUND('Parts Cost Per Job'!BP23*((1+$B$37)*$B$38)*ROUND('Plan Summary'!$C$9/12,0),2),0)</f>
        <v>0</v>
      </c>
      <c r="BQ94" s="246">
        <f t="shared" si="3"/>
        <v>726.51</v>
      </c>
      <c r="BR94" s="246"/>
    </row>
    <row r="95" spans="1:70" ht="16" x14ac:dyDescent="0.2">
      <c r="A95" s="18" t="str">
        <f>+'Scheduled Intervals'!A24</f>
        <v>Takeuchi 335</v>
      </c>
      <c r="B95" s="246">
        <f>ROUND((('Parts Cost Per Job'!B24)*((1+$B$37)*$B$38)),2)</f>
        <v>112.27</v>
      </c>
      <c r="C95" s="246">
        <f>ROUND((('Parts Cost Per Job'!C24)*((1+$B$37)*$B$38)),2)</f>
        <v>0</v>
      </c>
      <c r="D95" s="246">
        <f>ROUND((('Parts Cost Per Job'!D24)*((1+$B$37)*$B$38)),2)</f>
        <v>0</v>
      </c>
      <c r="E95" s="246">
        <f>ROUND((('Parts Cost Per Job'!E24)*((1+$B$37)*$B$38)),2)</f>
        <v>0</v>
      </c>
      <c r="F95" s="246">
        <f>ROUND((('Parts Cost Per Job'!F24)*((1+$B$37)*$B$38)),2)</f>
        <v>0</v>
      </c>
      <c r="G95" s="246">
        <f>ROUND((('Parts Cost Per Job'!G24)*((1+$B$37)*$B$38)),2)</f>
        <v>0</v>
      </c>
      <c r="H95" s="246">
        <f>ROUND((('Parts Cost Per Job'!H24)*((1+$B$37)*$B$38)),2)</f>
        <v>11.07</v>
      </c>
      <c r="I95" s="246">
        <f>ROUND((('Parts Cost Per Job'!I24)*((1+$B$37)*$B$38)),2)</f>
        <v>0</v>
      </c>
      <c r="J95" s="246">
        <f>ROUND((('Parts Cost Per Job'!J24)*((1+$B$37)*$B$38)),2)</f>
        <v>0</v>
      </c>
      <c r="K95" s="246">
        <f>ROUND((('Parts Cost Per Job'!K24)*((1+$B$37)*$B$38)),2)</f>
        <v>0</v>
      </c>
      <c r="L95" s="246">
        <f>ROUND((('Parts Cost Per Job'!L24)*((1+$B$37)*$B$38)),2)</f>
        <v>0</v>
      </c>
      <c r="M95" s="246">
        <f>ROUND((('Parts Cost Per Job'!M24)*((1+$B$37)*$B$38)),2)</f>
        <v>0</v>
      </c>
      <c r="N95" s="246">
        <f>ROUND((('Parts Cost Per Job'!N24)*((1+$B$37)*$B$38)),2)</f>
        <v>0</v>
      </c>
      <c r="O95" s="246">
        <f>ROUND((('Parts Cost Per Job'!O24)*((1+$B$37)*$B$38)),2)</f>
        <v>0</v>
      </c>
      <c r="P95" s="246">
        <f>ROUND((('Parts Cost Per Job'!P24)*((1+$B$37)*$B$38)),2)</f>
        <v>0</v>
      </c>
      <c r="Q95" s="246">
        <f>ROUND((('Parts Cost Per Job'!Q24)*((1+$B$37)*$B$38)),2)</f>
        <v>121.53</v>
      </c>
      <c r="R95" s="246">
        <f>ROUND((('Parts Cost Per Job'!R24)*((1+$B$37)*$B$38)),2)</f>
        <v>0</v>
      </c>
      <c r="S95" s="246">
        <f>ROUND((('Parts Cost Per Job'!S24)*((1+$B$37)*$B$38)),2)</f>
        <v>0</v>
      </c>
      <c r="T95" s="246">
        <f>ROUND((('Parts Cost Per Job'!T24)*((1+$B$37)*$B$38)),2)</f>
        <v>0</v>
      </c>
      <c r="U95" s="246">
        <f>IF('Scheduled Intervals'!U24&gt;0,ROUND(('Parts Cost Per Job'!U24*((1+$B$37)*$B$38))*ROUNDDOWN($B$1/'Scheduled Intervals'!U24,0),2),0)</f>
        <v>112.27</v>
      </c>
      <c r="V95" s="246">
        <f>IF('Scheduled Intervals'!V24&gt;0,ROUND(('Parts Cost Per Job'!V24*((1+$B$37)*$B$38))*ROUNDDOWN($B$1/'Scheduled Intervals'!V24,0),2),0)</f>
        <v>0</v>
      </c>
      <c r="W95" s="246">
        <f>IF('Scheduled Intervals'!W24&gt;0,ROUND(('Parts Cost Per Job'!W24*((1+$B$37)*$B$38))*ROUNDDOWN($B$1/'Scheduled Intervals'!W24,0),2),0)</f>
        <v>0</v>
      </c>
      <c r="X95" s="246">
        <f>IF('Scheduled Intervals'!X24&gt;0,ROUND(('Parts Cost Per Job'!X24*((1+$B$37)*$B$38))*ROUNDDOWN($B$1/'Scheduled Intervals'!X24,0),2),0)</f>
        <v>0</v>
      </c>
      <c r="Y95" s="246">
        <f>IF('Scheduled Intervals'!Y24&gt;0,ROUND(('Parts Cost Per Job'!Y24*((1+$B$37)*$B$38))*ROUNDDOWN($B$1/'Scheduled Intervals'!Y24,0),2),0)</f>
        <v>0</v>
      </c>
      <c r="Z95" s="246">
        <f>IF('Scheduled Intervals'!Z24&gt;0,ROUND(('Parts Cost Per Job'!Z24*((1+$B$37)*$B$38))*ROUNDDOWN($B$1/'Scheduled Intervals'!Z24,0),2),0)</f>
        <v>0</v>
      </c>
      <c r="AA95" s="246">
        <f>IF('Scheduled Intervals'!AA24&gt;0,ROUND(('Parts Cost Per Job'!AA24*((1+$B$37)*$B$38))*ROUNDDOWN($B$1/'Scheduled Intervals'!AA24,0),2),0)</f>
        <v>0</v>
      </c>
      <c r="AB95" s="246">
        <f>IF('Scheduled Intervals'!AB24&gt;0,ROUND(('Parts Cost Per Job'!AB24*((1+$B$37)*$B$38))*ROUNDDOWN($B$1/'Scheduled Intervals'!AB24,0),2),0)</f>
        <v>0</v>
      </c>
      <c r="AC95" s="246">
        <f>IF('Scheduled Intervals'!AC24&gt;0,ROUND(('Parts Cost Per Job'!AC24*((1+$B$37)*$B$38))*ROUNDDOWN($B$1/'Scheduled Intervals'!AC24,0),2),0)</f>
        <v>0</v>
      </c>
      <c r="AD95" s="246">
        <f>IF('Scheduled Intervals'!AD24&gt;0,ROUND(('Parts Cost Per Job'!AD24*((1+$B$37)*$B$38))*ROUNDDOWN($B$1/'Scheduled Intervals'!AD24,0),2),0)</f>
        <v>0</v>
      </c>
      <c r="AE95" s="246">
        <f>IF('Scheduled Intervals'!AE24&gt;0,ROUND(('Parts Cost Per Job'!AE24*((1+$B$37)*$B$38))*ROUNDDOWN($B$1/'Scheduled Intervals'!AE24,0),2),0)</f>
        <v>0</v>
      </c>
      <c r="AF95" s="246">
        <f>IF('Scheduled Intervals'!AF24&gt;0,ROUND(('Parts Cost Per Job'!AF24*((1+$B$37)*$B$38))*ROUNDDOWN($B$1/'Scheduled Intervals'!AF24,0),2),0)</f>
        <v>0</v>
      </c>
      <c r="AG95" s="246">
        <f>IF('Scheduled Intervals'!AG24&gt;0,ROUND(('Parts Cost Per Job'!AG24*((1+$B$37)*$B$38))*ROUNDDOWN($B$1/'Scheduled Intervals'!AG24,0),2),0)</f>
        <v>0</v>
      </c>
      <c r="AH95" s="246">
        <f>IF('Scheduled Intervals'!AH24&gt;0,ROUND(('Parts Cost Per Job'!AH24*((1+$B$37)*$B$38))*ROUNDDOWN($B$1/'Scheduled Intervals'!AH24,0),2),0)</f>
        <v>0</v>
      </c>
      <c r="AI95" s="246">
        <f>IF('Scheduled Intervals'!AI24&gt;0,ROUND(('Parts Cost Per Job'!AI24*((1+$B$37)*$B$38))*ROUNDDOWN($B$1/'Scheduled Intervals'!AI24,0),2),0)</f>
        <v>0</v>
      </c>
      <c r="AJ95" s="246">
        <f>IF('Scheduled Intervals'!AJ24&gt;0,ROUND(('Parts Cost Per Job'!AJ24*((1+$B$37)*$B$38))*ROUNDDOWN($B$1/'Scheduled Intervals'!AJ24,0),2),0)</f>
        <v>0</v>
      </c>
      <c r="AK95" s="246">
        <f>IF('Scheduled Intervals'!AK24&gt;0,ROUND(('Parts Cost Per Job'!AK24*((1+$B$37)*$B$38))*ROUNDDOWN($B$1/'Scheduled Intervals'!AK24,0),2),0)</f>
        <v>0</v>
      </c>
      <c r="AL95" s="246">
        <f>IF('Scheduled Intervals'!AL24&gt;0,ROUND(('Parts Cost Per Job'!AL24*((1+$B$37)*$B$38))*ROUNDDOWN($B$1/'Scheduled Intervals'!AL24,0),2),0)</f>
        <v>0</v>
      </c>
      <c r="AM95" s="246">
        <f>IF('Scheduled Intervals'!AM24&gt;0,ROUND(('Parts Cost Per Job'!AM24*((1+$B$37)*$B$38))*ROUNDDOWN($B$1/'Scheduled Intervals'!AM24,0),2),0)</f>
        <v>0</v>
      </c>
      <c r="AN95" s="246">
        <f>IF('Scheduled Intervals'!AN24&gt;0,ROUND(('Parts Cost Per Job'!AN24*((1+$B$37)*$B$38))*ROUNDDOWN($B$1/'Scheduled Intervals'!AN24,0),2),0)</f>
        <v>0</v>
      </c>
      <c r="AO95" s="246">
        <f>IF('Scheduled Intervals'!AO24&gt;0,ROUND(('Parts Cost Per Job'!AO24*((1+$B$37)*$B$38))*ROUNDDOWN($B$1/'Scheduled Intervals'!AO24,0),2),0)</f>
        <v>0</v>
      </c>
      <c r="AP95" s="246">
        <f>IF('Scheduled Intervals'!AP24&gt;0,ROUND(('Parts Cost Per Job'!AP24*((1+$B$37)*$B$38))*ROUNDDOWN($B$1/'Scheduled Intervals'!AP24,0),2),0)</f>
        <v>0</v>
      </c>
      <c r="AQ95" s="246">
        <f>IF('Scheduled Intervals'!AQ24&gt;0,ROUND(('Parts Cost Per Job'!AQ24*((1+$B$37)*$B$38))*ROUNDDOWN($B$1/'Scheduled Intervals'!AQ24,0),2),0)</f>
        <v>0</v>
      </c>
      <c r="AR95" s="246">
        <f>IF('Scheduled Intervals'!AR24&gt;0,ROUND(('Parts Cost Per Job'!AR24*((1+$B$37)*$B$38))*ROUNDDOWN($B$1/'Scheduled Intervals'!AR24,0),2),0)</f>
        <v>0</v>
      </c>
      <c r="AS95" s="246">
        <f>IF('Scheduled Intervals'!AS24&gt;0,ROUND(('Parts Cost Per Job'!AS24*((1+$B$37)*$B$38))*ROUNDDOWN($B$1/'Scheduled Intervals'!AS24,0),2),0)</f>
        <v>0</v>
      </c>
      <c r="AT95" s="246">
        <f>IF('Scheduled Intervals'!AT24&gt;0,ROUND(('Parts Cost Per Job'!AT24*((1+$B$37)*$B$38))*ROUNDDOWN($B$1/'Scheduled Intervals'!AT24,0),2),0)</f>
        <v>11.07</v>
      </c>
      <c r="AU95" s="246">
        <f>IF('Scheduled Intervals'!AU24&gt;0,ROUND(('Parts Cost Per Job'!AU24*((1+$B$37)*$B$38))*ROUNDDOWN($B$1/'Scheduled Intervals'!AU24,0),2),0)</f>
        <v>0</v>
      </c>
      <c r="AV95" s="246">
        <f>IF('Scheduled Intervals'!AV24&gt;0,ROUND(('Parts Cost Per Job'!AV24*((1+$B$37)*$B$38))*ROUNDDOWN($B$1/'Scheduled Intervals'!AV24,0),2),0)</f>
        <v>0</v>
      </c>
      <c r="AW95" s="246">
        <f>IF('Scheduled Intervals'!AW24&gt;0,ROUND(('Parts Cost Per Job'!AW24*((1+$B$37)*$B$38))*ROUNDDOWN($B$1/'Scheduled Intervals'!AW24,0),2),0)</f>
        <v>0</v>
      </c>
      <c r="AX95" s="246">
        <f>IF('Scheduled Intervals'!AX24&gt;0,ROUND(('Parts Cost Per Job'!AX24*((1+$B$37)*$B$38))*ROUNDDOWN($B$1/'Scheduled Intervals'!AX24,0),2),0)</f>
        <v>0</v>
      </c>
      <c r="AY95" s="246">
        <f>IF('Scheduled Intervals'!AY24&gt;0,ROUND(('Parts Cost Per Job'!AY24*((1+$B$37)*$B$38))*ROUNDDOWN($B$1/'Scheduled Intervals'!AY24,0),2),0)</f>
        <v>0</v>
      </c>
      <c r="AZ95" s="246">
        <f>IF('Scheduled Intervals'!AZ24&gt;0,ROUND(('Parts Cost Per Job'!AZ24*((1+$B$37)*$B$38))*ROUNDDOWN($B$1/'Scheduled Intervals'!AZ24,0),2),0)</f>
        <v>0</v>
      </c>
      <c r="BA95" s="246">
        <f>IF('Scheduled Intervals'!BA24&gt;0,ROUND(('Parts Cost Per Job'!BA24*((1+$B$37)*$B$38))*ROUNDDOWN($B$1/'Scheduled Intervals'!BA24,0),2),0)</f>
        <v>0</v>
      </c>
      <c r="BB95" s="246">
        <f>IF('Scheduled Intervals'!BB24&gt;0,ROUND(('Parts Cost Per Job'!BB24*((1+$B$37)*$B$38))*ROUNDDOWN($B$1/'Scheduled Intervals'!BB24,0),2),0)</f>
        <v>0</v>
      </c>
      <c r="BC95" s="246">
        <f>IF('Scheduled Intervals'!BC24&gt;0,ROUND(('Parts Cost Per Job'!BC24*((1+$B$37)*$B$38))*ROUNDDOWN($B$1/'Scheduled Intervals'!BC24,0),2),0)</f>
        <v>0</v>
      </c>
      <c r="BD95" s="246">
        <f>IF('Scheduled Intervals'!BD24&gt;0,ROUND(('Parts Cost Per Job'!BD24*((1+$B$37)*$B$38))*ROUNDDOWN($B$1/'Scheduled Intervals'!BD24,0),2),0)</f>
        <v>0</v>
      </c>
      <c r="BE95" s="246">
        <f>IF('Scheduled Intervals'!BE24&gt;0,ROUND(('Parts Cost Per Job'!BE24*((1+$B$37)*$B$38))*ROUNDDOWN($B$1/'Scheduled Intervals'!BE24,0),2),0)</f>
        <v>0</v>
      </c>
      <c r="BF95" s="246">
        <f>IF('Scheduled Intervals'!BF24&gt;0,ROUND(('Parts Cost Per Job'!BF24*((1+$B$37)*$B$38))*ROUNDDOWN($B$1/'Scheduled Intervals'!BF24,0),2),0)</f>
        <v>0</v>
      </c>
      <c r="BG95" s="246">
        <f>IF('Scheduled Intervals'!BG24&gt;0,ROUND(('Parts Cost Per Job'!BG24*((1+$B$37)*$B$38))*ROUNDDOWN($B$1/'Scheduled Intervals'!BG24,0),2),0)</f>
        <v>0</v>
      </c>
      <c r="BH95" s="246">
        <f>IF('Scheduled Intervals'!BH24&gt;0,ROUND(('Parts Cost Per Job'!BH24*((1+$B$37)*$B$38))*ROUNDDOWN($B$1/'Scheduled Intervals'!BH24,0),2),0)</f>
        <v>0</v>
      </c>
      <c r="BI95" s="246">
        <f>IF('Scheduled Intervals'!BI24&gt;0,ROUND(('Parts Cost Per Job'!BI24*((1+$B$37)*$B$38))*ROUNDDOWN($B$1/'Scheduled Intervals'!BI24,0),2),0)</f>
        <v>0</v>
      </c>
      <c r="BJ95" s="246">
        <f>IF('Scheduled Intervals'!BJ24&gt;0,ROUND(('Parts Cost Per Job'!BJ24*((1+$B$37)*$B$38))*ROUNDDOWN($B$1/'Scheduled Intervals'!BJ24,0),2),0)</f>
        <v>0</v>
      </c>
      <c r="BK95" s="246">
        <f>IF('Scheduled Intervals'!BK24&gt;0,ROUND(('Parts Cost Per Job'!BK24*((1+$B$37)*$B$38))*ROUNDDOWN($B$1/'Scheduled Intervals'!BK24,0),2),0)</f>
        <v>0</v>
      </c>
      <c r="BL95" s="246">
        <f>IF('Scheduled Intervals'!BL24&gt;0,ROUND(('Parts Cost Per Job'!BL24*((1+$B$37)*$B$38))*ROUNDDOWN($B$1/'Scheduled Intervals'!BL24,0),2),0)</f>
        <v>0</v>
      </c>
      <c r="BM95" s="246">
        <f>IF('Scheduled Intervals'!BM24&gt;0,ROUND(('Parts Cost Per Job'!BM24*((1+$B$37)*$B$38))*ROUNDDOWN($B$1/'Scheduled Intervals'!BM24,0),2),0)</f>
        <v>0</v>
      </c>
      <c r="BN95" s="246">
        <f>IF(AND('Scheduled Intervals'!BN$4="annual",'Plan Summary'!$C$5&lt;'Scheduled Intervals'!$U24*('Plan Summary'!$C$9/12)),ROUND('Parts Cost Per Job'!BN24*((1+$B$37)*$B$38)*ROUND('Plan Summary'!$C$9/12,0),2),0)</f>
        <v>561.36</v>
      </c>
      <c r="BO95" s="246">
        <f>IF(AND('Scheduled Intervals'!BO$4="annual",'Plan Summary'!$C$5&lt;'Scheduled Intervals'!$U24*('Plan Summary'!$C$9/12)),ROUND('Parts Cost Per Job'!BO24*((1+$B$37)*$B$38)*ROUND('Plan Summary'!$C$9/12,0),2),0)</f>
        <v>55.33</v>
      </c>
      <c r="BP95" s="246">
        <f>IF(AND('Scheduled Intervals'!BP$4="annual",'Plan Summary'!$C$5&lt;'Scheduled Intervals'!$U24*('Plan Summary'!$C$9/12)),ROUND('Parts Cost Per Job'!BP24*((1+$B$37)*$B$38)*ROUND('Plan Summary'!$C$9/12,0),2),0)</f>
        <v>0</v>
      </c>
      <c r="BQ95" s="246">
        <f t="shared" si="3"/>
        <v>984.9</v>
      </c>
      <c r="BR95" s="246"/>
    </row>
    <row r="96" spans="1:70" ht="16" x14ac:dyDescent="0.2">
      <c r="A96" s="18" t="str">
        <f>+'Scheduled Intervals'!A25</f>
        <v>Sany SY up to 35</v>
      </c>
      <c r="B96" s="246">
        <f>ROUND((('Parts Cost Per Job'!B25)*((1+$B$37)*$B$38)),2)</f>
        <v>68.5</v>
      </c>
      <c r="C96" s="246">
        <f>ROUND((('Parts Cost Per Job'!C25)*((1+$B$37)*$B$38)),2)</f>
        <v>0</v>
      </c>
      <c r="D96" s="246">
        <f>ROUND((('Parts Cost Per Job'!D25)*((1+$B$37)*$B$38)),2)</f>
        <v>0</v>
      </c>
      <c r="E96" s="246">
        <f>ROUND((('Parts Cost Per Job'!E25)*((1+$B$37)*$B$38)),2)</f>
        <v>0</v>
      </c>
      <c r="F96" s="246">
        <f>ROUND((('Parts Cost Per Job'!F25)*((1+$B$37)*$B$38)),2)</f>
        <v>0</v>
      </c>
      <c r="G96" s="246">
        <f>ROUND((('Parts Cost Per Job'!G25)*((1+$B$37)*$B$38)),2)</f>
        <v>0</v>
      </c>
      <c r="H96" s="246">
        <f>ROUND((('Parts Cost Per Job'!H25)*((1+$B$37)*$B$38)),2)</f>
        <v>11.07</v>
      </c>
      <c r="I96" s="246">
        <f>ROUND((('Parts Cost Per Job'!I25)*((1+$B$37)*$B$38)),2)</f>
        <v>0</v>
      </c>
      <c r="J96" s="246">
        <f>ROUND((('Parts Cost Per Job'!J25)*((1+$B$37)*$B$38)),2)</f>
        <v>0</v>
      </c>
      <c r="K96" s="246">
        <f>ROUND((('Parts Cost Per Job'!K25)*((1+$B$37)*$B$38)),2)</f>
        <v>0</v>
      </c>
      <c r="L96" s="246">
        <f>ROUND((('Parts Cost Per Job'!L25)*((1+$B$37)*$B$38)),2)</f>
        <v>0</v>
      </c>
      <c r="M96" s="246">
        <f>ROUND((('Parts Cost Per Job'!M25)*((1+$B$37)*$B$38)),2)</f>
        <v>0</v>
      </c>
      <c r="N96" s="246">
        <f>ROUND((('Parts Cost Per Job'!N25)*((1+$B$37)*$B$38)),2)</f>
        <v>0</v>
      </c>
      <c r="O96" s="246">
        <f>ROUND((('Parts Cost Per Job'!O25)*((1+$B$37)*$B$38)),2)</f>
        <v>0</v>
      </c>
      <c r="P96" s="246">
        <f>ROUND((('Parts Cost Per Job'!P25)*((1+$B$37)*$B$38)),2)</f>
        <v>0</v>
      </c>
      <c r="Q96" s="246">
        <f>ROUND((('Parts Cost Per Job'!Q25)*((1+$B$37)*$B$38)),2)</f>
        <v>110.28</v>
      </c>
      <c r="R96" s="246">
        <f>ROUND((('Parts Cost Per Job'!R25)*((1+$B$37)*$B$38)),2)</f>
        <v>18.079999999999998</v>
      </c>
      <c r="S96" s="246">
        <f>ROUND((('Parts Cost Per Job'!S25)*((1+$B$37)*$B$38)),2)</f>
        <v>0</v>
      </c>
      <c r="T96" s="246">
        <f>ROUND((('Parts Cost Per Job'!T25)*((1+$B$37)*$B$38)),2)</f>
        <v>0</v>
      </c>
      <c r="U96" s="246">
        <f>IF('Scheduled Intervals'!U25&gt;0,ROUND(('Parts Cost Per Job'!U25*((1+$B$37)*$B$38))*ROUNDDOWN($B$1/'Scheduled Intervals'!U25,0),2),0)</f>
        <v>68.5</v>
      </c>
      <c r="V96" s="246">
        <f>IF('Scheduled Intervals'!V25&gt;0,ROUND(('Parts Cost Per Job'!V25*((1+$B$37)*$B$38))*ROUNDDOWN($B$1/'Scheduled Intervals'!V25,0),2),0)</f>
        <v>0</v>
      </c>
      <c r="W96" s="246">
        <f>IF('Scheduled Intervals'!W25&gt;0,ROUND(('Parts Cost Per Job'!W25*((1+$B$37)*$B$38))*ROUNDDOWN($B$1/'Scheduled Intervals'!W25,0),2),0)</f>
        <v>0</v>
      </c>
      <c r="X96" s="246">
        <f>IF('Scheduled Intervals'!X25&gt;0,ROUND(('Parts Cost Per Job'!X25*((1+$B$37)*$B$38))*ROUNDDOWN($B$1/'Scheduled Intervals'!X25,0),2),0)</f>
        <v>0</v>
      </c>
      <c r="Y96" s="246">
        <f>IF('Scheduled Intervals'!Y25&gt;0,ROUND(('Parts Cost Per Job'!Y25*((1+$B$37)*$B$38))*ROUNDDOWN($B$1/'Scheduled Intervals'!Y25,0),2),0)</f>
        <v>0</v>
      </c>
      <c r="Z96" s="246">
        <f>IF('Scheduled Intervals'!Z25&gt;0,ROUND(('Parts Cost Per Job'!Z25*((1+$B$37)*$B$38))*ROUNDDOWN($B$1/'Scheduled Intervals'!Z25,0),2),0)</f>
        <v>0</v>
      </c>
      <c r="AA96" s="246">
        <f>IF('Scheduled Intervals'!AA25&gt;0,ROUND(('Parts Cost Per Job'!AA25*((1+$B$37)*$B$38))*ROUNDDOWN($B$1/'Scheduled Intervals'!AA25,0),2),0)</f>
        <v>0</v>
      </c>
      <c r="AB96" s="246">
        <f>IF('Scheduled Intervals'!AB25&gt;0,ROUND(('Parts Cost Per Job'!AB25*((1+$B$37)*$B$38))*ROUNDDOWN($B$1/'Scheduled Intervals'!AB25,0),2),0)</f>
        <v>0</v>
      </c>
      <c r="AC96" s="246">
        <f>IF('Scheduled Intervals'!AC25&gt;0,ROUND(('Parts Cost Per Job'!AC25*((1+$B$37)*$B$38))*ROUNDDOWN($B$1/'Scheduled Intervals'!AC25,0),2),0)</f>
        <v>0</v>
      </c>
      <c r="AD96" s="246">
        <f>IF('Scheduled Intervals'!AD25&gt;0,ROUND(('Parts Cost Per Job'!AD25*((1+$B$37)*$B$38))*ROUNDDOWN($B$1/'Scheduled Intervals'!AD25,0),2),0)</f>
        <v>0</v>
      </c>
      <c r="AE96" s="246">
        <f>IF('Scheduled Intervals'!AE25&gt;0,ROUND(('Parts Cost Per Job'!AE25*((1+$B$37)*$B$38))*ROUNDDOWN($B$1/'Scheduled Intervals'!AE25,0),2),0)</f>
        <v>0</v>
      </c>
      <c r="AF96" s="246">
        <f>IF('Scheduled Intervals'!AF25&gt;0,ROUND(('Parts Cost Per Job'!AF25*((1+$B$37)*$B$38))*ROUNDDOWN($B$1/'Scheduled Intervals'!AF25,0),2),0)</f>
        <v>0</v>
      </c>
      <c r="AG96" s="246">
        <f>IF('Scheduled Intervals'!AG25&gt;0,ROUND(('Parts Cost Per Job'!AG25*((1+$B$37)*$B$38))*ROUNDDOWN($B$1/'Scheduled Intervals'!AG25,0),2),0)</f>
        <v>0</v>
      </c>
      <c r="AH96" s="246">
        <f>IF('Scheduled Intervals'!AH25&gt;0,ROUND(('Parts Cost Per Job'!AH25*((1+$B$37)*$B$38))*ROUNDDOWN($B$1/'Scheduled Intervals'!AH25,0),2),0)</f>
        <v>0</v>
      </c>
      <c r="AI96" s="246">
        <f>IF('Scheduled Intervals'!AI25&gt;0,ROUND(('Parts Cost Per Job'!AI25*((1+$B$37)*$B$38))*ROUNDDOWN($B$1/'Scheduled Intervals'!AI25,0),2),0)</f>
        <v>0</v>
      </c>
      <c r="AJ96" s="246">
        <f>IF('Scheduled Intervals'!AJ25&gt;0,ROUND(('Parts Cost Per Job'!AJ25*((1+$B$37)*$B$38))*ROUNDDOWN($B$1/'Scheduled Intervals'!AJ25,0),2),0)</f>
        <v>0</v>
      </c>
      <c r="AK96" s="246">
        <f>IF('Scheduled Intervals'!AK25&gt;0,ROUND(('Parts Cost Per Job'!AK25*((1+$B$37)*$B$38))*ROUNDDOWN($B$1/'Scheduled Intervals'!AK25,0),2),0)</f>
        <v>0</v>
      </c>
      <c r="AL96" s="246">
        <f>IF('Scheduled Intervals'!AL25&gt;0,ROUND(('Parts Cost Per Job'!AL25*((1+$B$37)*$B$38))*ROUNDDOWN($B$1/'Scheduled Intervals'!AL25,0),2),0)</f>
        <v>0</v>
      </c>
      <c r="AM96" s="246">
        <f>IF('Scheduled Intervals'!AM25&gt;0,ROUND(('Parts Cost Per Job'!AM25*((1+$B$37)*$B$38))*ROUNDDOWN($B$1/'Scheduled Intervals'!AM25,0),2),0)</f>
        <v>0</v>
      </c>
      <c r="AN96" s="246">
        <f>IF('Scheduled Intervals'!AN25&gt;0,ROUND(('Parts Cost Per Job'!AN25*((1+$B$37)*$B$38))*ROUNDDOWN($B$1/'Scheduled Intervals'!AN25,0),2),0)</f>
        <v>0</v>
      </c>
      <c r="AO96" s="246">
        <f>IF('Scheduled Intervals'!AO25&gt;0,ROUND(('Parts Cost Per Job'!AO25*((1+$B$37)*$B$38))*ROUNDDOWN($B$1/'Scheduled Intervals'!AO25,0),2),0)</f>
        <v>0</v>
      </c>
      <c r="AP96" s="246">
        <f>IF('Scheduled Intervals'!AP25&gt;0,ROUND(('Parts Cost Per Job'!AP25*((1+$B$37)*$B$38))*ROUNDDOWN($B$1/'Scheduled Intervals'!AP25,0),2),0)</f>
        <v>0</v>
      </c>
      <c r="AQ96" s="246">
        <f>IF('Scheduled Intervals'!AQ25&gt;0,ROUND(('Parts Cost Per Job'!AQ25*((1+$B$37)*$B$38))*ROUNDDOWN($B$1/'Scheduled Intervals'!AQ25,0),2),0)</f>
        <v>0</v>
      </c>
      <c r="AR96" s="246">
        <f>IF('Scheduled Intervals'!AR25&gt;0,ROUND(('Parts Cost Per Job'!AR25*((1+$B$37)*$B$38))*ROUNDDOWN($B$1/'Scheduled Intervals'!AR25,0),2),0)</f>
        <v>0</v>
      </c>
      <c r="AS96" s="246">
        <f>IF('Scheduled Intervals'!AS25&gt;0,ROUND(('Parts Cost Per Job'!AS25*((1+$B$37)*$B$38))*ROUNDDOWN($B$1/'Scheduled Intervals'!AS25,0),2),0)</f>
        <v>0</v>
      </c>
      <c r="AT96" s="246">
        <f>IF('Scheduled Intervals'!AT25&gt;0,ROUND(('Parts Cost Per Job'!AT25*((1+$B$37)*$B$38))*ROUNDDOWN($B$1/'Scheduled Intervals'!AT25,0),2),0)</f>
        <v>11.07</v>
      </c>
      <c r="AU96" s="246">
        <f>IF('Scheduled Intervals'!AU25&gt;0,ROUND(('Parts Cost Per Job'!AU25*((1+$B$37)*$B$38))*ROUNDDOWN($B$1/'Scheduled Intervals'!AU25,0),2),0)</f>
        <v>0</v>
      </c>
      <c r="AV96" s="246">
        <f>IF('Scheduled Intervals'!AV25&gt;0,ROUND(('Parts Cost Per Job'!AV25*((1+$B$37)*$B$38))*ROUNDDOWN($B$1/'Scheduled Intervals'!AV25,0),2),0)</f>
        <v>0</v>
      </c>
      <c r="AW96" s="246">
        <f>IF('Scheduled Intervals'!AW25&gt;0,ROUND(('Parts Cost Per Job'!AW25*((1+$B$37)*$B$38))*ROUNDDOWN($B$1/'Scheduled Intervals'!AW25,0),2),0)</f>
        <v>0</v>
      </c>
      <c r="AX96" s="246">
        <f>IF('Scheduled Intervals'!AX25&gt;0,ROUND(('Parts Cost Per Job'!AX25*((1+$B$37)*$B$38))*ROUNDDOWN($B$1/'Scheduled Intervals'!AX25,0),2),0)</f>
        <v>0</v>
      </c>
      <c r="AY96" s="246">
        <f>IF('Scheduled Intervals'!AY25&gt;0,ROUND(('Parts Cost Per Job'!AY25*((1+$B$37)*$B$38))*ROUNDDOWN($B$1/'Scheduled Intervals'!AY25,0),2),0)</f>
        <v>0</v>
      </c>
      <c r="AZ96" s="246">
        <f>IF('Scheduled Intervals'!AZ25&gt;0,ROUND(('Parts Cost Per Job'!AZ25*((1+$B$37)*$B$38))*ROUNDDOWN($B$1/'Scheduled Intervals'!AZ25,0),2),0)</f>
        <v>0</v>
      </c>
      <c r="BA96" s="246">
        <f>IF('Scheduled Intervals'!BA25&gt;0,ROUND(('Parts Cost Per Job'!BA25*((1+$B$37)*$B$38))*ROUNDDOWN($B$1/'Scheduled Intervals'!BA25,0),2),0)</f>
        <v>0</v>
      </c>
      <c r="BB96" s="246">
        <f>IF('Scheduled Intervals'!BB25&gt;0,ROUND(('Parts Cost Per Job'!BB25*((1+$B$37)*$B$38))*ROUNDDOWN($B$1/'Scheduled Intervals'!BB25,0),2),0)</f>
        <v>0</v>
      </c>
      <c r="BC96" s="246">
        <f>IF('Scheduled Intervals'!BC25&gt;0,ROUND(('Parts Cost Per Job'!BC25*((1+$B$37)*$B$38))*ROUNDDOWN($B$1/'Scheduled Intervals'!BC25,0),2),0)</f>
        <v>0</v>
      </c>
      <c r="BD96" s="246">
        <f>IF('Scheduled Intervals'!BD25&gt;0,ROUND(('Parts Cost Per Job'!BD25*((1+$B$37)*$B$38))*ROUNDDOWN($B$1/'Scheduled Intervals'!BD25,0),2),0)</f>
        <v>0</v>
      </c>
      <c r="BE96" s="246">
        <f>IF('Scheduled Intervals'!BE25&gt;0,ROUND(('Parts Cost Per Job'!BE25*((1+$B$37)*$B$38))*ROUNDDOWN($B$1/'Scheduled Intervals'!BE25,0),2),0)</f>
        <v>0</v>
      </c>
      <c r="BF96" s="246">
        <f>IF('Scheduled Intervals'!BF25&gt;0,ROUND(('Parts Cost Per Job'!BF25*((1+$B$37)*$B$38))*ROUNDDOWN($B$1/'Scheduled Intervals'!BF25,0),2),0)</f>
        <v>0</v>
      </c>
      <c r="BG96" s="246">
        <f>IF('Scheduled Intervals'!BG25&gt;0,ROUND(('Parts Cost Per Job'!BG25*((1+$B$37)*$B$38))*ROUNDDOWN($B$1/'Scheduled Intervals'!BG25,0),2),0)</f>
        <v>0</v>
      </c>
      <c r="BH96" s="246">
        <f>IF('Scheduled Intervals'!BH25&gt;0,ROUND(('Parts Cost Per Job'!BH25*((1+$B$37)*$B$38))*ROUNDDOWN($B$1/'Scheduled Intervals'!BH25,0),2),0)</f>
        <v>0</v>
      </c>
      <c r="BI96" s="246">
        <f>IF('Scheduled Intervals'!BI25&gt;0,ROUND(('Parts Cost Per Job'!BI25*((1+$B$37)*$B$38))*ROUNDDOWN($B$1/'Scheduled Intervals'!BI25,0),2),0)</f>
        <v>0</v>
      </c>
      <c r="BJ96" s="246">
        <f>IF('Scheduled Intervals'!BJ25&gt;0,ROUND(('Parts Cost Per Job'!BJ25*((1+$B$37)*$B$38))*ROUNDDOWN($B$1/'Scheduled Intervals'!BJ25,0),2),0)</f>
        <v>0</v>
      </c>
      <c r="BK96" s="246">
        <f>IF('Scheduled Intervals'!BK25&gt;0,ROUND(('Parts Cost Per Job'!BK25*((1+$B$37)*$B$38))*ROUNDDOWN($B$1/'Scheduled Intervals'!BK25,0),2),0)</f>
        <v>0</v>
      </c>
      <c r="BL96" s="246">
        <f>IF('Scheduled Intervals'!BL25&gt;0,ROUND(('Parts Cost Per Job'!BL25*((1+$B$37)*$B$38))*ROUNDDOWN($B$1/'Scheduled Intervals'!BL25,0),2),0)</f>
        <v>0</v>
      </c>
      <c r="BM96" s="246">
        <f>IF('Scheduled Intervals'!BM25&gt;0,ROUND(('Parts Cost Per Job'!BM25*((1+$B$37)*$B$38))*ROUNDDOWN($B$1/'Scheduled Intervals'!BM25,0),2),0)</f>
        <v>0</v>
      </c>
      <c r="BN96" s="246">
        <f>IF(AND('Scheduled Intervals'!BN$4="annual",'Plan Summary'!$C$5&lt;'Scheduled Intervals'!$U25*('Plan Summary'!$C$9/12)),ROUND('Parts Cost Per Job'!BN25*((1+$B$37)*$B$38)*ROUND('Plan Summary'!$C$9/12,0),2),0)</f>
        <v>342.52</v>
      </c>
      <c r="BO96" s="246">
        <f>IF(AND('Scheduled Intervals'!BO$4="annual",'Plan Summary'!$C$5&lt;'Scheduled Intervals'!$U25*('Plan Summary'!$C$9/12)),ROUND('Parts Cost Per Job'!BO25*((1+$B$37)*$B$38)*ROUND('Plan Summary'!$C$9/12,0),2),0)</f>
        <v>55.33</v>
      </c>
      <c r="BP96" s="246">
        <f>IF(AND('Scheduled Intervals'!BP$4="annual",'Plan Summary'!$C$5&lt;'Scheduled Intervals'!$U25*('Plan Summary'!$C$9/12)),ROUND('Parts Cost Per Job'!BP25*((1+$B$37)*$B$38)*ROUND('Plan Summary'!$C$9/12,0),2),0)</f>
        <v>0</v>
      </c>
      <c r="BQ96" s="246">
        <f t="shared" si="3"/>
        <v>685.35</v>
      </c>
      <c r="BR96" s="246"/>
    </row>
    <row r="97" spans="1:70" ht="16" x14ac:dyDescent="0.2">
      <c r="A97" s="18" t="str">
        <f>+'Scheduled Intervals'!A26</f>
        <v>Sany SY up to 60</v>
      </c>
      <c r="B97" s="246">
        <f>ROUND((('Parts Cost Per Job'!B26)*((1+$B$37)*$B$38)),2)</f>
        <v>80.59</v>
      </c>
      <c r="C97" s="246">
        <f>ROUND((('Parts Cost Per Job'!C26)*((1+$B$37)*$B$38)),2)</f>
        <v>0</v>
      </c>
      <c r="D97" s="246">
        <f>ROUND((('Parts Cost Per Job'!D26)*((1+$B$37)*$B$38)),2)</f>
        <v>0</v>
      </c>
      <c r="E97" s="246">
        <f>ROUND((('Parts Cost Per Job'!E26)*((1+$B$37)*$B$38)),2)</f>
        <v>0</v>
      </c>
      <c r="F97" s="246">
        <f>ROUND((('Parts Cost Per Job'!F26)*((1+$B$37)*$B$38)),2)</f>
        <v>0</v>
      </c>
      <c r="G97" s="246">
        <f>ROUND((('Parts Cost Per Job'!G26)*((1+$B$37)*$B$38)),2)</f>
        <v>0</v>
      </c>
      <c r="H97" s="246">
        <f>ROUND((('Parts Cost Per Job'!H26)*((1+$B$37)*$B$38)),2)</f>
        <v>11.07</v>
      </c>
      <c r="I97" s="246">
        <f>ROUND((('Parts Cost Per Job'!I26)*((1+$B$37)*$B$38)),2)</f>
        <v>0</v>
      </c>
      <c r="J97" s="246">
        <f>ROUND((('Parts Cost Per Job'!J26)*((1+$B$37)*$B$38)),2)</f>
        <v>0</v>
      </c>
      <c r="K97" s="246">
        <f>ROUND((('Parts Cost Per Job'!K26)*((1+$B$37)*$B$38)),2)</f>
        <v>0</v>
      </c>
      <c r="L97" s="246">
        <f>ROUND((('Parts Cost Per Job'!L26)*((1+$B$37)*$B$38)),2)</f>
        <v>0</v>
      </c>
      <c r="M97" s="246">
        <f>ROUND((('Parts Cost Per Job'!M26)*((1+$B$37)*$B$38)),2)</f>
        <v>0</v>
      </c>
      <c r="N97" s="246">
        <f>ROUND((('Parts Cost Per Job'!N26)*((1+$B$37)*$B$38)),2)</f>
        <v>0</v>
      </c>
      <c r="O97" s="246">
        <f>ROUND((('Parts Cost Per Job'!O26)*((1+$B$37)*$B$38)),2)</f>
        <v>0</v>
      </c>
      <c r="P97" s="246">
        <f>ROUND((('Parts Cost Per Job'!P26)*((1+$B$37)*$B$38)),2)</f>
        <v>0</v>
      </c>
      <c r="Q97" s="246">
        <f>ROUND((('Parts Cost Per Job'!Q26)*((1+$B$37)*$B$38)),2)</f>
        <v>110.28</v>
      </c>
      <c r="R97" s="246">
        <f>ROUND((('Parts Cost Per Job'!R26)*((1+$B$37)*$B$38)),2)</f>
        <v>18.079999999999998</v>
      </c>
      <c r="S97" s="246">
        <f>ROUND((('Parts Cost Per Job'!S26)*((1+$B$37)*$B$38)),2)</f>
        <v>0</v>
      </c>
      <c r="T97" s="246">
        <f>ROUND((('Parts Cost Per Job'!T26)*((1+$B$37)*$B$38)),2)</f>
        <v>0</v>
      </c>
      <c r="U97" s="246">
        <f>IF('Scheduled Intervals'!U26&gt;0,ROUND(('Parts Cost Per Job'!U26*((1+$B$37)*$B$38))*ROUNDDOWN($B$1/'Scheduled Intervals'!U26,0),2),0)</f>
        <v>80.59</v>
      </c>
      <c r="V97" s="246">
        <f>IF('Scheduled Intervals'!V26&gt;0,ROUND(('Parts Cost Per Job'!V26*((1+$B$37)*$B$38))*ROUNDDOWN($B$1/'Scheduled Intervals'!V26,0),2),0)</f>
        <v>0</v>
      </c>
      <c r="W97" s="246">
        <f>IF('Scheduled Intervals'!W26&gt;0,ROUND(('Parts Cost Per Job'!W26*((1+$B$37)*$B$38))*ROUNDDOWN($B$1/'Scheduled Intervals'!W26,0),2),0)</f>
        <v>0</v>
      </c>
      <c r="X97" s="246">
        <f>IF('Scheduled Intervals'!X26&gt;0,ROUND(('Parts Cost Per Job'!X26*((1+$B$37)*$B$38))*ROUNDDOWN($B$1/'Scheduled Intervals'!X26,0),2),0)</f>
        <v>0</v>
      </c>
      <c r="Y97" s="246">
        <f>IF('Scheduled Intervals'!Y26&gt;0,ROUND(('Parts Cost Per Job'!Y26*((1+$B$37)*$B$38))*ROUNDDOWN($B$1/'Scheduled Intervals'!Y26,0),2),0)</f>
        <v>0</v>
      </c>
      <c r="Z97" s="246">
        <f>IF('Scheduled Intervals'!Z26&gt;0,ROUND(('Parts Cost Per Job'!Z26*((1+$B$37)*$B$38))*ROUNDDOWN($B$1/'Scheduled Intervals'!Z26,0),2),0)</f>
        <v>0</v>
      </c>
      <c r="AA97" s="246">
        <f>IF('Scheduled Intervals'!AA26&gt;0,ROUND(('Parts Cost Per Job'!AA26*((1+$B$37)*$B$38))*ROUNDDOWN($B$1/'Scheduled Intervals'!AA26,0),2),0)</f>
        <v>0</v>
      </c>
      <c r="AB97" s="246">
        <f>IF('Scheduled Intervals'!AB26&gt;0,ROUND(('Parts Cost Per Job'!AB26*((1+$B$37)*$B$38))*ROUNDDOWN($B$1/'Scheduled Intervals'!AB26,0),2),0)</f>
        <v>0</v>
      </c>
      <c r="AC97" s="246">
        <f>IF('Scheduled Intervals'!AC26&gt;0,ROUND(('Parts Cost Per Job'!AC26*((1+$B$37)*$B$38))*ROUNDDOWN($B$1/'Scheduled Intervals'!AC26,0),2),0)</f>
        <v>0</v>
      </c>
      <c r="AD97" s="246">
        <f>IF('Scheduled Intervals'!AD26&gt;0,ROUND(('Parts Cost Per Job'!AD26*((1+$B$37)*$B$38))*ROUNDDOWN($B$1/'Scheduled Intervals'!AD26,0),2),0)</f>
        <v>0</v>
      </c>
      <c r="AE97" s="246">
        <f>IF('Scheduled Intervals'!AE26&gt;0,ROUND(('Parts Cost Per Job'!AE26*((1+$B$37)*$B$38))*ROUNDDOWN($B$1/'Scheduled Intervals'!AE26,0),2),0)</f>
        <v>0</v>
      </c>
      <c r="AF97" s="246">
        <f>IF('Scheduled Intervals'!AF26&gt;0,ROUND(('Parts Cost Per Job'!AF26*((1+$B$37)*$B$38))*ROUNDDOWN($B$1/'Scheduled Intervals'!AF26,0),2),0)</f>
        <v>0</v>
      </c>
      <c r="AG97" s="246">
        <f>IF('Scheduled Intervals'!AG26&gt;0,ROUND(('Parts Cost Per Job'!AG26*((1+$B$37)*$B$38))*ROUNDDOWN($B$1/'Scheduled Intervals'!AG26,0),2),0)</f>
        <v>0</v>
      </c>
      <c r="AH97" s="246">
        <f>IF('Scheduled Intervals'!AH26&gt;0,ROUND(('Parts Cost Per Job'!AH26*((1+$B$37)*$B$38))*ROUNDDOWN($B$1/'Scheduled Intervals'!AH26,0),2),0)</f>
        <v>0</v>
      </c>
      <c r="AI97" s="246">
        <f>IF('Scheduled Intervals'!AI26&gt;0,ROUND(('Parts Cost Per Job'!AI26*((1+$B$37)*$B$38))*ROUNDDOWN($B$1/'Scheduled Intervals'!AI26,0),2),0)</f>
        <v>0</v>
      </c>
      <c r="AJ97" s="246">
        <f>IF('Scheduled Intervals'!AJ26&gt;0,ROUND(('Parts Cost Per Job'!AJ26*((1+$B$37)*$B$38))*ROUNDDOWN($B$1/'Scheduled Intervals'!AJ26,0),2),0)</f>
        <v>0</v>
      </c>
      <c r="AK97" s="246">
        <f>IF('Scheduled Intervals'!AK26&gt;0,ROUND(('Parts Cost Per Job'!AK26*((1+$B$37)*$B$38))*ROUNDDOWN($B$1/'Scheduled Intervals'!AK26,0),2),0)</f>
        <v>0</v>
      </c>
      <c r="AL97" s="246">
        <f>IF('Scheduled Intervals'!AL26&gt;0,ROUND(('Parts Cost Per Job'!AL26*((1+$B$37)*$B$38))*ROUNDDOWN($B$1/'Scheduled Intervals'!AL26,0),2),0)</f>
        <v>0</v>
      </c>
      <c r="AM97" s="246">
        <f>IF('Scheduled Intervals'!AM26&gt;0,ROUND(('Parts Cost Per Job'!AM26*((1+$B$37)*$B$38))*ROUNDDOWN($B$1/'Scheduled Intervals'!AM26,0),2),0)</f>
        <v>0</v>
      </c>
      <c r="AN97" s="246">
        <f>IF('Scheduled Intervals'!AN26&gt;0,ROUND(('Parts Cost Per Job'!AN26*((1+$B$37)*$B$38))*ROUNDDOWN($B$1/'Scheduled Intervals'!AN26,0),2),0)</f>
        <v>0</v>
      </c>
      <c r="AO97" s="246">
        <f>IF('Scheduled Intervals'!AO26&gt;0,ROUND(('Parts Cost Per Job'!AO26*((1+$B$37)*$B$38))*ROUNDDOWN($B$1/'Scheduled Intervals'!AO26,0),2),0)</f>
        <v>0</v>
      </c>
      <c r="AP97" s="246">
        <f>IF('Scheduled Intervals'!AP26&gt;0,ROUND(('Parts Cost Per Job'!AP26*((1+$B$37)*$B$38))*ROUNDDOWN($B$1/'Scheduled Intervals'!AP26,0),2),0)</f>
        <v>0</v>
      </c>
      <c r="AQ97" s="246">
        <f>IF('Scheduled Intervals'!AQ26&gt;0,ROUND(('Parts Cost Per Job'!AQ26*((1+$B$37)*$B$38))*ROUNDDOWN($B$1/'Scheduled Intervals'!AQ26,0),2),0)</f>
        <v>0</v>
      </c>
      <c r="AR97" s="246">
        <f>IF('Scheduled Intervals'!AR26&gt;0,ROUND(('Parts Cost Per Job'!AR26*((1+$B$37)*$B$38))*ROUNDDOWN($B$1/'Scheduled Intervals'!AR26,0),2),0)</f>
        <v>0</v>
      </c>
      <c r="AS97" s="246">
        <f>IF('Scheduled Intervals'!AS26&gt;0,ROUND(('Parts Cost Per Job'!AS26*((1+$B$37)*$B$38))*ROUNDDOWN($B$1/'Scheduled Intervals'!AS26,0),2),0)</f>
        <v>0</v>
      </c>
      <c r="AT97" s="246">
        <f>IF('Scheduled Intervals'!AT26&gt;0,ROUND(('Parts Cost Per Job'!AT26*((1+$B$37)*$B$38))*ROUNDDOWN($B$1/'Scheduled Intervals'!AT26,0),2),0)</f>
        <v>11.07</v>
      </c>
      <c r="AU97" s="246">
        <f>IF('Scheduled Intervals'!AU26&gt;0,ROUND(('Parts Cost Per Job'!AU26*((1+$B$37)*$B$38))*ROUNDDOWN($B$1/'Scheduled Intervals'!AU26,0),2),0)</f>
        <v>0</v>
      </c>
      <c r="AV97" s="246">
        <f>IF('Scheduled Intervals'!AV26&gt;0,ROUND(('Parts Cost Per Job'!AV26*((1+$B$37)*$B$38))*ROUNDDOWN($B$1/'Scheduled Intervals'!AV26,0),2),0)</f>
        <v>0</v>
      </c>
      <c r="AW97" s="246">
        <f>IF('Scheduled Intervals'!AW26&gt;0,ROUND(('Parts Cost Per Job'!AW26*((1+$B$37)*$B$38))*ROUNDDOWN($B$1/'Scheduled Intervals'!AW26,0),2),0)</f>
        <v>0</v>
      </c>
      <c r="AX97" s="246">
        <f>IF('Scheduled Intervals'!AX26&gt;0,ROUND(('Parts Cost Per Job'!AX26*((1+$B$37)*$B$38))*ROUNDDOWN($B$1/'Scheduled Intervals'!AX26,0),2),0)</f>
        <v>0</v>
      </c>
      <c r="AY97" s="246">
        <f>IF('Scheduled Intervals'!AY26&gt;0,ROUND(('Parts Cost Per Job'!AY26*((1+$B$37)*$B$38))*ROUNDDOWN($B$1/'Scheduled Intervals'!AY26,0),2),0)</f>
        <v>0</v>
      </c>
      <c r="AZ97" s="246">
        <f>IF('Scheduled Intervals'!AZ26&gt;0,ROUND(('Parts Cost Per Job'!AZ26*((1+$B$37)*$B$38))*ROUNDDOWN($B$1/'Scheduled Intervals'!AZ26,0),2),0)</f>
        <v>0</v>
      </c>
      <c r="BA97" s="246">
        <f>IF('Scheduled Intervals'!BA26&gt;0,ROUND(('Parts Cost Per Job'!BA26*((1+$B$37)*$B$38))*ROUNDDOWN($B$1/'Scheduled Intervals'!BA26,0),2),0)</f>
        <v>0</v>
      </c>
      <c r="BB97" s="246">
        <f>IF('Scheduled Intervals'!BB26&gt;0,ROUND(('Parts Cost Per Job'!BB26*((1+$B$37)*$B$38))*ROUNDDOWN($B$1/'Scheduled Intervals'!BB26,0),2),0)</f>
        <v>0</v>
      </c>
      <c r="BC97" s="246">
        <f>IF('Scheduled Intervals'!BC26&gt;0,ROUND(('Parts Cost Per Job'!BC26*((1+$B$37)*$B$38))*ROUNDDOWN($B$1/'Scheduled Intervals'!BC26,0),2),0)</f>
        <v>0</v>
      </c>
      <c r="BD97" s="246">
        <f>IF('Scheduled Intervals'!BD26&gt;0,ROUND(('Parts Cost Per Job'!BD26*((1+$B$37)*$B$38))*ROUNDDOWN($B$1/'Scheduled Intervals'!BD26,0),2),0)</f>
        <v>0</v>
      </c>
      <c r="BE97" s="246">
        <f>IF('Scheduled Intervals'!BE26&gt;0,ROUND(('Parts Cost Per Job'!BE26*((1+$B$37)*$B$38))*ROUNDDOWN($B$1/'Scheduled Intervals'!BE26,0),2),0)</f>
        <v>0</v>
      </c>
      <c r="BF97" s="246">
        <f>IF('Scheduled Intervals'!BF26&gt;0,ROUND(('Parts Cost Per Job'!BF26*((1+$B$37)*$B$38))*ROUNDDOWN($B$1/'Scheduled Intervals'!BF26,0),2),0)</f>
        <v>0</v>
      </c>
      <c r="BG97" s="246">
        <f>IF('Scheduled Intervals'!BG26&gt;0,ROUND(('Parts Cost Per Job'!BG26*((1+$B$37)*$B$38))*ROUNDDOWN($B$1/'Scheduled Intervals'!BG26,0),2),0)</f>
        <v>0</v>
      </c>
      <c r="BH97" s="246">
        <f>IF('Scheduled Intervals'!BH26&gt;0,ROUND(('Parts Cost Per Job'!BH26*((1+$B$37)*$B$38))*ROUNDDOWN($B$1/'Scheduled Intervals'!BH26,0),2),0)</f>
        <v>0</v>
      </c>
      <c r="BI97" s="246">
        <f>IF('Scheduled Intervals'!BI26&gt;0,ROUND(('Parts Cost Per Job'!BI26*((1+$B$37)*$B$38))*ROUNDDOWN($B$1/'Scheduled Intervals'!BI26,0),2),0)</f>
        <v>0</v>
      </c>
      <c r="BJ97" s="246">
        <f>IF('Scheduled Intervals'!BJ26&gt;0,ROUND(('Parts Cost Per Job'!BJ26*((1+$B$37)*$B$38))*ROUNDDOWN($B$1/'Scheduled Intervals'!BJ26,0),2),0)</f>
        <v>0</v>
      </c>
      <c r="BK97" s="246">
        <f>IF('Scheduled Intervals'!BK26&gt;0,ROUND(('Parts Cost Per Job'!BK26*((1+$B$37)*$B$38))*ROUNDDOWN($B$1/'Scheduled Intervals'!BK26,0),2),0)</f>
        <v>0</v>
      </c>
      <c r="BL97" s="246">
        <f>IF('Scheduled Intervals'!BL26&gt;0,ROUND(('Parts Cost Per Job'!BL26*((1+$B$37)*$B$38))*ROUNDDOWN($B$1/'Scheduled Intervals'!BL26,0),2),0)</f>
        <v>0</v>
      </c>
      <c r="BM97" s="246">
        <f>IF('Scheduled Intervals'!BM26&gt;0,ROUND(('Parts Cost Per Job'!BM26*((1+$B$37)*$B$38))*ROUNDDOWN($B$1/'Scheduled Intervals'!BM26,0),2),0)</f>
        <v>0</v>
      </c>
      <c r="BN97" s="246">
        <f>IF(AND('Scheduled Intervals'!BN$4="annual",'Plan Summary'!$C$5&lt;'Scheduled Intervals'!$U26*('Plan Summary'!$C$9/12)),ROUND('Parts Cost Per Job'!BN26*((1+$B$37)*$B$38)*ROUND('Plan Summary'!$C$9/12,0),2),0)</f>
        <v>402.95</v>
      </c>
      <c r="BO97" s="246">
        <f>IF(AND('Scheduled Intervals'!BO$4="annual",'Plan Summary'!$C$5&lt;'Scheduled Intervals'!$U26*('Plan Summary'!$C$9/12)),ROUND('Parts Cost Per Job'!BO26*((1+$B$37)*$B$38)*ROUND('Plan Summary'!$C$9/12,0),2),0)</f>
        <v>55.33</v>
      </c>
      <c r="BP97" s="246">
        <f>IF(AND('Scheduled Intervals'!BP$4="annual",'Plan Summary'!$C$5&lt;'Scheduled Intervals'!$U26*('Plan Summary'!$C$9/12)),ROUND('Parts Cost Per Job'!BP26*((1+$B$37)*$B$38)*ROUND('Plan Summary'!$C$9/12,0),2),0)</f>
        <v>0</v>
      </c>
      <c r="BQ97" s="246">
        <f t="shared" si="3"/>
        <v>769.96</v>
      </c>
      <c r="BR97" s="246"/>
    </row>
    <row r="98" spans="1:70" ht="16" x14ac:dyDescent="0.2">
      <c r="A98" s="18" t="str">
        <f>+'Scheduled Intervals'!A27</f>
        <v>Sany SY up to 155</v>
      </c>
      <c r="B98" s="246">
        <f>ROUND((('Parts Cost Per Job'!B27)*((1+$B$37)*$B$38)),2)</f>
        <v>116.84</v>
      </c>
      <c r="C98" s="246">
        <f>ROUND((('Parts Cost Per Job'!C27)*((1+$B$37)*$B$38)),2)</f>
        <v>0</v>
      </c>
      <c r="D98" s="246">
        <f>ROUND((('Parts Cost Per Job'!D27)*((1+$B$37)*$B$38)),2)</f>
        <v>0</v>
      </c>
      <c r="E98" s="246">
        <f>ROUND((('Parts Cost Per Job'!E27)*((1+$B$37)*$B$38)),2)</f>
        <v>0</v>
      </c>
      <c r="F98" s="246">
        <f>ROUND((('Parts Cost Per Job'!F27)*((1+$B$37)*$B$38)),2)</f>
        <v>0</v>
      </c>
      <c r="G98" s="246">
        <f>ROUND((('Parts Cost Per Job'!G27)*((1+$B$37)*$B$38)),2)</f>
        <v>0</v>
      </c>
      <c r="H98" s="246">
        <f>ROUND((('Parts Cost Per Job'!H27)*((1+$B$37)*$B$38)),2)</f>
        <v>11.07</v>
      </c>
      <c r="I98" s="246">
        <f>ROUND((('Parts Cost Per Job'!I27)*((1+$B$37)*$B$38)),2)</f>
        <v>0</v>
      </c>
      <c r="J98" s="246">
        <f>ROUND((('Parts Cost Per Job'!J27)*((1+$B$37)*$B$38)),2)</f>
        <v>0</v>
      </c>
      <c r="K98" s="246">
        <f>ROUND((('Parts Cost Per Job'!K27)*((1+$B$37)*$B$38)),2)</f>
        <v>0</v>
      </c>
      <c r="L98" s="246">
        <f>ROUND((('Parts Cost Per Job'!L27)*((1+$B$37)*$B$38)),2)</f>
        <v>0</v>
      </c>
      <c r="M98" s="246">
        <f>ROUND((('Parts Cost Per Job'!M27)*((1+$B$37)*$B$38)),2)</f>
        <v>0</v>
      </c>
      <c r="N98" s="246">
        <f>ROUND((('Parts Cost Per Job'!N27)*((1+$B$37)*$B$38)),2)</f>
        <v>0</v>
      </c>
      <c r="O98" s="246">
        <f>ROUND((('Parts Cost Per Job'!O27)*((1+$B$37)*$B$38)),2)</f>
        <v>0</v>
      </c>
      <c r="P98" s="246">
        <f>ROUND((('Parts Cost Per Job'!P27)*((1+$B$37)*$B$38)),2)</f>
        <v>0</v>
      </c>
      <c r="Q98" s="246">
        <f>ROUND((('Parts Cost Per Job'!Q27)*((1+$B$37)*$B$38)),2)</f>
        <v>110.28</v>
      </c>
      <c r="R98" s="246">
        <f>ROUND((('Parts Cost Per Job'!R27)*((1+$B$37)*$B$38)),2)</f>
        <v>0</v>
      </c>
      <c r="S98" s="246">
        <f>ROUND((('Parts Cost Per Job'!S27)*((1+$B$37)*$B$38)),2)</f>
        <v>0</v>
      </c>
      <c r="T98" s="246">
        <f>ROUND((('Parts Cost Per Job'!T27)*((1+$B$37)*$B$38)),2)</f>
        <v>0</v>
      </c>
      <c r="U98" s="246">
        <f>IF('Scheduled Intervals'!U27&gt;0,ROUND(('Parts Cost Per Job'!U27*((1+$B$37)*$B$38))*ROUNDDOWN($B$1/'Scheduled Intervals'!U27,0),2),0)</f>
        <v>0</v>
      </c>
      <c r="V98" s="246">
        <f>IF('Scheduled Intervals'!V27&gt;0,ROUND(('Parts Cost Per Job'!V27*((1+$B$37)*$B$38))*ROUNDDOWN($B$1/'Scheduled Intervals'!V27,0),2),0)</f>
        <v>0</v>
      </c>
      <c r="W98" s="246">
        <f>IF('Scheduled Intervals'!W27&gt;0,ROUND(('Parts Cost Per Job'!W27*((1+$B$37)*$B$38))*ROUNDDOWN($B$1/'Scheduled Intervals'!W27,0),2),0)</f>
        <v>0</v>
      </c>
      <c r="X98" s="246">
        <f>IF('Scheduled Intervals'!X27&gt;0,ROUND(('Parts Cost Per Job'!X27*((1+$B$37)*$B$38))*ROUNDDOWN($B$1/'Scheduled Intervals'!X27,0),2),0)</f>
        <v>0</v>
      </c>
      <c r="Y98" s="246">
        <f>IF('Scheduled Intervals'!Y27&gt;0,ROUND(('Parts Cost Per Job'!Y27*((1+$B$37)*$B$38))*ROUNDDOWN($B$1/'Scheduled Intervals'!Y27,0),2),0)</f>
        <v>0</v>
      </c>
      <c r="Z98" s="246">
        <f>IF('Scheduled Intervals'!Z27&gt;0,ROUND(('Parts Cost Per Job'!Z27*((1+$B$37)*$B$38))*ROUNDDOWN($B$1/'Scheduled Intervals'!Z27,0),2),0)</f>
        <v>0</v>
      </c>
      <c r="AA98" s="246">
        <f>IF('Scheduled Intervals'!AA27&gt;0,ROUND(('Parts Cost Per Job'!AA27*((1+$B$37)*$B$38))*ROUNDDOWN($B$1/'Scheduled Intervals'!AA27,0),2),0)</f>
        <v>0</v>
      </c>
      <c r="AB98" s="246">
        <f>IF('Scheduled Intervals'!AB27&gt;0,ROUND(('Parts Cost Per Job'!AB27*((1+$B$37)*$B$38))*ROUNDDOWN($B$1/'Scheduled Intervals'!AB27,0),2),0)</f>
        <v>0</v>
      </c>
      <c r="AC98" s="246">
        <f>IF('Scheduled Intervals'!AC27&gt;0,ROUND(('Parts Cost Per Job'!AC27*((1+$B$37)*$B$38))*ROUNDDOWN($B$1/'Scheduled Intervals'!AC27,0),2),0)</f>
        <v>0</v>
      </c>
      <c r="AD98" s="246">
        <f>IF('Scheduled Intervals'!AD27&gt;0,ROUND(('Parts Cost Per Job'!AD27*((1+$B$37)*$B$38))*ROUNDDOWN($B$1/'Scheduled Intervals'!AD27,0),2),0)</f>
        <v>0</v>
      </c>
      <c r="AE98" s="246">
        <f>IF('Scheduled Intervals'!AE27&gt;0,ROUND(('Parts Cost Per Job'!AE27*((1+$B$37)*$B$38))*ROUNDDOWN($B$1/'Scheduled Intervals'!AE27,0),2),0)</f>
        <v>0</v>
      </c>
      <c r="AF98" s="246">
        <f>IF('Scheduled Intervals'!AF27&gt;0,ROUND(('Parts Cost Per Job'!AF27*((1+$B$37)*$B$38))*ROUNDDOWN($B$1/'Scheduled Intervals'!AF27,0),2),0)</f>
        <v>0</v>
      </c>
      <c r="AG98" s="246">
        <f>IF('Scheduled Intervals'!AG27&gt;0,ROUND(('Parts Cost Per Job'!AG27*((1+$B$37)*$B$38))*ROUNDDOWN($B$1/'Scheduled Intervals'!AG27,0),2),0)</f>
        <v>0</v>
      </c>
      <c r="AH98" s="246">
        <f>IF('Scheduled Intervals'!AH27&gt;0,ROUND(('Parts Cost Per Job'!AH27*((1+$B$37)*$B$38))*ROUNDDOWN($B$1/'Scheduled Intervals'!AH27,0),2),0)</f>
        <v>0</v>
      </c>
      <c r="AI98" s="246">
        <f>IF('Scheduled Intervals'!AI27&gt;0,ROUND(('Parts Cost Per Job'!AI27*((1+$B$37)*$B$38))*ROUNDDOWN($B$1/'Scheduled Intervals'!AI27,0),2),0)</f>
        <v>0</v>
      </c>
      <c r="AJ98" s="246">
        <f>IF('Scheduled Intervals'!AJ27&gt;0,ROUND(('Parts Cost Per Job'!AJ27*((1+$B$37)*$B$38))*ROUNDDOWN($B$1/'Scheduled Intervals'!AJ27,0),2),0)</f>
        <v>0</v>
      </c>
      <c r="AK98" s="246">
        <f>IF('Scheduled Intervals'!AK27&gt;0,ROUND(('Parts Cost Per Job'!AK27*((1+$B$37)*$B$38))*ROUNDDOWN($B$1/'Scheduled Intervals'!AK27,0),2),0)</f>
        <v>0</v>
      </c>
      <c r="AL98" s="246">
        <f>IF('Scheduled Intervals'!AL27&gt;0,ROUND(('Parts Cost Per Job'!AL27*((1+$B$37)*$B$38))*ROUNDDOWN($B$1/'Scheduled Intervals'!AL27,0),2),0)</f>
        <v>0</v>
      </c>
      <c r="AM98" s="246">
        <f>IF('Scheduled Intervals'!AM27&gt;0,ROUND(('Parts Cost Per Job'!AM27*((1+$B$37)*$B$38))*ROUNDDOWN($B$1/'Scheduled Intervals'!AM27,0),2),0)</f>
        <v>0</v>
      </c>
      <c r="AN98" s="246">
        <f>IF('Scheduled Intervals'!AN27&gt;0,ROUND(('Parts Cost Per Job'!AN27*((1+$B$37)*$B$38))*ROUNDDOWN($B$1/'Scheduled Intervals'!AN27,0),2),0)</f>
        <v>0</v>
      </c>
      <c r="AO98" s="246">
        <f>IF('Scheduled Intervals'!AO27&gt;0,ROUND(('Parts Cost Per Job'!AO27*((1+$B$37)*$B$38))*ROUNDDOWN($B$1/'Scheduled Intervals'!AO27,0),2),0)</f>
        <v>0</v>
      </c>
      <c r="AP98" s="246">
        <f>IF('Scheduled Intervals'!AP27&gt;0,ROUND(('Parts Cost Per Job'!AP27*((1+$B$37)*$B$38))*ROUNDDOWN($B$1/'Scheduled Intervals'!AP27,0),2),0)</f>
        <v>0</v>
      </c>
      <c r="AQ98" s="246">
        <f>IF('Scheduled Intervals'!AQ27&gt;0,ROUND(('Parts Cost Per Job'!AQ27*((1+$B$37)*$B$38))*ROUNDDOWN($B$1/'Scheduled Intervals'!AQ27,0),2),0)</f>
        <v>0</v>
      </c>
      <c r="AR98" s="246">
        <f>IF('Scheduled Intervals'!AR27&gt;0,ROUND(('Parts Cost Per Job'!AR27*((1+$B$37)*$B$38))*ROUNDDOWN($B$1/'Scheduled Intervals'!AR27,0),2),0)</f>
        <v>0</v>
      </c>
      <c r="AS98" s="246">
        <f>IF('Scheduled Intervals'!AS27&gt;0,ROUND(('Parts Cost Per Job'!AS27*((1+$B$37)*$B$38))*ROUNDDOWN($B$1/'Scheduled Intervals'!AS27,0),2),0)</f>
        <v>0</v>
      </c>
      <c r="AT98" s="246">
        <f>IF('Scheduled Intervals'!AT27&gt;0,ROUND(('Parts Cost Per Job'!AT27*((1+$B$37)*$B$38))*ROUNDDOWN($B$1/'Scheduled Intervals'!AT27,0),2),0)</f>
        <v>0</v>
      </c>
      <c r="AU98" s="246">
        <f>IF('Scheduled Intervals'!AU27&gt;0,ROUND(('Parts Cost Per Job'!AU27*((1+$B$37)*$B$38))*ROUNDDOWN($B$1/'Scheduled Intervals'!AU27,0),2),0)</f>
        <v>0</v>
      </c>
      <c r="AV98" s="246">
        <f>IF('Scheduled Intervals'!AV27&gt;0,ROUND(('Parts Cost Per Job'!AV27*((1+$B$37)*$B$38))*ROUNDDOWN($B$1/'Scheduled Intervals'!AV27,0),2),0)</f>
        <v>0</v>
      </c>
      <c r="AW98" s="246">
        <f>IF('Scheduled Intervals'!AW27&gt;0,ROUND(('Parts Cost Per Job'!AW27*((1+$B$37)*$B$38))*ROUNDDOWN($B$1/'Scheduled Intervals'!AW27,0),2),0)</f>
        <v>0</v>
      </c>
      <c r="AX98" s="246">
        <f>IF('Scheduled Intervals'!AX27&gt;0,ROUND(('Parts Cost Per Job'!AX27*((1+$B$37)*$B$38))*ROUNDDOWN($B$1/'Scheduled Intervals'!AX27,0),2),0)</f>
        <v>0</v>
      </c>
      <c r="AY98" s="246">
        <f>IF('Scheduled Intervals'!AY27&gt;0,ROUND(('Parts Cost Per Job'!AY27*((1+$B$37)*$B$38))*ROUNDDOWN($B$1/'Scheduled Intervals'!AY27,0),2),0)</f>
        <v>0</v>
      </c>
      <c r="AZ98" s="246">
        <f>IF('Scheduled Intervals'!AZ27&gt;0,ROUND(('Parts Cost Per Job'!AZ27*((1+$B$37)*$B$38))*ROUNDDOWN($B$1/'Scheduled Intervals'!AZ27,0),2),0)</f>
        <v>0</v>
      </c>
      <c r="BA98" s="246">
        <f>IF('Scheduled Intervals'!BA27&gt;0,ROUND(('Parts Cost Per Job'!BA27*((1+$B$37)*$B$38))*ROUNDDOWN($B$1/'Scheduled Intervals'!BA27,0),2),0)</f>
        <v>0</v>
      </c>
      <c r="BB98" s="246">
        <f>IF('Scheduled Intervals'!BB27&gt;0,ROUND(('Parts Cost Per Job'!BB27*((1+$B$37)*$B$38))*ROUNDDOWN($B$1/'Scheduled Intervals'!BB27,0),2),0)</f>
        <v>0</v>
      </c>
      <c r="BC98" s="246">
        <f>IF('Scheduled Intervals'!BC27&gt;0,ROUND(('Parts Cost Per Job'!BC27*((1+$B$37)*$B$38))*ROUNDDOWN($B$1/'Scheduled Intervals'!BC27,0),2),0)</f>
        <v>0</v>
      </c>
      <c r="BD98" s="246">
        <f>IF('Scheduled Intervals'!BD27&gt;0,ROUND(('Parts Cost Per Job'!BD27*((1+$B$37)*$B$38))*ROUNDDOWN($B$1/'Scheduled Intervals'!BD27,0),2),0)</f>
        <v>0</v>
      </c>
      <c r="BE98" s="246">
        <f>IF('Scheduled Intervals'!BE27&gt;0,ROUND(('Parts Cost Per Job'!BE27*((1+$B$37)*$B$38))*ROUNDDOWN($B$1/'Scheduled Intervals'!BE27,0),2),0)</f>
        <v>0</v>
      </c>
      <c r="BF98" s="246">
        <f>IF('Scheduled Intervals'!BF27&gt;0,ROUND(('Parts Cost Per Job'!BF27*((1+$B$37)*$B$38))*ROUNDDOWN($B$1/'Scheduled Intervals'!BF27,0),2),0)</f>
        <v>0</v>
      </c>
      <c r="BG98" s="246">
        <f>IF('Scheduled Intervals'!BG27&gt;0,ROUND(('Parts Cost Per Job'!BG27*((1+$B$37)*$B$38))*ROUNDDOWN($B$1/'Scheduled Intervals'!BG27,0),2),0)</f>
        <v>0</v>
      </c>
      <c r="BH98" s="246">
        <f>IF('Scheduled Intervals'!BH27&gt;0,ROUND(('Parts Cost Per Job'!BH27*((1+$B$37)*$B$38))*ROUNDDOWN($B$1/'Scheduled Intervals'!BH27,0),2),0)</f>
        <v>0</v>
      </c>
      <c r="BI98" s="246">
        <f>IF('Scheduled Intervals'!BI27&gt;0,ROUND(('Parts Cost Per Job'!BI27*((1+$B$37)*$B$38))*ROUNDDOWN($B$1/'Scheduled Intervals'!BI27,0),2),0)</f>
        <v>0</v>
      </c>
      <c r="BJ98" s="246">
        <f>IF('Scheduled Intervals'!BJ27&gt;0,ROUND(('Parts Cost Per Job'!BJ27*((1+$B$37)*$B$38))*ROUNDDOWN($B$1/'Scheduled Intervals'!BJ27,0),2),0)</f>
        <v>0</v>
      </c>
      <c r="BK98" s="246">
        <f>IF('Scheduled Intervals'!BK27&gt;0,ROUND(('Parts Cost Per Job'!BK27*((1+$B$37)*$B$38))*ROUNDDOWN($B$1/'Scheduled Intervals'!BK27,0),2),0)</f>
        <v>0</v>
      </c>
      <c r="BL98" s="246">
        <f>IF('Scheduled Intervals'!BL27&gt;0,ROUND(('Parts Cost Per Job'!BL27*((1+$B$37)*$B$38))*ROUNDDOWN($B$1/'Scheduled Intervals'!BL27,0),2),0)</f>
        <v>0</v>
      </c>
      <c r="BM98" s="246">
        <f>IF('Scheduled Intervals'!BM27&gt;0,ROUND(('Parts Cost Per Job'!BM27*((1+$B$37)*$B$38))*ROUNDDOWN($B$1/'Scheduled Intervals'!BM27,0),2),0)</f>
        <v>0</v>
      </c>
      <c r="BN98" s="246">
        <f>IF(AND('Scheduled Intervals'!BN$4="annual",'Plan Summary'!$C$5&lt;'Scheduled Intervals'!$U27*('Plan Summary'!$C$9/12)),ROUND('Parts Cost Per Job'!BN27*((1+$B$37)*$B$38)*ROUND('Plan Summary'!$C$9/12,0),2),0)</f>
        <v>584.22</v>
      </c>
      <c r="BO98" s="246">
        <f>IF(AND('Scheduled Intervals'!BO$4="annual",'Plan Summary'!$C$5&lt;'Scheduled Intervals'!$U27*('Plan Summary'!$C$9/12)),ROUND('Parts Cost Per Job'!BO27*((1+$B$37)*$B$38)*ROUND('Plan Summary'!$C$9/12,0),2),0)</f>
        <v>55.33</v>
      </c>
      <c r="BP98" s="246">
        <f>IF(AND('Scheduled Intervals'!BP$4="annual",'Plan Summary'!$C$5&lt;'Scheduled Intervals'!$U27*('Plan Summary'!$C$9/12)),ROUND('Parts Cost Per Job'!BP27*((1+$B$37)*$B$38)*ROUND('Plan Summary'!$C$9/12,0),2),0)</f>
        <v>0</v>
      </c>
      <c r="BQ98" s="246">
        <f t="shared" si="3"/>
        <v>877.74000000000012</v>
      </c>
      <c r="BR98" s="246"/>
    </row>
    <row r="99" spans="1:70" ht="16" x14ac:dyDescent="0.2">
      <c r="A99" s="18" t="str">
        <f>+'Scheduled Intervals'!A28</f>
        <v>Sany SY up to 215</v>
      </c>
      <c r="B99" s="246">
        <f>ROUND((('Parts Cost Per Job'!B28)*((1+$B$37)*$B$38)),2)</f>
        <v>195.4</v>
      </c>
      <c r="C99" s="246">
        <f>ROUND((('Parts Cost Per Job'!C28)*((1+$B$37)*$B$38)),2)</f>
        <v>0</v>
      </c>
      <c r="D99" s="246">
        <f>ROUND((('Parts Cost Per Job'!D28)*((1+$B$37)*$B$38)),2)</f>
        <v>0</v>
      </c>
      <c r="E99" s="246">
        <f>ROUND((('Parts Cost Per Job'!E28)*((1+$B$37)*$B$38)),2)</f>
        <v>0</v>
      </c>
      <c r="F99" s="246">
        <f>ROUND((('Parts Cost Per Job'!F28)*((1+$B$37)*$B$38)),2)</f>
        <v>0</v>
      </c>
      <c r="G99" s="246">
        <f>ROUND((('Parts Cost Per Job'!G28)*((1+$B$37)*$B$38)),2)</f>
        <v>0</v>
      </c>
      <c r="H99" s="246">
        <f>ROUND((('Parts Cost Per Job'!H28)*((1+$B$37)*$B$38)),2)</f>
        <v>11.07</v>
      </c>
      <c r="I99" s="246">
        <f>ROUND((('Parts Cost Per Job'!I28)*((1+$B$37)*$B$38)),2)</f>
        <v>0</v>
      </c>
      <c r="J99" s="246">
        <f>ROUND((('Parts Cost Per Job'!J28)*((1+$B$37)*$B$38)),2)</f>
        <v>0</v>
      </c>
      <c r="K99" s="246">
        <f>ROUND((('Parts Cost Per Job'!K28)*((1+$B$37)*$B$38)),2)</f>
        <v>0</v>
      </c>
      <c r="L99" s="246">
        <f>ROUND((('Parts Cost Per Job'!L28)*((1+$B$37)*$B$38)),2)</f>
        <v>0</v>
      </c>
      <c r="M99" s="246">
        <f>ROUND((('Parts Cost Per Job'!M28)*((1+$B$37)*$B$38)),2)</f>
        <v>0</v>
      </c>
      <c r="N99" s="246">
        <f>ROUND((('Parts Cost Per Job'!N28)*((1+$B$37)*$B$38)),2)</f>
        <v>0</v>
      </c>
      <c r="O99" s="246">
        <f>ROUND((('Parts Cost Per Job'!O28)*((1+$B$37)*$B$38)),2)</f>
        <v>0</v>
      </c>
      <c r="P99" s="246">
        <f>ROUND((('Parts Cost Per Job'!P28)*((1+$B$37)*$B$38)),2)</f>
        <v>0</v>
      </c>
      <c r="Q99" s="246">
        <f>ROUND((('Parts Cost Per Job'!Q28)*((1+$B$37)*$B$38)),2)</f>
        <v>110.28</v>
      </c>
      <c r="R99" s="246">
        <f>ROUND((('Parts Cost Per Job'!R28)*((1+$B$37)*$B$38)),2)</f>
        <v>25.07</v>
      </c>
      <c r="S99" s="246">
        <f>ROUND((('Parts Cost Per Job'!S28)*((1+$B$37)*$B$38)),2)</f>
        <v>0</v>
      </c>
      <c r="T99" s="246">
        <f>ROUND((('Parts Cost Per Job'!T28)*((1+$B$37)*$B$38)),2)</f>
        <v>0</v>
      </c>
      <c r="U99" s="246">
        <f>IF('Scheduled Intervals'!U28&gt;0,ROUND(('Parts Cost Per Job'!U28*((1+$B$37)*$B$38))*ROUNDDOWN($B$1/'Scheduled Intervals'!U28,0),2),0)</f>
        <v>0</v>
      </c>
      <c r="V99" s="246">
        <f>IF('Scheduled Intervals'!V28&gt;0,ROUND(('Parts Cost Per Job'!V28*((1+$B$37)*$B$38))*ROUNDDOWN($B$1/'Scheduled Intervals'!V28,0),2),0)</f>
        <v>0</v>
      </c>
      <c r="W99" s="246">
        <f>IF('Scheduled Intervals'!W28&gt;0,ROUND(('Parts Cost Per Job'!W28*((1+$B$37)*$B$38))*ROUNDDOWN($B$1/'Scheduled Intervals'!W28,0),2),0)</f>
        <v>0</v>
      </c>
      <c r="X99" s="246">
        <f>IF('Scheduled Intervals'!X28&gt;0,ROUND(('Parts Cost Per Job'!X28*((1+$B$37)*$B$38))*ROUNDDOWN($B$1/'Scheduled Intervals'!X28,0),2),0)</f>
        <v>0</v>
      </c>
      <c r="Y99" s="246">
        <f>IF('Scheduled Intervals'!Y28&gt;0,ROUND(('Parts Cost Per Job'!Y28*((1+$B$37)*$B$38))*ROUNDDOWN($B$1/'Scheduled Intervals'!Y28,0),2),0)</f>
        <v>0</v>
      </c>
      <c r="Z99" s="246">
        <f>IF('Scheduled Intervals'!Z28&gt;0,ROUND(('Parts Cost Per Job'!Z28*((1+$B$37)*$B$38))*ROUNDDOWN($B$1/'Scheduled Intervals'!Z28,0),2),0)</f>
        <v>0</v>
      </c>
      <c r="AA99" s="246">
        <f>IF('Scheduled Intervals'!AA28&gt;0,ROUND(('Parts Cost Per Job'!AA28*((1+$B$37)*$B$38))*ROUNDDOWN($B$1/'Scheduled Intervals'!AA28,0),2),0)</f>
        <v>0</v>
      </c>
      <c r="AB99" s="246">
        <f>IF('Scheduled Intervals'!AB28&gt;0,ROUND(('Parts Cost Per Job'!AB28*((1+$B$37)*$B$38))*ROUNDDOWN($B$1/'Scheduled Intervals'!AB28,0),2),0)</f>
        <v>0</v>
      </c>
      <c r="AC99" s="246">
        <f>IF('Scheduled Intervals'!AC28&gt;0,ROUND(('Parts Cost Per Job'!AC28*((1+$B$37)*$B$38))*ROUNDDOWN($B$1/'Scheduled Intervals'!AC28,0),2),0)</f>
        <v>0</v>
      </c>
      <c r="AD99" s="246">
        <f>IF('Scheduled Intervals'!AD28&gt;0,ROUND(('Parts Cost Per Job'!AD28*((1+$B$37)*$B$38))*ROUNDDOWN($B$1/'Scheduled Intervals'!AD28,0),2),0)</f>
        <v>0</v>
      </c>
      <c r="AE99" s="246">
        <f>IF('Scheduled Intervals'!AE28&gt;0,ROUND(('Parts Cost Per Job'!AE28*((1+$B$37)*$B$38))*ROUNDDOWN($B$1/'Scheduled Intervals'!AE28,0),2),0)</f>
        <v>0</v>
      </c>
      <c r="AF99" s="246">
        <f>IF('Scheduled Intervals'!AF28&gt;0,ROUND(('Parts Cost Per Job'!AF28*((1+$B$37)*$B$38))*ROUNDDOWN($B$1/'Scheduled Intervals'!AF28,0),2),0)</f>
        <v>0</v>
      </c>
      <c r="AG99" s="246">
        <f>IF('Scheduled Intervals'!AG28&gt;0,ROUND(('Parts Cost Per Job'!AG28*((1+$B$37)*$B$38))*ROUNDDOWN($B$1/'Scheduled Intervals'!AG28,0),2),0)</f>
        <v>0</v>
      </c>
      <c r="AH99" s="246">
        <f>IF('Scheduled Intervals'!AH28&gt;0,ROUND(('Parts Cost Per Job'!AH28*((1+$B$37)*$B$38))*ROUNDDOWN($B$1/'Scheduled Intervals'!AH28,0),2),0)</f>
        <v>0</v>
      </c>
      <c r="AI99" s="246">
        <f>IF('Scheduled Intervals'!AI28&gt;0,ROUND(('Parts Cost Per Job'!AI28*((1+$B$37)*$B$38))*ROUNDDOWN($B$1/'Scheduled Intervals'!AI28,0),2),0)</f>
        <v>0</v>
      </c>
      <c r="AJ99" s="246">
        <f>IF('Scheduled Intervals'!AJ28&gt;0,ROUND(('Parts Cost Per Job'!AJ28*((1+$B$37)*$B$38))*ROUNDDOWN($B$1/'Scheduled Intervals'!AJ28,0),2),0)</f>
        <v>0</v>
      </c>
      <c r="AK99" s="246">
        <f>IF('Scheduled Intervals'!AK28&gt;0,ROUND(('Parts Cost Per Job'!AK28*((1+$B$37)*$B$38))*ROUNDDOWN($B$1/'Scheduled Intervals'!AK28,0),2),0)</f>
        <v>0</v>
      </c>
      <c r="AL99" s="246">
        <f>IF('Scheduled Intervals'!AL28&gt;0,ROUND(('Parts Cost Per Job'!AL28*((1+$B$37)*$B$38))*ROUNDDOWN($B$1/'Scheduled Intervals'!AL28,0),2),0)</f>
        <v>0</v>
      </c>
      <c r="AM99" s="246">
        <f>IF('Scheduled Intervals'!AM28&gt;0,ROUND(('Parts Cost Per Job'!AM28*((1+$B$37)*$B$38))*ROUNDDOWN($B$1/'Scheduled Intervals'!AM28,0),2),0)</f>
        <v>0</v>
      </c>
      <c r="AN99" s="246">
        <f>IF('Scheduled Intervals'!AN28&gt;0,ROUND(('Parts Cost Per Job'!AN28*((1+$B$37)*$B$38))*ROUNDDOWN($B$1/'Scheduled Intervals'!AN28,0),2),0)</f>
        <v>0</v>
      </c>
      <c r="AO99" s="246">
        <f>IF('Scheduled Intervals'!AO28&gt;0,ROUND(('Parts Cost Per Job'!AO28*((1+$B$37)*$B$38))*ROUNDDOWN($B$1/'Scheduled Intervals'!AO28,0),2),0)</f>
        <v>0</v>
      </c>
      <c r="AP99" s="246">
        <f>IF('Scheduled Intervals'!AP28&gt;0,ROUND(('Parts Cost Per Job'!AP28*((1+$B$37)*$B$38))*ROUNDDOWN($B$1/'Scheduled Intervals'!AP28,0),2),0)</f>
        <v>0</v>
      </c>
      <c r="AQ99" s="246">
        <f>IF('Scheduled Intervals'!AQ28&gt;0,ROUND(('Parts Cost Per Job'!AQ28*((1+$B$37)*$B$38))*ROUNDDOWN($B$1/'Scheduled Intervals'!AQ28,0),2),0)</f>
        <v>0</v>
      </c>
      <c r="AR99" s="246">
        <f>IF('Scheduled Intervals'!AR28&gt;0,ROUND(('Parts Cost Per Job'!AR28*((1+$B$37)*$B$38))*ROUNDDOWN($B$1/'Scheduled Intervals'!AR28,0),2),0)</f>
        <v>0</v>
      </c>
      <c r="AS99" s="246">
        <f>IF('Scheduled Intervals'!AS28&gt;0,ROUND(('Parts Cost Per Job'!AS28*((1+$B$37)*$B$38))*ROUNDDOWN($B$1/'Scheduled Intervals'!AS28,0),2),0)</f>
        <v>0</v>
      </c>
      <c r="AT99" s="246">
        <f>IF('Scheduled Intervals'!AT28&gt;0,ROUND(('Parts Cost Per Job'!AT28*((1+$B$37)*$B$38))*ROUNDDOWN($B$1/'Scheduled Intervals'!AT28,0),2),0)</f>
        <v>0</v>
      </c>
      <c r="AU99" s="246">
        <f>IF('Scheduled Intervals'!AU28&gt;0,ROUND(('Parts Cost Per Job'!AU28*((1+$B$37)*$B$38))*ROUNDDOWN($B$1/'Scheduled Intervals'!AU28,0),2),0)</f>
        <v>0</v>
      </c>
      <c r="AV99" s="246">
        <f>IF('Scheduled Intervals'!AV28&gt;0,ROUND(('Parts Cost Per Job'!AV28*((1+$B$37)*$B$38))*ROUNDDOWN($B$1/'Scheduled Intervals'!AV28,0),2),0)</f>
        <v>0</v>
      </c>
      <c r="AW99" s="246">
        <f>IF('Scheduled Intervals'!AW28&gt;0,ROUND(('Parts Cost Per Job'!AW28*((1+$B$37)*$B$38))*ROUNDDOWN($B$1/'Scheduled Intervals'!AW28,0),2),0)</f>
        <v>0</v>
      </c>
      <c r="AX99" s="246">
        <f>IF('Scheduled Intervals'!AX28&gt;0,ROUND(('Parts Cost Per Job'!AX28*((1+$B$37)*$B$38))*ROUNDDOWN($B$1/'Scheduled Intervals'!AX28,0),2),0)</f>
        <v>0</v>
      </c>
      <c r="AY99" s="246">
        <f>IF('Scheduled Intervals'!AY28&gt;0,ROUND(('Parts Cost Per Job'!AY28*((1+$B$37)*$B$38))*ROUNDDOWN($B$1/'Scheduled Intervals'!AY28,0),2),0)</f>
        <v>0</v>
      </c>
      <c r="AZ99" s="246">
        <f>IF('Scheduled Intervals'!AZ28&gt;0,ROUND(('Parts Cost Per Job'!AZ28*((1+$B$37)*$B$38))*ROUNDDOWN($B$1/'Scheduled Intervals'!AZ28,0),2),0)</f>
        <v>0</v>
      </c>
      <c r="BA99" s="246">
        <f>IF('Scheduled Intervals'!BA28&gt;0,ROUND(('Parts Cost Per Job'!BA28*((1+$B$37)*$B$38))*ROUNDDOWN($B$1/'Scheduled Intervals'!BA28,0),2),0)</f>
        <v>0</v>
      </c>
      <c r="BB99" s="246">
        <f>IF('Scheduled Intervals'!BB28&gt;0,ROUND(('Parts Cost Per Job'!BB28*((1+$B$37)*$B$38))*ROUNDDOWN($B$1/'Scheduled Intervals'!BB28,0),2),0)</f>
        <v>0</v>
      </c>
      <c r="BC99" s="246">
        <f>IF('Scheduled Intervals'!BC28&gt;0,ROUND(('Parts Cost Per Job'!BC28*((1+$B$37)*$B$38))*ROUNDDOWN($B$1/'Scheduled Intervals'!BC28,0),2),0)</f>
        <v>0</v>
      </c>
      <c r="BD99" s="246">
        <f>IF('Scheduled Intervals'!BD28&gt;0,ROUND(('Parts Cost Per Job'!BD28*((1+$B$37)*$B$38))*ROUNDDOWN($B$1/'Scheduled Intervals'!BD28,0),2),0)</f>
        <v>0</v>
      </c>
      <c r="BE99" s="246">
        <f>IF('Scheduled Intervals'!BE28&gt;0,ROUND(('Parts Cost Per Job'!BE28*((1+$B$37)*$B$38))*ROUNDDOWN($B$1/'Scheduled Intervals'!BE28,0),2),0)</f>
        <v>0</v>
      </c>
      <c r="BF99" s="246">
        <f>IF('Scheduled Intervals'!BF28&gt;0,ROUND(('Parts Cost Per Job'!BF28*((1+$B$37)*$B$38))*ROUNDDOWN($B$1/'Scheduled Intervals'!BF28,0),2),0)</f>
        <v>0</v>
      </c>
      <c r="BG99" s="246">
        <f>IF('Scheduled Intervals'!BG28&gt;0,ROUND(('Parts Cost Per Job'!BG28*((1+$B$37)*$B$38))*ROUNDDOWN($B$1/'Scheduled Intervals'!BG28,0),2),0)</f>
        <v>0</v>
      </c>
      <c r="BH99" s="246">
        <f>IF('Scheduled Intervals'!BH28&gt;0,ROUND(('Parts Cost Per Job'!BH28*((1+$B$37)*$B$38))*ROUNDDOWN($B$1/'Scheduled Intervals'!BH28,0),2),0)</f>
        <v>0</v>
      </c>
      <c r="BI99" s="246">
        <f>IF('Scheduled Intervals'!BI28&gt;0,ROUND(('Parts Cost Per Job'!BI28*((1+$B$37)*$B$38))*ROUNDDOWN($B$1/'Scheduled Intervals'!BI28,0),2),0)</f>
        <v>0</v>
      </c>
      <c r="BJ99" s="246">
        <f>IF('Scheduled Intervals'!BJ28&gt;0,ROUND(('Parts Cost Per Job'!BJ28*((1+$B$37)*$B$38))*ROUNDDOWN($B$1/'Scheduled Intervals'!BJ28,0),2),0)</f>
        <v>0</v>
      </c>
      <c r="BK99" s="246">
        <f>IF('Scheduled Intervals'!BK28&gt;0,ROUND(('Parts Cost Per Job'!BK28*((1+$B$37)*$B$38))*ROUNDDOWN($B$1/'Scheduled Intervals'!BK28,0),2),0)</f>
        <v>0</v>
      </c>
      <c r="BL99" s="246">
        <f>IF('Scheduled Intervals'!BL28&gt;0,ROUND(('Parts Cost Per Job'!BL28*((1+$B$37)*$B$38))*ROUNDDOWN($B$1/'Scheduled Intervals'!BL28,0),2),0)</f>
        <v>0</v>
      </c>
      <c r="BM99" s="246">
        <f>IF('Scheduled Intervals'!BM28&gt;0,ROUND(('Parts Cost Per Job'!BM28*((1+$B$37)*$B$38))*ROUNDDOWN($B$1/'Scheduled Intervals'!BM28,0),2),0)</f>
        <v>0</v>
      </c>
      <c r="BN99" s="246">
        <f>IF(AND('Scheduled Intervals'!BN$4="annual",'Plan Summary'!$C$5&lt;'Scheduled Intervals'!$U28*('Plan Summary'!$C$9/12)),ROUND('Parts Cost Per Job'!BN28*((1+$B$37)*$B$38)*ROUND('Plan Summary'!$C$9/12,0),2),0)</f>
        <v>976.98</v>
      </c>
      <c r="BO99" s="246">
        <f>IF(AND('Scheduled Intervals'!BO$4="annual",'Plan Summary'!$C$5&lt;'Scheduled Intervals'!$U28*('Plan Summary'!$C$9/12)),ROUND('Parts Cost Per Job'!BO28*((1+$B$37)*$B$38)*ROUND('Plan Summary'!$C$9/12,0),2),0)</f>
        <v>55.33</v>
      </c>
      <c r="BP99" s="246">
        <f>IF(AND('Scheduled Intervals'!BP$4="annual",'Plan Summary'!$C$5&lt;'Scheduled Intervals'!$U28*('Plan Summary'!$C$9/12)),ROUND('Parts Cost Per Job'!BP28*((1+$B$37)*$B$38)*ROUND('Plan Summary'!$C$9/12,0),2),0)</f>
        <v>0</v>
      </c>
      <c r="BQ99" s="246">
        <f t="shared" si="3"/>
        <v>1374.1299999999999</v>
      </c>
      <c r="BR99" s="246"/>
    </row>
    <row r="100" spans="1:70" ht="16" x14ac:dyDescent="0.2">
      <c r="A100" s="18" t="str">
        <f>+'Scheduled Intervals'!A29</f>
        <v>Sany SY up to 500</v>
      </c>
      <c r="B100" s="246">
        <f>ROUND((('Parts Cost Per Job'!B29)*((1+$B$37)*$B$38)),2)</f>
        <v>245.54</v>
      </c>
      <c r="C100" s="246">
        <f>ROUND((('Parts Cost Per Job'!C29)*((1+$B$37)*$B$38)),2)</f>
        <v>0</v>
      </c>
      <c r="D100" s="246">
        <f>ROUND((('Parts Cost Per Job'!D29)*((1+$B$37)*$B$38)),2)</f>
        <v>0</v>
      </c>
      <c r="E100" s="246">
        <f>ROUND((('Parts Cost Per Job'!E29)*((1+$B$37)*$B$38)),2)</f>
        <v>0</v>
      </c>
      <c r="F100" s="246">
        <f>ROUND((('Parts Cost Per Job'!F29)*((1+$B$37)*$B$38)),2)</f>
        <v>0</v>
      </c>
      <c r="G100" s="246">
        <f>ROUND((('Parts Cost Per Job'!G29)*((1+$B$37)*$B$38)),2)</f>
        <v>0</v>
      </c>
      <c r="H100" s="246">
        <f>ROUND((('Parts Cost Per Job'!H29)*((1+$B$37)*$B$38)),2)</f>
        <v>11.07</v>
      </c>
      <c r="I100" s="246">
        <f>ROUND((('Parts Cost Per Job'!I29)*((1+$B$37)*$B$38)),2)</f>
        <v>0</v>
      </c>
      <c r="J100" s="246">
        <f>ROUND((('Parts Cost Per Job'!J29)*((1+$B$37)*$B$38)),2)</f>
        <v>0</v>
      </c>
      <c r="K100" s="246">
        <f>ROUND((('Parts Cost Per Job'!K29)*((1+$B$37)*$B$38)),2)</f>
        <v>0</v>
      </c>
      <c r="L100" s="246">
        <f>ROUND((('Parts Cost Per Job'!L29)*((1+$B$37)*$B$38)),2)</f>
        <v>0</v>
      </c>
      <c r="M100" s="246">
        <f>ROUND((('Parts Cost Per Job'!M29)*((1+$B$37)*$B$38)),2)</f>
        <v>0</v>
      </c>
      <c r="N100" s="246">
        <f>ROUND((('Parts Cost Per Job'!N29)*((1+$B$37)*$B$38)),2)</f>
        <v>0</v>
      </c>
      <c r="O100" s="246">
        <f>ROUND((('Parts Cost Per Job'!O29)*((1+$B$37)*$B$38)),2)</f>
        <v>0</v>
      </c>
      <c r="P100" s="246">
        <f>ROUND((('Parts Cost Per Job'!P29)*((1+$B$37)*$B$38)),2)</f>
        <v>0</v>
      </c>
      <c r="Q100" s="246">
        <f>ROUND((('Parts Cost Per Job'!Q29)*((1+$B$37)*$B$38)),2)</f>
        <v>110.28</v>
      </c>
      <c r="R100" s="246">
        <f>ROUND((('Parts Cost Per Job'!R29)*((1+$B$37)*$B$38)),2)</f>
        <v>39.68</v>
      </c>
      <c r="S100" s="246">
        <f>ROUND((('Parts Cost Per Job'!S29)*((1+$B$37)*$B$38)),2)</f>
        <v>0</v>
      </c>
      <c r="T100" s="246">
        <f>ROUND((('Parts Cost Per Job'!T29)*((1+$B$37)*$B$38)),2)</f>
        <v>0</v>
      </c>
      <c r="U100" s="246">
        <f>IF('Scheduled Intervals'!U29&gt;0,ROUND(('Parts Cost Per Job'!U29*((1+$B$37)*$B$38))*ROUNDDOWN($B$1/'Scheduled Intervals'!U29,0),2),0)</f>
        <v>0</v>
      </c>
      <c r="V100" s="246">
        <f>IF('Scheduled Intervals'!V29&gt;0,ROUND(('Parts Cost Per Job'!V29*((1+$B$37)*$B$38))*ROUNDDOWN($B$1/'Scheduled Intervals'!V29,0),2),0)</f>
        <v>0</v>
      </c>
      <c r="W100" s="246">
        <f>IF('Scheduled Intervals'!W29&gt;0,ROUND(('Parts Cost Per Job'!W29*((1+$B$37)*$B$38))*ROUNDDOWN($B$1/'Scheduled Intervals'!W29,0),2),0)</f>
        <v>0</v>
      </c>
      <c r="X100" s="246">
        <f>IF('Scheduled Intervals'!X29&gt;0,ROUND(('Parts Cost Per Job'!X29*((1+$B$37)*$B$38))*ROUNDDOWN($B$1/'Scheduled Intervals'!X29,0),2),0)</f>
        <v>0</v>
      </c>
      <c r="Y100" s="246">
        <f>IF('Scheduled Intervals'!Y29&gt;0,ROUND(('Parts Cost Per Job'!Y29*((1+$B$37)*$B$38))*ROUNDDOWN($B$1/'Scheduled Intervals'!Y29,0),2),0)</f>
        <v>0</v>
      </c>
      <c r="Z100" s="246">
        <f>IF('Scheduled Intervals'!Z29&gt;0,ROUND(('Parts Cost Per Job'!Z29*((1+$B$37)*$B$38))*ROUNDDOWN($B$1/'Scheduled Intervals'!Z29,0),2),0)</f>
        <v>0</v>
      </c>
      <c r="AA100" s="246">
        <f>IF('Scheduled Intervals'!AA29&gt;0,ROUND(('Parts Cost Per Job'!AA29*((1+$B$37)*$B$38))*ROUNDDOWN($B$1/'Scheduled Intervals'!AA29,0),2),0)</f>
        <v>0</v>
      </c>
      <c r="AB100" s="246">
        <f>IF('Scheduled Intervals'!AB29&gt;0,ROUND(('Parts Cost Per Job'!AB29*((1+$B$37)*$B$38))*ROUNDDOWN($B$1/'Scheduled Intervals'!AB29,0),2),0)</f>
        <v>0</v>
      </c>
      <c r="AC100" s="246">
        <f>IF('Scheduled Intervals'!AC29&gt;0,ROUND(('Parts Cost Per Job'!AC29*((1+$B$37)*$B$38))*ROUNDDOWN($B$1/'Scheduled Intervals'!AC29,0),2),0)</f>
        <v>0</v>
      </c>
      <c r="AD100" s="246">
        <f>IF('Scheduled Intervals'!AD29&gt;0,ROUND(('Parts Cost Per Job'!AD29*((1+$B$37)*$B$38))*ROUNDDOWN($B$1/'Scheduled Intervals'!AD29,0),2),0)</f>
        <v>0</v>
      </c>
      <c r="AE100" s="246">
        <f>IF('Scheduled Intervals'!AE29&gt;0,ROUND(('Parts Cost Per Job'!AE29*((1+$B$37)*$B$38))*ROUNDDOWN($B$1/'Scheduled Intervals'!AE29,0),2),0)</f>
        <v>0</v>
      </c>
      <c r="AF100" s="246">
        <f>IF('Scheduled Intervals'!AF29&gt;0,ROUND(('Parts Cost Per Job'!AF29*((1+$B$37)*$B$38))*ROUNDDOWN($B$1/'Scheduled Intervals'!AF29,0),2),0)</f>
        <v>0</v>
      </c>
      <c r="AG100" s="246">
        <f>IF('Scheduled Intervals'!AG29&gt;0,ROUND(('Parts Cost Per Job'!AG29*((1+$B$37)*$B$38))*ROUNDDOWN($B$1/'Scheduled Intervals'!AG29,0),2),0)</f>
        <v>0</v>
      </c>
      <c r="AH100" s="246">
        <f>IF('Scheduled Intervals'!AH29&gt;0,ROUND(('Parts Cost Per Job'!AH29*((1+$B$37)*$B$38))*ROUNDDOWN($B$1/'Scheduled Intervals'!AH29,0),2),0)</f>
        <v>0</v>
      </c>
      <c r="AI100" s="246">
        <f>IF('Scheduled Intervals'!AI29&gt;0,ROUND(('Parts Cost Per Job'!AI29*((1+$B$37)*$B$38))*ROUNDDOWN($B$1/'Scheduled Intervals'!AI29,0),2),0)</f>
        <v>0</v>
      </c>
      <c r="AJ100" s="246">
        <f>IF('Scheduled Intervals'!AJ29&gt;0,ROUND(('Parts Cost Per Job'!AJ29*((1+$B$37)*$B$38))*ROUNDDOWN($B$1/'Scheduled Intervals'!AJ29,0),2),0)</f>
        <v>0</v>
      </c>
      <c r="AK100" s="246">
        <f>IF('Scheduled Intervals'!AK29&gt;0,ROUND(('Parts Cost Per Job'!AK29*((1+$B$37)*$B$38))*ROUNDDOWN($B$1/'Scheduled Intervals'!AK29,0),2),0)</f>
        <v>0</v>
      </c>
      <c r="AL100" s="246">
        <f>IF('Scheduled Intervals'!AL29&gt;0,ROUND(('Parts Cost Per Job'!AL29*((1+$B$37)*$B$38))*ROUNDDOWN($B$1/'Scheduled Intervals'!AL29,0),2),0)</f>
        <v>0</v>
      </c>
      <c r="AM100" s="246">
        <f>IF('Scheduled Intervals'!AM29&gt;0,ROUND(('Parts Cost Per Job'!AM29*((1+$B$37)*$B$38))*ROUNDDOWN($B$1/'Scheduled Intervals'!AM29,0),2),0)</f>
        <v>0</v>
      </c>
      <c r="AN100" s="246">
        <f>IF('Scheduled Intervals'!AN29&gt;0,ROUND(('Parts Cost Per Job'!AN29*((1+$B$37)*$B$38))*ROUNDDOWN($B$1/'Scheduled Intervals'!AN29,0),2),0)</f>
        <v>0</v>
      </c>
      <c r="AO100" s="246">
        <f>IF('Scheduled Intervals'!AO29&gt;0,ROUND(('Parts Cost Per Job'!AO29*((1+$B$37)*$B$38))*ROUNDDOWN($B$1/'Scheduled Intervals'!AO29,0),2),0)</f>
        <v>0</v>
      </c>
      <c r="AP100" s="246">
        <f>IF('Scheduled Intervals'!AP29&gt;0,ROUND(('Parts Cost Per Job'!AP29*((1+$B$37)*$B$38))*ROUNDDOWN($B$1/'Scheduled Intervals'!AP29,0),2),0)</f>
        <v>0</v>
      </c>
      <c r="AQ100" s="246">
        <f>IF('Scheduled Intervals'!AQ29&gt;0,ROUND(('Parts Cost Per Job'!AQ29*((1+$B$37)*$B$38))*ROUNDDOWN($B$1/'Scheduled Intervals'!AQ29,0),2),0)</f>
        <v>0</v>
      </c>
      <c r="AR100" s="246">
        <f>IF('Scheduled Intervals'!AR29&gt;0,ROUND(('Parts Cost Per Job'!AR29*((1+$B$37)*$B$38))*ROUNDDOWN($B$1/'Scheduled Intervals'!AR29,0),2),0)</f>
        <v>0</v>
      </c>
      <c r="AS100" s="246">
        <f>IF('Scheduled Intervals'!AS29&gt;0,ROUND(('Parts Cost Per Job'!AS29*((1+$B$37)*$B$38))*ROUNDDOWN($B$1/'Scheduled Intervals'!AS29,0),2),0)</f>
        <v>0</v>
      </c>
      <c r="AT100" s="246">
        <f>IF('Scheduled Intervals'!AT29&gt;0,ROUND(('Parts Cost Per Job'!AT29*((1+$B$37)*$B$38))*ROUNDDOWN($B$1/'Scheduled Intervals'!AT29,0),2),0)</f>
        <v>0</v>
      </c>
      <c r="AU100" s="246">
        <f>IF('Scheduled Intervals'!AU29&gt;0,ROUND(('Parts Cost Per Job'!AU29*((1+$B$37)*$B$38))*ROUNDDOWN($B$1/'Scheduled Intervals'!AU29,0),2),0)</f>
        <v>0</v>
      </c>
      <c r="AV100" s="246">
        <f>IF('Scheduled Intervals'!AV29&gt;0,ROUND(('Parts Cost Per Job'!AV29*((1+$B$37)*$B$38))*ROUNDDOWN($B$1/'Scheduled Intervals'!AV29,0),2),0)</f>
        <v>0</v>
      </c>
      <c r="AW100" s="246">
        <f>IF('Scheduled Intervals'!AW29&gt;0,ROUND(('Parts Cost Per Job'!AW29*((1+$B$37)*$B$38))*ROUNDDOWN($B$1/'Scheduled Intervals'!AW29,0),2),0)</f>
        <v>0</v>
      </c>
      <c r="AX100" s="246">
        <f>IF('Scheduled Intervals'!AX29&gt;0,ROUND(('Parts Cost Per Job'!AX29*((1+$B$37)*$B$38))*ROUNDDOWN($B$1/'Scheduled Intervals'!AX29,0),2),0)</f>
        <v>0</v>
      </c>
      <c r="AY100" s="246">
        <f>IF('Scheduled Intervals'!AY29&gt;0,ROUND(('Parts Cost Per Job'!AY29*((1+$B$37)*$B$38))*ROUNDDOWN($B$1/'Scheduled Intervals'!AY29,0),2),0)</f>
        <v>0</v>
      </c>
      <c r="AZ100" s="246">
        <f>IF('Scheduled Intervals'!AZ29&gt;0,ROUND(('Parts Cost Per Job'!AZ29*((1+$B$37)*$B$38))*ROUNDDOWN($B$1/'Scheduled Intervals'!AZ29,0),2),0)</f>
        <v>0</v>
      </c>
      <c r="BA100" s="246">
        <f>IF('Scheduled Intervals'!BA29&gt;0,ROUND(('Parts Cost Per Job'!BA29*((1+$B$37)*$B$38))*ROUNDDOWN($B$1/'Scheduled Intervals'!BA29,0),2),0)</f>
        <v>0</v>
      </c>
      <c r="BB100" s="246">
        <f>IF('Scheduled Intervals'!BB29&gt;0,ROUND(('Parts Cost Per Job'!BB29*((1+$B$37)*$B$38))*ROUNDDOWN($B$1/'Scheduled Intervals'!BB29,0),2),0)</f>
        <v>0</v>
      </c>
      <c r="BC100" s="246">
        <f>IF('Scheduled Intervals'!BC29&gt;0,ROUND(('Parts Cost Per Job'!BC29*((1+$B$37)*$B$38))*ROUNDDOWN($B$1/'Scheduled Intervals'!BC29,0),2),0)</f>
        <v>0</v>
      </c>
      <c r="BD100" s="246">
        <f>IF('Scheduled Intervals'!BD29&gt;0,ROUND(('Parts Cost Per Job'!BD29*((1+$B$37)*$B$38))*ROUNDDOWN($B$1/'Scheduled Intervals'!BD29,0),2),0)</f>
        <v>0</v>
      </c>
      <c r="BE100" s="246">
        <f>IF('Scheduled Intervals'!BE29&gt;0,ROUND(('Parts Cost Per Job'!BE29*((1+$B$37)*$B$38))*ROUNDDOWN($B$1/'Scheduled Intervals'!BE29,0),2),0)</f>
        <v>0</v>
      </c>
      <c r="BF100" s="246">
        <f>IF('Scheduled Intervals'!BF29&gt;0,ROUND(('Parts Cost Per Job'!BF29*((1+$B$37)*$B$38))*ROUNDDOWN($B$1/'Scheduled Intervals'!BF29,0),2),0)</f>
        <v>0</v>
      </c>
      <c r="BG100" s="246">
        <f>IF('Scheduled Intervals'!BG29&gt;0,ROUND(('Parts Cost Per Job'!BG29*((1+$B$37)*$B$38))*ROUNDDOWN($B$1/'Scheduled Intervals'!BG29,0),2),0)</f>
        <v>0</v>
      </c>
      <c r="BH100" s="246">
        <f>IF('Scheduled Intervals'!BH29&gt;0,ROUND(('Parts Cost Per Job'!BH29*((1+$B$37)*$B$38))*ROUNDDOWN($B$1/'Scheduled Intervals'!BH29,0),2),0)</f>
        <v>0</v>
      </c>
      <c r="BI100" s="246">
        <f>IF('Scheduled Intervals'!BI29&gt;0,ROUND(('Parts Cost Per Job'!BI29*((1+$B$37)*$B$38))*ROUNDDOWN($B$1/'Scheduled Intervals'!BI29,0),2),0)</f>
        <v>0</v>
      </c>
      <c r="BJ100" s="246">
        <f>IF('Scheduled Intervals'!BJ29&gt;0,ROUND(('Parts Cost Per Job'!BJ29*((1+$B$37)*$B$38))*ROUNDDOWN($B$1/'Scheduled Intervals'!BJ29,0),2),0)</f>
        <v>0</v>
      </c>
      <c r="BK100" s="246">
        <f>IF('Scheduled Intervals'!BK29&gt;0,ROUND(('Parts Cost Per Job'!BK29*((1+$B$37)*$B$38))*ROUNDDOWN($B$1/'Scheduled Intervals'!BK29,0),2),0)</f>
        <v>0</v>
      </c>
      <c r="BL100" s="246">
        <f>IF('Scheduled Intervals'!BL29&gt;0,ROUND(('Parts Cost Per Job'!BL29*((1+$B$37)*$B$38))*ROUNDDOWN($B$1/'Scheduled Intervals'!BL29,0),2),0)</f>
        <v>0</v>
      </c>
      <c r="BM100" s="246">
        <f>IF('Scheduled Intervals'!BM29&gt;0,ROUND(('Parts Cost Per Job'!BM29*((1+$B$37)*$B$38))*ROUNDDOWN($B$1/'Scheduled Intervals'!BM29,0),2),0)</f>
        <v>0</v>
      </c>
      <c r="BN100" s="246">
        <f>IF(AND('Scheduled Intervals'!BN$4="annual",'Plan Summary'!$C$5&lt;'Scheduled Intervals'!$U29*('Plan Summary'!$C$9/12)),ROUND('Parts Cost Per Job'!BN29*((1+$B$37)*$B$38)*ROUND('Plan Summary'!$C$9/12,0),2),0)</f>
        <v>1227.7</v>
      </c>
      <c r="BO100" s="246">
        <f>IF(AND('Scheduled Intervals'!BO$4="annual",'Plan Summary'!$C$5&lt;'Scheduled Intervals'!$U29*('Plan Summary'!$C$9/12)),ROUND('Parts Cost Per Job'!BO29*((1+$B$37)*$B$38)*ROUND('Plan Summary'!$C$9/12,0),2),0)</f>
        <v>55.33</v>
      </c>
      <c r="BP100" s="246">
        <f>IF(AND('Scheduled Intervals'!BP$4="annual",'Plan Summary'!$C$5&lt;'Scheduled Intervals'!$U29*('Plan Summary'!$C$9/12)),ROUND('Parts Cost Per Job'!BP29*((1+$B$37)*$B$38)*ROUND('Plan Summary'!$C$9/12,0),2),0)</f>
        <v>0</v>
      </c>
      <c r="BQ100" s="246">
        <f t="shared" si="3"/>
        <v>1689.6</v>
      </c>
      <c r="BR100" s="246"/>
    </row>
    <row r="101" spans="1:70" ht="16" x14ac:dyDescent="0.2">
      <c r="A101" s="18" t="str">
        <f>+'Scheduled Intervals'!A30</f>
        <v>Sany SW up to 305</v>
      </c>
      <c r="B101" s="246">
        <f>ROUND((('Parts Cost Per Job'!B30)*((1+$B$37)*$B$38)),2)</f>
        <v>142.22</v>
      </c>
      <c r="C101" s="246">
        <f>ROUND((('Parts Cost Per Job'!C30)*((1+$B$37)*$B$38)),2)</f>
        <v>0</v>
      </c>
      <c r="D101" s="246">
        <f>ROUND((('Parts Cost Per Job'!D30)*((1+$B$37)*$B$38)),2)</f>
        <v>0</v>
      </c>
      <c r="E101" s="246">
        <f>ROUND((('Parts Cost Per Job'!E30)*((1+$B$37)*$B$38)),2)</f>
        <v>413.85</v>
      </c>
      <c r="F101" s="246">
        <f>ROUND((('Parts Cost Per Job'!F30)*((1+$B$37)*$B$38)),2)</f>
        <v>0</v>
      </c>
      <c r="G101" s="246">
        <f>ROUND((('Parts Cost Per Job'!G30)*((1+$B$37)*$B$38)),2)</f>
        <v>0</v>
      </c>
      <c r="H101" s="246">
        <f>ROUND((('Parts Cost Per Job'!H30)*((1+$B$37)*$B$38)),2)</f>
        <v>11.07</v>
      </c>
      <c r="I101" s="246">
        <f>ROUND((('Parts Cost Per Job'!I30)*((1+$B$37)*$B$38)),2)</f>
        <v>0</v>
      </c>
      <c r="J101" s="246">
        <f>ROUND((('Parts Cost Per Job'!J30)*((1+$B$37)*$B$38)),2)</f>
        <v>0</v>
      </c>
      <c r="K101" s="246">
        <f>ROUND((('Parts Cost Per Job'!K30)*((1+$B$37)*$B$38)),2)</f>
        <v>242.72</v>
      </c>
      <c r="L101" s="246">
        <f>ROUND((('Parts Cost Per Job'!L30)*((1+$B$37)*$B$38)),2)</f>
        <v>0</v>
      </c>
      <c r="M101" s="246">
        <f>ROUND((('Parts Cost Per Job'!M30)*((1+$B$37)*$B$38)),2)</f>
        <v>110.28</v>
      </c>
      <c r="N101" s="246">
        <f>ROUND((('Parts Cost Per Job'!N30)*((1+$B$37)*$B$38)),2)</f>
        <v>670.17</v>
      </c>
      <c r="O101" s="246">
        <f>ROUND((('Parts Cost Per Job'!O30)*((1+$B$37)*$B$38)),2)</f>
        <v>0</v>
      </c>
      <c r="P101" s="246">
        <f>ROUND((('Parts Cost Per Job'!P30)*((1+$B$37)*$B$38)),2)</f>
        <v>0</v>
      </c>
      <c r="Q101" s="246">
        <f>ROUND((('Parts Cost Per Job'!Q30)*((1+$B$37)*$B$38)),2)</f>
        <v>0</v>
      </c>
      <c r="R101" s="246">
        <f>ROUND((('Parts Cost Per Job'!R30)*((1+$B$37)*$B$38)),2)</f>
        <v>0</v>
      </c>
      <c r="S101" s="246">
        <f>ROUND((('Parts Cost Per Job'!S30)*((1+$B$37)*$B$38)),2)</f>
        <v>0</v>
      </c>
      <c r="T101" s="246">
        <f>ROUND((('Parts Cost Per Job'!T30)*((1+$B$37)*$B$38)),2)</f>
        <v>0</v>
      </c>
      <c r="U101" s="246">
        <f>IF('Scheduled Intervals'!U30&gt;0,ROUND(('Parts Cost Per Job'!U30*((1+$B$37)*$B$38))*ROUNDDOWN($B$1/'Scheduled Intervals'!U30,0),2),0)</f>
        <v>142.22</v>
      </c>
      <c r="V101" s="246">
        <f>IF('Scheduled Intervals'!V30&gt;0,ROUND(('Parts Cost Per Job'!V30*((1+$B$37)*$B$38))*ROUNDDOWN($B$1/'Scheduled Intervals'!V30,0),2),0)</f>
        <v>0</v>
      </c>
      <c r="W101" s="246">
        <f>IF('Scheduled Intervals'!W30&gt;0,ROUND(('Parts Cost Per Job'!W30*((1+$B$37)*$B$38))*ROUNDDOWN($B$1/'Scheduled Intervals'!W30,0),2),0)</f>
        <v>0</v>
      </c>
      <c r="X101" s="246">
        <f>IF('Scheduled Intervals'!X30&gt;0,ROUND(('Parts Cost Per Job'!X30*((1+$B$37)*$B$38))*ROUNDDOWN($B$1/'Scheduled Intervals'!X30,0),2),0)</f>
        <v>0</v>
      </c>
      <c r="Y101" s="246">
        <f>IF('Scheduled Intervals'!Y30&gt;0,ROUND(('Parts Cost Per Job'!Y30*((1+$B$37)*$B$38))*ROUNDDOWN($B$1/'Scheduled Intervals'!Y30,0),2),0)</f>
        <v>0</v>
      </c>
      <c r="Z101" s="246">
        <f>IF('Scheduled Intervals'!Z30&gt;0,ROUND(('Parts Cost Per Job'!Z30*((1+$B$37)*$B$38))*ROUNDDOWN($B$1/'Scheduled Intervals'!Z30,0),2),0)</f>
        <v>0</v>
      </c>
      <c r="AA101" s="246">
        <f>IF('Scheduled Intervals'!AA30&gt;0,ROUND(('Parts Cost Per Job'!AA30*((1+$B$37)*$B$38))*ROUNDDOWN($B$1/'Scheduled Intervals'!AA30,0),2),0)</f>
        <v>0</v>
      </c>
      <c r="AB101" s="246">
        <f>IF('Scheduled Intervals'!AB30&gt;0,ROUND(('Parts Cost Per Job'!AB30*((1+$B$37)*$B$38))*ROUNDDOWN($B$1/'Scheduled Intervals'!AB30,0),2),0)</f>
        <v>0</v>
      </c>
      <c r="AC101" s="246">
        <f>IF('Scheduled Intervals'!AC30&gt;0,ROUND(('Parts Cost Per Job'!AC30*((1+$B$37)*$B$38))*ROUNDDOWN($B$1/'Scheduled Intervals'!AC30,0),2),0)</f>
        <v>0</v>
      </c>
      <c r="AD101" s="246">
        <f>IF('Scheduled Intervals'!AD30&gt;0,ROUND(('Parts Cost Per Job'!AD30*((1+$B$37)*$B$38))*ROUNDDOWN($B$1/'Scheduled Intervals'!AD30,0),2),0)</f>
        <v>0</v>
      </c>
      <c r="AE101" s="246">
        <f>IF('Scheduled Intervals'!AE30&gt;0,ROUND(('Parts Cost Per Job'!AE30*((1+$B$37)*$B$38))*ROUNDDOWN($B$1/'Scheduled Intervals'!AE30,0),2),0)</f>
        <v>0</v>
      </c>
      <c r="AF101" s="246">
        <f>IF('Scheduled Intervals'!AF30&gt;0,ROUND(('Parts Cost Per Job'!AF30*((1+$B$37)*$B$38))*ROUNDDOWN($B$1/'Scheduled Intervals'!AF30,0),2),0)</f>
        <v>0</v>
      </c>
      <c r="AG101" s="246">
        <f>IF('Scheduled Intervals'!AG30&gt;0,ROUND(('Parts Cost Per Job'!AG30*((1+$B$37)*$B$38))*ROUNDDOWN($B$1/'Scheduled Intervals'!AG30,0),2),0)</f>
        <v>0</v>
      </c>
      <c r="AH101" s="246">
        <f>IF('Scheduled Intervals'!AH30&gt;0,ROUND(('Parts Cost Per Job'!AH30*((1+$B$37)*$B$38))*ROUNDDOWN($B$1/'Scheduled Intervals'!AH30,0),2),0)</f>
        <v>0</v>
      </c>
      <c r="AI101" s="246">
        <f>IF('Scheduled Intervals'!AI30&gt;0,ROUND(('Parts Cost Per Job'!AI30*((1+$B$37)*$B$38))*ROUNDDOWN($B$1/'Scheduled Intervals'!AI30,0),2),0)</f>
        <v>0</v>
      </c>
      <c r="AJ101" s="246">
        <f>IF('Scheduled Intervals'!AJ30&gt;0,ROUND(('Parts Cost Per Job'!AJ30*((1+$B$37)*$B$38))*ROUNDDOWN($B$1/'Scheduled Intervals'!AJ30,0),2),0)</f>
        <v>0</v>
      </c>
      <c r="AK101" s="246">
        <f>IF('Scheduled Intervals'!AK30&gt;0,ROUND(('Parts Cost Per Job'!AK30*((1+$B$37)*$B$38))*ROUNDDOWN($B$1/'Scheduled Intervals'!AK30,0),2),0)</f>
        <v>0</v>
      </c>
      <c r="AL101" s="246">
        <f>IF('Scheduled Intervals'!AL30&gt;0,ROUND(('Parts Cost Per Job'!AL30*((1+$B$37)*$B$38))*ROUNDDOWN($B$1/'Scheduled Intervals'!AL30,0),2),0)</f>
        <v>0</v>
      </c>
      <c r="AM101" s="246">
        <f>IF('Scheduled Intervals'!AM30&gt;0,ROUND(('Parts Cost Per Job'!AM30*((1+$B$37)*$B$38))*ROUNDDOWN($B$1/'Scheduled Intervals'!AM30,0),2),0)</f>
        <v>0</v>
      </c>
      <c r="AN101" s="246">
        <f>IF('Scheduled Intervals'!AN30&gt;0,ROUND(('Parts Cost Per Job'!AN30*((1+$B$37)*$B$38))*ROUNDDOWN($B$1/'Scheduled Intervals'!AN30,0),2),0)</f>
        <v>0</v>
      </c>
      <c r="AO101" s="246">
        <f>IF('Scheduled Intervals'!AO30&gt;0,ROUND(('Parts Cost Per Job'!AO30*((1+$B$37)*$B$38))*ROUNDDOWN($B$1/'Scheduled Intervals'!AO30,0),2),0)</f>
        <v>0</v>
      </c>
      <c r="AP101" s="246">
        <f>IF('Scheduled Intervals'!AP30&gt;0,ROUND(('Parts Cost Per Job'!AP30*((1+$B$37)*$B$38))*ROUNDDOWN($B$1/'Scheduled Intervals'!AP30,0),2),0)</f>
        <v>0</v>
      </c>
      <c r="AQ101" s="246">
        <f>IF('Scheduled Intervals'!AQ30&gt;0,ROUND(('Parts Cost Per Job'!AQ30*((1+$B$37)*$B$38))*ROUNDDOWN($B$1/'Scheduled Intervals'!AQ30,0),2),0)</f>
        <v>0</v>
      </c>
      <c r="AR101" s="246">
        <f>IF('Scheduled Intervals'!AR30&gt;0,ROUND(('Parts Cost Per Job'!AR30*((1+$B$37)*$B$38))*ROUNDDOWN($B$1/'Scheduled Intervals'!AR30,0),2),0)</f>
        <v>0</v>
      </c>
      <c r="AS101" s="246">
        <f>IF('Scheduled Intervals'!AS30&gt;0,ROUND(('Parts Cost Per Job'!AS30*((1+$B$37)*$B$38))*ROUNDDOWN($B$1/'Scheduled Intervals'!AS30,0),2),0)</f>
        <v>0</v>
      </c>
      <c r="AT101" s="246">
        <f>IF('Scheduled Intervals'!AT30&gt;0,ROUND(('Parts Cost Per Job'!AT30*((1+$B$37)*$B$38))*ROUNDDOWN($B$1/'Scheduled Intervals'!AT30,0),2),0)</f>
        <v>11.07</v>
      </c>
      <c r="AU101" s="246">
        <f>IF('Scheduled Intervals'!AU30&gt;0,ROUND(('Parts Cost Per Job'!AU30*((1+$B$37)*$B$38))*ROUNDDOWN($B$1/'Scheduled Intervals'!AU30,0),2),0)</f>
        <v>0</v>
      </c>
      <c r="AV101" s="246">
        <f>IF('Scheduled Intervals'!AV30&gt;0,ROUND(('Parts Cost Per Job'!AV30*((1+$B$37)*$B$38))*ROUNDDOWN($B$1/'Scheduled Intervals'!AV30,0),2),0)</f>
        <v>0</v>
      </c>
      <c r="AW101" s="246">
        <f>IF('Scheduled Intervals'!AW30&gt;0,ROUND(('Parts Cost Per Job'!AW30*((1+$B$37)*$B$38))*ROUNDDOWN($B$1/'Scheduled Intervals'!AW30,0),2),0)</f>
        <v>0</v>
      </c>
      <c r="AX101" s="246">
        <f>IF('Scheduled Intervals'!AX30&gt;0,ROUND(('Parts Cost Per Job'!AX30*((1+$B$37)*$B$38))*ROUNDDOWN($B$1/'Scheduled Intervals'!AX30,0),2),0)</f>
        <v>0</v>
      </c>
      <c r="AY101" s="246">
        <f>IF('Scheduled Intervals'!AY30&gt;0,ROUND(('Parts Cost Per Job'!AY30*((1+$B$37)*$B$38))*ROUNDDOWN($B$1/'Scheduled Intervals'!AY30,0),2),0)</f>
        <v>0</v>
      </c>
      <c r="AZ101" s="246">
        <f>IF('Scheduled Intervals'!AZ30&gt;0,ROUND(('Parts Cost Per Job'!AZ30*((1+$B$37)*$B$38))*ROUNDDOWN($B$1/'Scheduled Intervals'!AZ30,0),2),0)</f>
        <v>0</v>
      </c>
      <c r="BA101" s="246">
        <f>IF('Scheduled Intervals'!BA30&gt;0,ROUND(('Parts Cost Per Job'!BA30*((1+$B$37)*$B$38))*ROUNDDOWN($B$1/'Scheduled Intervals'!BA30,0),2),0)</f>
        <v>0</v>
      </c>
      <c r="BB101" s="246">
        <f>IF('Scheduled Intervals'!BB30&gt;0,ROUND(('Parts Cost Per Job'!BB30*((1+$B$37)*$B$38))*ROUNDDOWN($B$1/'Scheduled Intervals'!BB30,0),2),0)</f>
        <v>0</v>
      </c>
      <c r="BC101" s="246">
        <f>IF('Scheduled Intervals'!BC30&gt;0,ROUND(('Parts Cost Per Job'!BC30*((1+$B$37)*$B$38))*ROUNDDOWN($B$1/'Scheduled Intervals'!BC30,0),2),0)</f>
        <v>0</v>
      </c>
      <c r="BD101" s="246">
        <f>IF('Scheduled Intervals'!BD30&gt;0,ROUND(('Parts Cost Per Job'!BD30*((1+$B$37)*$B$38))*ROUNDDOWN($B$1/'Scheduled Intervals'!BD30,0),2),0)</f>
        <v>0</v>
      </c>
      <c r="BE101" s="246">
        <f>IF('Scheduled Intervals'!BE30&gt;0,ROUND(('Parts Cost Per Job'!BE30*((1+$B$37)*$B$38))*ROUNDDOWN($B$1/'Scheduled Intervals'!BE30,0),2),0)</f>
        <v>0</v>
      </c>
      <c r="BF101" s="246">
        <f>IF('Scheduled Intervals'!BF30&gt;0,ROUND(('Parts Cost Per Job'!BF30*((1+$B$37)*$B$38))*ROUNDDOWN($B$1/'Scheduled Intervals'!BF30,0),2),0)</f>
        <v>0</v>
      </c>
      <c r="BG101" s="246">
        <f>IF('Scheduled Intervals'!BG30&gt;0,ROUND(('Parts Cost Per Job'!BG30*((1+$B$37)*$B$38))*ROUNDDOWN($B$1/'Scheduled Intervals'!BG30,0),2),0)</f>
        <v>0</v>
      </c>
      <c r="BH101" s="246">
        <f>IF('Scheduled Intervals'!BH30&gt;0,ROUND(('Parts Cost Per Job'!BH30*((1+$B$37)*$B$38))*ROUNDDOWN($B$1/'Scheduled Intervals'!BH30,0),2),0)</f>
        <v>0</v>
      </c>
      <c r="BI101" s="246">
        <f>IF('Scheduled Intervals'!BI30&gt;0,ROUND(('Parts Cost Per Job'!BI30*((1+$B$37)*$B$38))*ROUNDDOWN($B$1/'Scheduled Intervals'!BI30,0),2),0)</f>
        <v>0</v>
      </c>
      <c r="BJ101" s="246">
        <f>IF('Scheduled Intervals'!BJ30&gt;0,ROUND(('Parts Cost Per Job'!BJ30*((1+$B$37)*$B$38))*ROUNDDOWN($B$1/'Scheduled Intervals'!BJ30,0),2),0)</f>
        <v>0</v>
      </c>
      <c r="BK101" s="246">
        <f>IF('Scheduled Intervals'!BK30&gt;0,ROUND(('Parts Cost Per Job'!BK30*((1+$B$37)*$B$38))*ROUNDDOWN($B$1/'Scheduled Intervals'!BK30,0),2),0)</f>
        <v>0</v>
      </c>
      <c r="BL101" s="246">
        <f>IF('Scheduled Intervals'!BL30&gt;0,ROUND(('Parts Cost Per Job'!BL30*((1+$B$37)*$B$38))*ROUNDDOWN($B$1/'Scheduled Intervals'!BL30,0),2),0)</f>
        <v>0</v>
      </c>
      <c r="BM101" s="246">
        <f>IF('Scheduled Intervals'!BM30&gt;0,ROUND(('Parts Cost Per Job'!BM30*((1+$B$37)*$B$38))*ROUNDDOWN($B$1/'Scheduled Intervals'!BM30,0),2),0)</f>
        <v>0</v>
      </c>
      <c r="BN101" s="246">
        <f>IF(AND('Scheduled Intervals'!BN$4="annual",'Plan Summary'!$C$5&lt;'Scheduled Intervals'!$U30*('Plan Summary'!$C$9/12)),ROUND('Parts Cost Per Job'!BN30*((1+$B$37)*$B$38)*ROUND('Plan Summary'!$C$9/12,0),2),0)</f>
        <v>711.11</v>
      </c>
      <c r="BO101" s="246">
        <f>IF(AND('Scheduled Intervals'!BO$4="annual",'Plan Summary'!$C$5&lt;'Scheduled Intervals'!$U30*('Plan Summary'!$C$9/12)),ROUND('Parts Cost Per Job'!BO30*((1+$B$37)*$B$38)*ROUND('Plan Summary'!$C$9/12,0),2),0)</f>
        <v>55.33</v>
      </c>
      <c r="BP101" s="246">
        <f>IF(AND('Scheduled Intervals'!BP$4="annual",'Plan Summary'!$C$5&lt;'Scheduled Intervals'!$U30*('Plan Summary'!$C$9/12)),ROUND('Parts Cost Per Job'!BP30*((1+$B$37)*$B$38)*ROUND('Plan Summary'!$C$9/12,0),2),0)</f>
        <v>0</v>
      </c>
      <c r="BQ101" s="246">
        <f t="shared" si="3"/>
        <v>2510.04</v>
      </c>
      <c r="BR101" s="246"/>
    </row>
    <row r="102" spans="1:70" ht="16" x14ac:dyDescent="0.2">
      <c r="A102" s="18" t="str">
        <f>+'Scheduled Intervals'!A31</f>
        <v>SCL - DIESEL</v>
      </c>
      <c r="B102" s="246">
        <f>ROUND((('Parts Cost Per Job'!B31)*((1+$B$37)*$B$38)),2)</f>
        <v>44.92</v>
      </c>
      <c r="C102" s="246">
        <f>ROUND((('Parts Cost Per Job'!C31)*((1+$B$37)*$B$38)),2)</f>
        <v>0</v>
      </c>
      <c r="D102" s="246">
        <f>ROUND((('Parts Cost Per Job'!D31)*((1+$B$37)*$B$38)),2)</f>
        <v>0</v>
      </c>
      <c r="E102" s="246">
        <f>ROUND((('Parts Cost Per Job'!E31)*((1+$B$37)*$B$38)),2)</f>
        <v>0</v>
      </c>
      <c r="F102" s="246">
        <f>ROUND((('Parts Cost Per Job'!F31)*((1+$B$37)*$B$38)),2)</f>
        <v>27.07</v>
      </c>
      <c r="G102" s="246">
        <f>ROUND((('Parts Cost Per Job'!G31)*((1+$B$37)*$B$38)),2)</f>
        <v>0</v>
      </c>
      <c r="H102" s="246">
        <f>ROUND((('Parts Cost Per Job'!H31)*((1+$B$37)*$B$38)),2)</f>
        <v>11.07</v>
      </c>
      <c r="I102" s="246">
        <f>ROUND((('Parts Cost Per Job'!I31)*((1+$B$37)*$B$38)),2)</f>
        <v>0</v>
      </c>
      <c r="J102" s="246">
        <f>ROUND((('Parts Cost Per Job'!J31)*((1+$B$37)*$B$38)),2)</f>
        <v>0</v>
      </c>
      <c r="K102" s="246">
        <f>ROUND((('Parts Cost Per Job'!K31)*((1+$B$37)*$B$38)),2)</f>
        <v>0</v>
      </c>
      <c r="L102" s="246">
        <f>ROUND((('Parts Cost Per Job'!L31)*((1+$B$37)*$B$38)),2)</f>
        <v>0</v>
      </c>
      <c r="M102" s="246">
        <f>ROUND((('Parts Cost Per Job'!M31)*((1+$B$37)*$B$38)),2)</f>
        <v>0</v>
      </c>
      <c r="N102" s="246">
        <f>ROUND((('Parts Cost Per Job'!N31)*((1+$B$37)*$B$38)),2)</f>
        <v>0</v>
      </c>
      <c r="O102" s="246">
        <f>ROUND((('Parts Cost Per Job'!O31)*((1+$B$37)*$B$38)),2)</f>
        <v>0</v>
      </c>
      <c r="P102" s="246">
        <f>ROUND((('Parts Cost Per Job'!P31)*((1+$B$37)*$B$38)),2)</f>
        <v>0</v>
      </c>
      <c r="Q102" s="246">
        <f>ROUND((('Parts Cost Per Job'!Q31)*((1+$B$37)*$B$38)),2)</f>
        <v>0</v>
      </c>
      <c r="R102" s="246">
        <f>ROUND((('Parts Cost Per Job'!R31)*((1+$B$37)*$B$38)),2)</f>
        <v>0</v>
      </c>
      <c r="S102" s="246">
        <f>ROUND((('Parts Cost Per Job'!S31)*((1+$B$37)*$B$38)),2)</f>
        <v>0</v>
      </c>
      <c r="T102" s="246">
        <f>ROUND((('Parts Cost Per Job'!T31)*((1+$B$37)*$B$38)),2)</f>
        <v>0</v>
      </c>
      <c r="U102" s="246">
        <f>IF('Scheduled Intervals'!U31&gt;0,ROUND(('Parts Cost Per Job'!U31*((1+$B$37)*$B$38))*ROUNDDOWN($B$1/'Scheduled Intervals'!U31,0),2),0)</f>
        <v>44.92</v>
      </c>
      <c r="V102" s="246">
        <f>IF('Scheduled Intervals'!V31&gt;0,ROUND(('Parts Cost Per Job'!V31*((1+$B$37)*$B$38))*ROUNDDOWN($B$1/'Scheduled Intervals'!V31,0),2),0)</f>
        <v>0</v>
      </c>
      <c r="W102" s="246">
        <f>IF('Scheduled Intervals'!W31&gt;0,ROUND(('Parts Cost Per Job'!W31*((1+$B$37)*$B$38))*ROUNDDOWN($B$1/'Scheduled Intervals'!W31,0),2),0)</f>
        <v>0</v>
      </c>
      <c r="X102" s="246">
        <f>IF('Scheduled Intervals'!X31&gt;0,ROUND(('Parts Cost Per Job'!X31*((1+$B$37)*$B$38))*ROUNDDOWN($B$1/'Scheduled Intervals'!X31,0),2),0)</f>
        <v>0</v>
      </c>
      <c r="Y102" s="246">
        <f>IF('Scheduled Intervals'!Y31&gt;0,ROUND(('Parts Cost Per Job'!Y31*((1+$B$37)*$B$38))*ROUNDDOWN($B$1/'Scheduled Intervals'!Y31,0),2),0)</f>
        <v>0</v>
      </c>
      <c r="Z102" s="246">
        <f>IF('Scheduled Intervals'!Z31&gt;0,ROUND(('Parts Cost Per Job'!Z31*((1+$B$37)*$B$38))*ROUNDDOWN($B$1/'Scheduled Intervals'!Z31,0),2),0)</f>
        <v>0</v>
      </c>
      <c r="AA102" s="246">
        <f>IF('Scheduled Intervals'!AA31&gt;0,ROUND(('Parts Cost Per Job'!AA31*((1+$B$37)*$B$38))*ROUNDDOWN($B$1/'Scheduled Intervals'!AA31,0),2),0)</f>
        <v>0</v>
      </c>
      <c r="AB102" s="246">
        <f>IF('Scheduled Intervals'!AB31&gt;0,ROUND(('Parts Cost Per Job'!AB31*((1+$B$37)*$B$38))*ROUNDDOWN($B$1/'Scheduled Intervals'!AB31,0),2),0)</f>
        <v>0</v>
      </c>
      <c r="AC102" s="246">
        <f>IF('Scheduled Intervals'!AC31&gt;0,ROUND(('Parts Cost Per Job'!AC31*((1+$B$37)*$B$38))*ROUNDDOWN($B$1/'Scheduled Intervals'!AC31,0),2),0)</f>
        <v>52.69</v>
      </c>
      <c r="AD102" s="246">
        <f>IF('Scheduled Intervals'!AD31&gt;0,ROUND(('Parts Cost Per Job'!AD31*((1+$B$37)*$B$38))*ROUNDDOWN($B$1/'Scheduled Intervals'!AD31,0),2),0)</f>
        <v>0</v>
      </c>
      <c r="AE102" s="246">
        <f>IF('Scheduled Intervals'!AE31&gt;0,ROUND(('Parts Cost Per Job'!AE31*((1+$B$37)*$B$38))*ROUNDDOWN($B$1/'Scheduled Intervals'!AE31,0),2),0)</f>
        <v>0</v>
      </c>
      <c r="AF102" s="246">
        <f>IF('Scheduled Intervals'!AF31&gt;0,ROUND(('Parts Cost Per Job'!AF31*((1+$B$37)*$B$38))*ROUNDDOWN($B$1/'Scheduled Intervals'!AF31,0),2),0)</f>
        <v>0</v>
      </c>
      <c r="AG102" s="246">
        <f>IF('Scheduled Intervals'!AG31&gt;0,ROUND(('Parts Cost Per Job'!AG31*((1+$B$37)*$B$38))*ROUNDDOWN($B$1/'Scheduled Intervals'!AG31,0),2),0)</f>
        <v>0</v>
      </c>
      <c r="AH102" s="246">
        <f>IF('Scheduled Intervals'!AH31&gt;0,ROUND(('Parts Cost Per Job'!AH31*((1+$B$37)*$B$38))*ROUNDDOWN($B$1/'Scheduled Intervals'!AH31,0),2),0)</f>
        <v>0</v>
      </c>
      <c r="AI102" s="246">
        <f>IF('Scheduled Intervals'!AI31&gt;0,ROUND(('Parts Cost Per Job'!AI31*((1+$B$37)*$B$38))*ROUNDDOWN($B$1/'Scheduled Intervals'!AI31,0),2),0)</f>
        <v>0</v>
      </c>
      <c r="AJ102" s="246">
        <f>IF('Scheduled Intervals'!AJ31&gt;0,ROUND(('Parts Cost Per Job'!AJ31*((1+$B$37)*$B$38))*ROUNDDOWN($B$1/'Scheduled Intervals'!AJ31,0),2),0)</f>
        <v>0</v>
      </c>
      <c r="AK102" s="246">
        <f>IF('Scheduled Intervals'!AK31&gt;0,ROUND(('Parts Cost Per Job'!AK31*((1+$B$37)*$B$38))*ROUNDDOWN($B$1/'Scheduled Intervals'!AK31,0),2),0)</f>
        <v>0</v>
      </c>
      <c r="AL102" s="246">
        <f>IF('Scheduled Intervals'!AL31&gt;0,ROUND(('Parts Cost Per Job'!AL31*((1+$B$37)*$B$38))*ROUNDDOWN($B$1/'Scheduled Intervals'!AL31,0),2),0)</f>
        <v>0</v>
      </c>
      <c r="AM102" s="246">
        <f>IF('Scheduled Intervals'!AM31&gt;0,ROUND(('Parts Cost Per Job'!AM31*((1+$B$37)*$B$38))*ROUNDDOWN($B$1/'Scheduled Intervals'!AM31,0),2),0)</f>
        <v>0</v>
      </c>
      <c r="AN102" s="246">
        <f>IF('Scheduled Intervals'!AN31&gt;0,ROUND(('Parts Cost Per Job'!AN31*((1+$B$37)*$B$38))*ROUNDDOWN($B$1/'Scheduled Intervals'!AN31,0),2),0)</f>
        <v>0</v>
      </c>
      <c r="AO102" s="246">
        <f>IF('Scheduled Intervals'!AO31&gt;0,ROUND(('Parts Cost Per Job'!AO31*((1+$B$37)*$B$38))*ROUNDDOWN($B$1/'Scheduled Intervals'!AO31,0),2),0)</f>
        <v>0</v>
      </c>
      <c r="AP102" s="246">
        <f>IF('Scheduled Intervals'!AP31&gt;0,ROUND(('Parts Cost Per Job'!AP31*((1+$B$37)*$B$38))*ROUNDDOWN($B$1/'Scheduled Intervals'!AP31,0),2),0)</f>
        <v>0</v>
      </c>
      <c r="AQ102" s="246">
        <f>IF('Scheduled Intervals'!AQ31&gt;0,ROUND(('Parts Cost Per Job'!AQ31*((1+$B$37)*$B$38))*ROUNDDOWN($B$1/'Scheduled Intervals'!AQ31,0),2),0)</f>
        <v>0</v>
      </c>
      <c r="AR102" s="246">
        <f>IF('Scheduled Intervals'!AR31&gt;0,ROUND(('Parts Cost Per Job'!AR31*((1+$B$37)*$B$38))*ROUNDDOWN($B$1/'Scheduled Intervals'!AR31,0),2),0)</f>
        <v>0</v>
      </c>
      <c r="AS102" s="246">
        <f>IF('Scheduled Intervals'!AS31&gt;0,ROUND(('Parts Cost Per Job'!AS31*((1+$B$37)*$B$38))*ROUNDDOWN($B$1/'Scheduled Intervals'!AS31,0),2),0)</f>
        <v>0</v>
      </c>
      <c r="AT102" s="246">
        <f>IF('Scheduled Intervals'!AT31&gt;0,ROUND(('Parts Cost Per Job'!AT31*((1+$B$37)*$B$38))*ROUNDDOWN($B$1/'Scheduled Intervals'!AT31,0),2),0)</f>
        <v>11.07</v>
      </c>
      <c r="AU102" s="246">
        <f>IF('Scheduled Intervals'!AU31&gt;0,ROUND(('Parts Cost Per Job'!AU31*((1+$B$37)*$B$38))*ROUNDDOWN($B$1/'Scheduled Intervals'!AU31,0),2),0)</f>
        <v>0</v>
      </c>
      <c r="AV102" s="246">
        <f>IF('Scheduled Intervals'!AV31&gt;0,ROUND(('Parts Cost Per Job'!AV31*((1+$B$37)*$B$38))*ROUNDDOWN($B$1/'Scheduled Intervals'!AV31,0),2),0)</f>
        <v>0</v>
      </c>
      <c r="AW102" s="246">
        <f>IF('Scheduled Intervals'!AW31&gt;0,ROUND(('Parts Cost Per Job'!AW31*((1+$B$37)*$B$38))*ROUNDDOWN($B$1/'Scheduled Intervals'!AW31,0),2),0)</f>
        <v>0</v>
      </c>
      <c r="AX102" s="246">
        <f>IF('Scheduled Intervals'!AX31&gt;0,ROUND(('Parts Cost Per Job'!AX31*((1+$B$37)*$B$38))*ROUNDDOWN($B$1/'Scheduled Intervals'!AX31,0),2),0)</f>
        <v>0</v>
      </c>
      <c r="AY102" s="246">
        <f>IF('Scheduled Intervals'!AY31&gt;0,ROUND(('Parts Cost Per Job'!AY31*((1+$B$37)*$B$38))*ROUNDDOWN($B$1/'Scheduled Intervals'!AY31,0),2),0)</f>
        <v>0</v>
      </c>
      <c r="AZ102" s="246">
        <f>IF('Scheduled Intervals'!AZ31&gt;0,ROUND(('Parts Cost Per Job'!AZ31*((1+$B$37)*$B$38))*ROUNDDOWN($B$1/'Scheduled Intervals'!AZ31,0),2),0)</f>
        <v>0</v>
      </c>
      <c r="BA102" s="246">
        <f>IF('Scheduled Intervals'!BA31&gt;0,ROUND(('Parts Cost Per Job'!BA31*((1+$B$37)*$B$38))*ROUNDDOWN($B$1/'Scheduled Intervals'!BA31,0),2),0)</f>
        <v>0</v>
      </c>
      <c r="BB102" s="246">
        <f>IF('Scheduled Intervals'!BB31&gt;0,ROUND(('Parts Cost Per Job'!BB31*((1+$B$37)*$B$38))*ROUNDDOWN($B$1/'Scheduled Intervals'!BB31,0),2),0)</f>
        <v>0</v>
      </c>
      <c r="BC102" s="246">
        <f>IF('Scheduled Intervals'!BC31&gt;0,ROUND(('Parts Cost Per Job'!BC31*((1+$B$37)*$B$38))*ROUNDDOWN($B$1/'Scheduled Intervals'!BC31,0),2),0)</f>
        <v>0</v>
      </c>
      <c r="BD102" s="246">
        <f>IF('Scheduled Intervals'!BD31&gt;0,ROUND(('Parts Cost Per Job'!BD31*((1+$B$37)*$B$38))*ROUNDDOWN($B$1/'Scheduled Intervals'!BD31,0),2),0)</f>
        <v>0</v>
      </c>
      <c r="BE102" s="246">
        <f>IF('Scheduled Intervals'!BE31&gt;0,ROUND(('Parts Cost Per Job'!BE31*((1+$B$37)*$B$38))*ROUNDDOWN($B$1/'Scheduled Intervals'!BE31,0),2),0)</f>
        <v>0</v>
      </c>
      <c r="BF102" s="246">
        <f>IF('Scheduled Intervals'!BF31&gt;0,ROUND(('Parts Cost Per Job'!BF31*((1+$B$37)*$B$38))*ROUNDDOWN($B$1/'Scheduled Intervals'!BF31,0),2),0)</f>
        <v>0</v>
      </c>
      <c r="BG102" s="246">
        <f>IF('Scheduled Intervals'!BG31&gt;0,ROUND(('Parts Cost Per Job'!BG31*((1+$B$37)*$B$38))*ROUNDDOWN($B$1/'Scheduled Intervals'!BG31,0),2),0)</f>
        <v>0</v>
      </c>
      <c r="BH102" s="246">
        <f>IF('Scheduled Intervals'!BH31&gt;0,ROUND(('Parts Cost Per Job'!BH31*((1+$B$37)*$B$38))*ROUNDDOWN($B$1/'Scheduled Intervals'!BH31,0),2),0)</f>
        <v>0</v>
      </c>
      <c r="BI102" s="246">
        <f>IF('Scheduled Intervals'!BI31&gt;0,ROUND(('Parts Cost Per Job'!BI31*((1+$B$37)*$B$38))*ROUNDDOWN($B$1/'Scheduled Intervals'!BI31,0),2),0)</f>
        <v>0</v>
      </c>
      <c r="BJ102" s="246">
        <f>IF('Scheduled Intervals'!BJ31&gt;0,ROUND(('Parts Cost Per Job'!BJ31*((1+$B$37)*$B$38))*ROUNDDOWN($B$1/'Scheduled Intervals'!BJ31,0),2),0)</f>
        <v>0</v>
      </c>
      <c r="BK102" s="246">
        <f>IF('Scheduled Intervals'!BK31&gt;0,ROUND(('Parts Cost Per Job'!BK31*((1+$B$37)*$B$38))*ROUNDDOWN($B$1/'Scheduled Intervals'!BK31,0),2),0)</f>
        <v>0</v>
      </c>
      <c r="BL102" s="246">
        <f>IF('Scheduled Intervals'!BL31&gt;0,ROUND(('Parts Cost Per Job'!BL31*((1+$B$37)*$B$38))*ROUNDDOWN($B$1/'Scheduled Intervals'!BL31,0),2),0)</f>
        <v>0</v>
      </c>
      <c r="BM102" s="246">
        <f>IF('Scheduled Intervals'!BM31&gt;0,ROUND(('Parts Cost Per Job'!BM31*((1+$B$37)*$B$38))*ROUNDDOWN($B$1/'Scheduled Intervals'!BM31,0),2),0)</f>
        <v>0</v>
      </c>
      <c r="BN102" s="246">
        <f>IF(AND('Scheduled Intervals'!BN$4="annual",'Plan Summary'!$C$5&lt;'Scheduled Intervals'!$U31*('Plan Summary'!$C$9/12)),ROUND('Parts Cost Per Job'!BN31*((1+$B$37)*$B$38)*ROUND('Plan Summary'!$C$9/12,0),2),0)</f>
        <v>224.59</v>
      </c>
      <c r="BO102" s="246">
        <f>IF(AND('Scheduled Intervals'!BO$4="annual",'Plan Summary'!$C$5&lt;'Scheduled Intervals'!$U31*('Plan Summary'!$C$9/12)),ROUND('Parts Cost Per Job'!BO31*((1+$B$37)*$B$38)*ROUND('Plan Summary'!$C$9/12,0),2),0)</f>
        <v>55.33</v>
      </c>
      <c r="BP102" s="246">
        <f>IF(AND('Scheduled Intervals'!BP$4="annual",'Plan Summary'!$C$5&lt;'Scheduled Intervals'!$U31*('Plan Summary'!$C$9/12)),ROUND('Parts Cost Per Job'!BP31*((1+$B$37)*$B$38)*ROUND('Plan Summary'!$C$9/12,0),2),0)</f>
        <v>0</v>
      </c>
      <c r="BQ102" s="246">
        <f t="shared" si="3"/>
        <v>471.66</v>
      </c>
      <c r="BR102" s="246"/>
    </row>
    <row r="103" spans="1:70" ht="16" x14ac:dyDescent="0.2">
      <c r="A103" s="18" t="str">
        <f>+'Scheduled Intervals'!A33</f>
        <v>Mini Excavator</v>
      </c>
      <c r="B103" s="246">
        <f>ROUND((('Parts Cost Per Job'!B33)*((1+$B$37)*$B$38)),2)</f>
        <v>36.72</v>
      </c>
      <c r="C103" s="246">
        <f>ROUND((('Parts Cost Per Job'!C33)*((1+$B$37)*$B$38)),2)</f>
        <v>0</v>
      </c>
      <c r="D103" s="246">
        <f>ROUND((('Parts Cost Per Job'!D33)*((1+$B$37)*$B$38)),2)</f>
        <v>0</v>
      </c>
      <c r="E103" s="246">
        <f>ROUND((('Parts Cost Per Job'!E33)*((1+$B$37)*$B$38)),2)</f>
        <v>0</v>
      </c>
      <c r="F103" s="246">
        <f>ROUND((('Parts Cost Per Job'!F33)*((1+$B$37)*$B$38)),2)</f>
        <v>74.31</v>
      </c>
      <c r="G103" s="246">
        <f>ROUND((('Parts Cost Per Job'!G33)*((1+$B$37)*$B$38)),2)</f>
        <v>0</v>
      </c>
      <c r="H103" s="246">
        <f>ROUND((('Parts Cost Per Job'!H33)*((1+$B$37)*$B$38)),2)</f>
        <v>11.07</v>
      </c>
      <c r="I103" s="246">
        <f>ROUND((('Parts Cost Per Job'!I33)*((1+$B$37)*$B$38)),2)</f>
        <v>0</v>
      </c>
      <c r="J103" s="246">
        <f>ROUND((('Parts Cost Per Job'!J33)*((1+$B$37)*$B$38)),2)</f>
        <v>0</v>
      </c>
      <c r="K103" s="246">
        <f>ROUND((('Parts Cost Per Job'!K33)*((1+$B$37)*$B$38)),2)</f>
        <v>0</v>
      </c>
      <c r="L103" s="246">
        <f>ROUND((('Parts Cost Per Job'!L33)*((1+$B$37)*$B$38)),2)</f>
        <v>0</v>
      </c>
      <c r="M103" s="246">
        <f>ROUND((('Parts Cost Per Job'!M33)*((1+$B$37)*$B$38)),2)</f>
        <v>0</v>
      </c>
      <c r="N103" s="246">
        <f>ROUND((('Parts Cost Per Job'!N33)*((1+$B$37)*$B$38)),2)</f>
        <v>0</v>
      </c>
      <c r="O103" s="246">
        <f>ROUND((('Parts Cost Per Job'!O33)*((1+$B$37)*$B$38)),2)</f>
        <v>0</v>
      </c>
      <c r="P103" s="246">
        <f>ROUND((('Parts Cost Per Job'!P33)*((1+$B$37)*$B$38)),2)</f>
        <v>0</v>
      </c>
      <c r="Q103" s="246">
        <f>ROUND((('Parts Cost Per Job'!Q33)*((1+$B$37)*$B$38)),2)</f>
        <v>0</v>
      </c>
      <c r="R103" s="246">
        <f>ROUND((('Parts Cost Per Job'!R33)*((1+$B$37)*$B$38)),2)</f>
        <v>0</v>
      </c>
      <c r="S103" s="246">
        <f>ROUND((('Parts Cost Per Job'!S33)*((1+$B$37)*$B$38)),2)</f>
        <v>0</v>
      </c>
      <c r="T103" s="246">
        <f>ROUND((('Parts Cost Per Job'!T33)*((1+$B$37)*$B$38)),2)</f>
        <v>0</v>
      </c>
      <c r="U103" s="246">
        <f>IF('Scheduled Intervals'!U33&gt;0,ROUND(('Parts Cost Per Job'!U33*((1+$B$37)*$B$38))*ROUNDDOWN($B$1/'Scheduled Intervals'!U33,0),2),0)</f>
        <v>110.16</v>
      </c>
      <c r="V103" s="246">
        <f>IF('Scheduled Intervals'!V33&gt;0,ROUND(('Parts Cost Per Job'!V33*((1+$B$37)*$B$38))*ROUNDDOWN($B$1/'Scheduled Intervals'!V33,0),2),0)</f>
        <v>0</v>
      </c>
      <c r="W103" s="246">
        <f>IF('Scheduled Intervals'!W33&gt;0,ROUND(('Parts Cost Per Job'!W33*((1+$B$37)*$B$38))*ROUNDDOWN($B$1/'Scheduled Intervals'!W33,0),2),0)</f>
        <v>0</v>
      </c>
      <c r="X103" s="246">
        <f>IF('Scheduled Intervals'!X33&gt;0,ROUND(('Parts Cost Per Job'!X33*((1+$B$37)*$B$38))*ROUNDDOWN($B$1/'Scheduled Intervals'!X33,0),2),0)</f>
        <v>0</v>
      </c>
      <c r="Y103" s="246">
        <f>IF('Scheduled Intervals'!Y33&gt;0,ROUND(('Parts Cost Per Job'!Y33*((1+$B$37)*$B$38))*ROUNDDOWN($B$1/'Scheduled Intervals'!Y33,0),2),0)</f>
        <v>0</v>
      </c>
      <c r="Z103" s="246">
        <f>IF('Scheduled Intervals'!Z33&gt;0,ROUND(('Parts Cost Per Job'!Z33*((1+$B$37)*$B$38))*ROUNDDOWN($B$1/'Scheduled Intervals'!Z33,0),2),0)</f>
        <v>19.98</v>
      </c>
      <c r="AA103" s="246">
        <f>IF('Scheduled Intervals'!AA33&gt;0,ROUND(('Parts Cost Per Job'!AA33*((1+$B$37)*$B$38))*ROUNDDOWN($B$1/'Scheduled Intervals'!AA33,0),2),0)</f>
        <v>0</v>
      </c>
      <c r="AB103" s="246">
        <f>IF('Scheduled Intervals'!AB33&gt;0,ROUND(('Parts Cost Per Job'!AB33*((1+$B$37)*$B$38))*ROUNDDOWN($B$1/'Scheduled Intervals'!AB33,0),2),0)</f>
        <v>0</v>
      </c>
      <c r="AC103" s="246">
        <f>IF('Scheduled Intervals'!AC33&gt;0,ROUND(('Parts Cost Per Job'!AC33*((1+$B$37)*$B$38))*ROUNDDOWN($B$1/'Scheduled Intervals'!AC33,0),2),0)</f>
        <v>0</v>
      </c>
      <c r="AD103" s="246">
        <f>IF('Scheduled Intervals'!AD33&gt;0,ROUND(('Parts Cost Per Job'!AD33*((1+$B$37)*$B$38))*ROUNDDOWN($B$1/'Scheduled Intervals'!AD33,0),2),0)</f>
        <v>0</v>
      </c>
      <c r="AE103" s="246">
        <f>IF('Scheduled Intervals'!AE33&gt;0,ROUND(('Parts Cost Per Job'!AE33*((1+$B$37)*$B$38))*ROUNDDOWN($B$1/'Scheduled Intervals'!AE33,0),2),0)</f>
        <v>0</v>
      </c>
      <c r="AF103" s="246">
        <f>IF('Scheduled Intervals'!AF33&gt;0,ROUND(('Parts Cost Per Job'!AF33*((1+$B$37)*$B$38))*ROUNDDOWN($B$1/'Scheduled Intervals'!AF33,0),2),0)</f>
        <v>0</v>
      </c>
      <c r="AG103" s="246">
        <f>IF('Scheduled Intervals'!AG33&gt;0,ROUND(('Parts Cost Per Job'!AG33*((1+$B$37)*$B$38))*ROUNDDOWN($B$1/'Scheduled Intervals'!AG33,0),2),0)</f>
        <v>74.31</v>
      </c>
      <c r="AH103" s="246">
        <f>IF('Scheduled Intervals'!AH33&gt;0,ROUND(('Parts Cost Per Job'!AH33*((1+$B$37)*$B$38))*ROUNDDOWN($B$1/'Scheduled Intervals'!AH33,0),2),0)</f>
        <v>0</v>
      </c>
      <c r="AI103" s="246">
        <f>IF('Scheduled Intervals'!AI33&gt;0,ROUND(('Parts Cost Per Job'!AI33*((1+$B$37)*$B$38))*ROUNDDOWN($B$1/'Scheduled Intervals'!AI33,0),2),0)</f>
        <v>0</v>
      </c>
      <c r="AJ103" s="246">
        <f>IF('Scheduled Intervals'!AJ33&gt;0,ROUND(('Parts Cost Per Job'!AJ33*((1+$B$37)*$B$38))*ROUNDDOWN($B$1/'Scheduled Intervals'!AJ33,0),2),0)</f>
        <v>0</v>
      </c>
      <c r="AK103" s="246">
        <f>IF('Scheduled Intervals'!AK33&gt;0,ROUND(('Parts Cost Per Job'!AK33*((1+$B$37)*$B$38))*ROUNDDOWN($B$1/'Scheduled Intervals'!AK33,0),2),0)</f>
        <v>0</v>
      </c>
      <c r="AL103" s="246">
        <f>IF('Scheduled Intervals'!AL33&gt;0,ROUND(('Parts Cost Per Job'!AL33*((1+$B$37)*$B$38))*ROUNDDOWN($B$1/'Scheduled Intervals'!AL33,0),2),0)</f>
        <v>0</v>
      </c>
      <c r="AM103" s="246">
        <f>IF('Scheduled Intervals'!AM33&gt;0,ROUND(('Parts Cost Per Job'!AM33*((1+$B$37)*$B$38))*ROUNDDOWN($B$1/'Scheduled Intervals'!AM33,0),2),0)</f>
        <v>0</v>
      </c>
      <c r="AN103" s="246">
        <f>IF('Scheduled Intervals'!AN33&gt;0,ROUND(('Parts Cost Per Job'!AN33*((1+$B$37)*$B$38))*ROUNDDOWN($B$1/'Scheduled Intervals'!AN33,0),2),0)</f>
        <v>0</v>
      </c>
      <c r="AO103" s="246">
        <f>IF('Scheduled Intervals'!AO33&gt;0,ROUND(('Parts Cost Per Job'!AO33*((1+$B$37)*$B$38))*ROUNDDOWN($B$1/'Scheduled Intervals'!AO33,0),2),0)</f>
        <v>0</v>
      </c>
      <c r="AP103" s="246">
        <f>IF('Scheduled Intervals'!AP33&gt;0,ROUND(('Parts Cost Per Job'!AP33*((1+$B$37)*$B$38))*ROUNDDOWN($B$1/'Scheduled Intervals'!AP33,0),2),0)</f>
        <v>0</v>
      </c>
      <c r="AQ103" s="246">
        <f>IF('Scheduled Intervals'!AQ33&gt;0,ROUND(('Parts Cost Per Job'!AQ33*((1+$B$37)*$B$38))*ROUNDDOWN($B$1/'Scheduled Intervals'!AQ33,0),2),0)</f>
        <v>0</v>
      </c>
      <c r="AR103" s="246">
        <f>IF('Scheduled Intervals'!AR33&gt;0,ROUND(('Parts Cost Per Job'!AR33*((1+$B$37)*$B$38))*ROUNDDOWN($B$1/'Scheduled Intervals'!AR33,0),2),0)</f>
        <v>0</v>
      </c>
      <c r="AS103" s="246">
        <f>IF('Scheduled Intervals'!AS33&gt;0,ROUND(('Parts Cost Per Job'!AS33*((1+$B$37)*$B$38))*ROUNDDOWN($B$1/'Scheduled Intervals'!AS33,0),2),0)</f>
        <v>0</v>
      </c>
      <c r="AT103" s="246">
        <f>IF('Scheduled Intervals'!AT33&gt;0,ROUND(('Parts Cost Per Job'!AT33*((1+$B$37)*$B$38))*ROUNDDOWN($B$1/'Scheduled Intervals'!AT33,0),2),0)</f>
        <v>33.200000000000003</v>
      </c>
      <c r="AU103" s="246">
        <f>IF('Scheduled Intervals'!AU33&gt;0,ROUND(('Parts Cost Per Job'!AU33*((1+$B$37)*$B$38))*ROUNDDOWN($B$1/'Scheduled Intervals'!AU33,0),2),0)</f>
        <v>0</v>
      </c>
      <c r="AV103" s="246">
        <f>IF('Scheduled Intervals'!AV33&gt;0,ROUND(('Parts Cost Per Job'!AV33*((1+$B$37)*$B$38))*ROUNDDOWN($B$1/'Scheduled Intervals'!AV33,0),2),0)</f>
        <v>0</v>
      </c>
      <c r="AW103" s="246">
        <f>IF('Scheduled Intervals'!AW33&gt;0,ROUND(('Parts Cost Per Job'!AW33*((1+$B$37)*$B$38))*ROUNDDOWN($B$1/'Scheduled Intervals'!AW33,0),2),0)</f>
        <v>0</v>
      </c>
      <c r="AX103" s="246">
        <f>IF('Scheduled Intervals'!AX33&gt;0,ROUND(('Parts Cost Per Job'!AX33*((1+$B$37)*$B$38))*ROUNDDOWN($B$1/'Scheduled Intervals'!AX33,0),2),0)</f>
        <v>0</v>
      </c>
      <c r="AY103" s="246">
        <f>IF('Scheduled Intervals'!AY33&gt;0,ROUND(('Parts Cost Per Job'!AY33*((1+$B$37)*$B$38))*ROUNDDOWN($B$1/'Scheduled Intervals'!AY33,0),2),0)</f>
        <v>0</v>
      </c>
      <c r="AZ103" s="246">
        <f>IF('Scheduled Intervals'!AZ33&gt;0,ROUND(('Parts Cost Per Job'!AZ33*((1+$B$37)*$B$38))*ROUNDDOWN($B$1/'Scheduled Intervals'!AZ33,0),2),0)</f>
        <v>0</v>
      </c>
      <c r="BA103" s="246">
        <f>IF('Scheduled Intervals'!BA33&gt;0,ROUND(('Parts Cost Per Job'!BA33*((1+$B$37)*$B$38))*ROUNDDOWN($B$1/'Scheduled Intervals'!BA33,0),2),0)</f>
        <v>0</v>
      </c>
      <c r="BB103" s="246">
        <f>IF('Scheduled Intervals'!BB33&gt;0,ROUND(('Parts Cost Per Job'!BB33*((1+$B$37)*$B$38))*ROUNDDOWN($B$1/'Scheduled Intervals'!BB33,0),2),0)</f>
        <v>33.31</v>
      </c>
      <c r="BC103" s="246">
        <f>IF('Scheduled Intervals'!BC33&gt;0,ROUND(('Parts Cost Per Job'!BC33*((1+$B$37)*$B$38))*ROUNDDOWN($B$1/'Scheduled Intervals'!BC33,0),2),0)</f>
        <v>26.95</v>
      </c>
      <c r="BD103" s="246">
        <f>IF('Scheduled Intervals'!BD33&gt;0,ROUND(('Parts Cost Per Job'!BD33*((1+$B$37)*$B$38))*ROUNDDOWN($B$1/'Scheduled Intervals'!BD33,0),2),0)</f>
        <v>0</v>
      </c>
      <c r="BE103" s="246">
        <f>IF('Scheduled Intervals'!BE33&gt;0,ROUND(('Parts Cost Per Job'!BE33*((1+$B$37)*$B$38))*ROUNDDOWN($B$1/'Scheduled Intervals'!BE33,0),2),0)</f>
        <v>0</v>
      </c>
      <c r="BF103" s="246">
        <f>IF('Scheduled Intervals'!BF33&gt;0,ROUND(('Parts Cost Per Job'!BF33*((1+$B$37)*$B$38))*ROUNDDOWN($B$1/'Scheduled Intervals'!BF33,0),2),0)</f>
        <v>0</v>
      </c>
      <c r="BG103" s="246">
        <f>IF('Scheduled Intervals'!BG33&gt;0,ROUND(('Parts Cost Per Job'!BG33*((1+$B$37)*$B$38))*ROUNDDOWN($B$1/'Scheduled Intervals'!BG33,0),2),0)</f>
        <v>0</v>
      </c>
      <c r="BH103" s="246">
        <f>IF('Scheduled Intervals'!BH33&gt;0,ROUND(('Parts Cost Per Job'!BH33*((1+$B$37)*$B$38))*ROUNDDOWN($B$1/'Scheduled Intervals'!BH33,0),2),0)</f>
        <v>0</v>
      </c>
      <c r="BI103" s="246">
        <f>IF('Scheduled Intervals'!BI33&gt;0,ROUND(('Parts Cost Per Job'!BI33*((1+$B$37)*$B$38))*ROUNDDOWN($B$1/'Scheduled Intervals'!BI33,0),2),0)</f>
        <v>0</v>
      </c>
      <c r="BJ103" s="246">
        <f>IF('Scheduled Intervals'!BJ33&gt;0,ROUND(('Parts Cost Per Job'!BJ33*((1+$B$37)*$B$38))*ROUNDDOWN($B$1/'Scheduled Intervals'!BJ33,0),2),0)</f>
        <v>0</v>
      </c>
      <c r="BK103" s="246">
        <f>IF('Scheduled Intervals'!BK33&gt;0,ROUND(('Parts Cost Per Job'!BK33*((1+$B$37)*$B$38))*ROUNDDOWN($B$1/'Scheduled Intervals'!BK33,0),2),0)</f>
        <v>0</v>
      </c>
      <c r="BL103" s="246">
        <f>IF('Scheduled Intervals'!BL33&gt;0,ROUND(('Parts Cost Per Job'!BL33*((1+$B$37)*$B$38))*ROUNDDOWN($B$1/'Scheduled Intervals'!BL33,0),2),0)</f>
        <v>0</v>
      </c>
      <c r="BM103" s="246">
        <f>IF('Scheduled Intervals'!BM33&gt;0,ROUND(('Parts Cost Per Job'!BM33*((1+$B$37)*$B$38))*ROUNDDOWN($B$1/'Scheduled Intervals'!BM33,0),2),0)</f>
        <v>0</v>
      </c>
      <c r="BN103" s="246">
        <f>IF(AND('Scheduled Intervals'!BN$4="annual",'Plan Summary'!$C$5&lt;'Scheduled Intervals'!$U33*('Plan Summary'!$C$9/12)),ROUND('Parts Cost Per Job'!BN33*((1+$B$37)*$B$38)*ROUND('Plan Summary'!$C$9/12,0),2),0)</f>
        <v>183.6</v>
      </c>
      <c r="BO103" s="246">
        <f>IF(AND('Scheduled Intervals'!BO$4="annual",'Plan Summary'!$C$5&lt;'Scheduled Intervals'!$U33*('Plan Summary'!$C$9/12)),ROUND('Parts Cost Per Job'!BO33*((1+$B$37)*$B$38)*ROUND('Plan Summary'!$C$9/12,0),2),0)</f>
        <v>55.33</v>
      </c>
      <c r="BP103" s="246">
        <f>IF(AND('Scheduled Intervals'!BP$4="annual",'Plan Summary'!$C$5&lt;'Scheduled Intervals'!$U33*('Plan Summary'!$C$9/12)),ROUND('Parts Cost Per Job'!BP33*((1+$B$37)*$B$38)*ROUND('Plan Summary'!$C$9/12,0),2),0)</f>
        <v>0</v>
      </c>
      <c r="BQ103" s="246">
        <f t="shared" si="3"/>
        <v>658.93999999999994</v>
      </c>
      <c r="BR103" s="246"/>
    </row>
    <row r="104" spans="1:70" ht="16" x14ac:dyDescent="0.2">
      <c r="A104" s="18" t="str">
        <f>+'Scheduled Intervals'!A34</f>
        <v>Sub Compact BX</v>
      </c>
      <c r="B104" s="246">
        <f>ROUND((('Parts Cost Per Job'!B34)*((1+$B$37)*$B$38)),2)</f>
        <v>66.930000000000007</v>
      </c>
      <c r="C104" s="246">
        <f>ROUND((('Parts Cost Per Job'!C34)*((1+$B$37)*$B$38)),2)</f>
        <v>0</v>
      </c>
      <c r="D104" s="246">
        <f>ROUND((('Parts Cost Per Job'!D34)*((1+$B$37)*$B$38)),2)</f>
        <v>0</v>
      </c>
      <c r="E104" s="246">
        <f>ROUND((('Parts Cost Per Job'!E34)*((1+$B$37)*$B$38)),2)</f>
        <v>0</v>
      </c>
      <c r="F104" s="246">
        <f>ROUND((('Parts Cost Per Job'!F34)*((1+$B$37)*$B$38)),2)</f>
        <v>0</v>
      </c>
      <c r="G104" s="246">
        <f>ROUND((('Parts Cost Per Job'!G34)*((1+$B$37)*$B$38)),2)</f>
        <v>0</v>
      </c>
      <c r="H104" s="246">
        <f>ROUND((('Parts Cost Per Job'!H34)*((1+$B$37)*$B$38)),2)</f>
        <v>11.07</v>
      </c>
      <c r="I104" s="246">
        <f>ROUND((('Parts Cost Per Job'!I34)*((1+$B$37)*$B$38)),2)</f>
        <v>0</v>
      </c>
      <c r="J104" s="246">
        <f>ROUND((('Parts Cost Per Job'!J34)*((1+$B$37)*$B$38)),2)</f>
        <v>0</v>
      </c>
      <c r="K104" s="246">
        <f>ROUND((('Parts Cost Per Job'!K34)*((1+$B$37)*$B$38)),2)</f>
        <v>0</v>
      </c>
      <c r="L104" s="246">
        <f>ROUND((('Parts Cost Per Job'!L34)*((1+$B$37)*$B$38)),2)</f>
        <v>0</v>
      </c>
      <c r="M104" s="246">
        <f>ROUND((('Parts Cost Per Job'!M34)*((1+$B$37)*$B$38)),2)</f>
        <v>0</v>
      </c>
      <c r="N104" s="246">
        <f>ROUND((('Parts Cost Per Job'!N34)*((1+$B$37)*$B$38)),2)</f>
        <v>0</v>
      </c>
      <c r="O104" s="246">
        <f>ROUND((('Parts Cost Per Job'!O34)*((1+$B$37)*$B$38)),2)</f>
        <v>0</v>
      </c>
      <c r="P104" s="246">
        <f>ROUND((('Parts Cost Per Job'!P34)*((1+$B$37)*$B$38)),2)</f>
        <v>0</v>
      </c>
      <c r="Q104" s="246">
        <f>ROUND((('Parts Cost Per Job'!Q34)*((1+$B$37)*$B$38)),2)</f>
        <v>0</v>
      </c>
      <c r="R104" s="246">
        <f>ROUND((('Parts Cost Per Job'!R34)*((1+$B$37)*$B$38)),2)</f>
        <v>0</v>
      </c>
      <c r="S104" s="246">
        <f>ROUND((('Parts Cost Per Job'!S34)*((1+$B$37)*$B$38)),2)</f>
        <v>0</v>
      </c>
      <c r="T104" s="246">
        <f>ROUND((('Parts Cost Per Job'!T34)*((1+$B$37)*$B$38)),2)</f>
        <v>0</v>
      </c>
      <c r="U104" s="246">
        <f>IF('Scheduled Intervals'!U34&gt;0,ROUND(('Parts Cost Per Job'!U34*((1+$B$37)*$B$38))*ROUNDDOWN($B$1/'Scheduled Intervals'!U34,0),2),0)</f>
        <v>0</v>
      </c>
      <c r="V104" s="246">
        <f>IF('Scheduled Intervals'!V34&gt;0,ROUND(('Parts Cost Per Job'!V34*((1+$B$37)*$B$38))*ROUNDDOWN($B$1/'Scheduled Intervals'!V34,0),2),0)</f>
        <v>0</v>
      </c>
      <c r="W104" s="246">
        <f>IF('Scheduled Intervals'!W34&gt;0,ROUND(('Parts Cost Per Job'!W34*((1+$B$37)*$B$38))*ROUNDDOWN($B$1/'Scheduled Intervals'!W34,0),2),0)</f>
        <v>0</v>
      </c>
      <c r="X104" s="246">
        <f>IF('Scheduled Intervals'!X34&gt;0,ROUND(('Parts Cost Per Job'!X34*((1+$B$37)*$B$38))*ROUNDDOWN($B$1/'Scheduled Intervals'!X34,0),2),0)</f>
        <v>0</v>
      </c>
      <c r="Y104" s="246">
        <f>IF('Scheduled Intervals'!Y34&gt;0,ROUND(('Parts Cost Per Job'!Y34*((1+$B$37)*$B$38))*ROUNDDOWN($B$1/'Scheduled Intervals'!Y34,0),2),0)</f>
        <v>0</v>
      </c>
      <c r="Z104" s="246">
        <f>IF('Scheduled Intervals'!Z34&gt;0,ROUND(('Parts Cost Per Job'!Z34*((1+$B$37)*$B$38))*ROUNDDOWN($B$1/'Scheduled Intervals'!Z34,0),2),0)</f>
        <v>0</v>
      </c>
      <c r="AA104" s="246">
        <f>IF('Scheduled Intervals'!AA34&gt;0,ROUND(('Parts Cost Per Job'!AA34*((1+$B$37)*$B$38))*ROUNDDOWN($B$1/'Scheduled Intervals'!AA34,0),2),0)</f>
        <v>0</v>
      </c>
      <c r="AB104" s="246">
        <f>IF('Scheduled Intervals'!AB34&gt;0,ROUND(('Parts Cost Per Job'!AB34*((1+$B$37)*$B$38))*ROUNDDOWN($B$1/'Scheduled Intervals'!AB34,0),2),0)</f>
        <v>0</v>
      </c>
      <c r="AC104" s="246">
        <f>IF('Scheduled Intervals'!AC34&gt;0,ROUND(('Parts Cost Per Job'!AC34*((1+$B$37)*$B$38))*ROUNDDOWN($B$1/'Scheduled Intervals'!AC34,0),2),0)</f>
        <v>54.51</v>
      </c>
      <c r="AD104" s="246">
        <f>IF('Scheduled Intervals'!AD34&gt;0,ROUND(('Parts Cost Per Job'!AD34*((1+$B$37)*$B$38))*ROUNDDOWN($B$1/'Scheduled Intervals'!AD34,0),2),0)</f>
        <v>0</v>
      </c>
      <c r="AE104" s="246">
        <f>IF('Scheduled Intervals'!AE34&gt;0,ROUND(('Parts Cost Per Job'!AE34*((1+$B$37)*$B$38))*ROUNDDOWN($B$1/'Scheduled Intervals'!AE34,0),2),0)</f>
        <v>0</v>
      </c>
      <c r="AF104" s="246">
        <f>IF('Scheduled Intervals'!AF34&gt;0,ROUND(('Parts Cost Per Job'!AF34*((1+$B$37)*$B$38))*ROUNDDOWN($B$1/'Scheduled Intervals'!AF34,0),2),0)</f>
        <v>0</v>
      </c>
      <c r="AG104" s="246">
        <f>IF('Scheduled Intervals'!AG34&gt;0,ROUND(('Parts Cost Per Job'!AG34*((1+$B$37)*$B$38))*ROUNDDOWN($B$1/'Scheduled Intervals'!AG34,0),2),0)</f>
        <v>0</v>
      </c>
      <c r="AH104" s="246">
        <f>IF('Scheduled Intervals'!AH34&gt;0,ROUND(('Parts Cost Per Job'!AH34*((1+$B$37)*$B$38))*ROUNDDOWN($B$1/'Scheduled Intervals'!AH34,0),2),0)</f>
        <v>0</v>
      </c>
      <c r="AI104" s="246">
        <f>IF('Scheduled Intervals'!AI34&gt;0,ROUND(('Parts Cost Per Job'!AI34*((1+$B$37)*$B$38))*ROUNDDOWN($B$1/'Scheduled Intervals'!AI34,0),2),0)</f>
        <v>0</v>
      </c>
      <c r="AJ104" s="246">
        <f>IF('Scheduled Intervals'!AJ34&gt;0,ROUND(('Parts Cost Per Job'!AJ34*((1+$B$37)*$B$38))*ROUNDDOWN($B$1/'Scheduled Intervals'!AJ34,0),2),0)</f>
        <v>0</v>
      </c>
      <c r="AK104" s="246">
        <f>IF('Scheduled Intervals'!AK34&gt;0,ROUND(('Parts Cost Per Job'!AK34*((1+$B$37)*$B$38))*ROUNDDOWN($B$1/'Scheduled Intervals'!AK34,0),2),0)</f>
        <v>0</v>
      </c>
      <c r="AL104" s="246">
        <f>IF('Scheduled Intervals'!AL34&gt;0,ROUND(('Parts Cost Per Job'!AL34*((1+$B$37)*$B$38))*ROUNDDOWN($B$1/'Scheduled Intervals'!AL34,0),2),0)</f>
        <v>0</v>
      </c>
      <c r="AM104" s="246">
        <f>IF('Scheduled Intervals'!AM34&gt;0,ROUND(('Parts Cost Per Job'!AM34*((1+$B$37)*$B$38))*ROUNDDOWN($B$1/'Scheduled Intervals'!AM34,0),2),0)</f>
        <v>0</v>
      </c>
      <c r="AN104" s="246">
        <f>IF('Scheduled Intervals'!AN34&gt;0,ROUND(('Parts Cost Per Job'!AN34*((1+$B$37)*$B$38))*ROUNDDOWN($B$1/'Scheduled Intervals'!AN34,0),2),0)</f>
        <v>0</v>
      </c>
      <c r="AO104" s="246">
        <f>IF('Scheduled Intervals'!AO34&gt;0,ROUND(('Parts Cost Per Job'!AO34*((1+$B$37)*$B$38))*ROUNDDOWN($B$1/'Scheduled Intervals'!AO34,0),2),0)</f>
        <v>0</v>
      </c>
      <c r="AP104" s="246">
        <f>IF('Scheduled Intervals'!AP34&gt;0,ROUND(('Parts Cost Per Job'!AP34*((1+$B$37)*$B$38))*ROUNDDOWN($B$1/'Scheduled Intervals'!AP34,0),2),0)</f>
        <v>0</v>
      </c>
      <c r="AQ104" s="246">
        <f>IF('Scheduled Intervals'!AQ34&gt;0,ROUND(('Parts Cost Per Job'!AQ34*((1+$B$37)*$B$38))*ROUNDDOWN($B$1/'Scheduled Intervals'!AQ34,0),2),0)</f>
        <v>0</v>
      </c>
      <c r="AR104" s="246">
        <f>IF('Scheduled Intervals'!AR34&gt;0,ROUND(('Parts Cost Per Job'!AR34*((1+$B$37)*$B$38))*ROUNDDOWN($B$1/'Scheduled Intervals'!AR34,0),2),0)</f>
        <v>0</v>
      </c>
      <c r="AS104" s="246">
        <f>IF('Scheduled Intervals'!AS34&gt;0,ROUND(('Parts Cost Per Job'!AS34*((1+$B$37)*$B$38))*ROUNDDOWN($B$1/'Scheduled Intervals'!AS34,0),2),0)</f>
        <v>0</v>
      </c>
      <c r="AT104" s="246">
        <f>IF('Scheduled Intervals'!AT34&gt;0,ROUND(('Parts Cost Per Job'!AT34*((1+$B$37)*$B$38))*ROUNDDOWN($B$1/'Scheduled Intervals'!AT34,0),2),0)</f>
        <v>0</v>
      </c>
      <c r="AU104" s="246">
        <f>IF('Scheduled Intervals'!AU34&gt;0,ROUND(('Parts Cost Per Job'!AU34*((1+$B$37)*$B$38))*ROUNDDOWN($B$1/'Scheduled Intervals'!AU34,0),2),0)</f>
        <v>0</v>
      </c>
      <c r="AV104" s="246">
        <f>IF('Scheduled Intervals'!AV34&gt;0,ROUND(('Parts Cost Per Job'!AV34*((1+$B$37)*$B$38))*ROUNDDOWN($B$1/'Scheduled Intervals'!AV34,0),2),0)</f>
        <v>0</v>
      </c>
      <c r="AW104" s="246">
        <f>IF('Scheduled Intervals'!AW34&gt;0,ROUND(('Parts Cost Per Job'!AW34*((1+$B$37)*$B$38))*ROUNDDOWN($B$1/'Scheduled Intervals'!AW34,0),2),0)</f>
        <v>0</v>
      </c>
      <c r="AX104" s="246">
        <f>IF('Scheduled Intervals'!AX34&gt;0,ROUND(('Parts Cost Per Job'!AX34*((1+$B$37)*$B$38))*ROUNDDOWN($B$1/'Scheduled Intervals'!AX34,0),2),0)</f>
        <v>0</v>
      </c>
      <c r="AY104" s="246">
        <f>IF('Scheduled Intervals'!AY34&gt;0,ROUND(('Parts Cost Per Job'!AY34*((1+$B$37)*$B$38))*ROUNDDOWN($B$1/'Scheduled Intervals'!AY34,0),2),0)</f>
        <v>0</v>
      </c>
      <c r="AZ104" s="246">
        <f>IF('Scheduled Intervals'!AZ34&gt;0,ROUND(('Parts Cost Per Job'!AZ34*((1+$B$37)*$B$38))*ROUNDDOWN($B$1/'Scheduled Intervals'!AZ34,0),2),0)</f>
        <v>0</v>
      </c>
      <c r="BA104" s="246">
        <f>IF('Scheduled Intervals'!BA34&gt;0,ROUND(('Parts Cost Per Job'!BA34*((1+$B$37)*$B$38))*ROUNDDOWN($B$1/'Scheduled Intervals'!BA34,0),2),0)</f>
        <v>0</v>
      </c>
      <c r="BB104" s="246">
        <f>IF('Scheduled Intervals'!BB34&gt;0,ROUND(('Parts Cost Per Job'!BB34*((1+$B$37)*$B$38))*ROUNDDOWN($B$1/'Scheduled Intervals'!BB34,0),2),0)</f>
        <v>0</v>
      </c>
      <c r="BC104" s="246">
        <f>IF('Scheduled Intervals'!BC34&gt;0,ROUND(('Parts Cost Per Job'!BC34*((1+$B$37)*$B$38))*ROUNDDOWN($B$1/'Scheduled Intervals'!BC34,0),2),0)</f>
        <v>0</v>
      </c>
      <c r="BD104" s="246">
        <f>IF('Scheduled Intervals'!BD34&gt;0,ROUND(('Parts Cost Per Job'!BD34*((1+$B$37)*$B$38))*ROUNDDOWN($B$1/'Scheduled Intervals'!BD34,0),2),0)</f>
        <v>0</v>
      </c>
      <c r="BE104" s="246">
        <f>IF('Scheduled Intervals'!BE34&gt;0,ROUND(('Parts Cost Per Job'!BE34*((1+$B$37)*$B$38))*ROUNDDOWN($B$1/'Scheduled Intervals'!BE34,0),2),0)</f>
        <v>0</v>
      </c>
      <c r="BF104" s="246">
        <f>IF('Scheduled Intervals'!BF34&gt;0,ROUND(('Parts Cost Per Job'!BF34*((1+$B$37)*$B$38))*ROUNDDOWN($B$1/'Scheduled Intervals'!BF34,0),2),0)</f>
        <v>0</v>
      </c>
      <c r="BG104" s="246">
        <f>IF('Scheduled Intervals'!BG34&gt;0,ROUND(('Parts Cost Per Job'!BG34*((1+$B$37)*$B$38))*ROUNDDOWN($B$1/'Scheduled Intervals'!BG34,0),2),0)</f>
        <v>0</v>
      </c>
      <c r="BH104" s="246">
        <f>IF('Scheduled Intervals'!BH34&gt;0,ROUND(('Parts Cost Per Job'!BH34*((1+$B$37)*$B$38))*ROUNDDOWN($B$1/'Scheduled Intervals'!BH34,0),2),0)</f>
        <v>0</v>
      </c>
      <c r="BI104" s="246">
        <f>IF('Scheduled Intervals'!BI34&gt;0,ROUND(('Parts Cost Per Job'!BI34*((1+$B$37)*$B$38))*ROUNDDOWN($B$1/'Scheduled Intervals'!BI34,0),2),0)</f>
        <v>0</v>
      </c>
      <c r="BJ104" s="246">
        <f>IF('Scheduled Intervals'!BJ34&gt;0,ROUND(('Parts Cost Per Job'!BJ34*((1+$B$37)*$B$38))*ROUNDDOWN($B$1/'Scheduled Intervals'!BJ34,0),2),0)</f>
        <v>0</v>
      </c>
      <c r="BK104" s="246">
        <f>IF('Scheduled Intervals'!BK34&gt;0,ROUND(('Parts Cost Per Job'!BK34*((1+$B$37)*$B$38))*ROUNDDOWN($B$1/'Scheduled Intervals'!BK34,0),2),0)</f>
        <v>0</v>
      </c>
      <c r="BL104" s="246">
        <f>IF('Scheduled Intervals'!BL34&gt;0,ROUND(('Parts Cost Per Job'!BL34*((1+$B$37)*$B$38))*ROUNDDOWN($B$1/'Scheduled Intervals'!BL34,0),2),0)</f>
        <v>0</v>
      </c>
      <c r="BM104" s="246">
        <f>IF('Scheduled Intervals'!BM34&gt;0,ROUND(('Parts Cost Per Job'!BM34*((1+$B$37)*$B$38))*ROUNDDOWN($B$1/'Scheduled Intervals'!BM34,0),2),0)</f>
        <v>0</v>
      </c>
      <c r="BN104" s="246">
        <f>IF(AND('Scheduled Intervals'!BN$4="annual",'Plan Summary'!$C$5&lt;'Scheduled Intervals'!$U34*('Plan Summary'!$C$9/12)),ROUND('Parts Cost Per Job'!BN34*((1+$B$37)*$B$38)*ROUND('Plan Summary'!$C$9/12,0),2),0)</f>
        <v>334.66</v>
      </c>
      <c r="BO104" s="246">
        <f>IF(AND('Scheduled Intervals'!BO$4="annual",'Plan Summary'!$C$5&lt;'Scheduled Intervals'!$U34*('Plan Summary'!$C$9/12)),ROUND('Parts Cost Per Job'!BO34*((1+$B$37)*$B$38)*ROUND('Plan Summary'!$C$9/12,0),2),0)</f>
        <v>55.33</v>
      </c>
      <c r="BP104" s="246">
        <f>IF(AND('Scheduled Intervals'!BP$4="annual",'Plan Summary'!$C$5&lt;'Scheduled Intervals'!$U34*('Plan Summary'!$C$9/12)),ROUND('Parts Cost Per Job'!BP34*((1+$B$37)*$B$38)*ROUND('Plan Summary'!$C$9/12,0),2),0)</f>
        <v>0</v>
      </c>
      <c r="BQ104" s="246">
        <f t="shared" si="3"/>
        <v>522.5</v>
      </c>
      <c r="BR104" s="246"/>
    </row>
    <row r="105" spans="1:70" ht="16" x14ac:dyDescent="0.2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R105" s="246"/>
    </row>
    <row r="106" spans="1:70" ht="16" x14ac:dyDescent="0.2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R106" s="246"/>
    </row>
    <row r="107" spans="1:70" ht="16" x14ac:dyDescent="0.2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R107" s="246"/>
    </row>
    <row r="108" spans="1:70" ht="16" x14ac:dyDescent="0.2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R108" s="246"/>
    </row>
    <row r="109" spans="1:70" ht="16" x14ac:dyDescent="0.2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R109" s="246"/>
    </row>
    <row r="110" spans="1:70" ht="16" x14ac:dyDescent="0.2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R110" s="246"/>
    </row>
    <row r="111" spans="1:70" ht="16" x14ac:dyDescent="0.2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R111" s="246"/>
    </row>
    <row r="112" spans="1:70" ht="16" x14ac:dyDescent="0.2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R112" s="246"/>
    </row>
    <row r="113" spans="2:70" ht="16" x14ac:dyDescent="0.2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R113" s="246"/>
    </row>
    <row r="114" spans="2:70" ht="16" x14ac:dyDescent="0.2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R114" s="246"/>
    </row>
    <row r="115" spans="2:70" ht="16" x14ac:dyDescent="0.2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R115" s="246"/>
    </row>
    <row r="116" spans="2:70" ht="16" x14ac:dyDescent="0.2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R116" s="246"/>
    </row>
    <row r="117" spans="2:70" ht="16" x14ac:dyDescent="0.2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R117" s="246"/>
    </row>
    <row r="118" spans="2:70" ht="16" x14ac:dyDescent="0.2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R118" s="246"/>
    </row>
    <row r="119" spans="2:70" ht="16" x14ac:dyDescent="0.2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R119" s="246"/>
    </row>
    <row r="120" spans="2:70" ht="16" x14ac:dyDescent="0.2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R120" s="246"/>
    </row>
    <row r="121" spans="2:70" ht="16" x14ac:dyDescent="0.2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R121" s="246"/>
    </row>
    <row r="122" spans="2:70" ht="16" x14ac:dyDescent="0.2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R122" s="246"/>
    </row>
    <row r="123" spans="2:70" ht="16" x14ac:dyDescent="0.2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R123" s="246"/>
    </row>
    <row r="124" spans="2:70" ht="16" x14ac:dyDescent="0.2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R124" s="246"/>
    </row>
    <row r="125" spans="2:70" ht="16" x14ac:dyDescent="0.2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R125" s="246"/>
    </row>
    <row r="126" spans="2:70" ht="16" x14ac:dyDescent="0.2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R126" s="246"/>
    </row>
    <row r="127" spans="2:70" ht="16" x14ac:dyDescent="0.2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R127" s="246"/>
    </row>
    <row r="128" spans="2:70" ht="16" x14ac:dyDescent="0.2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R128" s="246"/>
    </row>
    <row r="129" spans="2:70" ht="16" x14ac:dyDescent="0.2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R129" s="246"/>
    </row>
    <row r="130" spans="2:70" ht="16" x14ac:dyDescent="0.2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R130" s="246"/>
    </row>
    <row r="131" spans="2:70" ht="16" x14ac:dyDescent="0.2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R131" s="246"/>
    </row>
    <row r="132" spans="2:70" ht="16" x14ac:dyDescent="0.2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R132" s="246"/>
    </row>
    <row r="133" spans="2:70" ht="16" x14ac:dyDescent="0.2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R133" s="246"/>
    </row>
    <row r="134" spans="2:70" ht="16" x14ac:dyDescent="0.2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R134" s="246"/>
    </row>
    <row r="135" spans="2:70" ht="16" x14ac:dyDescent="0.2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R135" s="246"/>
    </row>
    <row r="136" spans="2:70" ht="16" x14ac:dyDescent="0.2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R136" s="246"/>
    </row>
    <row r="137" spans="2:70" ht="16" x14ac:dyDescent="0.2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R137" s="246"/>
    </row>
    <row r="138" spans="2:70" ht="16" x14ac:dyDescent="0.2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R138" s="246"/>
    </row>
    <row r="139" spans="2:70" ht="16" x14ac:dyDescent="0.2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R139" s="246"/>
    </row>
    <row r="140" spans="2:70" ht="16" x14ac:dyDescent="0.2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R140" s="246"/>
    </row>
    <row r="141" spans="2:70" ht="16" x14ac:dyDescent="0.2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R141" s="246"/>
    </row>
    <row r="142" spans="2:70" ht="16" x14ac:dyDescent="0.2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R142" s="246"/>
    </row>
    <row r="143" spans="2:70" ht="16" x14ac:dyDescent="0.2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R143" s="246"/>
    </row>
    <row r="144" spans="2:70" ht="16" x14ac:dyDescent="0.2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R144" s="246"/>
    </row>
    <row r="145" spans="2:70" ht="16" x14ac:dyDescent="0.2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R145" s="246"/>
    </row>
    <row r="146" spans="2:70" ht="16" x14ac:dyDescent="0.2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R146" s="246"/>
    </row>
    <row r="147" spans="2:70" ht="16" x14ac:dyDescent="0.2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R147" s="246"/>
    </row>
    <row r="148" spans="2:70" ht="16" x14ac:dyDescent="0.2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R148" s="246"/>
    </row>
    <row r="149" spans="2:70" ht="16" x14ac:dyDescent="0.2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R149" s="246"/>
    </row>
    <row r="150" spans="2:70" ht="16" x14ac:dyDescent="0.2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R150" s="246"/>
    </row>
    <row r="151" spans="2:70" ht="16" x14ac:dyDescent="0.2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R151" s="246"/>
    </row>
    <row r="152" spans="2:70" ht="16" x14ac:dyDescent="0.2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R152" s="246"/>
    </row>
    <row r="153" spans="2:70" ht="16" x14ac:dyDescent="0.2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R153" s="246"/>
    </row>
    <row r="154" spans="2:70" ht="16" x14ac:dyDescent="0.2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R154" s="246"/>
    </row>
    <row r="155" spans="2:70" ht="16" x14ac:dyDescent="0.2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R155" s="246"/>
    </row>
    <row r="156" spans="2:70" ht="16" x14ac:dyDescent="0.2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R156" s="246"/>
    </row>
    <row r="157" spans="2:70" ht="16" x14ac:dyDescent="0.2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R157" s="246"/>
    </row>
    <row r="158" spans="2:70" ht="16" x14ac:dyDescent="0.2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R158" s="246"/>
    </row>
    <row r="159" spans="2:70" ht="16" x14ac:dyDescent="0.2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R159" s="246"/>
    </row>
    <row r="160" spans="2:70" ht="16" x14ac:dyDescent="0.2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R160" s="246"/>
    </row>
    <row r="161" spans="2:70" ht="16" x14ac:dyDescent="0.2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R161" s="246"/>
    </row>
    <row r="162" spans="2:70" ht="16" x14ac:dyDescent="0.2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R162" s="246"/>
    </row>
    <row r="163" spans="2:70" ht="16" x14ac:dyDescent="0.2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R163" s="246"/>
    </row>
    <row r="164" spans="2:70" ht="16" x14ac:dyDescent="0.2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R164" s="246"/>
    </row>
    <row r="165" spans="2:70" ht="16" x14ac:dyDescent="0.2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R165" s="246"/>
    </row>
    <row r="166" spans="2:70" ht="16" x14ac:dyDescent="0.2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R166" s="246"/>
    </row>
    <row r="167" spans="2:70" ht="16" x14ac:dyDescent="0.2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R167" s="246"/>
    </row>
    <row r="168" spans="2:70" ht="16" x14ac:dyDescent="0.2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R168" s="246"/>
    </row>
    <row r="169" spans="2:70" ht="16" x14ac:dyDescent="0.2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R169" s="246"/>
    </row>
    <row r="170" spans="2:70" ht="16" x14ac:dyDescent="0.2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R170" s="246"/>
    </row>
    <row r="171" spans="2:70" ht="16" x14ac:dyDescent="0.2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R171" s="246"/>
    </row>
    <row r="172" spans="2:70" ht="16" x14ac:dyDescent="0.2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R172" s="246"/>
    </row>
    <row r="173" spans="2:70" ht="16" x14ac:dyDescent="0.2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R173" s="246"/>
    </row>
    <row r="174" spans="2:70" ht="16" x14ac:dyDescent="0.2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R174" s="246"/>
    </row>
    <row r="175" spans="2:70" ht="16" x14ac:dyDescent="0.2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R175" s="246"/>
    </row>
    <row r="176" spans="2:70" ht="16" x14ac:dyDescent="0.2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R176" s="246"/>
    </row>
    <row r="177" spans="2:70" ht="16" x14ac:dyDescent="0.2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R177" s="246"/>
    </row>
    <row r="178" spans="2:70" ht="16" x14ac:dyDescent="0.2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R178" s="246"/>
    </row>
    <row r="179" spans="2:70" ht="16" x14ac:dyDescent="0.2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R179" s="246"/>
    </row>
    <row r="180" spans="2:70" ht="16" x14ac:dyDescent="0.2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R180" s="246"/>
    </row>
    <row r="181" spans="2:70" ht="16" x14ac:dyDescent="0.2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R181" s="246"/>
    </row>
    <row r="182" spans="2:70" ht="16" x14ac:dyDescent="0.2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R182" s="246"/>
    </row>
    <row r="183" spans="2:70" ht="16" x14ac:dyDescent="0.2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R183" s="246"/>
    </row>
    <row r="184" spans="2:70" ht="16" x14ac:dyDescent="0.2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R184" s="246"/>
    </row>
    <row r="185" spans="2:70" ht="16" x14ac:dyDescent="0.2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R185" s="246"/>
    </row>
    <row r="186" spans="2:70" ht="16" x14ac:dyDescent="0.2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R186" s="246"/>
    </row>
    <row r="187" spans="2:70" ht="16" x14ac:dyDescent="0.2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R187" s="246"/>
    </row>
    <row r="188" spans="2:70" ht="16" x14ac:dyDescent="0.2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R188" s="246"/>
    </row>
    <row r="189" spans="2:70" ht="16" x14ac:dyDescent="0.2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R189" s="246"/>
    </row>
    <row r="190" spans="2:70" ht="16" x14ac:dyDescent="0.2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R190" s="246"/>
    </row>
    <row r="191" spans="2:70" ht="16" x14ac:dyDescent="0.2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R191" s="246"/>
    </row>
    <row r="192" spans="2:70" ht="16" x14ac:dyDescent="0.2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R192" s="246"/>
    </row>
    <row r="193" spans="2:70" ht="16" x14ac:dyDescent="0.2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R193" s="246"/>
    </row>
    <row r="194" spans="2:70" ht="16" x14ac:dyDescent="0.2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R194" s="246"/>
    </row>
    <row r="195" spans="2:70" ht="16" x14ac:dyDescent="0.2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R195" s="246"/>
    </row>
    <row r="196" spans="2:70" ht="16" x14ac:dyDescent="0.2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R196" s="246"/>
    </row>
    <row r="197" spans="2:70" ht="16" x14ac:dyDescent="0.2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R197" s="246"/>
    </row>
    <row r="198" spans="2:70" ht="16" x14ac:dyDescent="0.2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R198" s="246"/>
    </row>
    <row r="199" spans="2:70" ht="16" x14ac:dyDescent="0.2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R199" s="246"/>
    </row>
    <row r="200" spans="2:70" ht="16" x14ac:dyDescent="0.2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R200" s="246"/>
    </row>
    <row r="201" spans="2:70" ht="16" x14ac:dyDescent="0.2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R201" s="246"/>
    </row>
    <row r="202" spans="2:70" ht="16" x14ac:dyDescent="0.2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R202" s="246"/>
    </row>
    <row r="203" spans="2:70" ht="16" x14ac:dyDescent="0.2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R203" s="246"/>
    </row>
    <row r="204" spans="2:70" ht="16" x14ac:dyDescent="0.2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R204" s="246"/>
    </row>
    <row r="205" spans="2:70" ht="16" x14ac:dyDescent="0.2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R205" s="246"/>
    </row>
    <row r="206" spans="2:70" ht="16" x14ac:dyDescent="0.2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R206" s="246"/>
    </row>
    <row r="207" spans="2:70" ht="16" x14ac:dyDescent="0.2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R207" s="246"/>
    </row>
    <row r="208" spans="2:70" ht="16" x14ac:dyDescent="0.2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R208" s="246"/>
    </row>
    <row r="209" spans="2:70" ht="16" x14ac:dyDescent="0.2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R209" s="246"/>
    </row>
    <row r="210" spans="2:70" ht="16" x14ac:dyDescent="0.2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R210" s="246"/>
    </row>
    <row r="211" spans="2:70" ht="16" x14ac:dyDescent="0.2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R211" s="246"/>
    </row>
    <row r="212" spans="2:70" ht="16" x14ac:dyDescent="0.2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R212" s="246"/>
    </row>
    <row r="213" spans="2:70" ht="16" x14ac:dyDescent="0.2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R213" s="246"/>
    </row>
    <row r="214" spans="2:70" ht="16" x14ac:dyDescent="0.2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R214" s="246"/>
    </row>
    <row r="215" spans="2:70" ht="16" x14ac:dyDescent="0.2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R215" s="246"/>
    </row>
    <row r="216" spans="2:70" ht="16" x14ac:dyDescent="0.2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R216" s="246"/>
    </row>
    <row r="217" spans="2:70" ht="16" x14ac:dyDescent="0.2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R217" s="246"/>
    </row>
    <row r="218" spans="2:70" ht="16" x14ac:dyDescent="0.2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R218" s="246"/>
    </row>
    <row r="219" spans="2:70" ht="16" x14ac:dyDescent="0.2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R219" s="246"/>
    </row>
    <row r="220" spans="2:70" ht="16" x14ac:dyDescent="0.2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R220" s="246"/>
    </row>
    <row r="221" spans="2:70" ht="16" x14ac:dyDescent="0.2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R221" s="246"/>
    </row>
    <row r="222" spans="2:70" ht="16" x14ac:dyDescent="0.2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R222" s="246"/>
    </row>
    <row r="223" spans="2:70" ht="16" x14ac:dyDescent="0.2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R223" s="246"/>
    </row>
    <row r="224" spans="2:70" ht="16" x14ac:dyDescent="0.2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R224" s="246"/>
    </row>
    <row r="225" spans="2:70" ht="16" x14ac:dyDescent="0.2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R225" s="246"/>
    </row>
    <row r="226" spans="2:70" ht="16" x14ac:dyDescent="0.2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R226" s="246"/>
    </row>
    <row r="227" spans="2:70" ht="16" x14ac:dyDescent="0.2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R227" s="246"/>
    </row>
    <row r="228" spans="2:70" ht="16" x14ac:dyDescent="0.2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R228" s="246"/>
    </row>
    <row r="229" spans="2:70" ht="16" x14ac:dyDescent="0.2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R229" s="246"/>
    </row>
    <row r="230" spans="2:70" ht="16" x14ac:dyDescent="0.2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R230" s="246"/>
    </row>
    <row r="231" spans="2:70" ht="16" x14ac:dyDescent="0.2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R231" s="246"/>
    </row>
    <row r="232" spans="2:70" ht="16" x14ac:dyDescent="0.2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R232" s="246"/>
    </row>
    <row r="233" spans="2:70" ht="16" x14ac:dyDescent="0.2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R233" s="246"/>
    </row>
    <row r="234" spans="2:70" ht="16" x14ac:dyDescent="0.2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R234" s="246"/>
    </row>
    <row r="235" spans="2:70" ht="16" x14ac:dyDescent="0.2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R235" s="246"/>
    </row>
    <row r="236" spans="2:70" ht="16" x14ac:dyDescent="0.2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R236" s="246"/>
    </row>
    <row r="237" spans="2:70" ht="16" x14ac:dyDescent="0.2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R237" s="246"/>
    </row>
    <row r="238" spans="2:70" ht="16" x14ac:dyDescent="0.2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R238" s="246"/>
    </row>
    <row r="239" spans="2:70" ht="16" x14ac:dyDescent="0.2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R239" s="246"/>
    </row>
    <row r="240" spans="2:70" ht="16" x14ac:dyDescent="0.2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R240" s="246"/>
    </row>
    <row r="241" spans="2:70" ht="16" x14ac:dyDescent="0.2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R241" s="246"/>
    </row>
    <row r="242" spans="2:70" ht="16" x14ac:dyDescent="0.2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R242" s="246"/>
    </row>
    <row r="243" spans="2:70" ht="16" x14ac:dyDescent="0.2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R243" s="246"/>
    </row>
    <row r="244" spans="2:70" ht="16" x14ac:dyDescent="0.2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R244" s="246"/>
    </row>
    <row r="245" spans="2:70" ht="16" x14ac:dyDescent="0.2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R245" s="246"/>
    </row>
    <row r="246" spans="2:70" ht="16" x14ac:dyDescent="0.2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R246" s="246"/>
    </row>
    <row r="247" spans="2:70" ht="16" x14ac:dyDescent="0.2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R247" s="246"/>
    </row>
    <row r="248" spans="2:70" ht="16" x14ac:dyDescent="0.2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R248" s="246"/>
    </row>
    <row r="249" spans="2:70" ht="16" x14ac:dyDescent="0.2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R249" s="246"/>
    </row>
    <row r="250" spans="2:70" ht="16" x14ac:dyDescent="0.2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R250" s="246"/>
    </row>
    <row r="251" spans="2:70" ht="16" x14ac:dyDescent="0.2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R251" s="246"/>
    </row>
    <row r="252" spans="2:70" ht="16" x14ac:dyDescent="0.2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R252" s="246"/>
    </row>
    <row r="253" spans="2:70" ht="16" x14ac:dyDescent="0.2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R253" s="246"/>
    </row>
    <row r="254" spans="2:70" ht="16" x14ac:dyDescent="0.2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R254" s="246"/>
    </row>
    <row r="255" spans="2:70" ht="16" x14ac:dyDescent="0.2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R255" s="246"/>
    </row>
    <row r="256" spans="2:70" ht="16" x14ac:dyDescent="0.2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R256" s="246"/>
    </row>
    <row r="257" spans="2:70" ht="16" x14ac:dyDescent="0.2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R257" s="246"/>
    </row>
    <row r="258" spans="2:70" ht="16" x14ac:dyDescent="0.2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R258" s="246"/>
    </row>
    <row r="259" spans="2:70" ht="16" x14ac:dyDescent="0.2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R259" s="246"/>
    </row>
    <row r="260" spans="2:70" ht="16" x14ac:dyDescent="0.2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R260" s="246"/>
    </row>
    <row r="261" spans="2:70" ht="16" x14ac:dyDescent="0.2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R261" s="246"/>
    </row>
    <row r="262" spans="2:70" ht="16" x14ac:dyDescent="0.2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R262" s="246"/>
    </row>
    <row r="263" spans="2:70" ht="16" x14ac:dyDescent="0.2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R263" s="246"/>
    </row>
    <row r="264" spans="2:70" ht="16" x14ac:dyDescent="0.2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R264" s="246"/>
    </row>
    <row r="265" spans="2:70" ht="16" x14ac:dyDescent="0.2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R265" s="246"/>
    </row>
    <row r="266" spans="2:70" ht="16" x14ac:dyDescent="0.2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R266" s="246"/>
    </row>
    <row r="267" spans="2:70" ht="16" x14ac:dyDescent="0.2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R267" s="246"/>
    </row>
    <row r="268" spans="2:70" ht="16" x14ac:dyDescent="0.2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R268" s="246"/>
    </row>
    <row r="269" spans="2:70" ht="16" x14ac:dyDescent="0.2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R269" s="246"/>
    </row>
    <row r="270" spans="2:70" ht="16" x14ac:dyDescent="0.2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R270" s="246"/>
    </row>
    <row r="271" spans="2:70" ht="16" x14ac:dyDescent="0.2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R271" s="246"/>
    </row>
    <row r="272" spans="2:70" ht="16" x14ac:dyDescent="0.2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R272" s="246"/>
    </row>
    <row r="273" spans="2:70" ht="16" x14ac:dyDescent="0.2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R273" s="246"/>
    </row>
    <row r="274" spans="2:70" ht="16" x14ac:dyDescent="0.2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R274" s="246"/>
    </row>
    <row r="275" spans="2:70" ht="16" x14ac:dyDescent="0.2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R275" s="246"/>
    </row>
    <row r="276" spans="2:70" ht="16" x14ac:dyDescent="0.2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R276" s="246"/>
    </row>
    <row r="277" spans="2:70" ht="16" x14ac:dyDescent="0.2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R277" s="246"/>
    </row>
    <row r="278" spans="2:70" ht="16" x14ac:dyDescent="0.2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R278" s="246"/>
    </row>
    <row r="279" spans="2:70" ht="16" x14ac:dyDescent="0.2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R279" s="246"/>
    </row>
    <row r="280" spans="2:70" ht="16" x14ac:dyDescent="0.2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R280" s="246"/>
    </row>
    <row r="281" spans="2:70" ht="16" x14ac:dyDescent="0.2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R281" s="246"/>
    </row>
    <row r="282" spans="2:70" ht="16" x14ac:dyDescent="0.2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R282" s="246"/>
    </row>
    <row r="283" spans="2:70" ht="16" x14ac:dyDescent="0.2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R283" s="246"/>
    </row>
    <row r="284" spans="2:70" ht="16" x14ac:dyDescent="0.2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R284" s="246"/>
    </row>
    <row r="285" spans="2:70" ht="16" x14ac:dyDescent="0.2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R285" s="246"/>
    </row>
    <row r="286" spans="2:70" ht="16" x14ac:dyDescent="0.2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R286" s="246"/>
    </row>
    <row r="287" spans="2:70" ht="16" x14ac:dyDescent="0.2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R287" s="246"/>
    </row>
    <row r="288" spans="2:70" ht="16" x14ac:dyDescent="0.2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R288" s="246"/>
    </row>
    <row r="289" spans="2:70" ht="16" x14ac:dyDescent="0.2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R289" s="246"/>
    </row>
    <row r="290" spans="2:70" ht="16" x14ac:dyDescent="0.2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R290" s="246"/>
    </row>
    <row r="291" spans="2:70" ht="16" x14ac:dyDescent="0.2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R291" s="246"/>
    </row>
    <row r="292" spans="2:70" ht="16" x14ac:dyDescent="0.2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R292" s="246"/>
    </row>
    <row r="293" spans="2:70" ht="16" x14ac:dyDescent="0.2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R293" s="246"/>
    </row>
    <row r="294" spans="2:70" ht="16" x14ac:dyDescent="0.2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R294" s="246"/>
    </row>
    <row r="295" spans="2:70" ht="16" x14ac:dyDescent="0.2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R295" s="246"/>
    </row>
    <row r="296" spans="2:70" ht="16" x14ac:dyDescent="0.2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R296" s="246"/>
    </row>
    <row r="297" spans="2:70" ht="16" x14ac:dyDescent="0.2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R297" s="246"/>
    </row>
    <row r="298" spans="2:70" ht="16" x14ac:dyDescent="0.2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R298" s="246"/>
    </row>
    <row r="299" spans="2:70" ht="16" x14ac:dyDescent="0.2"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R299" s="246"/>
    </row>
    <row r="300" spans="2:70" ht="16" x14ac:dyDescent="0.2"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R300" s="246"/>
    </row>
    <row r="301" spans="2:70" ht="16" x14ac:dyDescent="0.2"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R301" s="246"/>
    </row>
    <row r="302" spans="2:70" ht="16" x14ac:dyDescent="0.2"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R302" s="246"/>
    </row>
    <row r="303" spans="2:70" ht="16" x14ac:dyDescent="0.2"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R303" s="246"/>
    </row>
    <row r="304" spans="2:70" ht="16" x14ac:dyDescent="0.2"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R304" s="246"/>
    </row>
    <row r="305" spans="2:70" ht="16" x14ac:dyDescent="0.2"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R305" s="246"/>
    </row>
    <row r="306" spans="2:70" ht="16" x14ac:dyDescent="0.2"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R306" s="246"/>
    </row>
    <row r="307" spans="2:70" ht="16" x14ac:dyDescent="0.2"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R307" s="246"/>
    </row>
    <row r="308" spans="2:70" ht="16" x14ac:dyDescent="0.2"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R308" s="246"/>
    </row>
    <row r="309" spans="2:70" ht="16" x14ac:dyDescent="0.2"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R309" s="246"/>
    </row>
    <row r="310" spans="2:70" ht="16" x14ac:dyDescent="0.2"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R310" s="246"/>
    </row>
    <row r="311" spans="2:70" ht="16" x14ac:dyDescent="0.2"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R311" s="246"/>
    </row>
    <row r="312" spans="2:70" ht="16" x14ac:dyDescent="0.2"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R312" s="246"/>
    </row>
    <row r="313" spans="2:70" ht="16" x14ac:dyDescent="0.2"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R313" s="246"/>
    </row>
    <row r="314" spans="2:70" ht="16" x14ac:dyDescent="0.2"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R314" s="246"/>
    </row>
    <row r="315" spans="2:70" ht="16" x14ac:dyDescent="0.2"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R315" s="246"/>
    </row>
    <row r="316" spans="2:70" ht="16" x14ac:dyDescent="0.2"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R316" s="246"/>
    </row>
    <row r="317" spans="2:70" ht="16" x14ac:dyDescent="0.2"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R317" s="246"/>
    </row>
    <row r="318" spans="2:70" ht="16" x14ac:dyDescent="0.2"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R318" s="246"/>
    </row>
    <row r="319" spans="2:70" ht="16" x14ac:dyDescent="0.2"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R319" s="246"/>
    </row>
    <row r="320" spans="2:70" ht="16" x14ac:dyDescent="0.2"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R320" s="246"/>
    </row>
    <row r="321" spans="2:70" ht="16" x14ac:dyDescent="0.2"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R321" s="246"/>
    </row>
    <row r="322" spans="2:70" ht="16" x14ac:dyDescent="0.2"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R322" s="246"/>
    </row>
    <row r="323" spans="2:70" ht="16" x14ac:dyDescent="0.2"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R323" s="246"/>
    </row>
    <row r="324" spans="2:70" ht="16" x14ac:dyDescent="0.2"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R324" s="246"/>
    </row>
    <row r="325" spans="2:70" ht="16" x14ac:dyDescent="0.2"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R325" s="246"/>
    </row>
    <row r="326" spans="2:70" ht="16" x14ac:dyDescent="0.2"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R326" s="246"/>
    </row>
    <row r="327" spans="2:70" ht="16" x14ac:dyDescent="0.2"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R327" s="246"/>
    </row>
    <row r="328" spans="2:70" ht="16" x14ac:dyDescent="0.2"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R328" s="246"/>
    </row>
    <row r="329" spans="2:70" ht="16" x14ac:dyDescent="0.2"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R329" s="246"/>
    </row>
    <row r="330" spans="2:70" ht="16" x14ac:dyDescent="0.2"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R330" s="246"/>
    </row>
    <row r="331" spans="2:70" ht="16" x14ac:dyDescent="0.2"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R331" s="246"/>
    </row>
    <row r="332" spans="2:70" ht="16" x14ac:dyDescent="0.2"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R332" s="246"/>
    </row>
    <row r="333" spans="2:70" ht="16" x14ac:dyDescent="0.2"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R333" s="246"/>
    </row>
    <row r="334" spans="2:70" ht="16" x14ac:dyDescent="0.2"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R334" s="246"/>
    </row>
    <row r="335" spans="2:70" ht="16" x14ac:dyDescent="0.2"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R335" s="246"/>
    </row>
    <row r="336" spans="2:70" ht="16" x14ac:dyDescent="0.2"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R336" s="246"/>
    </row>
    <row r="337" spans="2:70" ht="16" x14ac:dyDescent="0.2"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R337" s="246"/>
    </row>
    <row r="338" spans="2:70" ht="16" x14ac:dyDescent="0.2"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R338" s="246"/>
    </row>
    <row r="339" spans="2:70" ht="16" x14ac:dyDescent="0.2"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R339" s="246"/>
    </row>
    <row r="340" spans="2:70" ht="16" x14ac:dyDescent="0.2"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R340" s="246"/>
    </row>
    <row r="341" spans="2:70" ht="16" x14ac:dyDescent="0.2"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R341" s="246"/>
    </row>
    <row r="342" spans="2:70" ht="16" x14ac:dyDescent="0.2"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R342" s="246"/>
    </row>
    <row r="343" spans="2:70" ht="16" x14ac:dyDescent="0.2"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R343" s="246"/>
    </row>
    <row r="344" spans="2:70" ht="16" x14ac:dyDescent="0.2"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R344" s="246"/>
    </row>
    <row r="345" spans="2:70" ht="16" x14ac:dyDescent="0.2"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R345" s="246"/>
    </row>
    <row r="346" spans="2:70" ht="16" x14ac:dyDescent="0.2"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R346" s="246"/>
    </row>
    <row r="347" spans="2:70" ht="16" x14ac:dyDescent="0.2"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R347" s="246"/>
    </row>
    <row r="348" spans="2:70" ht="16" x14ac:dyDescent="0.2"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R348" s="246"/>
    </row>
    <row r="349" spans="2:70" ht="16" x14ac:dyDescent="0.2"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R349" s="246"/>
    </row>
    <row r="350" spans="2:70" ht="16" x14ac:dyDescent="0.2"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R350" s="246"/>
    </row>
    <row r="351" spans="2:70" ht="16" x14ac:dyDescent="0.2"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R351" s="246"/>
    </row>
    <row r="352" spans="2:70" ht="16" x14ac:dyDescent="0.2"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R352" s="246"/>
    </row>
    <row r="353" spans="2:70" ht="16" x14ac:dyDescent="0.2"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R353" s="246"/>
    </row>
    <row r="354" spans="2:70" ht="16" x14ac:dyDescent="0.2"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R354" s="246"/>
    </row>
    <row r="355" spans="2:70" ht="16" x14ac:dyDescent="0.2"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R355" s="246"/>
    </row>
    <row r="356" spans="2:70" ht="16" x14ac:dyDescent="0.2"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R356" s="246"/>
    </row>
    <row r="357" spans="2:70" ht="16" x14ac:dyDescent="0.2"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R357" s="246"/>
    </row>
    <row r="358" spans="2:70" ht="16" x14ac:dyDescent="0.2"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R358" s="246"/>
    </row>
    <row r="359" spans="2:70" ht="16" x14ac:dyDescent="0.2"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R359" s="246"/>
    </row>
    <row r="360" spans="2:70" ht="16" x14ac:dyDescent="0.2"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R360" s="246"/>
    </row>
    <row r="361" spans="2:70" ht="16" x14ac:dyDescent="0.2"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R361" s="246"/>
    </row>
    <row r="362" spans="2:70" ht="16" x14ac:dyDescent="0.2"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R362" s="246"/>
    </row>
    <row r="363" spans="2:70" ht="16" x14ac:dyDescent="0.2"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R363" s="246"/>
    </row>
    <row r="364" spans="2:70" ht="16" x14ac:dyDescent="0.2"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R364" s="246"/>
    </row>
    <row r="365" spans="2:70" ht="16" x14ac:dyDescent="0.2"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R365" s="246"/>
    </row>
    <row r="366" spans="2:70" ht="16" x14ac:dyDescent="0.2"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R366" s="246"/>
    </row>
    <row r="367" spans="2:70" ht="16" x14ac:dyDescent="0.2"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R367" s="246"/>
    </row>
    <row r="368" spans="2:70" ht="16" x14ac:dyDescent="0.2"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R368" s="246"/>
    </row>
    <row r="369" spans="2:70" ht="16" x14ac:dyDescent="0.2"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R369" s="246"/>
    </row>
    <row r="370" spans="2:70" ht="16" x14ac:dyDescent="0.2"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R370" s="246"/>
    </row>
    <row r="371" spans="2:70" ht="16" x14ac:dyDescent="0.2"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R371" s="246"/>
    </row>
    <row r="372" spans="2:70" ht="16" x14ac:dyDescent="0.2"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R372" s="246"/>
    </row>
    <row r="373" spans="2:70" ht="16" x14ac:dyDescent="0.2"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R373" s="246"/>
    </row>
    <row r="374" spans="2:70" ht="16" x14ac:dyDescent="0.2"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R374" s="246"/>
    </row>
    <row r="375" spans="2:70" ht="16" x14ac:dyDescent="0.2"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R375" s="246"/>
    </row>
    <row r="376" spans="2:70" ht="16" x14ac:dyDescent="0.2"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R376" s="246"/>
    </row>
    <row r="377" spans="2:70" ht="16" x14ac:dyDescent="0.2"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R377" s="246"/>
    </row>
    <row r="378" spans="2:70" ht="16" x14ac:dyDescent="0.2"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R378" s="246"/>
    </row>
    <row r="379" spans="2:70" ht="16" x14ac:dyDescent="0.2"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R379" s="246"/>
    </row>
    <row r="380" spans="2:70" ht="16" x14ac:dyDescent="0.2"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R380" s="246"/>
    </row>
    <row r="381" spans="2:70" ht="16" x14ac:dyDescent="0.2"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R381" s="246"/>
    </row>
    <row r="382" spans="2:70" ht="16" x14ac:dyDescent="0.2"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R382" s="246"/>
    </row>
    <row r="383" spans="2:70" ht="16" x14ac:dyDescent="0.2"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R383" s="246"/>
    </row>
    <row r="384" spans="2:70" ht="16" x14ac:dyDescent="0.2"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R384" s="246"/>
    </row>
    <row r="385" spans="2:70" ht="16" x14ac:dyDescent="0.2"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R385" s="246"/>
    </row>
    <row r="386" spans="2:70" ht="16" x14ac:dyDescent="0.2"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R386" s="246"/>
    </row>
    <row r="387" spans="2:70" ht="16" x14ac:dyDescent="0.2"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R387" s="246"/>
    </row>
    <row r="388" spans="2:70" ht="16" x14ac:dyDescent="0.2"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R388" s="246"/>
    </row>
    <row r="389" spans="2:70" ht="16" x14ac:dyDescent="0.2"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R389" s="246"/>
    </row>
    <row r="390" spans="2:70" ht="16" x14ac:dyDescent="0.2"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R390" s="246"/>
    </row>
    <row r="391" spans="2:70" ht="16" x14ac:dyDescent="0.2"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R391" s="246"/>
    </row>
    <row r="392" spans="2:70" ht="16" x14ac:dyDescent="0.2"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R392" s="246"/>
    </row>
    <row r="393" spans="2:70" ht="16" x14ac:dyDescent="0.2"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R393" s="246"/>
    </row>
    <row r="394" spans="2:70" ht="16" x14ac:dyDescent="0.2"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R394" s="246"/>
    </row>
    <row r="395" spans="2:70" ht="16" x14ac:dyDescent="0.2"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R395" s="246"/>
    </row>
    <row r="396" spans="2:70" ht="16" x14ac:dyDescent="0.2"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R396" s="246"/>
    </row>
    <row r="397" spans="2:70" ht="16" x14ac:dyDescent="0.2"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R397" s="246"/>
    </row>
    <row r="398" spans="2:70" ht="16" x14ac:dyDescent="0.2"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R398" s="246"/>
    </row>
    <row r="399" spans="2:70" ht="16" x14ac:dyDescent="0.2"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R399" s="246"/>
    </row>
    <row r="400" spans="2:70" ht="16" x14ac:dyDescent="0.2"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R400" s="246"/>
    </row>
    <row r="401" spans="2:70" ht="16" x14ac:dyDescent="0.2"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R401" s="246"/>
    </row>
    <row r="402" spans="2:70" ht="16" x14ac:dyDescent="0.2"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R402" s="246"/>
    </row>
    <row r="403" spans="2:70" ht="16" x14ac:dyDescent="0.2"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R403" s="246"/>
    </row>
    <row r="404" spans="2:70" ht="16" x14ac:dyDescent="0.2"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R404" s="246"/>
    </row>
    <row r="405" spans="2:70" ht="16" x14ac:dyDescent="0.2"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R405" s="246"/>
    </row>
    <row r="406" spans="2:70" ht="16" x14ac:dyDescent="0.2"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R406" s="246"/>
    </row>
    <row r="407" spans="2:70" ht="16" x14ac:dyDescent="0.2"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R407" s="246"/>
    </row>
    <row r="408" spans="2:70" ht="16" x14ac:dyDescent="0.2"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R408" s="246"/>
    </row>
    <row r="409" spans="2:70" ht="16" x14ac:dyDescent="0.2"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R409" s="246"/>
    </row>
    <row r="410" spans="2:70" ht="16" x14ac:dyDescent="0.2"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R410" s="246"/>
    </row>
    <row r="411" spans="2:70" ht="16" x14ac:dyDescent="0.2"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R411" s="246"/>
    </row>
    <row r="412" spans="2:70" ht="16" x14ac:dyDescent="0.2"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R412" s="246"/>
    </row>
    <row r="413" spans="2:70" ht="16" x14ac:dyDescent="0.2"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R413" s="246"/>
    </row>
    <row r="414" spans="2:70" ht="16" x14ac:dyDescent="0.2"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R414" s="246"/>
    </row>
    <row r="415" spans="2:70" ht="16" x14ac:dyDescent="0.2"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R415" s="246"/>
    </row>
    <row r="416" spans="2:70" ht="16" x14ac:dyDescent="0.2"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R416" s="246"/>
    </row>
    <row r="417" spans="2:70" ht="16" x14ac:dyDescent="0.2"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R417" s="246"/>
    </row>
    <row r="418" spans="2:70" ht="16" x14ac:dyDescent="0.2"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R418" s="246"/>
    </row>
    <row r="419" spans="2:70" ht="16" x14ac:dyDescent="0.2"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R419" s="246"/>
    </row>
    <row r="420" spans="2:70" ht="16" x14ac:dyDescent="0.2"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R420" s="246"/>
    </row>
    <row r="421" spans="2:70" ht="16" x14ac:dyDescent="0.2"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R421" s="246"/>
    </row>
    <row r="422" spans="2:70" ht="16" x14ac:dyDescent="0.2"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R422" s="246"/>
    </row>
    <row r="423" spans="2:70" ht="16" x14ac:dyDescent="0.2"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R423" s="246"/>
    </row>
    <row r="424" spans="2:70" ht="16" x14ac:dyDescent="0.2"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R424" s="246"/>
    </row>
    <row r="425" spans="2:70" ht="16" x14ac:dyDescent="0.2"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R425" s="246"/>
    </row>
    <row r="426" spans="2:70" ht="16" x14ac:dyDescent="0.2"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R426" s="246"/>
    </row>
    <row r="427" spans="2:70" ht="16" x14ac:dyDescent="0.2"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R427" s="246"/>
    </row>
    <row r="428" spans="2:70" ht="16" x14ac:dyDescent="0.2"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R428" s="246"/>
    </row>
    <row r="429" spans="2:70" ht="16" x14ac:dyDescent="0.2"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R429" s="246"/>
    </row>
    <row r="430" spans="2:70" ht="16" x14ac:dyDescent="0.2"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R430" s="246"/>
    </row>
    <row r="431" spans="2:70" ht="16" x14ac:dyDescent="0.2"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R431" s="246"/>
    </row>
    <row r="432" spans="2:70" ht="16" x14ac:dyDescent="0.2"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R432" s="246"/>
    </row>
    <row r="433" spans="2:70" ht="16" x14ac:dyDescent="0.2"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R433" s="246"/>
    </row>
    <row r="434" spans="2:70" ht="16" x14ac:dyDescent="0.2"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R434" s="246"/>
    </row>
    <row r="435" spans="2:70" ht="16" x14ac:dyDescent="0.2"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R435" s="246"/>
    </row>
    <row r="436" spans="2:70" ht="16" x14ac:dyDescent="0.2"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R436" s="246"/>
    </row>
    <row r="437" spans="2:70" ht="16" x14ac:dyDescent="0.2"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R437" s="246"/>
    </row>
    <row r="438" spans="2:70" ht="16" x14ac:dyDescent="0.2"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R438" s="246"/>
    </row>
    <row r="439" spans="2:70" ht="16" x14ac:dyDescent="0.2"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R439" s="246"/>
    </row>
    <row r="440" spans="2:70" ht="16" x14ac:dyDescent="0.2"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R440" s="246"/>
    </row>
    <row r="441" spans="2:70" ht="16" x14ac:dyDescent="0.2"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R441" s="246"/>
    </row>
    <row r="442" spans="2:70" ht="16" x14ac:dyDescent="0.2"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R442" s="246"/>
    </row>
    <row r="443" spans="2:70" ht="16" x14ac:dyDescent="0.2"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R443" s="246"/>
    </row>
    <row r="444" spans="2:70" ht="16" x14ac:dyDescent="0.2"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R444" s="246"/>
    </row>
    <row r="445" spans="2:70" ht="16" x14ac:dyDescent="0.2"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R445" s="246"/>
    </row>
    <row r="446" spans="2:70" ht="16" x14ac:dyDescent="0.2"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R446" s="246"/>
    </row>
    <row r="447" spans="2:70" ht="16" x14ac:dyDescent="0.2"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R447" s="246"/>
    </row>
    <row r="448" spans="2:70" ht="16" x14ac:dyDescent="0.2"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R448" s="246"/>
    </row>
    <row r="449" spans="2:70" ht="16" x14ac:dyDescent="0.2"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R449" s="246"/>
    </row>
    <row r="450" spans="2:70" ht="16" x14ac:dyDescent="0.2"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R450" s="246"/>
    </row>
    <row r="451" spans="2:70" ht="16" x14ac:dyDescent="0.2"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R451" s="246"/>
    </row>
    <row r="452" spans="2:70" ht="16" x14ac:dyDescent="0.2"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R452" s="246"/>
    </row>
    <row r="453" spans="2:70" ht="16" x14ac:dyDescent="0.2"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R453" s="246"/>
    </row>
    <row r="454" spans="2:70" ht="16" x14ac:dyDescent="0.2"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R454" s="246"/>
    </row>
    <row r="455" spans="2:70" ht="16" x14ac:dyDescent="0.2"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R455" s="246"/>
    </row>
    <row r="456" spans="2:70" ht="16" x14ac:dyDescent="0.2"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R456" s="246"/>
    </row>
    <row r="457" spans="2:70" ht="16" x14ac:dyDescent="0.2"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R457" s="246"/>
    </row>
    <row r="458" spans="2:70" ht="16" x14ac:dyDescent="0.2"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R458" s="246"/>
    </row>
    <row r="459" spans="2:70" ht="16" x14ac:dyDescent="0.2"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R459" s="246"/>
    </row>
    <row r="460" spans="2:70" ht="16" x14ac:dyDescent="0.2"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R460" s="246"/>
    </row>
    <row r="461" spans="2:70" ht="16" x14ac:dyDescent="0.2"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R461" s="246"/>
    </row>
    <row r="462" spans="2:70" ht="16" x14ac:dyDescent="0.2"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R462" s="246"/>
    </row>
    <row r="463" spans="2:70" ht="16" x14ac:dyDescent="0.2"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R463" s="246"/>
    </row>
    <row r="464" spans="2:70" ht="16" x14ac:dyDescent="0.2"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R464" s="246"/>
    </row>
    <row r="465" spans="2:70" ht="16" x14ac:dyDescent="0.2"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R465" s="246"/>
    </row>
    <row r="466" spans="2:70" ht="16" x14ac:dyDescent="0.2"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R466" s="246"/>
    </row>
    <row r="467" spans="2:70" ht="16" x14ac:dyDescent="0.2"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R467" s="246"/>
    </row>
    <row r="468" spans="2:70" ht="16" x14ac:dyDescent="0.2"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R468" s="246"/>
    </row>
    <row r="469" spans="2:70" ht="16" x14ac:dyDescent="0.2"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R469" s="246"/>
    </row>
    <row r="470" spans="2:70" ht="16" x14ac:dyDescent="0.2"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R470" s="246"/>
    </row>
    <row r="471" spans="2:70" ht="16" x14ac:dyDescent="0.2"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R471" s="246"/>
    </row>
    <row r="472" spans="2:70" ht="16" x14ac:dyDescent="0.2"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R472" s="246"/>
    </row>
    <row r="473" spans="2:70" ht="16" x14ac:dyDescent="0.2"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R473" s="246"/>
    </row>
    <row r="474" spans="2:70" ht="16" x14ac:dyDescent="0.2"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R474" s="246"/>
    </row>
    <row r="475" spans="2:70" ht="16" x14ac:dyDescent="0.2"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R475" s="246"/>
    </row>
    <row r="476" spans="2:70" ht="16" x14ac:dyDescent="0.2"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R476" s="246"/>
    </row>
    <row r="477" spans="2:70" ht="16" x14ac:dyDescent="0.2"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R477" s="246"/>
    </row>
    <row r="478" spans="2:70" ht="16" x14ac:dyDescent="0.2"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R478" s="246"/>
    </row>
    <row r="479" spans="2:70" ht="16" x14ac:dyDescent="0.2"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R479" s="246"/>
    </row>
    <row r="480" spans="2:70" ht="16" x14ac:dyDescent="0.2"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R480" s="246"/>
    </row>
    <row r="481" spans="2:70" ht="16" x14ac:dyDescent="0.2"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R481" s="246"/>
    </row>
    <row r="482" spans="2:70" ht="16" x14ac:dyDescent="0.2"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R482" s="246"/>
    </row>
    <row r="483" spans="2:70" ht="16" x14ac:dyDescent="0.2"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R483" s="246"/>
    </row>
    <row r="484" spans="2:70" ht="16" x14ac:dyDescent="0.2"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R484" s="246"/>
    </row>
    <row r="485" spans="2:70" ht="16" x14ac:dyDescent="0.2"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R485" s="246"/>
    </row>
    <row r="486" spans="2:70" ht="16" x14ac:dyDescent="0.2"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R486" s="246"/>
    </row>
    <row r="487" spans="2:70" ht="16" x14ac:dyDescent="0.2"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R487" s="246"/>
    </row>
    <row r="488" spans="2:70" ht="16" x14ac:dyDescent="0.2"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R488" s="246"/>
    </row>
    <row r="489" spans="2:70" ht="16" x14ac:dyDescent="0.2"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R489" s="246"/>
    </row>
    <row r="490" spans="2:70" ht="16" x14ac:dyDescent="0.2"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R490" s="246"/>
    </row>
    <row r="491" spans="2:70" ht="16" x14ac:dyDescent="0.2"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R491" s="246"/>
    </row>
    <row r="492" spans="2:70" ht="16" x14ac:dyDescent="0.2"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R492" s="246"/>
    </row>
    <row r="493" spans="2:70" ht="16" x14ac:dyDescent="0.2"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R493" s="246"/>
    </row>
    <row r="494" spans="2:70" ht="16" x14ac:dyDescent="0.2"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R494" s="246"/>
    </row>
    <row r="495" spans="2:70" ht="16" x14ac:dyDescent="0.2"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R495" s="246"/>
    </row>
    <row r="496" spans="2:70" ht="16" x14ac:dyDescent="0.2"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R496" s="246"/>
    </row>
    <row r="497" spans="2:70" ht="16" x14ac:dyDescent="0.2"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R497" s="246"/>
    </row>
    <row r="498" spans="2:70" ht="16" x14ac:dyDescent="0.2"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R498" s="246"/>
    </row>
    <row r="499" spans="2:70" ht="16" x14ac:dyDescent="0.2"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R499" s="246"/>
    </row>
    <row r="500" spans="2:70" ht="16" x14ac:dyDescent="0.2"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R500" s="246"/>
    </row>
    <row r="501" spans="2:70" ht="16" x14ac:dyDescent="0.2"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R501" s="246"/>
    </row>
    <row r="502" spans="2:70" ht="16" x14ac:dyDescent="0.2"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R502" s="246"/>
    </row>
    <row r="503" spans="2:70" ht="16" x14ac:dyDescent="0.2"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R503" s="246"/>
    </row>
    <row r="504" spans="2:70" ht="16" x14ac:dyDescent="0.2"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R504" s="246"/>
    </row>
    <row r="505" spans="2:70" ht="16" x14ac:dyDescent="0.2"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R505" s="246"/>
    </row>
    <row r="506" spans="2:70" ht="16" x14ac:dyDescent="0.2"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R506" s="246"/>
    </row>
    <row r="507" spans="2:70" ht="16" x14ac:dyDescent="0.2"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R507" s="246"/>
    </row>
    <row r="508" spans="2:70" ht="16" x14ac:dyDescent="0.2"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R508" s="246"/>
    </row>
    <row r="509" spans="2:70" ht="16" x14ac:dyDescent="0.2"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R509" s="246"/>
    </row>
    <row r="510" spans="2:70" ht="16" x14ac:dyDescent="0.2"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R510" s="246"/>
    </row>
    <row r="511" spans="2:70" ht="16" x14ac:dyDescent="0.2"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R511" s="246"/>
    </row>
    <row r="512" spans="2:70" ht="16" x14ac:dyDescent="0.2"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R512" s="246"/>
    </row>
    <row r="513" spans="2:70" ht="16" x14ac:dyDescent="0.2"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R513" s="246"/>
    </row>
    <row r="514" spans="2:70" ht="16" x14ac:dyDescent="0.2"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R514" s="246"/>
    </row>
    <row r="515" spans="2:70" ht="16" x14ac:dyDescent="0.2"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R515" s="246"/>
    </row>
    <row r="516" spans="2:70" ht="16" x14ac:dyDescent="0.2"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R516" s="246"/>
    </row>
    <row r="517" spans="2:70" ht="16" x14ac:dyDescent="0.2"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R517" s="246"/>
    </row>
    <row r="518" spans="2:70" ht="16" x14ac:dyDescent="0.2"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R518" s="246"/>
    </row>
    <row r="519" spans="2:70" ht="16" x14ac:dyDescent="0.2"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R519" s="246"/>
    </row>
    <row r="520" spans="2:70" ht="16" x14ac:dyDescent="0.2"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R520" s="246"/>
    </row>
    <row r="521" spans="2:70" ht="16" x14ac:dyDescent="0.2"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R521" s="246"/>
    </row>
    <row r="522" spans="2:70" ht="16" x14ac:dyDescent="0.2"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R522" s="246"/>
    </row>
    <row r="523" spans="2:70" ht="16" x14ac:dyDescent="0.2"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R523" s="246"/>
    </row>
    <row r="524" spans="2:70" ht="16" x14ac:dyDescent="0.2"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R524" s="246"/>
    </row>
    <row r="525" spans="2:70" ht="16" x14ac:dyDescent="0.2"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R525" s="246"/>
    </row>
    <row r="526" spans="2:70" ht="16" x14ac:dyDescent="0.2"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R526" s="246"/>
    </row>
    <row r="527" spans="2:70" ht="16" x14ac:dyDescent="0.2"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R527" s="246"/>
    </row>
    <row r="528" spans="2:70" ht="16" x14ac:dyDescent="0.2"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R528" s="246"/>
    </row>
    <row r="529" spans="2:70" ht="16" x14ac:dyDescent="0.2"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R529" s="246"/>
    </row>
    <row r="530" spans="2:70" ht="16" x14ac:dyDescent="0.2"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R530" s="246"/>
    </row>
    <row r="531" spans="2:70" ht="16" x14ac:dyDescent="0.2"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R531" s="246"/>
    </row>
    <row r="532" spans="2:70" ht="16" x14ac:dyDescent="0.2"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R532" s="246"/>
    </row>
    <row r="533" spans="2:70" ht="16" x14ac:dyDescent="0.2"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R533" s="246"/>
    </row>
    <row r="534" spans="2:70" ht="16" x14ac:dyDescent="0.2"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R534" s="246"/>
    </row>
    <row r="535" spans="2:70" ht="16" x14ac:dyDescent="0.2"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R535" s="246"/>
    </row>
    <row r="536" spans="2:70" ht="16" x14ac:dyDescent="0.2"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R536" s="246"/>
    </row>
    <row r="537" spans="2:70" ht="16" x14ac:dyDescent="0.2"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R537" s="246"/>
    </row>
    <row r="538" spans="2:70" ht="16" x14ac:dyDescent="0.2"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R538" s="246"/>
    </row>
    <row r="539" spans="2:70" ht="16" x14ac:dyDescent="0.2"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R539" s="246"/>
    </row>
    <row r="540" spans="2:70" ht="16" x14ac:dyDescent="0.2"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R540" s="246"/>
    </row>
    <row r="541" spans="2:70" ht="16" x14ac:dyDescent="0.2"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R541" s="246"/>
    </row>
    <row r="542" spans="2:70" ht="16" x14ac:dyDescent="0.2"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R542" s="246"/>
    </row>
    <row r="543" spans="2:70" ht="16" x14ac:dyDescent="0.2"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R543" s="246"/>
    </row>
    <row r="544" spans="2:70" ht="16" x14ac:dyDescent="0.2"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R544" s="246"/>
    </row>
    <row r="545" spans="2:70" ht="16" x14ac:dyDescent="0.2"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R545" s="246"/>
    </row>
    <row r="546" spans="2:70" ht="16" x14ac:dyDescent="0.2"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R546" s="246"/>
    </row>
    <row r="547" spans="2:70" ht="16" x14ac:dyDescent="0.2"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R547" s="246"/>
    </row>
    <row r="548" spans="2:70" ht="16" x14ac:dyDescent="0.2"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R548" s="246"/>
    </row>
    <row r="549" spans="2:70" ht="16" x14ac:dyDescent="0.2"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R549" s="246"/>
    </row>
    <row r="550" spans="2:70" ht="16" x14ac:dyDescent="0.2"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R550" s="246"/>
    </row>
    <row r="551" spans="2:70" ht="16" x14ac:dyDescent="0.2"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R551" s="246"/>
    </row>
    <row r="552" spans="2:70" ht="16" x14ac:dyDescent="0.2"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R552" s="246"/>
    </row>
    <row r="553" spans="2:70" ht="16" x14ac:dyDescent="0.2"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R553" s="246"/>
    </row>
    <row r="554" spans="2:70" ht="16" x14ac:dyDescent="0.2"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R554" s="246"/>
    </row>
    <row r="555" spans="2:70" ht="16" x14ac:dyDescent="0.2"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R555" s="246"/>
    </row>
    <row r="556" spans="2:70" ht="16" x14ac:dyDescent="0.2"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R556" s="246"/>
    </row>
    <row r="557" spans="2:70" ht="16" x14ac:dyDescent="0.2"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R557" s="246"/>
    </row>
    <row r="558" spans="2:70" ht="16" x14ac:dyDescent="0.2"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R558" s="246"/>
    </row>
    <row r="559" spans="2:70" ht="16" x14ac:dyDescent="0.2"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R559" s="246"/>
    </row>
    <row r="560" spans="2:70" ht="16" x14ac:dyDescent="0.2"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R560" s="246"/>
    </row>
    <row r="561" spans="2:70" ht="16" x14ac:dyDescent="0.2"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R561" s="246"/>
    </row>
    <row r="562" spans="2:70" ht="16" x14ac:dyDescent="0.2"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R562" s="246"/>
    </row>
    <row r="563" spans="2:70" ht="16" x14ac:dyDescent="0.2"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R563" s="246"/>
    </row>
    <row r="564" spans="2:70" ht="16" x14ac:dyDescent="0.2"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R564" s="246"/>
    </row>
    <row r="565" spans="2:70" ht="16" x14ac:dyDescent="0.2"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R565" s="246"/>
    </row>
    <row r="566" spans="2:70" ht="16" x14ac:dyDescent="0.2"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R566" s="246"/>
    </row>
    <row r="567" spans="2:70" ht="16" x14ac:dyDescent="0.2"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R567" s="246"/>
    </row>
    <row r="568" spans="2:70" ht="16" x14ac:dyDescent="0.2"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R568" s="246"/>
    </row>
    <row r="569" spans="2:70" ht="16" x14ac:dyDescent="0.2"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R569" s="246"/>
    </row>
    <row r="570" spans="2:70" ht="16" x14ac:dyDescent="0.2"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R570" s="246"/>
    </row>
    <row r="571" spans="2:70" ht="16" x14ac:dyDescent="0.2"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R571" s="246"/>
    </row>
    <row r="572" spans="2:70" ht="16" x14ac:dyDescent="0.2"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R572" s="246"/>
    </row>
    <row r="573" spans="2:70" ht="16" x14ac:dyDescent="0.2"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R573" s="246"/>
    </row>
    <row r="574" spans="2:70" ht="16" x14ac:dyDescent="0.2"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R574" s="246"/>
    </row>
    <row r="575" spans="2:70" ht="16" x14ac:dyDescent="0.2"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R575" s="246"/>
    </row>
    <row r="576" spans="2:70" ht="16" x14ac:dyDescent="0.2"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R576" s="246"/>
    </row>
    <row r="577" spans="2:70" ht="16" x14ac:dyDescent="0.2"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R577" s="246"/>
    </row>
    <row r="578" spans="2:70" ht="16" x14ac:dyDescent="0.2"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R578" s="246"/>
    </row>
    <row r="579" spans="2:70" ht="16" x14ac:dyDescent="0.2"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R579" s="246"/>
    </row>
    <row r="580" spans="2:70" ht="16" x14ac:dyDescent="0.2"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R580" s="246"/>
    </row>
    <row r="581" spans="2:70" ht="16" x14ac:dyDescent="0.2"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R581" s="246"/>
    </row>
    <row r="582" spans="2:70" ht="16" x14ac:dyDescent="0.2"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R582" s="246"/>
    </row>
    <row r="583" spans="2:70" ht="16" x14ac:dyDescent="0.2"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R583" s="246"/>
    </row>
    <row r="584" spans="2:70" ht="16" x14ac:dyDescent="0.2"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R584" s="246"/>
    </row>
    <row r="585" spans="2:70" ht="16" x14ac:dyDescent="0.2"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R585" s="246"/>
    </row>
    <row r="586" spans="2:70" ht="16" x14ac:dyDescent="0.2"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R586" s="246"/>
    </row>
    <row r="587" spans="2:70" ht="16" x14ac:dyDescent="0.2"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R587" s="246"/>
    </row>
    <row r="588" spans="2:70" ht="16" x14ac:dyDescent="0.2"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R588" s="246"/>
    </row>
    <row r="589" spans="2:70" ht="16" x14ac:dyDescent="0.2"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R589" s="246"/>
    </row>
    <row r="590" spans="2:70" ht="16" x14ac:dyDescent="0.2"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R590" s="246"/>
    </row>
    <row r="591" spans="2:70" ht="16" x14ac:dyDescent="0.2"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R591" s="246"/>
    </row>
    <row r="592" spans="2:70" ht="16" x14ac:dyDescent="0.2"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R592" s="246"/>
    </row>
    <row r="593" spans="2:70" ht="16" x14ac:dyDescent="0.2"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R593" s="246"/>
    </row>
    <row r="594" spans="2:70" ht="16" x14ac:dyDescent="0.2"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R594" s="246"/>
    </row>
    <row r="595" spans="2:70" ht="16" x14ac:dyDescent="0.2"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R595" s="246"/>
    </row>
    <row r="596" spans="2:70" ht="16" x14ac:dyDescent="0.2"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R596" s="246"/>
    </row>
    <row r="597" spans="2:70" ht="16" x14ac:dyDescent="0.2"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R597" s="246"/>
    </row>
    <row r="598" spans="2:70" ht="16" x14ac:dyDescent="0.2"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R598" s="246"/>
    </row>
    <row r="599" spans="2:70" ht="16" x14ac:dyDescent="0.2"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R599" s="246"/>
    </row>
    <row r="600" spans="2:70" ht="16" x14ac:dyDescent="0.2"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R600" s="246"/>
    </row>
    <row r="601" spans="2:70" ht="16" x14ac:dyDescent="0.2"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R601" s="246"/>
    </row>
    <row r="602" spans="2:70" ht="16" x14ac:dyDescent="0.2"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R602" s="246"/>
    </row>
    <row r="603" spans="2:70" ht="16" x14ac:dyDescent="0.2"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R603" s="246"/>
    </row>
    <row r="604" spans="2:70" ht="16" x14ac:dyDescent="0.2"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R604" s="246"/>
    </row>
    <row r="605" spans="2:70" ht="16" x14ac:dyDescent="0.2"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R605" s="246"/>
    </row>
    <row r="606" spans="2:70" ht="16" x14ac:dyDescent="0.2"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R606" s="246"/>
    </row>
    <row r="607" spans="2:70" ht="16" x14ac:dyDescent="0.2"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R607" s="246"/>
    </row>
    <row r="608" spans="2:70" ht="16" x14ac:dyDescent="0.2"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R608" s="246"/>
    </row>
    <row r="609" spans="2:70" ht="16" x14ac:dyDescent="0.2"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R609" s="246"/>
    </row>
    <row r="610" spans="2:70" ht="16" x14ac:dyDescent="0.2"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R610" s="246"/>
    </row>
    <row r="611" spans="2:70" ht="16" x14ac:dyDescent="0.2"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R611" s="246"/>
    </row>
    <row r="612" spans="2:70" ht="16" x14ac:dyDescent="0.2"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R612" s="246"/>
    </row>
    <row r="613" spans="2:70" ht="16" x14ac:dyDescent="0.2"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R613" s="246"/>
    </row>
    <row r="614" spans="2:70" ht="16" x14ac:dyDescent="0.2"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R614" s="246"/>
    </row>
    <row r="615" spans="2:70" ht="16" x14ac:dyDescent="0.2"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R615" s="246"/>
    </row>
    <row r="616" spans="2:70" ht="16" x14ac:dyDescent="0.2"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R616" s="246"/>
    </row>
    <row r="617" spans="2:70" ht="16" x14ac:dyDescent="0.2"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R617" s="246"/>
    </row>
    <row r="618" spans="2:70" ht="16" x14ac:dyDescent="0.2"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R618" s="246"/>
    </row>
    <row r="619" spans="2:70" ht="16" x14ac:dyDescent="0.2"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R619" s="246"/>
    </row>
    <row r="620" spans="2:70" ht="16" x14ac:dyDescent="0.2"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R620" s="246"/>
    </row>
    <row r="621" spans="2:70" ht="16" x14ac:dyDescent="0.2"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R621" s="246"/>
    </row>
    <row r="622" spans="2:70" ht="16" x14ac:dyDescent="0.2"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R622" s="246"/>
    </row>
    <row r="623" spans="2:70" ht="16" x14ac:dyDescent="0.2"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R623" s="246"/>
    </row>
    <row r="624" spans="2:70" ht="16" x14ac:dyDescent="0.2"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R624" s="246"/>
    </row>
    <row r="625" spans="2:70" ht="16" x14ac:dyDescent="0.2"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R625" s="246"/>
    </row>
    <row r="626" spans="2:70" ht="16" x14ac:dyDescent="0.2"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R626" s="246"/>
    </row>
    <row r="627" spans="2:70" ht="16" x14ac:dyDescent="0.2"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R627" s="246"/>
    </row>
    <row r="628" spans="2:70" ht="16" x14ac:dyDescent="0.2"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R628" s="246"/>
    </row>
    <row r="629" spans="2:70" ht="16" x14ac:dyDescent="0.2"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R629" s="246"/>
    </row>
    <row r="630" spans="2:70" ht="16" x14ac:dyDescent="0.2"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R630" s="246"/>
    </row>
    <row r="631" spans="2:70" ht="16" x14ac:dyDescent="0.2"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R631" s="246"/>
    </row>
    <row r="632" spans="2:70" ht="16" x14ac:dyDescent="0.2"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R632" s="246"/>
    </row>
    <row r="633" spans="2:70" ht="16" x14ac:dyDescent="0.2"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R633" s="246"/>
    </row>
    <row r="634" spans="2:70" ht="16" x14ac:dyDescent="0.2"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R634" s="246"/>
    </row>
    <row r="635" spans="2:70" ht="16" x14ac:dyDescent="0.2"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R635" s="246"/>
    </row>
    <row r="636" spans="2:70" ht="16" x14ac:dyDescent="0.2"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R636" s="246"/>
    </row>
    <row r="637" spans="2:70" ht="16" x14ac:dyDescent="0.2"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R637" s="246"/>
    </row>
    <row r="638" spans="2:70" ht="16" x14ac:dyDescent="0.2"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R638" s="246"/>
    </row>
    <row r="639" spans="2:70" ht="16" x14ac:dyDescent="0.2"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R639" s="246"/>
    </row>
    <row r="640" spans="2:70" ht="16" x14ac:dyDescent="0.2"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R640" s="246"/>
    </row>
    <row r="641" spans="2:70" ht="16" x14ac:dyDescent="0.2"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R641" s="246"/>
    </row>
    <row r="642" spans="2:70" ht="16" x14ac:dyDescent="0.2"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R642" s="246"/>
    </row>
    <row r="643" spans="2:70" ht="16" x14ac:dyDescent="0.2"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R643" s="246"/>
    </row>
    <row r="644" spans="2:70" ht="16" x14ac:dyDescent="0.2"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R644" s="246"/>
    </row>
    <row r="645" spans="2:70" ht="16" x14ac:dyDescent="0.2"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R645" s="246"/>
    </row>
    <row r="646" spans="2:70" ht="16" x14ac:dyDescent="0.2"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R646" s="246"/>
    </row>
    <row r="647" spans="2:70" ht="16" x14ac:dyDescent="0.2"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R647" s="246"/>
    </row>
    <row r="648" spans="2:70" ht="16" x14ac:dyDescent="0.2"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R648" s="246"/>
    </row>
    <row r="649" spans="2:70" ht="16" x14ac:dyDescent="0.2"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R649" s="246"/>
    </row>
    <row r="650" spans="2:70" ht="16" x14ac:dyDescent="0.2"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R650" s="246"/>
    </row>
    <row r="651" spans="2:70" ht="16" x14ac:dyDescent="0.2"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R651" s="246"/>
    </row>
    <row r="652" spans="2:70" ht="16" x14ac:dyDescent="0.2"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R652" s="246"/>
    </row>
    <row r="653" spans="2:70" ht="16" x14ac:dyDescent="0.2"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R653" s="246"/>
    </row>
    <row r="654" spans="2:70" ht="16" x14ac:dyDescent="0.2"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R654" s="246"/>
    </row>
    <row r="655" spans="2:70" ht="16" x14ac:dyDescent="0.2"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R655" s="246"/>
    </row>
    <row r="656" spans="2:70" ht="16" x14ac:dyDescent="0.2"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R656" s="246"/>
    </row>
    <row r="657" spans="2:70" ht="16" x14ac:dyDescent="0.2"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R657" s="246"/>
    </row>
    <row r="658" spans="2:70" ht="16" x14ac:dyDescent="0.2"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R658" s="246"/>
    </row>
    <row r="659" spans="2:70" ht="16" x14ac:dyDescent="0.2"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R659" s="246"/>
    </row>
    <row r="660" spans="2:70" ht="16" x14ac:dyDescent="0.2"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R660" s="246"/>
    </row>
    <row r="661" spans="2:70" ht="16" x14ac:dyDescent="0.2"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R661" s="246"/>
    </row>
    <row r="662" spans="2:70" ht="16" x14ac:dyDescent="0.2"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R662" s="246"/>
    </row>
    <row r="663" spans="2:70" ht="16" x14ac:dyDescent="0.2"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R663" s="246"/>
    </row>
    <row r="664" spans="2:70" ht="16" x14ac:dyDescent="0.2"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R664" s="246"/>
    </row>
    <row r="665" spans="2:70" ht="16" x14ac:dyDescent="0.2"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R665" s="246"/>
    </row>
    <row r="666" spans="2:70" ht="16" x14ac:dyDescent="0.2"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R666" s="246"/>
    </row>
    <row r="667" spans="2:70" ht="16" x14ac:dyDescent="0.2"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R667" s="246"/>
    </row>
    <row r="668" spans="2:70" ht="16" x14ac:dyDescent="0.2"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R668" s="246"/>
    </row>
    <row r="669" spans="2:70" ht="16" x14ac:dyDescent="0.2"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R669" s="246"/>
    </row>
    <row r="670" spans="2:70" ht="16" x14ac:dyDescent="0.2"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R670" s="246"/>
    </row>
    <row r="671" spans="2:70" ht="16" x14ac:dyDescent="0.2"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R671" s="246"/>
    </row>
    <row r="672" spans="2:70" ht="16" x14ac:dyDescent="0.2"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R672" s="246"/>
    </row>
    <row r="673" spans="2:70" ht="16" x14ac:dyDescent="0.2"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R673" s="246"/>
    </row>
    <row r="674" spans="2:70" ht="16" x14ac:dyDescent="0.2"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R674" s="246"/>
    </row>
    <row r="675" spans="2:70" ht="16" x14ac:dyDescent="0.2"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R675" s="246"/>
    </row>
    <row r="676" spans="2:70" ht="16" x14ac:dyDescent="0.2"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R676" s="246"/>
    </row>
    <row r="677" spans="2:70" ht="16" x14ac:dyDescent="0.2"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R677" s="246"/>
    </row>
    <row r="678" spans="2:70" ht="16" x14ac:dyDescent="0.2"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R678" s="246"/>
    </row>
    <row r="679" spans="2:70" ht="16" x14ac:dyDescent="0.2"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R679" s="246"/>
    </row>
    <row r="680" spans="2:70" ht="16" x14ac:dyDescent="0.2"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R680" s="246"/>
    </row>
    <row r="681" spans="2:70" ht="16" x14ac:dyDescent="0.2"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R681" s="246"/>
    </row>
    <row r="682" spans="2:70" ht="16" x14ac:dyDescent="0.2"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R682" s="246"/>
    </row>
    <row r="683" spans="2:70" ht="16" x14ac:dyDescent="0.2"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R683" s="246"/>
    </row>
    <row r="684" spans="2:70" ht="16" x14ac:dyDescent="0.2"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R684" s="246"/>
    </row>
    <row r="685" spans="2:70" ht="16" x14ac:dyDescent="0.2"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R685" s="246"/>
    </row>
    <row r="686" spans="2:70" ht="16" x14ac:dyDescent="0.2"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R686" s="246"/>
    </row>
    <row r="687" spans="2:70" ht="16" x14ac:dyDescent="0.2"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R687" s="246"/>
    </row>
    <row r="688" spans="2:70" ht="16" x14ac:dyDescent="0.2"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R688" s="246"/>
    </row>
    <row r="689" spans="2:70" ht="16" x14ac:dyDescent="0.2"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R689" s="246"/>
    </row>
    <row r="690" spans="2:70" ht="16" x14ac:dyDescent="0.2"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R690" s="246"/>
    </row>
    <row r="691" spans="2:70" ht="16" x14ac:dyDescent="0.2"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R691" s="246"/>
    </row>
    <row r="692" spans="2:70" ht="16" x14ac:dyDescent="0.2"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R692" s="246"/>
    </row>
    <row r="693" spans="2:70" ht="16" x14ac:dyDescent="0.2"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R693" s="246"/>
    </row>
    <row r="694" spans="2:70" ht="16" x14ac:dyDescent="0.2"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R694" s="246"/>
    </row>
    <row r="695" spans="2:70" ht="16" x14ac:dyDescent="0.2"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R695" s="246"/>
    </row>
    <row r="696" spans="2:70" ht="16" x14ac:dyDescent="0.2"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R696" s="246"/>
    </row>
    <row r="697" spans="2:70" ht="16" x14ac:dyDescent="0.2"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R697" s="246"/>
    </row>
    <row r="698" spans="2:70" ht="16" x14ac:dyDescent="0.2"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R698" s="246"/>
    </row>
    <row r="699" spans="2:70" ht="16" x14ac:dyDescent="0.2"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R699" s="246"/>
    </row>
    <row r="700" spans="2:70" ht="16" x14ac:dyDescent="0.2"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R700" s="246"/>
    </row>
    <row r="701" spans="2:70" ht="16" x14ac:dyDescent="0.2"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R701" s="246"/>
    </row>
    <row r="702" spans="2:70" ht="16" x14ac:dyDescent="0.2"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R702" s="246"/>
    </row>
    <row r="703" spans="2:70" ht="16" x14ac:dyDescent="0.2"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R703" s="246"/>
    </row>
    <row r="704" spans="2:70" ht="16" x14ac:dyDescent="0.2"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R704" s="246"/>
    </row>
    <row r="705" spans="2:70" ht="16" x14ac:dyDescent="0.2"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R705" s="246"/>
    </row>
    <row r="706" spans="2:70" ht="16" x14ac:dyDescent="0.2"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R706" s="246"/>
    </row>
    <row r="707" spans="2:70" ht="16" x14ac:dyDescent="0.2"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R707" s="246"/>
    </row>
    <row r="708" spans="2:70" ht="16" x14ac:dyDescent="0.2"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R708" s="246"/>
    </row>
    <row r="709" spans="2:70" ht="16" x14ac:dyDescent="0.2"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R709" s="246"/>
    </row>
    <row r="710" spans="2:70" ht="16" x14ac:dyDescent="0.2"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R710" s="246"/>
    </row>
    <row r="711" spans="2:70" ht="16" x14ac:dyDescent="0.2"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R711" s="246"/>
    </row>
    <row r="712" spans="2:70" ht="16" x14ac:dyDescent="0.2"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R712" s="246"/>
    </row>
    <row r="713" spans="2:70" ht="16" x14ac:dyDescent="0.2"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R713" s="246"/>
    </row>
    <row r="714" spans="2:70" ht="16" x14ac:dyDescent="0.2"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R714" s="246"/>
    </row>
    <row r="715" spans="2:70" ht="16" x14ac:dyDescent="0.2"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R715" s="246"/>
    </row>
    <row r="716" spans="2:70" ht="16" x14ac:dyDescent="0.2"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R716" s="246"/>
    </row>
    <row r="717" spans="2:70" ht="16" x14ac:dyDescent="0.2"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R717" s="246"/>
    </row>
    <row r="718" spans="2:70" ht="16" x14ac:dyDescent="0.2"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R718" s="246"/>
    </row>
    <row r="719" spans="2:70" ht="16" x14ac:dyDescent="0.2"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R719" s="246"/>
    </row>
    <row r="720" spans="2:70" ht="16" x14ac:dyDescent="0.2"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R720" s="246"/>
    </row>
    <row r="721" spans="2:70" ht="16" x14ac:dyDescent="0.2"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R721" s="246"/>
    </row>
    <row r="722" spans="2:70" ht="16" x14ac:dyDescent="0.2"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R722" s="246"/>
    </row>
    <row r="723" spans="2:70" ht="16" x14ac:dyDescent="0.2"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R723" s="246"/>
    </row>
    <row r="724" spans="2:70" ht="16" x14ac:dyDescent="0.2"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R724" s="246"/>
    </row>
    <row r="725" spans="2:70" ht="16" x14ac:dyDescent="0.2"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R725" s="246"/>
    </row>
    <row r="726" spans="2:70" ht="16" x14ac:dyDescent="0.2"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R726" s="246"/>
    </row>
    <row r="727" spans="2:70" ht="16" x14ac:dyDescent="0.2"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R727" s="246"/>
    </row>
    <row r="728" spans="2:70" ht="16" x14ac:dyDescent="0.2"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R728" s="246"/>
    </row>
    <row r="729" spans="2:70" ht="16" x14ac:dyDescent="0.2"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R729" s="246"/>
    </row>
    <row r="730" spans="2:70" ht="16" x14ac:dyDescent="0.2"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R730" s="246"/>
    </row>
    <row r="731" spans="2:70" ht="16" x14ac:dyDescent="0.2"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R731" s="246"/>
    </row>
    <row r="732" spans="2:70" ht="16" x14ac:dyDescent="0.2"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R732" s="246"/>
    </row>
    <row r="733" spans="2:70" ht="16" x14ac:dyDescent="0.2"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R733" s="246"/>
    </row>
    <row r="734" spans="2:70" ht="16" x14ac:dyDescent="0.2"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R734" s="246"/>
    </row>
    <row r="735" spans="2:70" ht="16" x14ac:dyDescent="0.2"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R735" s="246"/>
    </row>
    <row r="736" spans="2:70" ht="16" x14ac:dyDescent="0.2"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R736" s="246"/>
    </row>
    <row r="737" spans="2:70" ht="16" x14ac:dyDescent="0.2"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R737" s="246"/>
    </row>
    <row r="738" spans="2:70" ht="16" x14ac:dyDescent="0.2"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R738" s="246"/>
    </row>
    <row r="739" spans="2:70" ht="16" x14ac:dyDescent="0.2"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R739" s="246"/>
    </row>
    <row r="740" spans="2:70" ht="16" x14ac:dyDescent="0.2"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R740" s="246"/>
    </row>
    <row r="741" spans="2:70" ht="16" x14ac:dyDescent="0.2"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R741" s="246"/>
    </row>
    <row r="742" spans="2:70" ht="16" x14ac:dyDescent="0.2"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R742" s="246"/>
    </row>
    <row r="743" spans="2:70" ht="16" x14ac:dyDescent="0.2"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R743" s="246"/>
    </row>
    <row r="744" spans="2:70" ht="16" x14ac:dyDescent="0.2"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R744" s="246"/>
    </row>
    <row r="745" spans="2:70" ht="16" x14ac:dyDescent="0.2"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R745" s="246"/>
    </row>
    <row r="746" spans="2:70" ht="16" x14ac:dyDescent="0.2"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R746" s="246"/>
    </row>
    <row r="747" spans="2:70" ht="16" x14ac:dyDescent="0.2"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R747" s="246"/>
    </row>
    <row r="748" spans="2:70" ht="16" x14ac:dyDescent="0.2"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R748" s="246"/>
    </row>
    <row r="749" spans="2:70" ht="16" x14ac:dyDescent="0.2"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R749" s="246"/>
    </row>
    <row r="750" spans="2:70" ht="16" x14ac:dyDescent="0.2"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R750" s="246"/>
    </row>
    <row r="751" spans="2:70" ht="16" x14ac:dyDescent="0.2"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R751" s="246"/>
    </row>
    <row r="752" spans="2:70" ht="16" x14ac:dyDescent="0.2"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R752" s="246"/>
    </row>
    <row r="753" spans="2:70" ht="16" x14ac:dyDescent="0.2"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R753" s="246"/>
    </row>
    <row r="754" spans="2:70" ht="16" x14ac:dyDescent="0.2"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R754" s="246"/>
    </row>
    <row r="755" spans="2:70" ht="16" x14ac:dyDescent="0.2"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R755" s="246"/>
    </row>
    <row r="756" spans="2:70" ht="16" x14ac:dyDescent="0.2"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R756" s="246"/>
    </row>
    <row r="757" spans="2:70" ht="16" x14ac:dyDescent="0.2"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R757" s="246"/>
    </row>
    <row r="758" spans="2:70" ht="16" x14ac:dyDescent="0.2"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R758" s="246"/>
    </row>
    <row r="759" spans="2:70" ht="16" x14ac:dyDescent="0.2"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R759" s="246"/>
    </row>
    <row r="760" spans="2:70" ht="16" x14ac:dyDescent="0.2"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R760" s="246"/>
    </row>
    <row r="761" spans="2:70" ht="16" x14ac:dyDescent="0.2"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R761" s="246"/>
    </row>
    <row r="762" spans="2:70" ht="16" x14ac:dyDescent="0.2"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R762" s="246"/>
    </row>
    <row r="763" spans="2:70" ht="16" x14ac:dyDescent="0.2"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R763" s="246"/>
    </row>
    <row r="764" spans="2:70" ht="16" x14ac:dyDescent="0.2"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R764" s="246"/>
    </row>
    <row r="765" spans="2:70" ht="16" x14ac:dyDescent="0.2"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R765" s="246"/>
    </row>
    <row r="766" spans="2:70" ht="16" x14ac:dyDescent="0.2"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R766" s="246"/>
    </row>
    <row r="767" spans="2:70" ht="16" x14ac:dyDescent="0.2"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R767" s="246"/>
    </row>
    <row r="768" spans="2:70" ht="16" x14ac:dyDescent="0.2"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R768" s="246"/>
    </row>
    <row r="769" spans="2:70" ht="16" x14ac:dyDescent="0.2"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R769" s="246"/>
    </row>
    <row r="770" spans="2:70" ht="16" x14ac:dyDescent="0.2"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R770" s="246"/>
    </row>
    <row r="771" spans="2:70" ht="16" x14ac:dyDescent="0.2"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R771" s="246"/>
    </row>
    <row r="772" spans="2:70" ht="16" x14ac:dyDescent="0.2"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R772" s="246"/>
    </row>
    <row r="773" spans="2:70" ht="16" x14ac:dyDescent="0.2"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R773" s="246"/>
    </row>
    <row r="774" spans="2:70" ht="16" x14ac:dyDescent="0.2"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R774" s="246"/>
    </row>
    <row r="775" spans="2:70" ht="16" x14ac:dyDescent="0.2"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R775" s="246"/>
    </row>
    <row r="776" spans="2:70" ht="16" x14ac:dyDescent="0.2"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R776" s="246"/>
    </row>
    <row r="777" spans="2:70" ht="16" x14ac:dyDescent="0.2"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R777" s="246"/>
    </row>
    <row r="778" spans="2:70" ht="16" x14ac:dyDescent="0.2"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R778" s="246"/>
    </row>
    <row r="779" spans="2:70" ht="16" x14ac:dyDescent="0.2"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R779" s="246"/>
    </row>
    <row r="780" spans="2:70" ht="16" x14ac:dyDescent="0.2"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R780" s="246"/>
    </row>
    <row r="781" spans="2:70" ht="16" x14ac:dyDescent="0.2"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R781" s="246"/>
    </row>
    <row r="782" spans="2:70" ht="16" x14ac:dyDescent="0.2"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R782" s="246"/>
    </row>
    <row r="783" spans="2:70" ht="16" x14ac:dyDescent="0.2"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R783" s="246"/>
    </row>
    <row r="784" spans="2:70" ht="16" x14ac:dyDescent="0.2"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R784" s="246"/>
    </row>
    <row r="785" spans="2:70" ht="16" x14ac:dyDescent="0.2"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R785" s="246"/>
    </row>
    <row r="786" spans="2:70" ht="16" x14ac:dyDescent="0.2"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R786" s="246"/>
    </row>
    <row r="787" spans="2:70" ht="16" x14ac:dyDescent="0.2"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R787" s="246"/>
    </row>
    <row r="788" spans="2:70" ht="16" x14ac:dyDescent="0.2"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R788" s="246"/>
    </row>
    <row r="789" spans="2:70" ht="16" x14ac:dyDescent="0.2"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R789" s="246"/>
    </row>
    <row r="790" spans="2:70" ht="16" x14ac:dyDescent="0.2"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R790" s="246"/>
    </row>
    <row r="791" spans="2:70" ht="16" x14ac:dyDescent="0.2"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R791" s="246"/>
    </row>
    <row r="792" spans="2:70" ht="16" x14ac:dyDescent="0.2"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R792" s="246"/>
    </row>
    <row r="793" spans="2:70" ht="16" x14ac:dyDescent="0.2"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R793" s="246"/>
    </row>
    <row r="794" spans="2:70" ht="16" x14ac:dyDescent="0.2"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R794" s="246"/>
    </row>
    <row r="795" spans="2:70" ht="16" x14ac:dyDescent="0.2"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R795" s="246"/>
    </row>
    <row r="796" spans="2:70" ht="16" x14ac:dyDescent="0.2"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R796" s="246"/>
    </row>
    <row r="797" spans="2:70" ht="16" x14ac:dyDescent="0.2"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R797" s="246"/>
    </row>
    <row r="798" spans="2:70" ht="16" x14ac:dyDescent="0.2"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R798" s="246"/>
    </row>
    <row r="799" spans="2:70" ht="16" x14ac:dyDescent="0.2"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R799" s="246"/>
    </row>
    <row r="800" spans="2:70" ht="16" x14ac:dyDescent="0.2"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R800" s="246"/>
    </row>
    <row r="801" spans="2:70" ht="16" x14ac:dyDescent="0.2"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R801" s="246"/>
    </row>
    <row r="802" spans="2:70" ht="16" x14ac:dyDescent="0.2"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R802" s="246"/>
    </row>
    <row r="803" spans="2:70" ht="16" x14ac:dyDescent="0.2"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R803" s="246"/>
    </row>
    <row r="804" spans="2:70" ht="16" x14ac:dyDescent="0.2"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R804" s="246"/>
    </row>
    <row r="805" spans="2:70" ht="16" x14ac:dyDescent="0.2"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R805" s="246"/>
    </row>
    <row r="806" spans="2:70" ht="16" x14ac:dyDescent="0.2"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R806" s="246"/>
    </row>
    <row r="807" spans="2:70" ht="16" x14ac:dyDescent="0.2"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R807" s="246"/>
    </row>
    <row r="808" spans="2:70" ht="16" x14ac:dyDescent="0.2"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R808" s="246"/>
    </row>
    <row r="809" spans="2:70" ht="16" x14ac:dyDescent="0.2"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R809" s="246"/>
    </row>
    <row r="810" spans="2:70" ht="16" x14ac:dyDescent="0.2"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R810" s="246"/>
    </row>
    <row r="811" spans="2:70" ht="16" x14ac:dyDescent="0.2"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R811" s="246"/>
    </row>
    <row r="812" spans="2:70" ht="16" x14ac:dyDescent="0.2"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R812" s="246"/>
    </row>
    <row r="813" spans="2:70" ht="16" x14ac:dyDescent="0.2"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R813" s="246"/>
    </row>
    <row r="814" spans="2:70" ht="16" x14ac:dyDescent="0.2"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R814" s="246"/>
    </row>
    <row r="815" spans="2:70" ht="16" x14ac:dyDescent="0.2"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R815" s="246"/>
    </row>
    <row r="816" spans="2:70" ht="16" x14ac:dyDescent="0.2"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R816" s="246"/>
    </row>
    <row r="817" spans="2:70" ht="16" x14ac:dyDescent="0.2"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R817" s="246"/>
    </row>
    <row r="818" spans="2:70" ht="16" x14ac:dyDescent="0.2"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R818" s="246"/>
    </row>
    <row r="819" spans="2:70" ht="16" x14ac:dyDescent="0.2"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R819" s="246"/>
    </row>
    <row r="820" spans="2:70" ht="16" x14ac:dyDescent="0.2"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R820" s="246"/>
    </row>
    <row r="821" spans="2:70" ht="16" x14ac:dyDescent="0.2"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R821" s="246"/>
    </row>
    <row r="822" spans="2:70" ht="16" x14ac:dyDescent="0.2"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R822" s="246"/>
    </row>
    <row r="823" spans="2:70" ht="16" x14ac:dyDescent="0.2"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R823" s="246"/>
    </row>
    <row r="824" spans="2:70" ht="16" x14ac:dyDescent="0.2"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R824" s="246"/>
    </row>
    <row r="825" spans="2:70" ht="16" x14ac:dyDescent="0.2"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R825" s="246"/>
    </row>
    <row r="826" spans="2:70" ht="16" x14ac:dyDescent="0.2"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R826" s="246"/>
    </row>
    <row r="827" spans="2:70" ht="16" x14ac:dyDescent="0.2"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R827" s="246"/>
    </row>
    <row r="828" spans="2:70" ht="16" x14ac:dyDescent="0.2"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R828" s="246"/>
    </row>
    <row r="829" spans="2:70" ht="16" x14ac:dyDescent="0.2"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R829" s="246"/>
    </row>
    <row r="830" spans="2:70" ht="16" x14ac:dyDescent="0.2"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R830" s="246"/>
    </row>
    <row r="831" spans="2:70" ht="16" x14ac:dyDescent="0.2"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R831" s="246"/>
    </row>
    <row r="832" spans="2:70" ht="16" x14ac:dyDescent="0.2"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R832" s="246"/>
    </row>
    <row r="833" spans="2:70" ht="16" x14ac:dyDescent="0.2"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R833" s="246"/>
    </row>
    <row r="834" spans="2:70" ht="16" x14ac:dyDescent="0.2"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R834" s="246"/>
    </row>
    <row r="835" spans="2:70" ht="16" x14ac:dyDescent="0.2"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R835" s="246"/>
    </row>
    <row r="836" spans="2:70" ht="16" x14ac:dyDescent="0.2"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R836" s="246"/>
    </row>
    <row r="837" spans="2:70" ht="16" x14ac:dyDescent="0.2"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R837" s="246"/>
    </row>
    <row r="838" spans="2:70" ht="16" x14ac:dyDescent="0.2"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R838" s="246"/>
    </row>
    <row r="839" spans="2:70" ht="16" x14ac:dyDescent="0.2"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R839" s="246"/>
    </row>
    <row r="840" spans="2:70" ht="16" x14ac:dyDescent="0.2"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R840" s="246"/>
    </row>
    <row r="841" spans="2:70" ht="16" x14ac:dyDescent="0.2"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R841" s="246"/>
    </row>
    <row r="842" spans="2:70" ht="16" x14ac:dyDescent="0.2"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R842" s="246"/>
    </row>
    <row r="843" spans="2:70" ht="16" x14ac:dyDescent="0.2"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R843" s="246"/>
    </row>
    <row r="844" spans="2:70" ht="16" x14ac:dyDescent="0.2"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R844" s="246"/>
    </row>
    <row r="845" spans="2:70" ht="16" x14ac:dyDescent="0.2"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R845" s="246"/>
    </row>
    <row r="846" spans="2:70" ht="16" x14ac:dyDescent="0.2"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R846" s="246"/>
    </row>
    <row r="847" spans="2:70" ht="16" x14ac:dyDescent="0.2"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R847" s="246"/>
    </row>
    <row r="848" spans="2:70" ht="16" x14ac:dyDescent="0.2"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R848" s="246"/>
    </row>
    <row r="849" spans="2:70" ht="16" x14ac:dyDescent="0.2"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R849" s="246"/>
    </row>
    <row r="850" spans="2:70" ht="16" x14ac:dyDescent="0.2"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R850" s="246"/>
    </row>
    <row r="851" spans="2:70" ht="16" x14ac:dyDescent="0.2"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R851" s="246"/>
    </row>
    <row r="852" spans="2:70" ht="16" x14ac:dyDescent="0.2"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R852" s="246"/>
    </row>
    <row r="853" spans="2:70" ht="16" x14ac:dyDescent="0.2"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R853" s="246"/>
    </row>
    <row r="854" spans="2:70" ht="16" x14ac:dyDescent="0.2"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R854" s="246"/>
    </row>
    <row r="855" spans="2:70" ht="16" x14ac:dyDescent="0.2"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R855" s="246"/>
    </row>
    <row r="856" spans="2:70" ht="16" x14ac:dyDescent="0.2"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R856" s="246"/>
    </row>
    <row r="857" spans="2:70" ht="16" x14ac:dyDescent="0.2"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R857" s="246"/>
    </row>
    <row r="858" spans="2:70" ht="16" x14ac:dyDescent="0.2"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R858" s="246"/>
    </row>
    <row r="859" spans="2:70" ht="16" x14ac:dyDescent="0.2"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R859" s="246"/>
    </row>
    <row r="860" spans="2:70" ht="16" x14ac:dyDescent="0.2"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R860" s="246"/>
    </row>
    <row r="861" spans="2:70" ht="16" x14ac:dyDescent="0.2"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R861" s="246"/>
    </row>
    <row r="862" spans="2:70" ht="16" x14ac:dyDescent="0.2"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R862" s="246"/>
    </row>
    <row r="863" spans="2:70" ht="16" x14ac:dyDescent="0.2"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R863" s="246"/>
    </row>
    <row r="864" spans="2:70" ht="16" x14ac:dyDescent="0.2"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R864" s="246"/>
    </row>
    <row r="865" spans="2:70" ht="16" x14ac:dyDescent="0.2"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R865" s="246"/>
    </row>
    <row r="866" spans="2:70" ht="16" x14ac:dyDescent="0.2"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R866" s="246"/>
    </row>
    <row r="867" spans="2:70" ht="16" x14ac:dyDescent="0.2"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R867" s="246"/>
    </row>
    <row r="868" spans="2:70" ht="16" x14ac:dyDescent="0.2"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R868" s="246"/>
    </row>
    <row r="869" spans="2:70" ht="16" x14ac:dyDescent="0.2"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R869" s="246"/>
    </row>
    <row r="870" spans="2:70" ht="16" x14ac:dyDescent="0.2"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R870" s="246"/>
    </row>
    <row r="871" spans="2:70" ht="16" x14ac:dyDescent="0.2"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R871" s="246"/>
    </row>
    <row r="872" spans="2:70" ht="16" x14ac:dyDescent="0.2"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R872" s="246"/>
    </row>
    <row r="873" spans="2:70" ht="16" x14ac:dyDescent="0.2"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R873" s="246"/>
    </row>
    <row r="874" spans="2:70" ht="16" x14ac:dyDescent="0.2"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R874" s="246"/>
    </row>
    <row r="875" spans="2:70" ht="16" x14ac:dyDescent="0.2"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R875" s="246"/>
    </row>
    <row r="876" spans="2:70" ht="16" x14ac:dyDescent="0.2"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R876" s="246"/>
    </row>
    <row r="877" spans="2:70" ht="16" x14ac:dyDescent="0.2"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R877" s="246"/>
    </row>
    <row r="878" spans="2:70" ht="16" x14ac:dyDescent="0.2"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R878" s="246"/>
    </row>
    <row r="879" spans="2:70" ht="16" x14ac:dyDescent="0.2"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R879" s="246"/>
    </row>
    <row r="880" spans="2:70" ht="16" x14ac:dyDescent="0.2"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R880" s="246"/>
    </row>
    <row r="881" spans="2:70" ht="16" x14ac:dyDescent="0.2"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R881" s="246"/>
    </row>
    <row r="882" spans="2:70" ht="16" x14ac:dyDescent="0.2"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R882" s="246"/>
    </row>
    <row r="883" spans="2:70" ht="16" x14ac:dyDescent="0.2"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R883" s="246"/>
    </row>
    <row r="884" spans="2:70" ht="16" x14ac:dyDescent="0.2"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R884" s="246"/>
    </row>
    <row r="885" spans="2:70" ht="16" x14ac:dyDescent="0.2"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R885" s="246"/>
    </row>
    <row r="886" spans="2:70" ht="16" x14ac:dyDescent="0.2"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R886" s="246"/>
    </row>
    <row r="887" spans="2:70" ht="16" x14ac:dyDescent="0.2"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R887" s="246"/>
    </row>
    <row r="888" spans="2:70" ht="16" x14ac:dyDescent="0.2"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R888" s="246"/>
    </row>
    <row r="889" spans="2:70" ht="16" x14ac:dyDescent="0.2"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R889" s="246"/>
    </row>
    <row r="890" spans="2:70" ht="16" x14ac:dyDescent="0.2"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R890" s="246"/>
    </row>
    <row r="891" spans="2:70" ht="16" x14ac:dyDescent="0.2"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R891" s="246"/>
    </row>
    <row r="892" spans="2:70" ht="16" x14ac:dyDescent="0.2"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R892" s="246"/>
    </row>
    <row r="893" spans="2:70" ht="16" x14ac:dyDescent="0.2"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R893" s="246"/>
    </row>
    <row r="894" spans="2:70" ht="16" x14ac:dyDescent="0.2"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R894" s="246"/>
    </row>
    <row r="895" spans="2:70" ht="16" x14ac:dyDescent="0.2"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R895" s="246"/>
    </row>
    <row r="896" spans="2:70" ht="16" x14ac:dyDescent="0.2"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R896" s="246"/>
    </row>
    <row r="897" spans="2:70" ht="16" x14ac:dyDescent="0.2"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R897" s="246"/>
    </row>
    <row r="898" spans="2:70" ht="16" x14ac:dyDescent="0.2"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R898" s="246"/>
    </row>
    <row r="899" spans="2:70" ht="16" x14ac:dyDescent="0.2"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R899" s="246"/>
    </row>
    <row r="900" spans="2:70" ht="16" x14ac:dyDescent="0.2"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R900" s="246"/>
    </row>
    <row r="901" spans="2:70" ht="16" x14ac:dyDescent="0.2"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R901" s="246"/>
    </row>
    <row r="902" spans="2:70" ht="16" x14ac:dyDescent="0.2"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R902" s="246"/>
    </row>
    <row r="903" spans="2:70" ht="16" x14ac:dyDescent="0.2"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R903" s="246"/>
    </row>
    <row r="904" spans="2:70" ht="16" x14ac:dyDescent="0.2"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R904" s="246"/>
    </row>
    <row r="905" spans="2:70" ht="16" x14ac:dyDescent="0.2"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R905" s="246"/>
    </row>
    <row r="906" spans="2:70" ht="16" x14ac:dyDescent="0.2"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R906" s="246"/>
    </row>
    <row r="907" spans="2:70" ht="16" x14ac:dyDescent="0.2"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R907" s="246"/>
    </row>
    <row r="908" spans="2:70" ht="16" x14ac:dyDescent="0.2"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R908" s="246"/>
    </row>
    <row r="909" spans="2:70" ht="16" x14ac:dyDescent="0.2"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R909" s="246"/>
    </row>
    <row r="910" spans="2:70" ht="16" x14ac:dyDescent="0.2"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R910" s="246"/>
    </row>
    <row r="911" spans="2:70" ht="16" x14ac:dyDescent="0.2"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R911" s="246"/>
    </row>
    <row r="912" spans="2:70" ht="16" x14ac:dyDescent="0.2"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R912" s="246"/>
    </row>
    <row r="913" spans="2:70" ht="16" x14ac:dyDescent="0.2"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R913" s="246"/>
    </row>
    <row r="914" spans="2:70" ht="16" x14ac:dyDescent="0.2"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R914" s="246"/>
    </row>
    <row r="915" spans="2:70" ht="16" x14ac:dyDescent="0.2"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R915" s="246"/>
    </row>
    <row r="916" spans="2:70" ht="16" x14ac:dyDescent="0.2"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R916" s="246"/>
    </row>
    <row r="917" spans="2:70" ht="16" x14ac:dyDescent="0.2"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R917" s="246"/>
    </row>
    <row r="918" spans="2:70" ht="16" x14ac:dyDescent="0.2"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R918" s="246"/>
    </row>
    <row r="919" spans="2:70" ht="16" x14ac:dyDescent="0.2"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R919" s="246"/>
    </row>
    <row r="920" spans="2:70" ht="16" x14ac:dyDescent="0.2"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R920" s="246"/>
    </row>
    <row r="921" spans="2:70" ht="16" x14ac:dyDescent="0.2"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R921" s="246"/>
    </row>
    <row r="922" spans="2:70" ht="16" x14ac:dyDescent="0.2"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R922" s="246"/>
    </row>
    <row r="923" spans="2:70" ht="16" x14ac:dyDescent="0.2"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R923" s="246"/>
    </row>
    <row r="924" spans="2:70" ht="16" x14ac:dyDescent="0.2"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R924" s="246"/>
    </row>
    <row r="925" spans="2:70" ht="16" x14ac:dyDescent="0.2"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R925" s="246"/>
    </row>
    <row r="926" spans="2:70" ht="16" x14ac:dyDescent="0.2"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R926" s="246"/>
    </row>
    <row r="927" spans="2:70" ht="16" x14ac:dyDescent="0.2"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R927" s="246"/>
    </row>
    <row r="928" spans="2:70" ht="16" x14ac:dyDescent="0.2"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R928" s="246"/>
    </row>
    <row r="929" spans="2:70" ht="16" x14ac:dyDescent="0.2"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R929" s="246"/>
    </row>
    <row r="930" spans="2:70" ht="16" x14ac:dyDescent="0.2"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R930" s="246"/>
    </row>
    <row r="931" spans="2:70" ht="16" x14ac:dyDescent="0.2"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R931" s="246"/>
    </row>
    <row r="932" spans="2:70" ht="16" x14ac:dyDescent="0.2"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R932" s="246"/>
    </row>
    <row r="933" spans="2:70" ht="16" x14ac:dyDescent="0.2"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R933" s="246"/>
    </row>
    <row r="934" spans="2:70" ht="16" x14ac:dyDescent="0.2"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R934" s="246"/>
    </row>
    <row r="935" spans="2:70" ht="16" x14ac:dyDescent="0.2"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R935" s="246"/>
    </row>
    <row r="936" spans="2:70" ht="16" x14ac:dyDescent="0.2"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R936" s="246"/>
    </row>
    <row r="937" spans="2:70" ht="16" x14ac:dyDescent="0.2"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R937" s="246"/>
    </row>
    <row r="938" spans="2:70" ht="16" x14ac:dyDescent="0.2"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R938" s="246"/>
    </row>
    <row r="939" spans="2:70" ht="16" x14ac:dyDescent="0.2"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R939" s="246"/>
    </row>
    <row r="940" spans="2:70" ht="16" x14ac:dyDescent="0.2"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R940" s="246"/>
    </row>
    <row r="941" spans="2:70" ht="16" x14ac:dyDescent="0.2"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R941" s="246"/>
    </row>
    <row r="942" spans="2:70" ht="16" x14ac:dyDescent="0.2"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R942" s="246"/>
    </row>
    <row r="943" spans="2:70" ht="16" x14ac:dyDescent="0.2"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R943" s="246"/>
    </row>
    <row r="944" spans="2:70" ht="16" x14ac:dyDescent="0.2"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R944" s="246"/>
    </row>
    <row r="945" spans="2:70" ht="16" x14ac:dyDescent="0.2"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R945" s="246"/>
    </row>
    <row r="946" spans="2:70" ht="16" x14ac:dyDescent="0.2"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R946" s="246"/>
    </row>
    <row r="947" spans="2:70" ht="16" x14ac:dyDescent="0.2"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R947" s="246"/>
    </row>
    <row r="948" spans="2:70" ht="16" x14ac:dyDescent="0.2"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R948" s="246"/>
    </row>
    <row r="949" spans="2:70" ht="16" x14ac:dyDescent="0.2"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R949" s="246"/>
    </row>
    <row r="950" spans="2:70" ht="16" x14ac:dyDescent="0.2"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R950" s="246"/>
    </row>
    <row r="951" spans="2:70" ht="16" x14ac:dyDescent="0.2"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R951" s="246"/>
    </row>
    <row r="952" spans="2:70" ht="16" x14ac:dyDescent="0.2"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R952" s="246"/>
    </row>
    <row r="953" spans="2:70" ht="16" x14ac:dyDescent="0.2"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R953" s="246"/>
    </row>
    <row r="954" spans="2:70" ht="16" x14ac:dyDescent="0.2"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R954" s="246"/>
    </row>
    <row r="955" spans="2:70" ht="16" x14ac:dyDescent="0.2"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R955" s="246"/>
    </row>
    <row r="956" spans="2:70" ht="16" x14ac:dyDescent="0.2"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R956" s="246"/>
    </row>
    <row r="957" spans="2:70" ht="16" x14ac:dyDescent="0.2"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R957" s="246"/>
    </row>
    <row r="958" spans="2:70" ht="16" x14ac:dyDescent="0.2"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R958" s="246"/>
    </row>
    <row r="959" spans="2:70" ht="16" x14ac:dyDescent="0.2"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R959" s="246"/>
    </row>
    <row r="960" spans="2:70" ht="16" x14ac:dyDescent="0.2"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R960" s="246"/>
    </row>
    <row r="961" spans="2:70" ht="16" x14ac:dyDescent="0.2"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R961" s="246"/>
    </row>
    <row r="962" spans="2:70" ht="16" x14ac:dyDescent="0.2"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R962" s="246"/>
    </row>
    <row r="963" spans="2:70" ht="16" x14ac:dyDescent="0.2"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R963" s="246"/>
    </row>
    <row r="964" spans="2:70" ht="16" x14ac:dyDescent="0.2"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R964" s="246"/>
    </row>
    <row r="965" spans="2:70" ht="16" x14ac:dyDescent="0.2"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R965" s="246"/>
    </row>
    <row r="966" spans="2:70" ht="16" x14ac:dyDescent="0.2"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R966" s="246"/>
    </row>
    <row r="967" spans="2:70" ht="16" x14ac:dyDescent="0.2"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R967" s="246"/>
    </row>
    <row r="968" spans="2:70" ht="16" x14ac:dyDescent="0.2"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R968" s="246"/>
    </row>
    <row r="969" spans="2:70" ht="16" x14ac:dyDescent="0.2"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R969" s="246"/>
    </row>
    <row r="970" spans="2:70" ht="16" x14ac:dyDescent="0.2"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R970" s="246"/>
    </row>
    <row r="971" spans="2:70" ht="16" x14ac:dyDescent="0.2"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R971" s="246"/>
    </row>
    <row r="972" spans="2:70" ht="16" x14ac:dyDescent="0.2"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R972" s="246"/>
    </row>
    <row r="973" spans="2:70" ht="16" x14ac:dyDescent="0.2"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R973" s="246"/>
    </row>
    <row r="974" spans="2:70" ht="16" x14ac:dyDescent="0.2"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R974" s="246"/>
    </row>
    <row r="975" spans="2:70" ht="16" x14ac:dyDescent="0.2"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R975" s="246"/>
    </row>
    <row r="976" spans="2:70" ht="16" x14ac:dyDescent="0.2"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R976" s="246"/>
    </row>
    <row r="977" spans="2:70" ht="16" x14ac:dyDescent="0.2"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R977" s="246"/>
    </row>
    <row r="978" spans="2:70" ht="16" x14ac:dyDescent="0.2"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R978" s="246"/>
    </row>
    <row r="979" spans="2:70" ht="16" x14ac:dyDescent="0.2"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R979" s="246"/>
    </row>
    <row r="980" spans="2:70" ht="16" x14ac:dyDescent="0.2"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R980" s="246"/>
    </row>
    <row r="981" spans="2:70" ht="16" x14ac:dyDescent="0.2"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R981" s="246"/>
    </row>
    <row r="982" spans="2:70" ht="16" x14ac:dyDescent="0.2"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R982" s="246"/>
    </row>
    <row r="983" spans="2:70" ht="16" x14ac:dyDescent="0.2"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R983" s="246"/>
    </row>
    <row r="984" spans="2:70" ht="16" x14ac:dyDescent="0.2"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R984" s="246"/>
    </row>
    <row r="985" spans="2:70" ht="16" x14ac:dyDescent="0.2"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R985" s="246"/>
    </row>
    <row r="986" spans="2:70" ht="16" x14ac:dyDescent="0.2"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R986" s="246"/>
    </row>
    <row r="987" spans="2:70" ht="16" x14ac:dyDescent="0.2"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R987" s="246"/>
    </row>
    <row r="988" spans="2:70" ht="16" x14ac:dyDescent="0.2"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R988" s="246"/>
    </row>
    <row r="989" spans="2:70" ht="16" x14ac:dyDescent="0.2"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R989" s="246"/>
    </row>
    <row r="990" spans="2:70" ht="16" x14ac:dyDescent="0.2"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R990" s="246"/>
    </row>
    <row r="991" spans="2:70" ht="16" x14ac:dyDescent="0.2"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R991" s="246"/>
    </row>
    <row r="992" spans="2:70" ht="16" x14ac:dyDescent="0.2"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R992" s="246"/>
    </row>
    <row r="993" spans="2:70" ht="16" x14ac:dyDescent="0.2"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R993" s="246"/>
    </row>
    <row r="994" spans="2:70" ht="16" x14ac:dyDescent="0.2"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R994" s="246"/>
    </row>
    <row r="995" spans="2:70" ht="16" x14ac:dyDescent="0.2"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R995" s="246"/>
    </row>
    <row r="996" spans="2:70" ht="16" x14ac:dyDescent="0.2"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R996" s="246"/>
    </row>
    <row r="997" spans="2:70" ht="16" x14ac:dyDescent="0.2"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R997" s="246"/>
    </row>
    <row r="998" spans="2:70" ht="16" x14ac:dyDescent="0.2"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R998" s="246"/>
    </row>
    <row r="999" spans="2:70" ht="16" x14ac:dyDescent="0.2"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R999" s="246"/>
    </row>
    <row r="1000" spans="2:70" ht="16" x14ac:dyDescent="0.2"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R1000" s="246"/>
    </row>
    <row r="1001" spans="2:70" ht="16" x14ac:dyDescent="0.2"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R1001" s="246"/>
    </row>
    <row r="1002" spans="2:70" ht="16" x14ac:dyDescent="0.2"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R1002" s="246"/>
    </row>
    <row r="1003" spans="2:70" ht="16" x14ac:dyDescent="0.2"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R1003" s="246"/>
    </row>
    <row r="1004" spans="2:70" ht="16" x14ac:dyDescent="0.2"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R1004" s="246"/>
    </row>
    <row r="1005" spans="2:70" ht="16" x14ac:dyDescent="0.2"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R1005" s="246"/>
    </row>
    <row r="1006" spans="2:70" ht="16" x14ac:dyDescent="0.2"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R1006" s="246"/>
    </row>
    <row r="1007" spans="2:70" ht="16" x14ac:dyDescent="0.2"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R1007" s="246"/>
    </row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69"/>
  <sheetViews>
    <sheetView workbookViewId="0">
      <selection activeCell="E4" sqref="E4"/>
    </sheetView>
  </sheetViews>
  <sheetFormatPr baseColWidth="10" defaultColWidth="11.1640625" defaultRowHeight="15" customHeight="1" x14ac:dyDescent="0.2"/>
  <sheetData>
    <row r="1" spans="1:5" x14ac:dyDescent="0.2">
      <c r="A1" s="4">
        <v>8</v>
      </c>
      <c r="C1" s="4" t="s">
        <v>112</v>
      </c>
      <c r="E1" s="251">
        <v>120</v>
      </c>
    </row>
    <row r="2" spans="1:5" x14ac:dyDescent="0.2">
      <c r="A2" s="4">
        <v>50</v>
      </c>
      <c r="C2" s="4" t="s">
        <v>113</v>
      </c>
      <c r="E2" s="251">
        <v>165</v>
      </c>
    </row>
    <row r="3" spans="1:5" x14ac:dyDescent="0.2">
      <c r="A3" s="1">
        <v>100</v>
      </c>
      <c r="C3" s="1" t="s">
        <v>106</v>
      </c>
      <c r="E3" s="252">
        <v>0.4</v>
      </c>
    </row>
    <row r="4" spans="1:5" x14ac:dyDescent="0.2">
      <c r="A4" s="1">
        <v>150</v>
      </c>
      <c r="C4" s="1" t="s">
        <v>114</v>
      </c>
      <c r="E4" s="7">
        <v>1.04</v>
      </c>
    </row>
    <row r="5" spans="1:5" x14ac:dyDescent="0.2">
      <c r="A5" s="1">
        <v>200</v>
      </c>
    </row>
    <row r="6" spans="1:5" x14ac:dyDescent="0.2">
      <c r="A6" s="1">
        <v>250</v>
      </c>
    </row>
    <row r="7" spans="1:5" x14ac:dyDescent="0.2">
      <c r="A7" s="1">
        <v>300</v>
      </c>
    </row>
    <row r="8" spans="1:5" x14ac:dyDescent="0.2">
      <c r="A8" s="1">
        <v>350</v>
      </c>
    </row>
    <row r="9" spans="1:5" x14ac:dyDescent="0.2">
      <c r="A9" s="1">
        <v>400</v>
      </c>
    </row>
    <row r="10" spans="1:5" x14ac:dyDescent="0.2">
      <c r="A10" s="1">
        <v>450</v>
      </c>
    </row>
    <row r="11" spans="1:5" x14ac:dyDescent="0.2">
      <c r="A11" s="1">
        <v>500</v>
      </c>
    </row>
    <row r="12" spans="1:5" x14ac:dyDescent="0.2">
      <c r="A12" s="1">
        <v>550</v>
      </c>
    </row>
    <row r="13" spans="1:5" x14ac:dyDescent="0.2">
      <c r="A13" s="1">
        <v>600</v>
      </c>
    </row>
    <row r="14" spans="1:5" x14ac:dyDescent="0.2">
      <c r="A14" s="1">
        <v>650</v>
      </c>
    </row>
    <row r="15" spans="1:5" x14ac:dyDescent="0.2">
      <c r="A15" s="1">
        <v>700</v>
      </c>
    </row>
    <row r="16" spans="1:5" x14ac:dyDescent="0.2">
      <c r="A16" s="1">
        <v>750</v>
      </c>
    </row>
    <row r="17" spans="1:1" x14ac:dyDescent="0.2">
      <c r="A17" s="1">
        <v>800</v>
      </c>
    </row>
    <row r="18" spans="1:1" x14ac:dyDescent="0.2">
      <c r="A18" s="1">
        <v>850</v>
      </c>
    </row>
    <row r="19" spans="1:1" x14ac:dyDescent="0.2">
      <c r="A19" s="1">
        <v>900</v>
      </c>
    </row>
    <row r="20" spans="1:1" x14ac:dyDescent="0.2">
      <c r="A20" s="1">
        <v>950</v>
      </c>
    </row>
    <row r="21" spans="1:1" x14ac:dyDescent="0.2">
      <c r="A21" s="1">
        <v>1000</v>
      </c>
    </row>
    <row r="22" spans="1:1" x14ac:dyDescent="0.2">
      <c r="A22" s="1">
        <v>1050</v>
      </c>
    </row>
    <row r="23" spans="1:1" x14ac:dyDescent="0.2">
      <c r="A23" s="1">
        <v>1100</v>
      </c>
    </row>
    <row r="24" spans="1:1" x14ac:dyDescent="0.2">
      <c r="A24" s="1">
        <v>1150</v>
      </c>
    </row>
    <row r="25" spans="1:1" x14ac:dyDescent="0.2">
      <c r="A25" s="1">
        <v>1200</v>
      </c>
    </row>
    <row r="26" spans="1:1" x14ac:dyDescent="0.2">
      <c r="A26" s="1">
        <v>1250</v>
      </c>
    </row>
    <row r="27" spans="1:1" x14ac:dyDescent="0.2">
      <c r="A27" s="1">
        <v>1300</v>
      </c>
    </row>
    <row r="28" spans="1:1" x14ac:dyDescent="0.2">
      <c r="A28" s="1">
        <v>1350</v>
      </c>
    </row>
    <row r="29" spans="1:1" x14ac:dyDescent="0.2">
      <c r="A29" s="1">
        <v>1400</v>
      </c>
    </row>
    <row r="30" spans="1:1" x14ac:dyDescent="0.2">
      <c r="A30" s="1">
        <v>1450</v>
      </c>
    </row>
    <row r="31" spans="1:1" x14ac:dyDescent="0.2">
      <c r="A31" s="1">
        <v>1500</v>
      </c>
    </row>
    <row r="32" spans="1:1" x14ac:dyDescent="0.2">
      <c r="A32" s="1" t="s">
        <v>139</v>
      </c>
    </row>
    <row r="33" spans="1:1" x14ac:dyDescent="0.2">
      <c r="A33" s="1">
        <v>1550</v>
      </c>
    </row>
    <row r="34" spans="1:1" x14ac:dyDescent="0.2">
      <c r="A34" s="1">
        <v>1600</v>
      </c>
    </row>
    <row r="35" spans="1:1" x14ac:dyDescent="0.2">
      <c r="A35" s="1">
        <v>1650</v>
      </c>
    </row>
    <row r="36" spans="1:1" x14ac:dyDescent="0.2">
      <c r="A36" s="1">
        <v>1700</v>
      </c>
    </row>
    <row r="37" spans="1:1" x14ac:dyDescent="0.2">
      <c r="A37" s="1">
        <v>1750</v>
      </c>
    </row>
    <row r="38" spans="1:1" x14ac:dyDescent="0.2">
      <c r="A38" s="1">
        <v>1800</v>
      </c>
    </row>
    <row r="39" spans="1:1" x14ac:dyDescent="0.2">
      <c r="A39" s="1">
        <v>1850</v>
      </c>
    </row>
    <row r="40" spans="1:1" x14ac:dyDescent="0.2">
      <c r="A40" s="1">
        <v>1900</v>
      </c>
    </row>
    <row r="41" spans="1:1" x14ac:dyDescent="0.2">
      <c r="A41" s="1">
        <v>1950</v>
      </c>
    </row>
    <row r="42" spans="1:1" x14ac:dyDescent="0.2">
      <c r="A42" s="1">
        <v>2000</v>
      </c>
    </row>
    <row r="43" spans="1:1" x14ac:dyDescent="0.2">
      <c r="A43" s="1">
        <v>2050</v>
      </c>
    </row>
    <row r="44" spans="1:1" x14ac:dyDescent="0.2">
      <c r="A44" s="1">
        <v>2100</v>
      </c>
    </row>
    <row r="45" spans="1:1" x14ac:dyDescent="0.2">
      <c r="A45" s="1">
        <v>2150</v>
      </c>
    </row>
    <row r="46" spans="1:1" x14ac:dyDescent="0.2">
      <c r="A46" s="1">
        <v>2200</v>
      </c>
    </row>
    <row r="47" spans="1:1" x14ac:dyDescent="0.2">
      <c r="A47" s="1">
        <v>2250</v>
      </c>
    </row>
    <row r="48" spans="1:1" x14ac:dyDescent="0.2">
      <c r="A48" s="1">
        <v>2300</v>
      </c>
    </row>
    <row r="49" spans="1:1" x14ac:dyDescent="0.2">
      <c r="A49" s="1">
        <v>2350</v>
      </c>
    </row>
    <row r="50" spans="1:1" x14ac:dyDescent="0.2">
      <c r="A50" s="1">
        <v>2400</v>
      </c>
    </row>
    <row r="51" spans="1:1" x14ac:dyDescent="0.2">
      <c r="A51" s="1">
        <v>2450</v>
      </c>
    </row>
    <row r="52" spans="1:1" x14ac:dyDescent="0.2">
      <c r="A52" s="1">
        <v>2500</v>
      </c>
    </row>
    <row r="53" spans="1:1" x14ac:dyDescent="0.2">
      <c r="A53" s="1">
        <v>2550</v>
      </c>
    </row>
    <row r="54" spans="1:1" x14ac:dyDescent="0.2">
      <c r="A54" s="1">
        <v>2600</v>
      </c>
    </row>
    <row r="55" spans="1:1" x14ac:dyDescent="0.2">
      <c r="A55" s="1">
        <v>2650</v>
      </c>
    </row>
    <row r="56" spans="1:1" x14ac:dyDescent="0.2">
      <c r="A56" s="1">
        <v>2700</v>
      </c>
    </row>
    <row r="57" spans="1:1" x14ac:dyDescent="0.2">
      <c r="A57" s="1">
        <v>2750</v>
      </c>
    </row>
    <row r="58" spans="1:1" x14ac:dyDescent="0.2">
      <c r="A58" s="1">
        <v>2800</v>
      </c>
    </row>
    <row r="59" spans="1:1" x14ac:dyDescent="0.2">
      <c r="A59" s="1">
        <v>2850</v>
      </c>
    </row>
    <row r="60" spans="1:1" x14ac:dyDescent="0.2">
      <c r="A60" s="1">
        <v>2900</v>
      </c>
    </row>
    <row r="61" spans="1:1" x14ac:dyDescent="0.2">
      <c r="A61" s="1">
        <v>2950</v>
      </c>
    </row>
    <row r="62" spans="1:1" x14ac:dyDescent="0.2">
      <c r="A62" s="1">
        <v>3000</v>
      </c>
    </row>
    <row r="63" spans="1:1" x14ac:dyDescent="0.2">
      <c r="A63" s="4">
        <v>3200</v>
      </c>
    </row>
    <row r="64" spans="1:1" x14ac:dyDescent="0.2">
      <c r="A64" s="4">
        <v>3400</v>
      </c>
    </row>
    <row r="65" spans="1:1" x14ac:dyDescent="0.2">
      <c r="A65" s="4">
        <v>3500</v>
      </c>
    </row>
    <row r="66" spans="1:1" x14ac:dyDescent="0.2">
      <c r="A66" s="4">
        <v>3600</v>
      </c>
    </row>
    <row r="67" spans="1:1" x14ac:dyDescent="0.2">
      <c r="A67" s="4">
        <v>3800</v>
      </c>
    </row>
    <row r="68" spans="1:1" x14ac:dyDescent="0.2">
      <c r="A68" s="4">
        <v>4000</v>
      </c>
    </row>
    <row r="69" spans="1:1" x14ac:dyDescent="0.2">
      <c r="A69" s="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Plan Summary</vt:lpstr>
      <vt:lpstr>Interval Summary</vt:lpstr>
      <vt:lpstr>Scheduled Intervals</vt:lpstr>
      <vt:lpstr>Hours Per Job</vt:lpstr>
      <vt:lpstr>Parts Cost Per Job</vt:lpstr>
      <vt:lpstr>Total Cost Per Service)</vt:lpstr>
      <vt:lpstr>Included @ Interval</vt:lpstr>
      <vt:lpstr>Interval Reimb</vt:lpstr>
      <vt:lpstr>Total Cost for Plan</vt:lpstr>
      <vt:lpstr>Plan Set 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uiterwyk</cp:lastModifiedBy>
  <dcterms:created xsi:type="dcterms:W3CDTF">2025-03-26T21:06:05Z</dcterms:created>
  <dcterms:modified xsi:type="dcterms:W3CDTF">2025-04-08T11:33:03Z</dcterms:modified>
</cp:coreProperties>
</file>