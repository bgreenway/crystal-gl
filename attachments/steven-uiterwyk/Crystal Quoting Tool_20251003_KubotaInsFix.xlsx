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autoCompressPictures="0"/>
  <mc:AlternateContent xmlns:mc="http://schemas.openxmlformats.org/markup-compatibility/2006">
    <mc:Choice Requires="x15">
      <x15ac:absPath xmlns:x15ac="http://schemas.microsoft.com/office/spreadsheetml/2010/11/ac" url="/Users/stevenuiterwyk/Library/Mobile Documents/com~apple~CloudDocs/Documents/Crystal/"/>
    </mc:Choice>
  </mc:AlternateContent>
  <xr:revisionPtr revIDLastSave="0" documentId="8_{C33CB20D-0FCC-EA40-8435-4ACB2A275CF6}" xr6:coauthVersionLast="47" xr6:coauthVersionMax="47" xr10:uidLastSave="{00000000-0000-0000-0000-000000000000}"/>
  <bookViews>
    <workbookView xWindow="0" yWindow="760" windowWidth="30240" windowHeight="17200" tabRatio="731" firstSheet="6" activeTab="16" xr2:uid="{00000000-000D-0000-FFFF-FFFF00000000}"/>
  </bookViews>
  <sheets>
    <sheet name="Customer Input Screen" sheetId="17" r:id="rId1"/>
    <sheet name="Inventory Look UP" sheetId="12" r:id="rId2"/>
    <sheet name="Sales Input Sheet" sheetId="8" r:id="rId3"/>
    <sheet name="Costing Sheet" sheetId="24" r:id="rId4"/>
    <sheet name="Finance Manager Input Sheet" sheetId="18" r:id="rId5"/>
    <sheet name="Admin Input Sheet" sheetId="16" r:id="rId6"/>
    <sheet name="Rates for Quote" sheetId="9" r:id="rId7"/>
    <sheet name="Quote" sheetId="46" r:id="rId8"/>
    <sheet name="Additional Items" sheetId="43" r:id="rId9"/>
    <sheet name="Work a Quote" sheetId="36" r:id="rId10"/>
    <sheet name="Agreed Terms to Finance" sheetId="45" r:id="rId11"/>
    <sheet name="Pre-Invoice" sheetId="47" r:id="rId12"/>
    <sheet name="Invoice" sheetId="23" r:id="rId13"/>
    <sheet name="KUB INV" sheetId="50" r:id="rId14"/>
    <sheet name="Tax Exemption Form" sheetId="28" r:id="rId15"/>
    <sheet name="We Owe" sheetId="32" r:id="rId16"/>
    <sheet name="Finance Menu" sheetId="39" r:id="rId17"/>
    <sheet name="Finance Declination" sheetId="41" r:id="rId18"/>
    <sheet name="Delayed Payment Agmt" sheetId="51" r:id="rId19"/>
    <sheet name="Recap" sheetId="49" r:id="rId20"/>
    <sheet name="Extra Cells Not used" sheetId="37" r:id="rId21"/>
    <sheet name="Customer List" sheetId="35" r:id="rId22"/>
    <sheet name="Calculations" sheetId="15" r:id="rId23"/>
    <sheet name="Descriptions" sheetId="10" r:id="rId24"/>
    <sheet name="Sales People" sheetId="4" r:id="rId25"/>
    <sheet name="Brands" sheetId="2" r:id="rId26"/>
    <sheet name="Inventory Data" sheetId="3" r:id="rId27"/>
    <sheet name="States" sheetId="11" r:id="rId28"/>
    <sheet name="FlSalesSurtaxRates" sheetId="5" r:id="rId29"/>
    <sheet name="GA DISC TAX" sheetId="6" r:id="rId30"/>
    <sheet name="Store LOCATIONS" sheetId="7" r:id="rId31"/>
    <sheet name="Tax Exemption Cert table" sheetId="31" r:id="rId32"/>
    <sheet name="Lender List" sheetId="40" r:id="rId33"/>
    <sheet name="End User " sheetId="48" r:id="rId34"/>
  </sheets>
  <definedNames>
    <definedName name="_xlnm.Print_Area" localSheetId="8">'Additional Items'!$A$2:$U$55</definedName>
    <definedName name="_xlnm.Print_Area" localSheetId="10">'Agreed Terms to Finance'!$A$1:$V$116</definedName>
    <definedName name="_xlnm.Print_Area" localSheetId="18">'Delayed Payment Agmt'!$A$1:$Z$29</definedName>
    <definedName name="_xlnm.Print_Area" localSheetId="17">'Finance Declination'!$A$1:$Z$53</definedName>
    <definedName name="_xlnm.Print_Area" localSheetId="16">'Finance Menu'!$A$1:$Y$68</definedName>
    <definedName name="_xlnm.Print_Area" localSheetId="12">Invoice!$A$2:$V$111</definedName>
    <definedName name="_xlnm.Print_Area" localSheetId="13">'KUB INV'!$A$2:$V$111</definedName>
    <definedName name="_xlnm.Print_Area" localSheetId="11">'Pre-Invoice'!$A$2:$V$113</definedName>
    <definedName name="_xlnm.Print_Area" localSheetId="7">Quote!$A$1:$V$124</definedName>
    <definedName name="_xlnm.Print_Area" localSheetId="19">Recap!$A$1:$S$177</definedName>
    <definedName name="_xlnm.Print_Area" localSheetId="14">'Tax Exemption Form'!$A$1:$U$42</definedName>
    <definedName name="_xlnm.Print_Area" localSheetId="15">'We Owe'!$A$1:$T$62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6" i="15" l="1"/>
  <c r="B25" i="39" s="1"/>
  <c r="E25" i="39" s="1"/>
  <c r="B723" i="15"/>
  <c r="C24" i="41" s="1"/>
  <c r="B722" i="15"/>
  <c r="Q38" i="41" s="1"/>
  <c r="S13" i="23" l="1"/>
  <c r="B420" i="15"/>
  <c r="B419" i="15"/>
  <c r="B418" i="15"/>
  <c r="B650" i="15"/>
  <c r="B417" i="15"/>
  <c r="B421" i="15" s="1"/>
  <c r="B77" i="45"/>
  <c r="B415" i="15"/>
  <c r="B515" i="15"/>
  <c r="L62" i="49" l="1"/>
  <c r="L60" i="49"/>
  <c r="L58" i="49"/>
  <c r="L56" i="49"/>
  <c r="L54" i="49"/>
  <c r="R43" i="49"/>
  <c r="R39" i="49"/>
  <c r="R35" i="49"/>
  <c r="R31" i="49"/>
  <c r="R27" i="49"/>
  <c r="R23" i="49"/>
  <c r="R19" i="49"/>
  <c r="R15" i="49"/>
  <c r="R11" i="49"/>
  <c r="R7" i="49"/>
  <c r="E23" i="51"/>
  <c r="V12" i="51"/>
  <c r="B27" i="51"/>
  <c r="V11" i="51"/>
  <c r="D11" i="51"/>
  <c r="L9" i="51"/>
  <c r="E55" i="32"/>
  <c r="E53" i="32"/>
  <c r="E51" i="32"/>
  <c r="E49" i="32"/>
  <c r="F100" i="50" l="1"/>
  <c r="F99" i="50"/>
  <c r="F98" i="50"/>
  <c r="F97" i="50"/>
  <c r="F96" i="50"/>
  <c r="F95" i="50"/>
  <c r="F94" i="50"/>
  <c r="F93" i="50"/>
  <c r="F92" i="50"/>
  <c r="B100" i="50"/>
  <c r="B99" i="50"/>
  <c r="B98" i="50"/>
  <c r="B97" i="50"/>
  <c r="B96" i="50"/>
  <c r="B95" i="50"/>
  <c r="B94" i="50"/>
  <c r="B93" i="50"/>
  <c r="B92" i="50"/>
  <c r="Q108" i="50"/>
  <c r="B108" i="50"/>
  <c r="F101" i="50"/>
  <c r="B101" i="50"/>
  <c r="U94" i="50"/>
  <c r="L90" i="50"/>
  <c r="U89" i="50"/>
  <c r="L89" i="50"/>
  <c r="Q88" i="50"/>
  <c r="Q87" i="50"/>
  <c r="Q83" i="50"/>
  <c r="O83" i="50"/>
  <c r="F83" i="50"/>
  <c r="C83" i="50"/>
  <c r="S82" i="50"/>
  <c r="S81" i="50"/>
  <c r="Q80" i="50"/>
  <c r="S78" i="50"/>
  <c r="Q78" i="50"/>
  <c r="U73" i="50"/>
  <c r="S73" i="50"/>
  <c r="Q73" i="50"/>
  <c r="O73" i="50"/>
  <c r="L73" i="50"/>
  <c r="I73" i="50"/>
  <c r="U72" i="50"/>
  <c r="S72" i="50"/>
  <c r="Q72" i="50"/>
  <c r="O72" i="50"/>
  <c r="L72" i="50"/>
  <c r="I72" i="50"/>
  <c r="U71" i="50"/>
  <c r="S71" i="50"/>
  <c r="Q71" i="50"/>
  <c r="O71" i="50"/>
  <c r="L71" i="50"/>
  <c r="I71" i="50"/>
  <c r="U70" i="50"/>
  <c r="S70" i="50"/>
  <c r="Q70" i="50"/>
  <c r="O70" i="50"/>
  <c r="L70" i="50"/>
  <c r="I70" i="50"/>
  <c r="U69" i="50"/>
  <c r="S69" i="50"/>
  <c r="Q69" i="50"/>
  <c r="O69" i="50"/>
  <c r="L69" i="50"/>
  <c r="I69" i="50"/>
  <c r="C63" i="50"/>
  <c r="J62" i="50"/>
  <c r="U60" i="50"/>
  <c r="S60" i="50"/>
  <c r="Q60" i="50"/>
  <c r="C60" i="50"/>
  <c r="J58" i="50"/>
  <c r="J57" i="50"/>
  <c r="U56" i="50"/>
  <c r="S56" i="50"/>
  <c r="Q56" i="50"/>
  <c r="C56" i="50"/>
  <c r="J54" i="50"/>
  <c r="U52" i="50"/>
  <c r="S52" i="50"/>
  <c r="Q52" i="50"/>
  <c r="L52" i="50"/>
  <c r="C52" i="50"/>
  <c r="J50" i="50"/>
  <c r="U48" i="50"/>
  <c r="S48" i="50"/>
  <c r="Q48" i="50"/>
  <c r="C48" i="50"/>
  <c r="J46" i="50"/>
  <c r="U44" i="50"/>
  <c r="S44" i="50"/>
  <c r="Q44" i="50"/>
  <c r="O44" i="50"/>
  <c r="C44" i="50"/>
  <c r="J42" i="50"/>
  <c r="U40" i="50"/>
  <c r="S40" i="50"/>
  <c r="Q40" i="50"/>
  <c r="C40" i="50"/>
  <c r="J38" i="50"/>
  <c r="U36" i="50"/>
  <c r="S36" i="50"/>
  <c r="Q36" i="50"/>
  <c r="C36" i="50"/>
  <c r="J34" i="50"/>
  <c r="J33" i="50"/>
  <c r="U32" i="50"/>
  <c r="S32" i="50"/>
  <c r="Q32" i="50"/>
  <c r="O32" i="50"/>
  <c r="L32" i="50"/>
  <c r="C32" i="50"/>
  <c r="J30" i="50"/>
  <c r="J29" i="50"/>
  <c r="U28" i="50"/>
  <c r="S28" i="50"/>
  <c r="Q28" i="50"/>
  <c r="C28" i="50"/>
  <c r="S24" i="50"/>
  <c r="C24" i="50"/>
  <c r="O17" i="50"/>
  <c r="S15" i="50"/>
  <c r="S13" i="50"/>
  <c r="O13" i="50"/>
  <c r="S12" i="50"/>
  <c r="S11" i="50"/>
  <c r="K10" i="50"/>
  <c r="Q5" i="50"/>
  <c r="J78" i="50" s="1"/>
  <c r="U11" i="24"/>
  <c r="B23" i="41" s="1"/>
  <c r="B51" i="41"/>
  <c r="B66" i="39"/>
  <c r="R9" i="32"/>
  <c r="B721" i="15"/>
  <c r="B720" i="15"/>
  <c r="B719" i="15"/>
  <c r="B718" i="15"/>
  <c r="B717" i="15"/>
  <c r="B716" i="15"/>
  <c r="B715" i="15"/>
  <c r="B714" i="15"/>
  <c r="B713" i="15"/>
  <c r="B712" i="15"/>
  <c r="B711" i="15"/>
  <c r="B710" i="15"/>
  <c r="B709" i="15"/>
  <c r="B708" i="15"/>
  <c r="B707" i="15"/>
  <c r="B706" i="15"/>
  <c r="B705" i="15"/>
  <c r="B704" i="15"/>
  <c r="B703" i="15"/>
  <c r="B702" i="15"/>
  <c r="B701" i="15"/>
  <c r="B700" i="15"/>
  <c r="B699" i="15"/>
  <c r="B698" i="15"/>
  <c r="B697" i="15"/>
  <c r="B696" i="15"/>
  <c r="B695" i="15"/>
  <c r="B694" i="15"/>
  <c r="B693" i="15"/>
  <c r="B692" i="15"/>
  <c r="B691" i="15"/>
  <c r="B690" i="15"/>
  <c r="B689" i="15"/>
  <c r="B688" i="15"/>
  <c r="B687" i="15"/>
  <c r="B686" i="15"/>
  <c r="B685" i="15"/>
  <c r="B684" i="15"/>
  <c r="B683" i="15"/>
  <c r="B682" i="15"/>
  <c r="S69" i="23" s="1"/>
  <c r="B681" i="15"/>
  <c r="B680" i="15"/>
  <c r="B679" i="15"/>
  <c r="B678" i="15"/>
  <c r="B675" i="15"/>
  <c r="B672" i="15"/>
  <c r="P81" i="49" s="1"/>
  <c r="B669" i="15"/>
  <c r="B666" i="15"/>
  <c r="S51" i="24" s="1"/>
  <c r="B665" i="15"/>
  <c r="B664" i="15"/>
  <c r="B663" i="15"/>
  <c r="B662" i="15"/>
  <c r="B661" i="15"/>
  <c r="B660" i="15"/>
  <c r="B659" i="15"/>
  <c r="B658" i="15"/>
  <c r="B657" i="15"/>
  <c r="B656" i="15"/>
  <c r="B653" i="15"/>
  <c r="O100" i="23" s="1"/>
  <c r="B652" i="15"/>
  <c r="B227" i="15" s="1"/>
  <c r="B649" i="15"/>
  <c r="B648" i="15"/>
  <c r="B647" i="15"/>
  <c r="B646" i="15"/>
  <c r="B645" i="15"/>
  <c r="B111" i="46" s="1"/>
  <c r="B644" i="15"/>
  <c r="B95" i="47" s="1"/>
  <c r="B643" i="15"/>
  <c r="B101" i="45" s="1"/>
  <c r="B642" i="15"/>
  <c r="B93" i="23" s="1"/>
  <c r="B641" i="15"/>
  <c r="B92" i="47" s="1"/>
  <c r="B640" i="15"/>
  <c r="B91" i="23" s="1"/>
  <c r="B638" i="15"/>
  <c r="B637" i="15" s="1"/>
  <c r="C44" i="32" s="1"/>
  <c r="B627" i="15"/>
  <c r="B626" i="15"/>
  <c r="B625" i="15"/>
  <c r="B624" i="15"/>
  <c r="B623" i="15"/>
  <c r="B622" i="15"/>
  <c r="B621" i="15"/>
  <c r="B620" i="15"/>
  <c r="B619" i="15"/>
  <c r="B618" i="15"/>
  <c r="B614" i="15"/>
  <c r="B49" i="41" s="1"/>
  <c r="A613" i="15"/>
  <c r="A612" i="15"/>
  <c r="A611" i="15"/>
  <c r="A610" i="15"/>
  <c r="B594" i="15"/>
  <c r="B593" i="15"/>
  <c r="B587" i="15"/>
  <c r="N61" i="49" s="1"/>
  <c r="B586" i="15"/>
  <c r="B585" i="15"/>
  <c r="N57" i="49" s="1"/>
  <c r="B584" i="15"/>
  <c r="B583" i="15"/>
  <c r="N53" i="49" s="1"/>
  <c r="B571" i="15"/>
  <c r="Q10" i="45" s="1"/>
  <c r="J83" i="45" s="1"/>
  <c r="B570" i="15"/>
  <c r="R5" i="28" s="1"/>
  <c r="B569" i="15"/>
  <c r="Q4" i="50" s="1"/>
  <c r="J77" i="50" s="1"/>
  <c r="B568" i="15"/>
  <c r="I2" i="43" s="1"/>
  <c r="B560" i="15"/>
  <c r="B559" i="15"/>
  <c r="B558" i="15"/>
  <c r="B557" i="15"/>
  <c r="B556" i="15"/>
  <c r="B555" i="15"/>
  <c r="B554" i="15"/>
  <c r="B553" i="15"/>
  <c r="B552" i="15"/>
  <c r="B551" i="15"/>
  <c r="B550" i="15"/>
  <c r="B549" i="15"/>
  <c r="B548" i="15"/>
  <c r="B547" i="15"/>
  <c r="B546" i="15"/>
  <c r="B540" i="15"/>
  <c r="B539" i="15"/>
  <c r="B538" i="15"/>
  <c r="B537" i="15"/>
  <c r="B536" i="15"/>
  <c r="D53" i="49" s="1"/>
  <c r="B535" i="15"/>
  <c r="U60" i="23" s="1"/>
  <c r="B534" i="15"/>
  <c r="B533" i="15"/>
  <c r="M29" i="24" s="1"/>
  <c r="B532" i="15"/>
  <c r="B531" i="15"/>
  <c r="B530" i="15"/>
  <c r="B529" i="15"/>
  <c r="B528" i="15"/>
  <c r="B527" i="15"/>
  <c r="U28" i="23" s="1"/>
  <c r="B526" i="15"/>
  <c r="U24" i="47" s="1"/>
  <c r="B514" i="15"/>
  <c r="Q67" i="46" s="1"/>
  <c r="B513" i="15"/>
  <c r="B512" i="15"/>
  <c r="B511" i="15"/>
  <c r="B510" i="15"/>
  <c r="B509" i="15"/>
  <c r="B508" i="15"/>
  <c r="B507" i="15"/>
  <c r="B506" i="15"/>
  <c r="L68" i="23" s="1"/>
  <c r="B505" i="15"/>
  <c r="B504" i="15"/>
  <c r="I67" i="46" s="1"/>
  <c r="B503" i="15"/>
  <c r="B502" i="15"/>
  <c r="O68" i="47" s="1"/>
  <c r="B501" i="15"/>
  <c r="B500" i="15"/>
  <c r="U68" i="47" s="1"/>
  <c r="B499" i="15"/>
  <c r="S68" i="46" s="1"/>
  <c r="B498" i="15"/>
  <c r="S68" i="47" s="1"/>
  <c r="B497" i="15"/>
  <c r="B496" i="15"/>
  <c r="B495" i="15"/>
  <c r="B494" i="15"/>
  <c r="B493" i="15"/>
  <c r="B492" i="15"/>
  <c r="B491" i="15"/>
  <c r="F40" i="43" s="1"/>
  <c r="B490" i="15"/>
  <c r="B489" i="15"/>
  <c r="B488" i="15"/>
  <c r="B487" i="15"/>
  <c r="B486" i="15"/>
  <c r="B485" i="15"/>
  <c r="B484" i="15"/>
  <c r="B483" i="15"/>
  <c r="B482" i="15"/>
  <c r="B481" i="15"/>
  <c r="I40" i="43" s="1"/>
  <c r="G480" i="15"/>
  <c r="B480" i="15"/>
  <c r="G479" i="15"/>
  <c r="B479" i="15"/>
  <c r="G478" i="15"/>
  <c r="B478" i="15"/>
  <c r="B477" i="15"/>
  <c r="G476" i="15"/>
  <c r="B476" i="15"/>
  <c r="B475" i="15"/>
  <c r="B474" i="15"/>
  <c r="B473" i="15"/>
  <c r="B472" i="15"/>
  <c r="B471" i="15"/>
  <c r="B470" i="15"/>
  <c r="B469" i="15"/>
  <c r="B468" i="15"/>
  <c r="B467" i="15"/>
  <c r="B466" i="15"/>
  <c r="I18" i="43" s="1"/>
  <c r="B465" i="15"/>
  <c r="B464" i="15"/>
  <c r="B463" i="15"/>
  <c r="B462" i="15"/>
  <c r="B461" i="15"/>
  <c r="B460" i="15"/>
  <c r="B459" i="15"/>
  <c r="B458" i="15"/>
  <c r="B457" i="15"/>
  <c r="B456" i="15"/>
  <c r="B455" i="15"/>
  <c r="B454" i="15"/>
  <c r="B453" i="15"/>
  <c r="B452" i="15"/>
  <c r="B451" i="15"/>
  <c r="B439" i="15"/>
  <c r="L101" i="50" s="1"/>
  <c r="B654" i="15"/>
  <c r="L115" i="49" s="1"/>
  <c r="B409" i="15"/>
  <c r="B403" i="15"/>
  <c r="O89" i="23" s="1"/>
  <c r="B402" i="15"/>
  <c r="B398" i="15"/>
  <c r="D398" i="15" s="1"/>
  <c r="B397" i="15"/>
  <c r="B396" i="15"/>
  <c r="B395" i="15"/>
  <c r="D395" i="15" s="1"/>
  <c r="B394" i="15"/>
  <c r="D394" i="15" s="1"/>
  <c r="B393" i="15"/>
  <c r="B392" i="15"/>
  <c r="B391" i="15"/>
  <c r="D391" i="15" s="1"/>
  <c r="B390" i="15"/>
  <c r="D390" i="15" s="1"/>
  <c r="B388" i="15"/>
  <c r="B384" i="15"/>
  <c r="B78" i="45" s="1"/>
  <c r="B358" i="15"/>
  <c r="D358" i="15" s="1"/>
  <c r="B357" i="15"/>
  <c r="D357" i="15" s="1"/>
  <c r="B356" i="15"/>
  <c r="D356" i="15" s="1"/>
  <c r="B355" i="15"/>
  <c r="D355" i="15" s="1"/>
  <c r="B354" i="15"/>
  <c r="D354" i="15" s="1"/>
  <c r="B353" i="15"/>
  <c r="D353" i="15" s="1"/>
  <c r="B352" i="15"/>
  <c r="D352" i="15" s="1"/>
  <c r="B351" i="15"/>
  <c r="D351" i="15" s="1"/>
  <c r="B348" i="15"/>
  <c r="D348" i="15" s="1"/>
  <c r="B347" i="15"/>
  <c r="D347" i="15" s="1"/>
  <c r="B346" i="15"/>
  <c r="D346" i="15" s="1"/>
  <c r="B345" i="15"/>
  <c r="D345" i="15" s="1"/>
  <c r="B344" i="15"/>
  <c r="D344" i="15" s="1"/>
  <c r="B343" i="15"/>
  <c r="D343" i="15" s="1"/>
  <c r="B342" i="15"/>
  <c r="D342" i="15" s="1"/>
  <c r="B341" i="15"/>
  <c r="D341" i="15" s="1"/>
  <c r="B324" i="15"/>
  <c r="D26" i="36" s="1"/>
  <c r="B323" i="15"/>
  <c r="B318" i="15"/>
  <c r="B317" i="15"/>
  <c r="B316" i="15"/>
  <c r="M19" i="51" s="1"/>
  <c r="B315" i="15"/>
  <c r="L92" i="45" s="1"/>
  <c r="B308" i="15"/>
  <c r="B307" i="15"/>
  <c r="B306" i="15"/>
  <c r="B386" i="15"/>
  <c r="D386" i="15"/>
  <c r="B305" i="15"/>
  <c r="B385" i="15" s="1"/>
  <c r="U99" i="46" s="1"/>
  <c r="B251" i="15"/>
  <c r="B250" i="15"/>
  <c r="B249" i="15"/>
  <c r="B248" i="15"/>
  <c r="B522" i="15" s="1"/>
  <c r="P110" i="49" s="1"/>
  <c r="B247" i="15"/>
  <c r="B246" i="15"/>
  <c r="B245" i="15"/>
  <c r="B244" i="15"/>
  <c r="B243" i="15"/>
  <c r="B242" i="15"/>
  <c r="B241" i="15"/>
  <c r="B525" i="15"/>
  <c r="P113" i="49"/>
  <c r="B240" i="15"/>
  <c r="B524" i="15" s="1"/>
  <c r="P112" i="49" s="1"/>
  <c r="B239" i="15"/>
  <c r="B523" i="15" s="1"/>
  <c r="P111" i="49" s="1"/>
  <c r="B238" i="15"/>
  <c r="B237" i="15"/>
  <c r="B236" i="15"/>
  <c r="B520" i="15" s="1"/>
  <c r="P108" i="49" s="1"/>
  <c r="B235" i="15"/>
  <c r="B519" i="15" s="1"/>
  <c r="P107" i="49" s="1"/>
  <c r="B234" i="15"/>
  <c r="B518" i="15" s="1"/>
  <c r="P106" i="49" s="1"/>
  <c r="B233" i="15"/>
  <c r="B517" i="15" s="1"/>
  <c r="P105" i="49" s="1"/>
  <c r="B232" i="15"/>
  <c r="F91" i="47" s="1"/>
  <c r="B200" i="15"/>
  <c r="J95" i="49" s="1"/>
  <c r="B199" i="15"/>
  <c r="B198" i="15"/>
  <c r="C50" i="32" s="1"/>
  <c r="B197" i="15"/>
  <c r="C48" i="32" s="1"/>
  <c r="B196" i="15"/>
  <c r="J91" i="49" s="1"/>
  <c r="B195" i="15"/>
  <c r="P95" i="49" s="1"/>
  <c r="B194" i="15"/>
  <c r="B193" i="15"/>
  <c r="P93" i="49" s="1"/>
  <c r="B192" i="15"/>
  <c r="B191" i="15"/>
  <c r="P91" i="49" s="1"/>
  <c r="B186" i="15"/>
  <c r="B185" i="15"/>
  <c r="P77" i="49" s="1"/>
  <c r="B184" i="15"/>
  <c r="B314" i="15" s="1"/>
  <c r="B183" i="15"/>
  <c r="B182" i="15"/>
  <c r="B181" i="15"/>
  <c r="B177" i="15"/>
  <c r="B176" i="15"/>
  <c r="B175" i="15"/>
  <c r="B174" i="15"/>
  <c r="B173" i="15"/>
  <c r="B544" i="15" s="1"/>
  <c r="U49" i="43" s="1"/>
  <c r="B169" i="15"/>
  <c r="B168" i="15"/>
  <c r="B167" i="15"/>
  <c r="B166" i="15"/>
  <c r="B543" i="15" s="1"/>
  <c r="L68" i="49" s="1"/>
  <c r="B165" i="15"/>
  <c r="B161" i="15"/>
  <c r="B160" i="15"/>
  <c r="B159" i="15"/>
  <c r="B158" i="15"/>
  <c r="B157" i="15"/>
  <c r="B153" i="15"/>
  <c r="B152" i="15"/>
  <c r="B151" i="15"/>
  <c r="B150" i="15"/>
  <c r="B149" i="15"/>
  <c r="B145" i="15"/>
  <c r="J41" i="43" s="1"/>
  <c r="B142" i="15"/>
  <c r="B141" i="15"/>
  <c r="J36" i="43" s="1"/>
  <c r="B138" i="15"/>
  <c r="B137" i="15"/>
  <c r="J32" i="43" s="1"/>
  <c r="B134" i="15"/>
  <c r="B133" i="15"/>
  <c r="J28" i="43" s="1"/>
  <c r="B130" i="15"/>
  <c r="S35" i="24" s="1"/>
  <c r="B129" i="15"/>
  <c r="B126" i="15"/>
  <c r="S34" i="24" s="1"/>
  <c r="B125" i="15"/>
  <c r="J20" i="43" s="1"/>
  <c r="B121" i="15"/>
  <c r="B120" i="15"/>
  <c r="B119" i="15"/>
  <c r="B122" i="15" s="1"/>
  <c r="S31" i="24" s="1"/>
  <c r="B118" i="15"/>
  <c r="B117" i="15"/>
  <c r="J61" i="23" s="1"/>
  <c r="B116" i="15"/>
  <c r="O60" i="50" s="1"/>
  <c r="B115" i="15"/>
  <c r="L60" i="50" s="1"/>
  <c r="B113" i="15"/>
  <c r="B114" i="15" s="1"/>
  <c r="B109" i="15"/>
  <c r="B108" i="15"/>
  <c r="B107" i="15"/>
  <c r="B110" i="15"/>
  <c r="S30" i="24" s="1"/>
  <c r="B106" i="15"/>
  <c r="B105" i="15"/>
  <c r="B104" i="15"/>
  <c r="O56" i="50" s="1"/>
  <c r="B103" i="15"/>
  <c r="L56" i="50" s="1"/>
  <c r="B101" i="15"/>
  <c r="B102" i="15"/>
  <c r="I56" i="50" s="1"/>
  <c r="B97" i="15"/>
  <c r="B96" i="15"/>
  <c r="B95" i="15"/>
  <c r="B98" i="15" s="1"/>
  <c r="S29" i="24" s="1"/>
  <c r="B94" i="15"/>
  <c r="B93" i="15"/>
  <c r="J53" i="50" s="1"/>
  <c r="B92" i="15"/>
  <c r="O51" i="45" s="1"/>
  <c r="B91" i="15"/>
  <c r="B89" i="15"/>
  <c r="B90" i="15" s="1"/>
  <c r="B85" i="15"/>
  <c r="B84" i="15"/>
  <c r="B83" i="15"/>
  <c r="F30" i="49" s="1"/>
  <c r="B86" i="15"/>
  <c r="S28" i="24" s="1"/>
  <c r="B82" i="15"/>
  <c r="B81" i="15"/>
  <c r="J49" i="50" s="1"/>
  <c r="B80" i="15"/>
  <c r="O48" i="50" s="1"/>
  <c r="B79" i="15"/>
  <c r="L48" i="50" s="1"/>
  <c r="B77" i="15"/>
  <c r="B78" i="15"/>
  <c r="I48" i="50" s="1"/>
  <c r="I47" i="46"/>
  <c r="B73" i="15"/>
  <c r="B72" i="15"/>
  <c r="B71" i="15"/>
  <c r="B74" i="15"/>
  <c r="S27" i="24"/>
  <c r="B70" i="15"/>
  <c r="B69" i="15"/>
  <c r="J44" i="46" s="1"/>
  <c r="B68" i="15"/>
  <c r="O43" i="45" s="1"/>
  <c r="B67" i="15"/>
  <c r="L44" i="23" s="1"/>
  <c r="B65" i="15"/>
  <c r="B66" i="15"/>
  <c r="I44" i="50" s="1"/>
  <c r="I44" i="47"/>
  <c r="B61" i="15"/>
  <c r="B60" i="15"/>
  <c r="B59" i="15"/>
  <c r="B62" i="15" s="1"/>
  <c r="B58" i="15"/>
  <c r="B57" i="15"/>
  <c r="J41" i="50" s="1"/>
  <c r="B56" i="15"/>
  <c r="O40" i="50" s="1"/>
  <c r="B55" i="15"/>
  <c r="L40" i="50" s="1"/>
  <c r="B53" i="15"/>
  <c r="B54" i="15" s="1"/>
  <c r="B49" i="15"/>
  <c r="B48" i="15"/>
  <c r="B47" i="15"/>
  <c r="F18" i="49" s="1"/>
  <c r="B46" i="15"/>
  <c r="B45" i="15"/>
  <c r="J37" i="50" s="1"/>
  <c r="B44" i="15"/>
  <c r="B19" i="49" s="1"/>
  <c r="B43" i="15"/>
  <c r="L36" i="23" s="1"/>
  <c r="B41" i="15"/>
  <c r="B42" i="15"/>
  <c r="I36" i="47" s="1"/>
  <c r="B37" i="15"/>
  <c r="B36" i="15"/>
  <c r="B35" i="15"/>
  <c r="B38" i="15"/>
  <c r="S24" i="24" s="1"/>
  <c r="B34" i="15"/>
  <c r="B33" i="15"/>
  <c r="B32" i="15"/>
  <c r="O31" i="45" s="1"/>
  <c r="B31" i="15"/>
  <c r="B29" i="15"/>
  <c r="B30" i="15" s="1"/>
  <c r="B25" i="15"/>
  <c r="B24" i="15"/>
  <c r="B23" i="15"/>
  <c r="F10" i="49" s="1"/>
  <c r="B22" i="15"/>
  <c r="B21" i="15"/>
  <c r="B20" i="15"/>
  <c r="O28" i="50" s="1"/>
  <c r="B19" i="15"/>
  <c r="L28" i="50" s="1"/>
  <c r="B17" i="15"/>
  <c r="B18" i="15"/>
  <c r="I28" i="50" s="1"/>
  <c r="B13" i="15"/>
  <c r="B12" i="15"/>
  <c r="J26" i="47" s="1"/>
  <c r="B11" i="15"/>
  <c r="F6" i="49" s="1"/>
  <c r="B10" i="15"/>
  <c r="B9" i="15"/>
  <c r="J25" i="47" s="1"/>
  <c r="B8" i="15"/>
  <c r="O24" i="23" s="1"/>
  <c r="B7" i="15"/>
  <c r="L24" i="23" s="1"/>
  <c r="B5" i="15"/>
  <c r="B6" i="15" s="1"/>
  <c r="B4" i="15"/>
  <c r="I9" i="24" s="1"/>
  <c r="P153" i="49" s="1"/>
  <c r="B2" i="15"/>
  <c r="D48" i="37"/>
  <c r="B48" i="37"/>
  <c r="A48" i="37"/>
  <c r="D47" i="37"/>
  <c r="B47" i="37"/>
  <c r="A47" i="37"/>
  <c r="D46" i="37"/>
  <c r="B46" i="37"/>
  <c r="A46" i="37"/>
  <c r="B33" i="37"/>
  <c r="B32" i="37"/>
  <c r="B31" i="37"/>
  <c r="N166" i="49"/>
  <c r="D163" i="49"/>
  <c r="D162" i="49"/>
  <c r="N161" i="49"/>
  <c r="H161" i="49"/>
  <c r="H160" i="49"/>
  <c r="K159" i="49"/>
  <c r="K158" i="49"/>
  <c r="K157" i="49"/>
  <c r="J156" i="49"/>
  <c r="P175" i="49" s="1"/>
  <c r="J155" i="49"/>
  <c r="L153" i="49"/>
  <c r="D153" i="49"/>
  <c r="P152" i="49"/>
  <c r="N151" i="49"/>
  <c r="D151" i="49"/>
  <c r="N150" i="49"/>
  <c r="D150" i="49"/>
  <c r="D73" i="49" s="1"/>
  <c r="N149" i="49"/>
  <c r="N146" i="49"/>
  <c r="H146" i="49"/>
  <c r="D146" i="49"/>
  <c r="N145" i="49"/>
  <c r="H145" i="49"/>
  <c r="D145" i="49"/>
  <c r="N144" i="49"/>
  <c r="H144" i="49"/>
  <c r="D144" i="49"/>
  <c r="N143" i="49"/>
  <c r="H143" i="49"/>
  <c r="D143" i="49"/>
  <c r="N142" i="49"/>
  <c r="H142" i="49"/>
  <c r="D142" i="49"/>
  <c r="N141" i="49"/>
  <c r="H141" i="49"/>
  <c r="D141" i="49"/>
  <c r="N140" i="49"/>
  <c r="H140" i="49"/>
  <c r="D140" i="49"/>
  <c r="N139" i="49"/>
  <c r="H139" i="49"/>
  <c r="D139" i="49"/>
  <c r="N138" i="49"/>
  <c r="H138" i="49"/>
  <c r="D138" i="49"/>
  <c r="N137" i="49"/>
  <c r="H137" i="49"/>
  <c r="D137" i="49"/>
  <c r="N136" i="49"/>
  <c r="H136" i="49"/>
  <c r="D136" i="49"/>
  <c r="N135" i="49"/>
  <c r="H135" i="49"/>
  <c r="D135" i="49"/>
  <c r="N134" i="49"/>
  <c r="H134" i="49"/>
  <c r="D134" i="49"/>
  <c r="N133" i="49"/>
  <c r="H133" i="49"/>
  <c r="D133" i="49"/>
  <c r="N132" i="49"/>
  <c r="H132" i="49"/>
  <c r="D132" i="49"/>
  <c r="F123" i="49"/>
  <c r="D123" i="49"/>
  <c r="F122" i="49"/>
  <c r="D122" i="49"/>
  <c r="F121" i="49"/>
  <c r="D121" i="49"/>
  <c r="P119" i="49"/>
  <c r="J115" i="49"/>
  <c r="B115" i="49"/>
  <c r="L113" i="49"/>
  <c r="J113" i="49"/>
  <c r="F113" i="49"/>
  <c r="B113" i="49"/>
  <c r="L112" i="49"/>
  <c r="J112" i="49"/>
  <c r="F112" i="49"/>
  <c r="B112" i="49"/>
  <c r="L111" i="49"/>
  <c r="J111" i="49"/>
  <c r="F111" i="49"/>
  <c r="B111" i="49"/>
  <c r="L110" i="49"/>
  <c r="J110" i="49"/>
  <c r="F110" i="49"/>
  <c r="B110" i="49"/>
  <c r="L109" i="49"/>
  <c r="J109" i="49"/>
  <c r="F109" i="49"/>
  <c r="B109" i="49"/>
  <c r="L108" i="49"/>
  <c r="J108" i="49"/>
  <c r="F108" i="49"/>
  <c r="B108" i="49"/>
  <c r="L107" i="49"/>
  <c r="J107" i="49"/>
  <c r="F107" i="49"/>
  <c r="B107" i="49"/>
  <c r="L106" i="49"/>
  <c r="J106" i="49"/>
  <c r="F106" i="49"/>
  <c r="B106" i="49"/>
  <c r="L105" i="49"/>
  <c r="J105" i="49"/>
  <c r="F105" i="49"/>
  <c r="B105" i="49"/>
  <c r="L104" i="49"/>
  <c r="J104" i="49"/>
  <c r="F104" i="49"/>
  <c r="B104" i="49"/>
  <c r="N101" i="49"/>
  <c r="B101" i="49"/>
  <c r="N100" i="49"/>
  <c r="B100" i="49"/>
  <c r="N99" i="49"/>
  <c r="B99" i="49"/>
  <c r="F95" i="49"/>
  <c r="B95" i="49"/>
  <c r="P94" i="49"/>
  <c r="J94" i="49"/>
  <c r="F94" i="49"/>
  <c r="B94" i="49"/>
  <c r="F93" i="49"/>
  <c r="B93" i="49"/>
  <c r="P92" i="49"/>
  <c r="F92" i="49"/>
  <c r="B92" i="49"/>
  <c r="F91" i="49"/>
  <c r="B91" i="49"/>
  <c r="L88" i="49"/>
  <c r="J88" i="49"/>
  <c r="F88" i="49"/>
  <c r="D88" i="49"/>
  <c r="L87" i="49"/>
  <c r="J87" i="49"/>
  <c r="F87" i="49"/>
  <c r="D87" i="49"/>
  <c r="L86" i="49"/>
  <c r="J86" i="49"/>
  <c r="F86" i="49"/>
  <c r="D86" i="49"/>
  <c r="L85" i="49"/>
  <c r="J85" i="49"/>
  <c r="F85" i="49"/>
  <c r="D85" i="49"/>
  <c r="L84" i="49"/>
  <c r="J84" i="49"/>
  <c r="F84" i="49"/>
  <c r="D84" i="49"/>
  <c r="L83" i="49"/>
  <c r="J83" i="49"/>
  <c r="F83" i="49"/>
  <c r="D83" i="49"/>
  <c r="P82" i="49"/>
  <c r="L82" i="49"/>
  <c r="J82" i="49"/>
  <c r="F82" i="49"/>
  <c r="D82" i="49"/>
  <c r="B82" i="49"/>
  <c r="L81" i="49"/>
  <c r="J81" i="49"/>
  <c r="F81" i="49"/>
  <c r="D81" i="49"/>
  <c r="B81" i="49"/>
  <c r="P80" i="49"/>
  <c r="L80" i="49"/>
  <c r="J80" i="49"/>
  <c r="F80" i="49"/>
  <c r="D80" i="49"/>
  <c r="B80" i="49"/>
  <c r="L79" i="49"/>
  <c r="J79" i="49"/>
  <c r="F79" i="49"/>
  <c r="D79" i="49"/>
  <c r="B79" i="49"/>
  <c r="P78" i="49"/>
  <c r="L78" i="49"/>
  <c r="J78" i="49"/>
  <c r="F78" i="49"/>
  <c r="D78" i="49"/>
  <c r="B78" i="49"/>
  <c r="L77" i="49"/>
  <c r="J77" i="49"/>
  <c r="F77" i="49"/>
  <c r="D77" i="49"/>
  <c r="B77" i="49"/>
  <c r="N74" i="49"/>
  <c r="B74" i="49"/>
  <c r="N73" i="49"/>
  <c r="B73" i="49"/>
  <c r="N72" i="49"/>
  <c r="B72" i="49"/>
  <c r="J70" i="49"/>
  <c r="F70" i="49"/>
  <c r="D70" i="49"/>
  <c r="B70" i="49"/>
  <c r="J69" i="49"/>
  <c r="F69" i="49"/>
  <c r="D69" i="49"/>
  <c r="B69" i="49"/>
  <c r="J68" i="49"/>
  <c r="F68" i="49"/>
  <c r="D68" i="49"/>
  <c r="B68" i="49"/>
  <c r="J67" i="49"/>
  <c r="F67" i="49"/>
  <c r="D67" i="49"/>
  <c r="B67" i="49"/>
  <c r="J66" i="49"/>
  <c r="F66" i="49"/>
  <c r="D66" i="49"/>
  <c r="B66" i="49"/>
  <c r="J62" i="49"/>
  <c r="P61" i="49"/>
  <c r="L61" i="49"/>
  <c r="J61" i="49"/>
  <c r="F61" i="49"/>
  <c r="D61" i="49"/>
  <c r="B61" i="49"/>
  <c r="J60" i="49"/>
  <c r="P59" i="49"/>
  <c r="N59" i="49"/>
  <c r="L59" i="49"/>
  <c r="J59" i="49"/>
  <c r="F59" i="49"/>
  <c r="D59" i="49"/>
  <c r="B59" i="49"/>
  <c r="J58" i="49"/>
  <c r="P57" i="49"/>
  <c r="L57" i="49"/>
  <c r="J57" i="49"/>
  <c r="F57" i="49"/>
  <c r="D57" i="49"/>
  <c r="B57" i="49"/>
  <c r="J56" i="49"/>
  <c r="N55" i="49"/>
  <c r="L55" i="49"/>
  <c r="J55" i="49"/>
  <c r="F55" i="49"/>
  <c r="D55" i="49"/>
  <c r="B55" i="49"/>
  <c r="J54" i="49"/>
  <c r="L53" i="49"/>
  <c r="J53" i="49"/>
  <c r="F53" i="49"/>
  <c r="B53" i="49"/>
  <c r="N48" i="49"/>
  <c r="B48" i="49"/>
  <c r="N47" i="49"/>
  <c r="B47" i="49"/>
  <c r="N46" i="49"/>
  <c r="B46" i="49"/>
  <c r="L44" i="49"/>
  <c r="J44" i="49"/>
  <c r="P43" i="49"/>
  <c r="J43" i="49"/>
  <c r="L42" i="49"/>
  <c r="J42" i="49"/>
  <c r="B42" i="49"/>
  <c r="L40" i="49"/>
  <c r="J40" i="49"/>
  <c r="P39" i="49"/>
  <c r="J39" i="49"/>
  <c r="B39" i="49"/>
  <c r="L38" i="49"/>
  <c r="J38" i="49"/>
  <c r="F38" i="49"/>
  <c r="D38" i="49"/>
  <c r="B38" i="49"/>
  <c r="L36" i="49"/>
  <c r="J36" i="49"/>
  <c r="P35" i="49"/>
  <c r="J35" i="49"/>
  <c r="L34" i="49"/>
  <c r="J34" i="49"/>
  <c r="F34" i="49"/>
  <c r="B34" i="49"/>
  <c r="L32" i="49"/>
  <c r="J32" i="49"/>
  <c r="P31" i="49"/>
  <c r="J31" i="49"/>
  <c r="B31" i="49"/>
  <c r="L30" i="49"/>
  <c r="J30" i="49"/>
  <c r="D30" i="49"/>
  <c r="B30" i="49"/>
  <c r="L28" i="49"/>
  <c r="J28" i="49"/>
  <c r="P27" i="49"/>
  <c r="J27" i="49"/>
  <c r="B27" i="49"/>
  <c r="L26" i="49"/>
  <c r="J26" i="49"/>
  <c r="F26" i="49"/>
  <c r="D26" i="49"/>
  <c r="B26" i="49"/>
  <c r="L24" i="49"/>
  <c r="J24" i="49"/>
  <c r="P23" i="49"/>
  <c r="J23" i="49"/>
  <c r="B23" i="49"/>
  <c r="L22" i="49"/>
  <c r="J22" i="49"/>
  <c r="F22" i="49"/>
  <c r="D22" i="49"/>
  <c r="B22" i="49"/>
  <c r="L20" i="49"/>
  <c r="J20" i="49"/>
  <c r="P19" i="49"/>
  <c r="J19" i="49"/>
  <c r="L18" i="49"/>
  <c r="J18" i="49"/>
  <c r="D18" i="49"/>
  <c r="B18" i="49"/>
  <c r="L16" i="49"/>
  <c r="J16" i="49"/>
  <c r="P15" i="49"/>
  <c r="J15" i="49"/>
  <c r="B15" i="49"/>
  <c r="L14" i="49"/>
  <c r="J14" i="49"/>
  <c r="F14" i="49"/>
  <c r="D14" i="49"/>
  <c r="B14" i="49"/>
  <c r="L12" i="49"/>
  <c r="J12" i="49"/>
  <c r="P11" i="49"/>
  <c r="J11" i="49"/>
  <c r="B11" i="49"/>
  <c r="L10" i="49"/>
  <c r="J10" i="49"/>
  <c r="B10" i="49"/>
  <c r="L8" i="49"/>
  <c r="J8" i="49"/>
  <c r="P7" i="49"/>
  <c r="L7" i="49"/>
  <c r="J7" i="49"/>
  <c r="L6" i="49"/>
  <c r="J6" i="49"/>
  <c r="B6" i="49"/>
  <c r="N3" i="49"/>
  <c r="B3" i="49"/>
  <c r="N2" i="49"/>
  <c r="B2" i="49"/>
  <c r="N1" i="49"/>
  <c r="B1" i="49"/>
  <c r="V52" i="41"/>
  <c r="Q40" i="41"/>
  <c r="B39" i="28" s="1" a="1"/>
  <c r="B39" i="28" s="1"/>
  <c r="C38" i="41"/>
  <c r="Q26" i="41"/>
  <c r="C26" i="41"/>
  <c r="P23" i="41"/>
  <c r="G23" i="41"/>
  <c r="M19" i="41"/>
  <c r="V11" i="41"/>
  <c r="D11" i="41"/>
  <c r="L9" i="41"/>
  <c r="U67" i="39"/>
  <c r="U27" i="39"/>
  <c r="O27" i="39"/>
  <c r="F27" i="39"/>
  <c r="O24" i="39"/>
  <c r="G24" i="39"/>
  <c r="U12" i="39"/>
  <c r="D12" i="39"/>
  <c r="K9" i="39"/>
  <c r="B59" i="32"/>
  <c r="C54" i="32"/>
  <c r="C52" i="32"/>
  <c r="R14" i="32"/>
  <c r="R13" i="32"/>
  <c r="E13" i="32"/>
  <c r="K9" i="32"/>
  <c r="C33" i="28"/>
  <c r="C31" i="28"/>
  <c r="C29" i="28"/>
  <c r="C27" i="28"/>
  <c r="C25" i="28"/>
  <c r="R13" i="28"/>
  <c r="R12" i="28"/>
  <c r="E12" i="28"/>
  <c r="E11" i="28"/>
  <c r="K9" i="28"/>
  <c r="Q108" i="23"/>
  <c r="B108" i="23"/>
  <c r="B101" i="23"/>
  <c r="F100" i="23"/>
  <c r="B100" i="23"/>
  <c r="F99" i="23"/>
  <c r="B99" i="23"/>
  <c r="F98" i="23"/>
  <c r="B98" i="23"/>
  <c r="F97" i="23"/>
  <c r="B97" i="23"/>
  <c r="F96" i="23"/>
  <c r="B96" i="23"/>
  <c r="F95" i="23"/>
  <c r="U94" i="23"/>
  <c r="F92" i="23"/>
  <c r="L90" i="23"/>
  <c r="U89" i="23"/>
  <c r="L89" i="23"/>
  <c r="F89" i="23"/>
  <c r="Q88" i="23"/>
  <c r="Q87" i="23"/>
  <c r="Q83" i="23"/>
  <c r="O83" i="23"/>
  <c r="F83" i="23"/>
  <c r="C83" i="23"/>
  <c r="S82" i="23"/>
  <c r="S81" i="23"/>
  <c r="Q80" i="23"/>
  <c r="Q78" i="23"/>
  <c r="U73" i="23"/>
  <c r="Q73" i="23"/>
  <c r="O73" i="23"/>
  <c r="L73" i="23"/>
  <c r="I73" i="23"/>
  <c r="U72" i="23"/>
  <c r="S72" i="23"/>
  <c r="Q72" i="23"/>
  <c r="O72" i="23"/>
  <c r="L72" i="23"/>
  <c r="I72" i="23"/>
  <c r="U71" i="23"/>
  <c r="S71" i="23"/>
  <c r="Q71" i="23"/>
  <c r="O71" i="23"/>
  <c r="L71" i="23"/>
  <c r="I71" i="23"/>
  <c r="U70" i="23"/>
  <c r="S70" i="23"/>
  <c r="Q70" i="23"/>
  <c r="O70" i="23"/>
  <c r="L70" i="23"/>
  <c r="I70" i="23"/>
  <c r="U69" i="23"/>
  <c r="Q69" i="23"/>
  <c r="O69" i="23"/>
  <c r="L69" i="23"/>
  <c r="I69" i="23"/>
  <c r="U68" i="23"/>
  <c r="C63" i="23"/>
  <c r="J62" i="23"/>
  <c r="S60" i="23"/>
  <c r="Q60" i="23"/>
  <c r="L60" i="23"/>
  <c r="C60" i="23"/>
  <c r="J58" i="23"/>
  <c r="J57" i="23"/>
  <c r="U56" i="23"/>
  <c r="S56" i="23"/>
  <c r="Q56" i="23"/>
  <c r="O56" i="23"/>
  <c r="L56" i="23"/>
  <c r="C56" i="23"/>
  <c r="J54" i="23"/>
  <c r="J53" i="23"/>
  <c r="S52" i="23"/>
  <c r="Q52" i="23"/>
  <c r="O52" i="23"/>
  <c r="L52" i="23"/>
  <c r="C52" i="23"/>
  <c r="J50" i="23"/>
  <c r="J49" i="23"/>
  <c r="U48" i="23"/>
  <c r="S48" i="23"/>
  <c r="Q48" i="23"/>
  <c r="O48" i="23"/>
  <c r="L48" i="23"/>
  <c r="C48" i="23"/>
  <c r="J46" i="23"/>
  <c r="U44" i="23"/>
  <c r="S44" i="23"/>
  <c r="Q44" i="23"/>
  <c r="O44" i="23"/>
  <c r="C44" i="23"/>
  <c r="J42" i="23"/>
  <c r="J41" i="23"/>
  <c r="U40" i="23"/>
  <c r="S40" i="23"/>
  <c r="Q40" i="23"/>
  <c r="O40" i="23"/>
  <c r="L40" i="23"/>
  <c r="C40" i="23"/>
  <c r="J38" i="23"/>
  <c r="U36" i="23"/>
  <c r="S36" i="23"/>
  <c r="Q36" i="23"/>
  <c r="O36" i="23"/>
  <c r="C36" i="23"/>
  <c r="J34" i="23"/>
  <c r="J33" i="23"/>
  <c r="U32" i="23"/>
  <c r="S32" i="23"/>
  <c r="Q32" i="23"/>
  <c r="O32" i="23"/>
  <c r="L32" i="23"/>
  <c r="C32" i="23"/>
  <c r="J30" i="23"/>
  <c r="J29" i="23"/>
  <c r="S28" i="23"/>
  <c r="Q28" i="23"/>
  <c r="O28" i="23"/>
  <c r="L28" i="23"/>
  <c r="C28" i="23"/>
  <c r="S24" i="23"/>
  <c r="Q24" i="23"/>
  <c r="C24" i="23"/>
  <c r="O17" i="23"/>
  <c r="S15" i="23"/>
  <c r="S78" i="23" s="1"/>
  <c r="S12" i="23"/>
  <c r="S11" i="23"/>
  <c r="K10" i="23"/>
  <c r="Q4" i="23"/>
  <c r="J77" i="23" s="1"/>
  <c r="B101" i="47"/>
  <c r="O100" i="47"/>
  <c r="F100" i="47"/>
  <c r="B100" i="47"/>
  <c r="F99" i="47"/>
  <c r="B99" i="47"/>
  <c r="F98" i="47"/>
  <c r="B98" i="47"/>
  <c r="F97" i="47"/>
  <c r="B97" i="47"/>
  <c r="F96" i="47"/>
  <c r="B96" i="47"/>
  <c r="F95" i="47"/>
  <c r="U94" i="47"/>
  <c r="F92" i="47"/>
  <c r="L90" i="47"/>
  <c r="F90" i="47"/>
  <c r="U89" i="47"/>
  <c r="L89" i="47"/>
  <c r="F89" i="47"/>
  <c r="Q88" i="47"/>
  <c r="Q87" i="47"/>
  <c r="Q83" i="47"/>
  <c r="O83" i="47"/>
  <c r="F83" i="47"/>
  <c r="C83" i="47"/>
  <c r="S82" i="47"/>
  <c r="S81" i="47"/>
  <c r="Q80" i="47"/>
  <c r="Q78" i="47"/>
  <c r="U73" i="47"/>
  <c r="Q73" i="47"/>
  <c r="O73" i="47"/>
  <c r="L73" i="47"/>
  <c r="I73" i="47"/>
  <c r="U72" i="47"/>
  <c r="S72" i="47"/>
  <c r="Q72" i="47"/>
  <c r="O72" i="47"/>
  <c r="L72" i="47"/>
  <c r="I72" i="47"/>
  <c r="U71" i="47"/>
  <c r="S71" i="47"/>
  <c r="Q71" i="47"/>
  <c r="O71" i="47"/>
  <c r="L71" i="47"/>
  <c r="I71" i="47"/>
  <c r="U70" i="47"/>
  <c r="S70" i="47"/>
  <c r="Q70" i="47"/>
  <c r="O70" i="47"/>
  <c r="L70" i="47"/>
  <c r="I70" i="47"/>
  <c r="U69" i="47"/>
  <c r="Q69" i="47"/>
  <c r="O69" i="47"/>
  <c r="L69" i="47"/>
  <c r="I69" i="47"/>
  <c r="C63" i="47"/>
  <c r="J62" i="47"/>
  <c r="J61" i="47"/>
  <c r="S60" i="47"/>
  <c r="Q60" i="47"/>
  <c r="O60" i="47"/>
  <c r="L60" i="47"/>
  <c r="C60" i="47"/>
  <c r="J58" i="47"/>
  <c r="J57" i="47"/>
  <c r="U56" i="47"/>
  <c r="S56" i="47"/>
  <c r="Q56" i="47"/>
  <c r="O56" i="47"/>
  <c r="L56" i="47"/>
  <c r="C56" i="47"/>
  <c r="J54" i="47"/>
  <c r="J53" i="47"/>
  <c r="S52" i="47"/>
  <c r="Q52" i="47"/>
  <c r="O52" i="47"/>
  <c r="L52" i="47"/>
  <c r="C52" i="47"/>
  <c r="J50" i="47"/>
  <c r="J49" i="47"/>
  <c r="U48" i="47"/>
  <c r="S48" i="47"/>
  <c r="Q48" i="47"/>
  <c r="O48" i="47"/>
  <c r="L48" i="47"/>
  <c r="C48" i="47"/>
  <c r="J46" i="47"/>
  <c r="U44" i="47"/>
  <c r="S44" i="47"/>
  <c r="Q44" i="47"/>
  <c r="O44" i="47"/>
  <c r="L44" i="47"/>
  <c r="C44" i="47"/>
  <c r="J42" i="47"/>
  <c r="J41" i="47"/>
  <c r="U40" i="47"/>
  <c r="S40" i="47"/>
  <c r="Q40" i="47"/>
  <c r="O40" i="47"/>
  <c r="L40" i="47"/>
  <c r="C40" i="47"/>
  <c r="J38" i="47"/>
  <c r="J37" i="47"/>
  <c r="U36" i="47"/>
  <c r="S36" i="47"/>
  <c r="Q36" i="47"/>
  <c r="O36" i="47"/>
  <c r="L36" i="47"/>
  <c r="C36" i="47"/>
  <c r="J34" i="47"/>
  <c r="J33" i="47"/>
  <c r="U32" i="47"/>
  <c r="S32" i="47"/>
  <c r="Q32" i="47"/>
  <c r="O32" i="47"/>
  <c r="L32" i="47"/>
  <c r="C32" i="47"/>
  <c r="J30" i="47"/>
  <c r="J29" i="47"/>
  <c r="S28" i="47"/>
  <c r="Q28" i="47"/>
  <c r="O28" i="47"/>
  <c r="C28" i="47"/>
  <c r="S24" i="47"/>
  <c r="Q24" i="47"/>
  <c r="C24" i="47"/>
  <c r="O17" i="47"/>
  <c r="S15" i="47"/>
  <c r="S78" i="47"/>
  <c r="S13" i="47"/>
  <c r="S12" i="47"/>
  <c r="S11" i="47"/>
  <c r="K10" i="47"/>
  <c r="N109" i="45"/>
  <c r="L107" i="45"/>
  <c r="B107" i="45"/>
  <c r="L106" i="45"/>
  <c r="B106" i="45"/>
  <c r="L105" i="45"/>
  <c r="B105" i="45"/>
  <c r="L104" i="45"/>
  <c r="B104" i="45"/>
  <c r="L103" i="45"/>
  <c r="L102" i="45"/>
  <c r="L99" i="45"/>
  <c r="L98" i="45"/>
  <c r="L97" i="45"/>
  <c r="L96" i="45"/>
  <c r="U94" i="45"/>
  <c r="U93" i="45"/>
  <c r="Q87" i="45"/>
  <c r="O87" i="45"/>
  <c r="F87" i="45"/>
  <c r="C87" i="45"/>
  <c r="S86" i="45"/>
  <c r="S85" i="45"/>
  <c r="Q82" i="45"/>
  <c r="H77" i="45"/>
  <c r="N76" i="45"/>
  <c r="H76" i="45"/>
  <c r="U72" i="45"/>
  <c r="S72" i="45"/>
  <c r="Q72" i="45"/>
  <c r="O72" i="45"/>
  <c r="L72" i="45"/>
  <c r="I72" i="45"/>
  <c r="U71" i="45"/>
  <c r="S71" i="45"/>
  <c r="Q71" i="45"/>
  <c r="O71" i="45"/>
  <c r="L71" i="45"/>
  <c r="I71" i="45"/>
  <c r="U70" i="45"/>
  <c r="S70" i="45"/>
  <c r="Q70" i="45"/>
  <c r="O70" i="45"/>
  <c r="L70" i="45"/>
  <c r="I70" i="45"/>
  <c r="U69" i="45"/>
  <c r="Q69" i="45"/>
  <c r="O69" i="45"/>
  <c r="L69" i="45"/>
  <c r="I69" i="45"/>
  <c r="U68" i="45"/>
  <c r="Q68" i="45"/>
  <c r="O68" i="45"/>
  <c r="L68" i="45"/>
  <c r="I68" i="45"/>
  <c r="S67" i="45"/>
  <c r="C62" i="45"/>
  <c r="J61" i="45"/>
  <c r="J60" i="45"/>
  <c r="S59" i="45"/>
  <c r="Q59" i="45"/>
  <c r="O59" i="45"/>
  <c r="L59" i="45"/>
  <c r="C59" i="45"/>
  <c r="J57" i="45"/>
  <c r="J56" i="45"/>
  <c r="U55" i="45"/>
  <c r="S55" i="45"/>
  <c r="Q55" i="45"/>
  <c r="O55" i="45"/>
  <c r="L55" i="45"/>
  <c r="C55" i="45"/>
  <c r="J53" i="45"/>
  <c r="J52" i="45"/>
  <c r="S51" i="45"/>
  <c r="Q51" i="45"/>
  <c r="L51" i="45"/>
  <c r="C51" i="45"/>
  <c r="J49" i="45"/>
  <c r="J48" i="45"/>
  <c r="U47" i="45"/>
  <c r="S47" i="45"/>
  <c r="Q47" i="45"/>
  <c r="O47" i="45"/>
  <c r="L47" i="45"/>
  <c r="C47" i="45"/>
  <c r="J45" i="45"/>
  <c r="J44" i="45"/>
  <c r="U43" i="45"/>
  <c r="S43" i="45"/>
  <c r="Q43" i="45"/>
  <c r="L43" i="45"/>
  <c r="C43" i="45"/>
  <c r="J41" i="45"/>
  <c r="J40" i="45"/>
  <c r="U39" i="45"/>
  <c r="S39" i="45"/>
  <c r="Q39" i="45"/>
  <c r="O39" i="45"/>
  <c r="L39" i="45"/>
  <c r="C39" i="45"/>
  <c r="J37" i="45"/>
  <c r="J36" i="45"/>
  <c r="U35" i="45"/>
  <c r="S35" i="45"/>
  <c r="Q35" i="45"/>
  <c r="O35" i="45"/>
  <c r="L35" i="45"/>
  <c r="C35" i="45"/>
  <c r="J33" i="45"/>
  <c r="J32" i="45"/>
  <c r="U31" i="45"/>
  <c r="S31" i="45"/>
  <c r="Q31" i="45"/>
  <c r="L31" i="45"/>
  <c r="C31" i="45"/>
  <c r="J29" i="45"/>
  <c r="J28" i="45"/>
  <c r="U27" i="45"/>
  <c r="S27" i="45"/>
  <c r="Q27" i="45"/>
  <c r="C27" i="45"/>
  <c r="S23" i="45"/>
  <c r="Q23" i="45"/>
  <c r="O23" i="45"/>
  <c r="L23" i="45"/>
  <c r="C23" i="45"/>
  <c r="O17" i="45"/>
  <c r="S15" i="45"/>
  <c r="S82" i="45" s="1"/>
  <c r="S13" i="45"/>
  <c r="S12" i="45"/>
  <c r="S11" i="45"/>
  <c r="K10" i="45"/>
  <c r="Q5" i="45"/>
  <c r="J82" i="45" s="1"/>
  <c r="H30" i="36"/>
  <c r="D28" i="36"/>
  <c r="H26" i="36"/>
  <c r="H25" i="36"/>
  <c r="H24" i="36"/>
  <c r="D315" i="15" s="1"/>
  <c r="H23" i="36"/>
  <c r="D5" i="36"/>
  <c r="B608" i="15" s="1"/>
  <c r="F4" i="36"/>
  <c r="F3" i="36"/>
  <c r="F2" i="36"/>
  <c r="J53" i="43"/>
  <c r="S52" i="43"/>
  <c r="Q52" i="43"/>
  <c r="L52" i="43"/>
  <c r="I52" i="43"/>
  <c r="F52" i="43"/>
  <c r="C52" i="43"/>
  <c r="J50" i="43"/>
  <c r="S49" i="43"/>
  <c r="Q49" i="43"/>
  <c r="L49" i="43"/>
  <c r="I49" i="43"/>
  <c r="F49" i="43"/>
  <c r="C49" i="43"/>
  <c r="J47" i="43"/>
  <c r="S46" i="43"/>
  <c r="Q46" i="43"/>
  <c r="L46" i="43"/>
  <c r="I46" i="43"/>
  <c r="F46" i="43"/>
  <c r="C46" i="43"/>
  <c r="J44" i="43"/>
  <c r="S43" i="43"/>
  <c r="Q43" i="43"/>
  <c r="L43" i="43"/>
  <c r="I43" i="43"/>
  <c r="F43" i="43"/>
  <c r="C43" i="43"/>
  <c r="S40" i="43"/>
  <c r="Q40" i="43"/>
  <c r="L40" i="43"/>
  <c r="C40" i="43"/>
  <c r="U34" i="43"/>
  <c r="S34" i="43"/>
  <c r="Q34" i="43"/>
  <c r="L34" i="43"/>
  <c r="I34" i="43"/>
  <c r="F34" i="43"/>
  <c r="U30" i="43"/>
  <c r="S30" i="43"/>
  <c r="Q30" i="43"/>
  <c r="L30" i="43"/>
  <c r="I30" i="43"/>
  <c r="F30" i="43"/>
  <c r="U26" i="43"/>
  <c r="S26" i="43"/>
  <c r="Q26" i="43"/>
  <c r="L26" i="43"/>
  <c r="I26" i="43"/>
  <c r="F26" i="43"/>
  <c r="J24" i="43"/>
  <c r="U22" i="43"/>
  <c r="S22" i="43"/>
  <c r="Q22" i="43"/>
  <c r="L22" i="43"/>
  <c r="I22" i="43"/>
  <c r="F22" i="43"/>
  <c r="S18" i="43"/>
  <c r="Q18" i="43"/>
  <c r="L18" i="43"/>
  <c r="F18" i="43"/>
  <c r="S13" i="43"/>
  <c r="S11" i="43"/>
  <c r="S10" i="43"/>
  <c r="S9" i="43"/>
  <c r="I5" i="43"/>
  <c r="N118" i="46"/>
  <c r="L115" i="46"/>
  <c r="B115" i="46"/>
  <c r="L114" i="46"/>
  <c r="B114" i="46"/>
  <c r="L113" i="46"/>
  <c r="B113" i="46"/>
  <c r="L112" i="46"/>
  <c r="B112" i="46"/>
  <c r="L111" i="46"/>
  <c r="L110" i="46"/>
  <c r="L107" i="46"/>
  <c r="L105" i="46"/>
  <c r="L104" i="46"/>
  <c r="U102" i="46"/>
  <c r="U101" i="46"/>
  <c r="L100" i="46"/>
  <c r="D24" i="36"/>
  <c r="Q95" i="46"/>
  <c r="O95" i="46"/>
  <c r="F95" i="46"/>
  <c r="C95" i="46"/>
  <c r="S93" i="46"/>
  <c r="S92" i="46"/>
  <c r="Q89" i="46"/>
  <c r="B83" i="46"/>
  <c r="H83" i="46" s="1"/>
  <c r="R75" i="46"/>
  <c r="N75" i="46"/>
  <c r="H75" i="46"/>
  <c r="U72" i="46"/>
  <c r="S72" i="46"/>
  <c r="Q72" i="46"/>
  <c r="O72" i="46"/>
  <c r="L72" i="46"/>
  <c r="I72" i="46"/>
  <c r="U71" i="46"/>
  <c r="S71" i="46"/>
  <c r="Q71" i="46"/>
  <c r="O71" i="46"/>
  <c r="L71" i="46"/>
  <c r="I71" i="46"/>
  <c r="U70" i="46"/>
  <c r="S70" i="46"/>
  <c r="Q70" i="46"/>
  <c r="O70" i="46"/>
  <c r="L70" i="46"/>
  <c r="I70" i="46"/>
  <c r="U69" i="46"/>
  <c r="Q69" i="46"/>
  <c r="O69" i="46"/>
  <c r="L69" i="46"/>
  <c r="I69" i="46"/>
  <c r="U68" i="46"/>
  <c r="Q68" i="46"/>
  <c r="O68" i="46"/>
  <c r="L68" i="46"/>
  <c r="I68" i="46"/>
  <c r="L67" i="46"/>
  <c r="C62" i="46"/>
  <c r="J61" i="46"/>
  <c r="J60" i="46"/>
  <c r="U59" i="46"/>
  <c r="S59" i="46"/>
  <c r="Q59" i="46"/>
  <c r="O59" i="46"/>
  <c r="L59" i="46"/>
  <c r="C59" i="46"/>
  <c r="J57" i="46"/>
  <c r="J56" i="46"/>
  <c r="U55" i="46"/>
  <c r="S55" i="46"/>
  <c r="Q55" i="46"/>
  <c r="O55" i="46"/>
  <c r="L55" i="46"/>
  <c r="C55" i="46"/>
  <c r="J53" i="46"/>
  <c r="J52" i="46"/>
  <c r="S51" i="46"/>
  <c r="Q51" i="46"/>
  <c r="O51" i="46"/>
  <c r="L51" i="46"/>
  <c r="C51" i="46"/>
  <c r="J49" i="46"/>
  <c r="J48" i="46"/>
  <c r="U47" i="46"/>
  <c r="S47" i="46"/>
  <c r="Q47" i="46"/>
  <c r="O47" i="46"/>
  <c r="L47" i="46"/>
  <c r="C47" i="46"/>
  <c r="J45" i="46"/>
  <c r="U43" i="46"/>
  <c r="S43" i="46"/>
  <c r="Q43" i="46"/>
  <c r="O43" i="46"/>
  <c r="L43" i="46"/>
  <c r="C43" i="46"/>
  <c r="J41" i="46"/>
  <c r="J40" i="46"/>
  <c r="U39" i="46"/>
  <c r="S39" i="46"/>
  <c r="Q39" i="46"/>
  <c r="O39" i="46"/>
  <c r="L39" i="46"/>
  <c r="C39" i="46"/>
  <c r="J37" i="46"/>
  <c r="J36" i="46"/>
  <c r="U35" i="46"/>
  <c r="S35" i="46"/>
  <c r="Q35" i="46"/>
  <c r="O35" i="46"/>
  <c r="L35" i="46"/>
  <c r="C35" i="46"/>
  <c r="J33" i="46"/>
  <c r="J32" i="46"/>
  <c r="U31" i="46"/>
  <c r="S31" i="46"/>
  <c r="Q31" i="46"/>
  <c r="O31" i="46"/>
  <c r="L31" i="46"/>
  <c r="C31" i="46"/>
  <c r="J29" i="46"/>
  <c r="J28" i="46"/>
  <c r="U27" i="46"/>
  <c r="S27" i="46"/>
  <c r="Q27" i="46"/>
  <c r="O27" i="46"/>
  <c r="L27" i="46"/>
  <c r="C27" i="46"/>
  <c r="J24" i="46"/>
  <c r="S23" i="46"/>
  <c r="Q23" i="46"/>
  <c r="C23" i="46"/>
  <c r="O17" i="46"/>
  <c r="S16" i="46"/>
  <c r="Q16" i="46"/>
  <c r="S15" i="46"/>
  <c r="S89" i="46"/>
  <c r="S13" i="46"/>
  <c r="S12" i="46"/>
  <c r="K10" i="46"/>
  <c r="Q5" i="46"/>
  <c r="J89" i="46" s="1"/>
  <c r="Q4" i="46"/>
  <c r="J88" i="46" s="1"/>
  <c r="B434" i="15"/>
  <c r="B381" i="15" s="1"/>
  <c r="B433" i="15"/>
  <c r="B432" i="15"/>
  <c r="P25" i="18"/>
  <c r="P123" i="49"/>
  <c r="P24" i="18"/>
  <c r="P122" i="49"/>
  <c r="P23" i="18"/>
  <c r="P121" i="49"/>
  <c r="P22" i="18"/>
  <c r="P120" i="49"/>
  <c r="BJ13" i="18"/>
  <c r="BH13" i="18"/>
  <c r="BF13" i="18"/>
  <c r="BD13" i="18"/>
  <c r="BB13" i="18"/>
  <c r="BA13" i="18"/>
  <c r="AY13" i="18"/>
  <c r="AW13" i="18"/>
  <c r="AU13" i="18"/>
  <c r="AT13" i="18"/>
  <c r="AR13" i="18"/>
  <c r="AQ13" i="18"/>
  <c r="AP13" i="18"/>
  <c r="AN13" i="18"/>
  <c r="AM13" i="18"/>
  <c r="AL13" i="18"/>
  <c r="AJ13" i="18"/>
  <c r="AI13" i="18"/>
  <c r="AH13" i="18"/>
  <c r="AF13" i="18"/>
  <c r="AE13" i="18"/>
  <c r="AD13" i="18"/>
  <c r="AB13" i="18"/>
  <c r="AA13" i="18"/>
  <c r="P13" i="18"/>
  <c r="BJ12" i="18"/>
  <c r="BH12" i="18"/>
  <c r="BF12" i="18"/>
  <c r="BD12" i="18"/>
  <c r="BB12" i="18"/>
  <c r="BA12" i="18"/>
  <c r="AY12" i="18"/>
  <c r="AW12" i="18"/>
  <c r="AU12" i="18"/>
  <c r="AT12" i="18"/>
  <c r="AR12" i="18"/>
  <c r="AQ12" i="18"/>
  <c r="AP12" i="18"/>
  <c r="AN12" i="18"/>
  <c r="AM12" i="18"/>
  <c r="AL12" i="18"/>
  <c r="AJ12" i="18"/>
  <c r="AI12" i="18"/>
  <c r="AH12" i="18"/>
  <c r="AF12" i="18"/>
  <c r="AE12" i="18"/>
  <c r="AD12" i="18"/>
  <c r="AB12" i="18"/>
  <c r="AA12" i="18"/>
  <c r="P12" i="18"/>
  <c r="BJ11" i="18"/>
  <c r="BH11" i="18"/>
  <c r="BF11" i="18"/>
  <c r="BD11" i="18"/>
  <c r="BB11" i="18"/>
  <c r="BA11" i="18"/>
  <c r="AY11" i="18"/>
  <c r="AW11" i="18"/>
  <c r="AU11" i="18"/>
  <c r="AT11" i="18"/>
  <c r="AR11" i="18"/>
  <c r="AQ11" i="18"/>
  <c r="AP11" i="18"/>
  <c r="AN11" i="18"/>
  <c r="AM11" i="18"/>
  <c r="AL11" i="18"/>
  <c r="AJ11" i="18"/>
  <c r="AI11" i="18"/>
  <c r="AH11" i="18"/>
  <c r="AF11" i="18"/>
  <c r="AE11" i="18"/>
  <c r="AD11" i="18"/>
  <c r="AB11" i="18"/>
  <c r="AA11" i="18"/>
  <c r="P11" i="18"/>
  <c r="BJ10" i="18"/>
  <c r="BH10" i="18"/>
  <c r="BF10" i="18"/>
  <c r="BD10" i="18"/>
  <c r="BB10" i="18"/>
  <c r="BA10" i="18"/>
  <c r="AY10" i="18"/>
  <c r="AW10" i="18"/>
  <c r="AU10" i="18"/>
  <c r="AT10" i="18"/>
  <c r="AR10" i="18"/>
  <c r="AQ10" i="18"/>
  <c r="AP10" i="18"/>
  <c r="AN10" i="18"/>
  <c r="AM10" i="18"/>
  <c r="AL10" i="18"/>
  <c r="AJ10" i="18"/>
  <c r="AI10" i="18"/>
  <c r="AH10" i="18"/>
  <c r="AF10" i="18"/>
  <c r="AE10" i="18"/>
  <c r="AD10" i="18"/>
  <c r="AB10" i="18"/>
  <c r="AA10" i="18"/>
  <c r="P10" i="18"/>
  <c r="BJ9" i="18"/>
  <c r="BH9" i="18"/>
  <c r="BF9" i="18"/>
  <c r="BD9" i="18"/>
  <c r="BB9" i="18"/>
  <c r="BA9" i="18"/>
  <c r="AY9" i="18"/>
  <c r="AW9" i="18"/>
  <c r="AU9" i="18"/>
  <c r="AT9" i="18"/>
  <c r="AR9" i="18"/>
  <c r="AQ9" i="18"/>
  <c r="AP9" i="18"/>
  <c r="AN9" i="18"/>
  <c r="AM9" i="18"/>
  <c r="AL9" i="18"/>
  <c r="AJ9" i="18"/>
  <c r="AI9" i="18"/>
  <c r="AH9" i="18"/>
  <c r="AF9" i="18"/>
  <c r="AE9" i="18"/>
  <c r="AD9" i="18"/>
  <c r="AB9" i="18"/>
  <c r="AA9" i="18"/>
  <c r="P9" i="18"/>
  <c r="BJ8" i="18"/>
  <c r="BH8" i="18"/>
  <c r="BF8" i="18"/>
  <c r="BD8" i="18"/>
  <c r="BB8" i="18"/>
  <c r="BA8" i="18"/>
  <c r="AY8" i="18"/>
  <c r="AW8" i="18"/>
  <c r="AU8" i="18"/>
  <c r="AT8" i="18"/>
  <c r="AR8" i="18"/>
  <c r="AQ8" i="18"/>
  <c r="AP8" i="18"/>
  <c r="AN8" i="18"/>
  <c r="AM8" i="18"/>
  <c r="AL8" i="18"/>
  <c r="AJ8" i="18"/>
  <c r="AI8" i="18"/>
  <c r="AH8" i="18"/>
  <c r="AF8" i="18"/>
  <c r="AE8" i="18"/>
  <c r="AD8" i="18"/>
  <c r="AB8" i="18"/>
  <c r="AA8" i="18"/>
  <c r="P8" i="18"/>
  <c r="BJ7" i="18"/>
  <c r="BH7" i="18"/>
  <c r="BF7" i="18"/>
  <c r="BD7" i="18"/>
  <c r="BB7" i="18"/>
  <c r="BA7" i="18"/>
  <c r="AY7" i="18"/>
  <c r="AW7" i="18"/>
  <c r="AU7" i="18"/>
  <c r="AT7" i="18"/>
  <c r="AR7" i="18"/>
  <c r="AQ7" i="18"/>
  <c r="AP7" i="18"/>
  <c r="AN7" i="18"/>
  <c r="AM7" i="18"/>
  <c r="AL7" i="18"/>
  <c r="AJ7" i="18"/>
  <c r="AI7" i="18"/>
  <c r="AH7" i="18"/>
  <c r="AF7" i="18"/>
  <c r="AE7" i="18"/>
  <c r="AD7" i="18"/>
  <c r="AB7" i="18"/>
  <c r="AA7" i="18"/>
  <c r="P7" i="18"/>
  <c r="BJ6" i="18"/>
  <c r="BH6" i="18"/>
  <c r="BF6" i="18"/>
  <c r="BD6" i="18"/>
  <c r="BB6" i="18"/>
  <c r="BA6" i="18"/>
  <c r="AY6" i="18"/>
  <c r="AW6" i="18"/>
  <c r="AU6" i="18"/>
  <c r="AT6" i="18"/>
  <c r="AR6" i="18"/>
  <c r="AQ6" i="18"/>
  <c r="AP6" i="18"/>
  <c r="AN6" i="18"/>
  <c r="AM6" i="18"/>
  <c r="AL6" i="18"/>
  <c r="AJ6" i="18"/>
  <c r="AI6" i="18"/>
  <c r="AH6" i="18"/>
  <c r="AF6" i="18"/>
  <c r="AE6" i="18"/>
  <c r="AD6" i="18"/>
  <c r="AB6" i="18"/>
  <c r="AA6" i="18"/>
  <c r="P6" i="18"/>
  <c r="BJ5" i="18"/>
  <c r="BH5" i="18"/>
  <c r="BF5" i="18"/>
  <c r="BD5" i="18"/>
  <c r="BB5" i="18"/>
  <c r="BA5" i="18"/>
  <c r="AY5" i="18"/>
  <c r="AW5" i="18"/>
  <c r="AU5" i="18"/>
  <c r="AT5" i="18"/>
  <c r="AR5" i="18"/>
  <c r="AQ5" i="18"/>
  <c r="AP5" i="18"/>
  <c r="AN5" i="18"/>
  <c r="AM5" i="18"/>
  <c r="AL5" i="18"/>
  <c r="AJ5" i="18"/>
  <c r="AI5" i="18"/>
  <c r="AH5" i="18"/>
  <c r="AF5" i="18"/>
  <c r="AE5" i="18"/>
  <c r="AD5" i="18"/>
  <c r="AB5" i="18"/>
  <c r="AA5" i="18"/>
  <c r="P5" i="18"/>
  <c r="BJ4" i="18"/>
  <c r="BH4" i="18"/>
  <c r="BF4" i="18"/>
  <c r="BD4" i="18"/>
  <c r="BB4" i="18"/>
  <c r="BA4" i="18"/>
  <c r="AY4" i="18"/>
  <c r="AH4" i="18" s="1"/>
  <c r="AW4" i="18"/>
  <c r="AU4" i="18"/>
  <c r="AR4" i="18"/>
  <c r="AQ4" i="18"/>
  <c r="AN4" i="18"/>
  <c r="AM4" i="18"/>
  <c r="AJ4" i="18"/>
  <c r="AI4" i="18"/>
  <c r="AF4" i="18"/>
  <c r="AE4" i="18"/>
  <c r="AB4" i="18"/>
  <c r="AA4" i="18"/>
  <c r="P4" i="18"/>
  <c r="C2" i="18"/>
  <c r="S15" i="24" a="1"/>
  <c r="S15" i="24" s="1"/>
  <c r="Q69" i="24"/>
  <c r="S60" i="24"/>
  <c r="S59" i="24"/>
  <c r="S58" i="24"/>
  <c r="S54" i="24"/>
  <c r="Q54" i="24"/>
  <c r="M54" i="24"/>
  <c r="G54" i="24"/>
  <c r="E54" i="24"/>
  <c r="C54" i="24"/>
  <c r="S53" i="24"/>
  <c r="Q53" i="24"/>
  <c r="M53" i="24"/>
  <c r="G53" i="24"/>
  <c r="E53" i="24"/>
  <c r="C53" i="24"/>
  <c r="S52" i="24"/>
  <c r="Q52" i="24"/>
  <c r="M52" i="24"/>
  <c r="G52" i="24"/>
  <c r="E52" i="24"/>
  <c r="C52" i="24"/>
  <c r="Q51" i="24"/>
  <c r="M51" i="24"/>
  <c r="G51" i="24"/>
  <c r="E51" i="24"/>
  <c r="C51" i="24"/>
  <c r="S50" i="24"/>
  <c r="Q50" i="24"/>
  <c r="M50" i="24"/>
  <c r="G50" i="24"/>
  <c r="E50" i="24"/>
  <c r="C50" i="24"/>
  <c r="Q49" i="24"/>
  <c r="M49" i="24"/>
  <c r="G49" i="24"/>
  <c r="E49" i="24"/>
  <c r="C49" i="24"/>
  <c r="Q48" i="24"/>
  <c r="M48" i="24"/>
  <c r="G46" i="24"/>
  <c r="E46" i="24"/>
  <c r="C46" i="24"/>
  <c r="AC46" i="24" s="1"/>
  <c r="A46" i="24"/>
  <c r="B592" i="15"/>
  <c r="N70" i="49" s="1"/>
  <c r="G45" i="24"/>
  <c r="E45" i="24"/>
  <c r="C45" i="24"/>
  <c r="AC45" i="24"/>
  <c r="A45" i="24"/>
  <c r="B591" i="15" s="1"/>
  <c r="N69" i="49" s="1"/>
  <c r="G44" i="24"/>
  <c r="E44" i="24"/>
  <c r="C44" i="24"/>
  <c r="AC44" i="24"/>
  <c r="A44" i="24"/>
  <c r="B590" i="15"/>
  <c r="N68" i="49" s="1"/>
  <c r="G43" i="24"/>
  <c r="E43" i="24"/>
  <c r="C43" i="24"/>
  <c r="AC43" i="24" s="1"/>
  <c r="A43" i="24"/>
  <c r="B589" i="15"/>
  <c r="N67" i="49" s="1"/>
  <c r="G42" i="24"/>
  <c r="E42" i="24"/>
  <c r="C42" i="24"/>
  <c r="A42" i="24"/>
  <c r="B588" i="15" s="1"/>
  <c r="N66" i="49" s="1"/>
  <c r="S38" i="24"/>
  <c r="M38" i="24"/>
  <c r="G38" i="24"/>
  <c r="B146" i="49" s="1"/>
  <c r="E38" i="24"/>
  <c r="C38" i="24"/>
  <c r="L146" i="49" s="1"/>
  <c r="S37" i="24"/>
  <c r="M37" i="24"/>
  <c r="G37" i="24"/>
  <c r="B145" i="49" s="1"/>
  <c r="E37" i="24"/>
  <c r="C37" i="24"/>
  <c r="AC37" i="24" s="1"/>
  <c r="S36" i="24"/>
  <c r="M36" i="24"/>
  <c r="G36" i="24"/>
  <c r="B144" i="49"/>
  <c r="E36" i="24"/>
  <c r="AC36" i="24" s="1"/>
  <c r="C36" i="24"/>
  <c r="M35" i="24"/>
  <c r="G35" i="24"/>
  <c r="B143" i="49"/>
  <c r="E35" i="24"/>
  <c r="C35" i="24"/>
  <c r="AC35" i="24" s="1"/>
  <c r="G34" i="24"/>
  <c r="B142" i="49" s="1"/>
  <c r="E34" i="24"/>
  <c r="C34" i="24"/>
  <c r="AC34" i="24" s="1"/>
  <c r="O31" i="24"/>
  <c r="B582" i="15" s="1"/>
  <c r="N44" i="49" s="1"/>
  <c r="M31" i="24"/>
  <c r="G31" i="24"/>
  <c r="A31" i="24"/>
  <c r="B141" i="49" s="1"/>
  <c r="O30" i="24"/>
  <c r="B581" i="15" s="1"/>
  <c r="N40" i="49" s="1"/>
  <c r="M30" i="24"/>
  <c r="G30" i="24"/>
  <c r="A30" i="24"/>
  <c r="B140" i="49" s="1"/>
  <c r="O29" i="24"/>
  <c r="B580" i="15" s="1"/>
  <c r="N36" i="49" s="1"/>
  <c r="G29" i="24"/>
  <c r="A29" i="24"/>
  <c r="B139" i="49" s="1"/>
  <c r="O28" i="24"/>
  <c r="B579" i="15" s="1"/>
  <c r="N32" i="49" s="1"/>
  <c r="M28" i="24"/>
  <c r="G28" i="24"/>
  <c r="A28" i="24"/>
  <c r="B138" i="49"/>
  <c r="O27" i="24"/>
  <c r="B578" i="15" s="1"/>
  <c r="N28" i="49" s="1"/>
  <c r="M27" i="24"/>
  <c r="G27" i="24"/>
  <c r="A27" i="24"/>
  <c r="B137" i="49" s="1"/>
  <c r="O26" i="24"/>
  <c r="B577" i="15" s="1"/>
  <c r="N24" i="49" s="1"/>
  <c r="M26" i="24"/>
  <c r="G26" i="24"/>
  <c r="A26" i="24"/>
  <c r="B136" i="49"/>
  <c r="O25" i="24"/>
  <c r="B576" i="15" s="1"/>
  <c r="N20" i="49" s="1"/>
  <c r="M25" i="24"/>
  <c r="G25" i="24"/>
  <c r="A25" i="24"/>
  <c r="B135" i="49" s="1"/>
  <c r="O24" i="24"/>
  <c r="B575" i="15" s="1"/>
  <c r="N16" i="49" s="1"/>
  <c r="M24" i="24"/>
  <c r="G24" i="24"/>
  <c r="A24" i="24"/>
  <c r="B134" i="49"/>
  <c r="M23" i="24"/>
  <c r="A23" i="24"/>
  <c r="B133" i="49" s="1"/>
  <c r="O22" i="24"/>
  <c r="B573" i="15" s="1"/>
  <c r="N8" i="49" s="1"/>
  <c r="G22" i="24"/>
  <c r="A22" i="24"/>
  <c r="B132" i="49"/>
  <c r="E9" i="24"/>
  <c r="E7" i="24"/>
  <c r="L152" i="49"/>
  <c r="C1" i="24"/>
  <c r="W90" i="8"/>
  <c r="W28" i="8"/>
  <c r="E42" i="49"/>
  <c r="U28" i="8"/>
  <c r="P44" i="49" s="1"/>
  <c r="G28" i="8"/>
  <c r="E28" i="8"/>
  <c r="E31" i="24" s="1"/>
  <c r="W27" i="8"/>
  <c r="E38" i="49"/>
  <c r="U27" i="8"/>
  <c r="P40" i="49"/>
  <c r="G27" i="8"/>
  <c r="E27" i="8"/>
  <c r="E30" i="24"/>
  <c r="W26" i="8"/>
  <c r="E34" i="49"/>
  <c r="U26" i="8"/>
  <c r="R36" i="49"/>
  <c r="G26" i="8"/>
  <c r="E26" i="8"/>
  <c r="E29" i="24" s="1"/>
  <c r="W25" i="8"/>
  <c r="E30" i="49" s="1"/>
  <c r="U25" i="8"/>
  <c r="G25" i="8"/>
  <c r="E25" i="8"/>
  <c r="E28" i="24" s="1"/>
  <c r="W24" i="8"/>
  <c r="E26" i="49"/>
  <c r="U24" i="8"/>
  <c r="R28" i="49" s="1"/>
  <c r="G24" i="8"/>
  <c r="E24" i="8"/>
  <c r="E27" i="24"/>
  <c r="W23" i="8"/>
  <c r="E22" i="49" s="1"/>
  <c r="U23" i="8"/>
  <c r="G23" i="8"/>
  <c r="E23" i="8"/>
  <c r="E26" i="24" s="1"/>
  <c r="W22" i="8"/>
  <c r="E18" i="49"/>
  <c r="U22" i="8"/>
  <c r="G22" i="8"/>
  <c r="E22" i="8"/>
  <c r="E25" i="24"/>
  <c r="W21" i="8"/>
  <c r="E14" i="49"/>
  <c r="U21" i="8"/>
  <c r="P16" i="49" s="1"/>
  <c r="G21" i="8"/>
  <c r="E21" i="8"/>
  <c r="E24" i="24" s="1"/>
  <c r="W20" i="8"/>
  <c r="E10" i="49"/>
  <c r="U20" i="8"/>
  <c r="R12" i="49" s="1"/>
  <c r="G20" i="8"/>
  <c r="W19" i="8"/>
  <c r="E6" i="49"/>
  <c r="U19" i="8"/>
  <c r="R8" i="49"/>
  <c r="G19" i="8"/>
  <c r="E19" i="8"/>
  <c r="E22" i="24" s="1"/>
  <c r="E10" i="12"/>
  <c r="J10" i="12" s="1"/>
  <c r="E9" i="12"/>
  <c r="I9" i="12" s="1"/>
  <c r="E8" i="12"/>
  <c r="H8" i="12"/>
  <c r="E7" i="12"/>
  <c r="F7" i="12" s="1"/>
  <c r="E6" i="12"/>
  <c r="H6" i="12"/>
  <c r="E5" i="12"/>
  <c r="I5" i="12"/>
  <c r="I28" i="17"/>
  <c r="I27" i="17"/>
  <c r="I26" i="17"/>
  <c r="M25" i="17"/>
  <c r="I25" i="17"/>
  <c r="H35" i="28" s="1"/>
  <c r="M24" i="17"/>
  <c r="I24" i="17"/>
  <c r="B605" i="15" s="1"/>
  <c r="M23" i="17"/>
  <c r="I23" i="17"/>
  <c r="B604" i="15" s="1"/>
  <c r="I22" i="17"/>
  <c r="B603" i="15" s="1"/>
  <c r="M21" i="17"/>
  <c r="I21" i="17"/>
  <c r="B602" i="15" s="1"/>
  <c r="M20" i="17"/>
  <c r="I20" i="17"/>
  <c r="M19" i="17"/>
  <c r="I19" i="17"/>
  <c r="M18" i="17"/>
  <c r="I18" i="17"/>
  <c r="M17" i="17"/>
  <c r="I17" i="17"/>
  <c r="B399" i="15" a="1"/>
  <c r="B399" i="15" s="1"/>
  <c r="O90" i="50" s="1"/>
  <c r="M16" i="17"/>
  <c r="I16" i="17"/>
  <c r="B601" i="15" s="1"/>
  <c r="M15" i="17"/>
  <c r="I15" i="17"/>
  <c r="C16" i="47" s="1"/>
  <c r="M14" i="17"/>
  <c r="I14" i="17"/>
  <c r="C16" i="28" s="1"/>
  <c r="M13" i="17"/>
  <c r="I13" i="17"/>
  <c r="M12" i="17"/>
  <c r="I12" i="17"/>
  <c r="M11" i="17"/>
  <c r="I11" i="17"/>
  <c r="M10" i="17"/>
  <c r="I10" i="17"/>
  <c r="C12" i="50" s="1"/>
  <c r="C81" i="50" s="1"/>
  <c r="C15" i="32"/>
  <c r="M9" i="17"/>
  <c r="I9" i="17"/>
  <c r="C8" i="8" s="1"/>
  <c r="C7" i="17"/>
  <c r="Q23" i="17" s="1"/>
  <c r="P23" i="17" s="1"/>
  <c r="B609" i="15" a="1"/>
  <c r="C46" i="32" l="1"/>
  <c r="E47" i="32" s="1"/>
  <c r="S57" i="24"/>
  <c r="S68" i="50"/>
  <c r="S68" i="23"/>
  <c r="S67" i="46"/>
  <c r="F89" i="50"/>
  <c r="U23" i="46"/>
  <c r="U23" i="45"/>
  <c r="M22" i="24"/>
  <c r="U24" i="23"/>
  <c r="D6" i="49"/>
  <c r="I40" i="50"/>
  <c r="I39" i="45"/>
  <c r="I60" i="47"/>
  <c r="I60" i="50"/>
  <c r="I52" i="23"/>
  <c r="I52" i="50"/>
  <c r="I31" i="45"/>
  <c r="I32" i="50"/>
  <c r="S26" i="24"/>
  <c r="P24" i="49"/>
  <c r="P20" i="49"/>
  <c r="J61" i="50"/>
  <c r="J37" i="23"/>
  <c r="I27" i="45"/>
  <c r="O52" i="50"/>
  <c r="F42" i="49"/>
  <c r="O24" i="47"/>
  <c r="B43" i="49"/>
  <c r="B50" i="15"/>
  <c r="S25" i="24" s="1"/>
  <c r="L44" i="50"/>
  <c r="B26" i="15"/>
  <c r="S23" i="24" s="1"/>
  <c r="C27" i="8"/>
  <c r="C30" i="24" s="1"/>
  <c r="L28" i="47"/>
  <c r="B35" i="49"/>
  <c r="I36" i="50"/>
  <c r="J45" i="50"/>
  <c r="L36" i="50"/>
  <c r="E20" i="8"/>
  <c r="E23" i="24" s="1"/>
  <c r="G23" i="24"/>
  <c r="L27" i="45"/>
  <c r="O36" i="50"/>
  <c r="O27" i="45"/>
  <c r="O23" i="24"/>
  <c r="B574" i="15" s="1"/>
  <c r="N12" i="49" s="1"/>
  <c r="J45" i="23"/>
  <c r="O60" i="23"/>
  <c r="J45" i="47"/>
  <c r="U18" i="43"/>
  <c r="M34" i="24"/>
  <c r="AB34" i="39" a="1"/>
  <c r="AB34" i="39" s="1"/>
  <c r="C34" i="39" s="1"/>
  <c r="AB29" i="39" a="1"/>
  <c r="AB29" i="39" s="1"/>
  <c r="C29" i="39" s="1"/>
  <c r="AB39" i="39" a="1"/>
  <c r="AB39" i="39" s="1"/>
  <c r="C39" i="39" s="1"/>
  <c r="AB35" i="39" a="1"/>
  <c r="AB35" i="39" s="1"/>
  <c r="C35" i="39" s="1"/>
  <c r="AB32" i="39" a="1"/>
  <c r="AB32" i="39" s="1"/>
  <c r="C32" i="39" s="1"/>
  <c r="AB36" i="39" a="1"/>
  <c r="AB36" i="39" s="1"/>
  <c r="C36" i="39" s="1"/>
  <c r="AB37" i="39" a="1"/>
  <c r="AB37" i="39" s="1"/>
  <c r="C37" i="39" s="1"/>
  <c r="AB30" i="39" a="1"/>
  <c r="AB30" i="39" s="1"/>
  <c r="C30" i="39" s="1"/>
  <c r="AB31" i="39" a="1"/>
  <c r="AB31" i="39" s="1"/>
  <c r="C31" i="39" s="1"/>
  <c r="AB33" i="39" a="1"/>
  <c r="AB33" i="39" s="1"/>
  <c r="C33" i="39" s="1"/>
  <c r="AB38" i="39" a="1"/>
  <c r="AB38" i="39" s="1"/>
  <c r="C38" i="39" s="1"/>
  <c r="AD33" i="39" a="1"/>
  <c r="AD33" i="39" s="1"/>
  <c r="F33" i="39" s="1"/>
  <c r="AD32" i="39" a="1"/>
  <c r="AD32" i="39" s="1"/>
  <c r="F32" i="39" s="1"/>
  <c r="AD37" i="39" a="1"/>
  <c r="AD37" i="39" s="1"/>
  <c r="F37" i="39" s="1"/>
  <c r="AD34" i="39" a="1"/>
  <c r="AD34" i="39" s="1"/>
  <c r="F34" i="39" s="1"/>
  <c r="AD39" i="39" a="1"/>
  <c r="AD39" i="39" s="1"/>
  <c r="F39" i="39" s="1"/>
  <c r="AD35" i="39" a="1"/>
  <c r="AD35" i="39" s="1"/>
  <c r="F35" i="39" s="1"/>
  <c r="AD38" i="39" a="1"/>
  <c r="AD38" i="39" s="1"/>
  <c r="F38" i="39" s="1"/>
  <c r="AD30" i="39" a="1"/>
  <c r="AD30" i="39" s="1"/>
  <c r="F30" i="39" s="1"/>
  <c r="AD31" i="39" a="1"/>
  <c r="AD31" i="39" s="1"/>
  <c r="F31" i="39" s="1"/>
  <c r="AD29" i="39" a="1"/>
  <c r="AD29" i="39" s="1"/>
  <c r="F29" i="39" s="1"/>
  <c r="AD36" i="39" a="1"/>
  <c r="AD36" i="39" s="1"/>
  <c r="F36" i="39" s="1"/>
  <c r="AF37" i="39" a="1"/>
  <c r="AF37" i="39" s="1"/>
  <c r="O37" i="39" s="1"/>
  <c r="AF33" i="39" a="1"/>
  <c r="AF33" i="39" s="1"/>
  <c r="O33" i="39" s="1"/>
  <c r="AF29" i="39" a="1"/>
  <c r="AF29" i="39" s="1"/>
  <c r="O29" i="39" s="1"/>
  <c r="AF34" i="39" a="1"/>
  <c r="AF34" i="39" s="1"/>
  <c r="O34" i="39" s="1"/>
  <c r="AF39" i="39" a="1"/>
  <c r="AF39" i="39" s="1"/>
  <c r="O39" i="39" s="1"/>
  <c r="AF35" i="39" a="1"/>
  <c r="AF35" i="39" s="1"/>
  <c r="O35" i="39" s="1"/>
  <c r="AF38" i="39" a="1"/>
  <c r="AF38" i="39" s="1"/>
  <c r="O38" i="39" s="1"/>
  <c r="AF31" i="39" a="1"/>
  <c r="AF31" i="39" s="1"/>
  <c r="O31" i="39" s="1"/>
  <c r="AF30" i="39" a="1"/>
  <c r="AF30" i="39" s="1"/>
  <c r="O30" i="39" s="1"/>
  <c r="AF32" i="39" a="1"/>
  <c r="AF32" i="39" s="1"/>
  <c r="O32" i="39" s="1"/>
  <c r="AF36" i="39" a="1"/>
  <c r="AF36" i="39" s="1"/>
  <c r="O36" i="39" s="1"/>
  <c r="AH37" i="39" a="1"/>
  <c r="AH37" i="39" s="1"/>
  <c r="U37" i="39" s="1"/>
  <c r="AH38" i="39" a="1"/>
  <c r="AH38" i="39" s="1"/>
  <c r="U38" i="39" s="1"/>
  <c r="AH39" i="39" a="1"/>
  <c r="AH39" i="39" s="1"/>
  <c r="U39" i="39" s="1"/>
  <c r="AH30" i="39" a="1"/>
  <c r="AH30" i="39" s="1"/>
  <c r="U30" i="39" s="1"/>
  <c r="AH35" i="39" a="1"/>
  <c r="AH35" i="39" s="1"/>
  <c r="U35" i="39" s="1"/>
  <c r="AH29" i="39" a="1"/>
  <c r="AH29" i="39" s="1"/>
  <c r="U29" i="39" s="1"/>
  <c r="AH34" i="39" a="1"/>
  <c r="AH34" i="39" s="1"/>
  <c r="U34" i="39" s="1"/>
  <c r="AH31" i="39" a="1"/>
  <c r="AH31" i="39" s="1"/>
  <c r="U31" i="39" s="1"/>
  <c r="AH32" i="39" a="1"/>
  <c r="AH32" i="39" s="1"/>
  <c r="U32" i="39" s="1"/>
  <c r="AH36" i="39" a="1"/>
  <c r="AH36" i="39" s="1"/>
  <c r="U36" i="39" s="1"/>
  <c r="AH33" i="39" a="1"/>
  <c r="AH33" i="39" s="1"/>
  <c r="U33" i="39" s="1"/>
  <c r="L106" i="46"/>
  <c r="AC34" i="41" a="1"/>
  <c r="AC34" i="41" s="1"/>
  <c r="Q34" i="41" s="1"/>
  <c r="AC28" i="41" a="1"/>
  <c r="AC28" i="41" s="1"/>
  <c r="Q28" i="41" s="1"/>
  <c r="AC36" i="41" a="1"/>
  <c r="AC36" i="41" s="1"/>
  <c r="Q36" i="41" s="1"/>
  <c r="AC29" i="41" a="1"/>
  <c r="AC29" i="41" s="1"/>
  <c r="Q29" i="41" s="1"/>
  <c r="AC30" i="41" a="1"/>
  <c r="AC30" i="41" s="1"/>
  <c r="Q30" i="41" s="1"/>
  <c r="AC31" i="41" a="1"/>
  <c r="AC31" i="41" s="1"/>
  <c r="Q31" i="41" s="1"/>
  <c r="AC32" i="41" a="1"/>
  <c r="AC32" i="41" s="1"/>
  <c r="Q32" i="41" s="1"/>
  <c r="AC33" i="41" a="1"/>
  <c r="AC33" i="41" s="1"/>
  <c r="Q33" i="41" s="1"/>
  <c r="AC35" i="41" a="1"/>
  <c r="AC35" i="41" s="1"/>
  <c r="Q35" i="41" s="1"/>
  <c r="AC37" i="41" a="1"/>
  <c r="AC37" i="41" s="1"/>
  <c r="AA28" i="41" a="1"/>
  <c r="AA28" i="41" s="1"/>
  <c r="C28" i="41" s="1"/>
  <c r="AA36" i="41" a="1"/>
  <c r="AA36" i="41" s="1"/>
  <c r="C36" i="41" s="1"/>
  <c r="AA34" i="41" a="1"/>
  <c r="AA34" i="41" s="1"/>
  <c r="C34" i="41" s="1"/>
  <c r="AA29" i="41" a="1"/>
  <c r="AA29" i="41" s="1"/>
  <c r="C29" i="41" s="1"/>
  <c r="AA30" i="41" a="1"/>
  <c r="AA30" i="41" s="1"/>
  <c r="C30" i="41" s="1"/>
  <c r="AA31" i="41" a="1"/>
  <c r="AA31" i="41" s="1"/>
  <c r="C31" i="41" s="1"/>
  <c r="AA35" i="41" a="1"/>
  <c r="AA35" i="41" s="1"/>
  <c r="C35" i="41" s="1"/>
  <c r="AA32" i="41" a="1"/>
  <c r="AA32" i="41" s="1"/>
  <c r="C32" i="41" s="1"/>
  <c r="AA33" i="41" a="1"/>
  <c r="AA33" i="41" s="1"/>
  <c r="C33" i="41" s="1"/>
  <c r="AA37" i="41" a="1"/>
  <c r="AA37" i="41" s="1"/>
  <c r="F91" i="23"/>
  <c r="U24" i="50" s="1"/>
  <c r="B516" i="15"/>
  <c r="P104" i="49" s="1"/>
  <c r="AP4" i="18"/>
  <c r="AP14" i="18" s="1"/>
  <c r="AT4" i="18"/>
  <c r="AD4" i="18"/>
  <c r="AL4" i="18"/>
  <c r="AL14" i="18" s="1"/>
  <c r="B91" i="50"/>
  <c r="F91" i="50" s="1"/>
  <c r="B91" i="47"/>
  <c r="B106" i="46"/>
  <c r="B98" i="45"/>
  <c r="L101" i="47"/>
  <c r="U100" i="46"/>
  <c r="D174" i="49"/>
  <c r="U92" i="45"/>
  <c r="L101" i="23"/>
  <c r="E45" i="32"/>
  <c r="N45" i="32"/>
  <c r="D318" i="15"/>
  <c r="X20" i="51"/>
  <c r="Q101" i="23"/>
  <c r="Q101" i="47"/>
  <c r="Q101" i="50"/>
  <c r="B135" i="15"/>
  <c r="B136" i="15" s="1"/>
  <c r="B228" i="15"/>
  <c r="B298" i="15" s="1"/>
  <c r="B229" i="15"/>
  <c r="B299" i="15" s="1"/>
  <c r="B206" i="15"/>
  <c r="B256" i="15" s="1"/>
  <c r="B87" i="15"/>
  <c r="B88" i="15" s="1"/>
  <c r="B204" i="15"/>
  <c r="B254" i="15" s="1"/>
  <c r="B205" i="15"/>
  <c r="B255" i="15" s="1"/>
  <c r="B230" i="15"/>
  <c r="B300" i="15" s="1"/>
  <c r="B111" i="15"/>
  <c r="B112" i="15" s="1"/>
  <c r="B139" i="15"/>
  <c r="B140" i="15" s="1"/>
  <c r="B207" i="15"/>
  <c r="B257" i="15" s="1"/>
  <c r="B231" i="15"/>
  <c r="B301" i="15" s="1"/>
  <c r="B208" i="15"/>
  <c r="B258" i="15" s="1"/>
  <c r="B209" i="15"/>
  <c r="B259" i="15" s="1"/>
  <c r="B673" i="15"/>
  <c r="B674" i="15" s="1"/>
  <c r="B143" i="15"/>
  <c r="B144" i="15" s="1"/>
  <c r="O108" i="46"/>
  <c r="B27" i="15"/>
  <c r="B28" i="15" s="1"/>
  <c r="B213" i="15"/>
  <c r="B273" i="15" s="1"/>
  <c r="B187" i="15"/>
  <c r="B188" i="15" s="1"/>
  <c r="B214" i="15"/>
  <c r="B264" i="15" s="1"/>
  <c r="B404" i="15"/>
  <c r="B51" i="15"/>
  <c r="B52" i="15" s="1"/>
  <c r="B189" i="15"/>
  <c r="B190" i="15" s="1"/>
  <c r="B215" i="15"/>
  <c r="B275" i="15" s="1"/>
  <c r="B408" i="15"/>
  <c r="AX4" i="18" s="1"/>
  <c r="AK4" i="18" s="1"/>
  <c r="B212" i="15"/>
  <c r="B272" i="15" s="1"/>
  <c r="B217" i="15"/>
  <c r="B277" i="15" s="1"/>
  <c r="B218" i="15"/>
  <c r="B278" i="15" s="1"/>
  <c r="B75" i="15"/>
  <c r="B76" i="15" s="1"/>
  <c r="B99" i="15"/>
  <c r="B100" i="15" s="1"/>
  <c r="B123" i="15"/>
  <c r="B124" i="15" s="1"/>
  <c r="B219" i="15"/>
  <c r="B269" i="15" s="1"/>
  <c r="B216" i="15"/>
  <c r="B276" i="15" s="1"/>
  <c r="O100" i="45"/>
  <c r="B220" i="15"/>
  <c r="B280" i="15" s="1"/>
  <c r="B334" i="15"/>
  <c r="B349" i="15" s="1"/>
  <c r="D349" i="15" s="1"/>
  <c r="B210" i="15"/>
  <c r="B260" i="15" s="1"/>
  <c r="B211" i="15"/>
  <c r="B261" i="15" s="1"/>
  <c r="B221" i="15"/>
  <c r="B281" i="15" s="1"/>
  <c r="B335" i="15"/>
  <c r="B340" i="15" s="1"/>
  <c r="D340" i="15" s="1"/>
  <c r="B127" i="15"/>
  <c r="B128" i="15" s="1"/>
  <c r="B222" i="15"/>
  <c r="B292" i="15" s="1"/>
  <c r="B336" i="15"/>
  <c r="D336" i="15" s="1"/>
  <c r="O100" i="50"/>
  <c r="B223" i="15"/>
  <c r="B283" i="15" s="1"/>
  <c r="B131" i="15"/>
  <c r="B132" i="15" s="1"/>
  <c r="B225" i="15"/>
  <c r="B295" i="15" s="1"/>
  <c r="F173" i="49"/>
  <c r="B15" i="15"/>
  <c r="B16" i="15" s="1"/>
  <c r="B224" i="15"/>
  <c r="B294" i="15" s="1"/>
  <c r="B337" i="15"/>
  <c r="D337" i="15" s="1"/>
  <c r="B39" i="15"/>
  <c r="B40" i="15" s="1"/>
  <c r="B202" i="15"/>
  <c r="B252" i="15" s="1"/>
  <c r="B226" i="15"/>
  <c r="B296" i="15" s="1"/>
  <c r="B338" i="15"/>
  <c r="D338" i="15" s="1"/>
  <c r="B63" i="15"/>
  <c r="B64" i="15" s="1"/>
  <c r="B203" i="15"/>
  <c r="B253" i="15" s="1"/>
  <c r="D47" i="49"/>
  <c r="D2" i="49"/>
  <c r="D397" i="15"/>
  <c r="D393" i="15"/>
  <c r="Q68" i="47"/>
  <c r="Q68" i="23"/>
  <c r="Q67" i="45"/>
  <c r="Q68" i="50"/>
  <c r="U67" i="46"/>
  <c r="L101" i="46"/>
  <c r="L20" i="39"/>
  <c r="L93" i="45"/>
  <c r="F90" i="50"/>
  <c r="F90" i="23"/>
  <c r="U68" i="50"/>
  <c r="U67" i="45"/>
  <c r="O67" i="46"/>
  <c r="O68" i="50"/>
  <c r="O67" i="45"/>
  <c r="O68" i="23"/>
  <c r="L67" i="45"/>
  <c r="L68" i="50"/>
  <c r="L68" i="47"/>
  <c r="I67" i="45"/>
  <c r="I68" i="47"/>
  <c r="I68" i="50"/>
  <c r="I68" i="23"/>
  <c r="AC42" i="24"/>
  <c r="J25" i="45"/>
  <c r="J25" i="46"/>
  <c r="J26" i="23"/>
  <c r="J26" i="50"/>
  <c r="I24" i="50"/>
  <c r="I24" i="47"/>
  <c r="J25" i="23"/>
  <c r="B7" i="49"/>
  <c r="O23" i="46"/>
  <c r="B313" i="15"/>
  <c r="L23" i="46"/>
  <c r="J24" i="45"/>
  <c r="L24" i="47"/>
  <c r="L24" i="50"/>
  <c r="O24" i="50"/>
  <c r="J25" i="50"/>
  <c r="D388" i="15"/>
  <c r="R9" i="41"/>
  <c r="D392" i="15"/>
  <c r="Q10" i="47"/>
  <c r="J79" i="47" s="1"/>
  <c r="I8" i="43"/>
  <c r="D396" i="15"/>
  <c r="M21" i="51"/>
  <c r="L91" i="50"/>
  <c r="L96" i="50"/>
  <c r="Q10" i="46"/>
  <c r="J90" i="46" s="1"/>
  <c r="O15" i="50"/>
  <c r="O12" i="50"/>
  <c r="L16" i="50"/>
  <c r="L16" i="23"/>
  <c r="O90" i="47"/>
  <c r="F412" i="15"/>
  <c r="C17" i="45"/>
  <c r="C17" i="50"/>
  <c r="C16" i="50"/>
  <c r="C15" i="50"/>
  <c r="B3" i="15"/>
  <c r="B598" i="15"/>
  <c r="C13" i="50"/>
  <c r="C82" i="50" s="1"/>
  <c r="Q2" i="23"/>
  <c r="J76" i="23" s="1"/>
  <c r="Q9" i="39"/>
  <c r="R9" i="51"/>
  <c r="Q2" i="50"/>
  <c r="J76" i="50" s="1"/>
  <c r="Q2" i="47"/>
  <c r="J76" i="47" s="1"/>
  <c r="Q2" i="46"/>
  <c r="J87" i="46" s="1"/>
  <c r="Q10" i="50"/>
  <c r="J79" i="50" s="1"/>
  <c r="O89" i="50"/>
  <c r="O89" i="47"/>
  <c r="B567" i="15"/>
  <c r="B24" i="32" s="1"/>
  <c r="R1" i="51"/>
  <c r="N103" i="46"/>
  <c r="R1" i="32"/>
  <c r="Q2" i="45"/>
  <c r="J80" i="45" s="1"/>
  <c r="D149" i="49"/>
  <c r="D99" i="49" s="1"/>
  <c r="R3" i="41"/>
  <c r="R3" i="51"/>
  <c r="R5" i="41"/>
  <c r="R5" i="51"/>
  <c r="B24" i="39"/>
  <c r="B76" i="45"/>
  <c r="B57" i="39"/>
  <c r="I4" i="43"/>
  <c r="Q3" i="39"/>
  <c r="Q4" i="47"/>
  <c r="J77" i="47" s="1"/>
  <c r="Q4" i="45"/>
  <c r="J81" i="45" s="1"/>
  <c r="F162" i="49"/>
  <c r="R1" i="28"/>
  <c r="Q1" i="39"/>
  <c r="R7" i="32"/>
  <c r="R1" i="41"/>
  <c r="R5" i="32"/>
  <c r="R8" i="28"/>
  <c r="R3" i="32"/>
  <c r="Q5" i="23"/>
  <c r="J78" i="23" s="1"/>
  <c r="Q5" i="47"/>
  <c r="J78" i="47" s="1"/>
  <c r="Q10" i="23"/>
  <c r="J79" i="23" s="1"/>
  <c r="Q5" i="39"/>
  <c r="R3" i="28"/>
  <c r="N95" i="45"/>
  <c r="B561" i="15"/>
  <c r="B23" i="28" s="1"/>
  <c r="S69" i="45"/>
  <c r="D10" i="49"/>
  <c r="D42" i="49"/>
  <c r="P53" i="49"/>
  <c r="B163" i="15"/>
  <c r="B164" i="15" s="1"/>
  <c r="S69" i="46"/>
  <c r="S68" i="45"/>
  <c r="S69" i="47"/>
  <c r="S73" i="47"/>
  <c r="S73" i="23"/>
  <c r="D34" i="49"/>
  <c r="P79" i="49"/>
  <c r="J92" i="49"/>
  <c r="D100" i="49"/>
  <c r="W21" i="39"/>
  <c r="B376" i="15"/>
  <c r="B84" i="46" s="1"/>
  <c r="U99" i="45"/>
  <c r="B542" i="15"/>
  <c r="U43" i="43" s="1"/>
  <c r="B545" i="15"/>
  <c r="M46" i="24" s="1"/>
  <c r="S49" i="24"/>
  <c r="S61" i="24"/>
  <c r="U51" i="45"/>
  <c r="U59" i="45"/>
  <c r="U28" i="47"/>
  <c r="U52" i="47"/>
  <c r="U60" i="47"/>
  <c r="U52" i="23"/>
  <c r="N95" i="49"/>
  <c r="H174" i="49"/>
  <c r="B311" i="15"/>
  <c r="L98" i="46" s="1"/>
  <c r="B98" i="46" s="1"/>
  <c r="P32" i="49"/>
  <c r="U51" i="46"/>
  <c r="U107" i="46"/>
  <c r="F101" i="47"/>
  <c r="F101" i="23"/>
  <c r="X20" i="41"/>
  <c r="B541" i="15"/>
  <c r="U40" i="43" s="1"/>
  <c r="B155" i="15"/>
  <c r="B156" i="15" s="1"/>
  <c r="B162" i="15"/>
  <c r="P55" i="49"/>
  <c r="J93" i="49"/>
  <c r="B170" i="15"/>
  <c r="P69" i="49" s="1"/>
  <c r="B297" i="15"/>
  <c r="L108" i="46"/>
  <c r="B103" i="45"/>
  <c r="B521" i="15"/>
  <c r="P109" i="49" s="1"/>
  <c r="F93" i="47"/>
  <c r="F94" i="47"/>
  <c r="F93" i="23"/>
  <c r="L100" i="45"/>
  <c r="F94" i="23"/>
  <c r="L101" i="45"/>
  <c r="L109" i="46"/>
  <c r="B109" i="46"/>
  <c r="B107" i="46"/>
  <c r="B110" i="46"/>
  <c r="B94" i="47"/>
  <c r="B99" i="45"/>
  <c r="B102" i="45"/>
  <c r="B95" i="23"/>
  <c r="B108" i="46"/>
  <c r="B92" i="23"/>
  <c r="B93" i="47"/>
  <c r="B94" i="23"/>
  <c r="B100" i="45"/>
  <c r="AC30" i="24"/>
  <c r="B321" i="15"/>
  <c r="B361" i="15"/>
  <c r="D361" i="15" s="1"/>
  <c r="B595" i="15"/>
  <c r="N97" i="49" s="1"/>
  <c r="AF14" i="18"/>
  <c r="T14" i="18" s="1"/>
  <c r="AR14" i="18"/>
  <c r="D39" i="41" s="1"/>
  <c r="B322" i="15"/>
  <c r="AB14" i="18"/>
  <c r="D47" i="39" s="1"/>
  <c r="B363" i="15"/>
  <c r="F370" i="15" s="1"/>
  <c r="AH14" i="18"/>
  <c r="AN14" i="18"/>
  <c r="W47" i="39" s="1"/>
  <c r="AT14" i="18"/>
  <c r="AD14" i="18"/>
  <c r="AJ14" i="18"/>
  <c r="Q47" i="39" s="1"/>
  <c r="F8" i="12"/>
  <c r="F10" i="12"/>
  <c r="H10" i="12"/>
  <c r="C26" i="8"/>
  <c r="C29" i="24"/>
  <c r="L139" i="49" s="1"/>
  <c r="AC38" i="24"/>
  <c r="M45" i="24"/>
  <c r="BA21" i="18" a="1"/>
  <c r="BA21" i="18" s="1"/>
  <c r="L16" i="46"/>
  <c r="I43" i="46"/>
  <c r="O15" i="45"/>
  <c r="I59" i="45"/>
  <c r="O15" i="47"/>
  <c r="C17" i="47"/>
  <c r="I28" i="47"/>
  <c r="C16" i="23"/>
  <c r="I24" i="23"/>
  <c r="I28" i="23"/>
  <c r="I56" i="23"/>
  <c r="O90" i="23"/>
  <c r="C14" i="28"/>
  <c r="C15" i="28"/>
  <c r="C17" i="28"/>
  <c r="C18" i="28"/>
  <c r="C19" i="32"/>
  <c r="R16" i="49"/>
  <c r="L143" i="49"/>
  <c r="L144" i="49"/>
  <c r="D154" i="49"/>
  <c r="D48" i="49" s="1"/>
  <c r="D157" i="49"/>
  <c r="B179" i="15"/>
  <c r="B180" i="15"/>
  <c r="B287" i="15"/>
  <c r="B310" i="15"/>
  <c r="B387" i="15"/>
  <c r="D387" i="15"/>
  <c r="B400" i="15"/>
  <c r="B401" i="15"/>
  <c r="B670" i="15"/>
  <c r="B671" i="15" s="1"/>
  <c r="F5" i="12"/>
  <c r="H5" i="12"/>
  <c r="F6" i="12"/>
  <c r="I6" i="12"/>
  <c r="H7" i="12"/>
  <c r="I8" i="12"/>
  <c r="G10" i="12"/>
  <c r="C19" i="8"/>
  <c r="C22" i="24" s="1"/>
  <c r="AC22" i="24" s="1"/>
  <c r="C20" i="8"/>
  <c r="C23" i="24" s="1"/>
  <c r="L133" i="49" s="1"/>
  <c r="C23" i="8"/>
  <c r="C26" i="24" s="1"/>
  <c r="L136" i="49" s="1"/>
  <c r="M43" i="24"/>
  <c r="M44" i="24"/>
  <c r="BB21" i="18" a="1"/>
  <c r="BB21" i="18" s="1"/>
  <c r="C12" i="46"/>
  <c r="C92" i="46"/>
  <c r="L16" i="45"/>
  <c r="AB28" i="39" a="1"/>
  <c r="AB28" i="39" s="1"/>
  <c r="C28" i="39" s="1"/>
  <c r="AC27" i="41" a="1"/>
  <c r="AC27" i="41" s="1"/>
  <c r="Q27" i="41" s="1"/>
  <c r="L140" i="49"/>
  <c r="L142" i="49"/>
  <c r="D155" i="49"/>
  <c r="D164" i="49"/>
  <c r="B14" i="15"/>
  <c r="S22" i="24" s="1"/>
  <c r="B154" i="15"/>
  <c r="S43" i="24" s="1"/>
  <c r="D385" i="15"/>
  <c r="B655" i="15"/>
  <c r="P115" i="49" s="1"/>
  <c r="B667" i="15"/>
  <c r="B668" i="15" s="1"/>
  <c r="B676" i="15"/>
  <c r="B677" i="15" s="1"/>
  <c r="G6" i="12"/>
  <c r="G7" i="12"/>
  <c r="G8" i="12"/>
  <c r="H9" i="12"/>
  <c r="I10" i="12"/>
  <c r="C25" i="8"/>
  <c r="C28" i="24"/>
  <c r="L138" i="49" s="1"/>
  <c r="C13" i="46"/>
  <c r="C93" i="46" s="1"/>
  <c r="I39" i="46"/>
  <c r="R83" i="46"/>
  <c r="N104" i="46"/>
  <c r="C14" i="43"/>
  <c r="R15" i="43"/>
  <c r="O12" i="45"/>
  <c r="I35" i="45"/>
  <c r="I43" i="45"/>
  <c r="U91" i="45"/>
  <c r="O12" i="47"/>
  <c r="C15" i="47"/>
  <c r="I56" i="47"/>
  <c r="I36" i="23"/>
  <c r="I60" i="23"/>
  <c r="C16" i="32"/>
  <c r="L22" i="39"/>
  <c r="AC39" i="41" a="1"/>
  <c r="AC39" i="41" s="1"/>
  <c r="R20" i="49"/>
  <c r="P36" i="49"/>
  <c r="R40" i="49"/>
  <c r="L43" i="49"/>
  <c r="L70" i="49"/>
  <c r="L145" i="49"/>
  <c r="D156" i="49"/>
  <c r="B146" i="15"/>
  <c r="S42" i="24" s="1"/>
  <c r="G9" i="12"/>
  <c r="C22" i="8"/>
  <c r="C25" i="24" s="1"/>
  <c r="AC25" i="24" s="1"/>
  <c r="I27" i="46"/>
  <c r="I51" i="46"/>
  <c r="I55" i="46"/>
  <c r="N83" i="46"/>
  <c r="U98" i="46"/>
  <c r="U46" i="43"/>
  <c r="D30" i="36"/>
  <c r="C13" i="45"/>
  <c r="C86" i="45" s="1"/>
  <c r="C16" i="45"/>
  <c r="I23" i="45"/>
  <c r="I51" i="45"/>
  <c r="I55" i="45"/>
  <c r="U90" i="45"/>
  <c r="C12" i="47"/>
  <c r="C81" i="47"/>
  <c r="O13" i="47"/>
  <c r="L16" i="47"/>
  <c r="I32" i="47"/>
  <c r="I52" i="47"/>
  <c r="L91" i="47"/>
  <c r="O12" i="23"/>
  <c r="C13" i="23"/>
  <c r="C82" i="23" s="1"/>
  <c r="C15" i="23"/>
  <c r="I40" i="23"/>
  <c r="L91" i="23"/>
  <c r="C17" i="32"/>
  <c r="C14" i="39"/>
  <c r="AH28" i="39" a="1"/>
  <c r="AH28" i="39" s="1"/>
  <c r="U28" i="39" s="1"/>
  <c r="AC38" i="41" a="1"/>
  <c r="AC38" i="41" s="1"/>
  <c r="R24" i="49"/>
  <c r="R32" i="49"/>
  <c r="D169" i="49"/>
  <c r="B406" i="15"/>
  <c r="B410" i="15"/>
  <c r="B628" i="15"/>
  <c r="C26" i="32" s="1"/>
  <c r="B629" i="15"/>
  <c r="L11" i="49" s="1"/>
  <c r="B630" i="15"/>
  <c r="L15" i="49" s="1"/>
  <c r="B631" i="15"/>
  <c r="C32" i="32" s="1"/>
  <c r="B632" i="15"/>
  <c r="C34" i="32" s="1"/>
  <c r="B633" i="15"/>
  <c r="L27" i="49" s="1"/>
  <c r="B634" i="15"/>
  <c r="C38" i="32" s="1"/>
  <c r="B635" i="15"/>
  <c r="C40" i="32" s="1"/>
  <c r="B636" i="15"/>
  <c r="L39" i="49" s="1"/>
  <c r="C28" i="8"/>
  <c r="C31" i="24"/>
  <c r="K45" i="32" s="1"/>
  <c r="L141" i="49"/>
  <c r="C2" i="24"/>
  <c r="S45" i="24"/>
  <c r="BB20" i="18" a="1"/>
  <c r="BB20" i="18" s="1"/>
  <c r="O12" i="46"/>
  <c r="I31" i="46"/>
  <c r="C13" i="43"/>
  <c r="C15" i="43"/>
  <c r="C12" i="45"/>
  <c r="C85" i="45" s="1"/>
  <c r="C15" i="45"/>
  <c r="L96" i="47"/>
  <c r="C12" i="23"/>
  <c r="C81" i="23" s="1"/>
  <c r="O13" i="23"/>
  <c r="O15" i="23"/>
  <c r="C17" i="23"/>
  <c r="I32" i="23"/>
  <c r="L96" i="23"/>
  <c r="AD28" i="39" a="1"/>
  <c r="AD28" i="39" s="1"/>
  <c r="F28" i="39" s="1"/>
  <c r="M21" i="41"/>
  <c r="L67" i="49"/>
  <c r="L69" i="49"/>
  <c r="B171" i="15"/>
  <c r="B172" i="15" s="1"/>
  <c r="B389" i="15"/>
  <c r="D389" i="15"/>
  <c r="B609" i="15"/>
  <c r="P20" i="18" s="1"/>
  <c r="P27" i="18" s="1"/>
  <c r="I7" i="12"/>
  <c r="F9" i="12"/>
  <c r="C21" i="8"/>
  <c r="C24" i="24" s="1"/>
  <c r="AC24" i="24" s="1"/>
  <c r="C24" i="8"/>
  <c r="C27" i="24"/>
  <c r="L137" i="49" s="1"/>
  <c r="BA20" i="18" a="1"/>
  <c r="BA20" i="18" s="1"/>
  <c r="O15" i="46"/>
  <c r="C17" i="46"/>
  <c r="I35" i="46"/>
  <c r="I59" i="46"/>
  <c r="R14" i="43"/>
  <c r="I47" i="45"/>
  <c r="N96" i="45"/>
  <c r="C13" i="47"/>
  <c r="C82" i="47" s="1"/>
  <c r="I40" i="47"/>
  <c r="I48" i="47"/>
  <c r="I44" i="23"/>
  <c r="I48" i="23"/>
  <c r="C18" i="32"/>
  <c r="P28" i="49"/>
  <c r="R44" i="49"/>
  <c r="D158" i="49"/>
  <c r="B147" i="15"/>
  <c r="B412" i="15"/>
  <c r="D412" i="15"/>
  <c r="C9" i="8"/>
  <c r="O13" i="46"/>
  <c r="C16" i="46"/>
  <c r="I23" i="46"/>
  <c r="O13" i="45"/>
  <c r="AF28" i="39" a="1"/>
  <c r="AF28" i="39" s="1"/>
  <c r="O28" i="39" s="1"/>
  <c r="F163" i="49"/>
  <c r="B178" i="15"/>
  <c r="P70" i="49" s="1"/>
  <c r="B597" i="15"/>
  <c r="C12" i="51" s="1"/>
  <c r="C13" i="39"/>
  <c r="B599" i="15"/>
  <c r="B600" i="15"/>
  <c r="B651" i="15"/>
  <c r="G5" i="12"/>
  <c r="C15" i="46"/>
  <c r="AA27" i="41" a="1"/>
  <c r="AA27" i="41" s="1"/>
  <c r="C27" i="41" s="1"/>
  <c r="P12" i="49" l="1"/>
  <c r="L66" i="49"/>
  <c r="D311" i="15"/>
  <c r="F87" i="23"/>
  <c r="B87" i="23" s="1"/>
  <c r="B88" i="23" s="1"/>
  <c r="B274" i="15"/>
  <c r="B289" i="15"/>
  <c r="B286" i="15"/>
  <c r="B288" i="15"/>
  <c r="B285" i="15"/>
  <c r="B268" i="15"/>
  <c r="B267" i="15"/>
  <c r="B290" i="15"/>
  <c r="D321" i="15"/>
  <c r="X18" i="51"/>
  <c r="P125" i="49"/>
  <c r="Q24" i="50"/>
  <c r="F368" i="15"/>
  <c r="B329" i="15"/>
  <c r="D329" i="15" s="1"/>
  <c r="B266" i="15"/>
  <c r="F407" i="15"/>
  <c r="B271" i="15"/>
  <c r="B270" i="15"/>
  <c r="B265" i="15"/>
  <c r="B262" i="15"/>
  <c r="AX6" i="18"/>
  <c r="AG6" i="18" s="1"/>
  <c r="D334" i="15"/>
  <c r="AX5" i="18"/>
  <c r="AS5" i="18" s="1"/>
  <c r="E41" i="32"/>
  <c r="N41" i="32"/>
  <c r="K41" i="32"/>
  <c r="N33" i="32"/>
  <c r="K33" i="32"/>
  <c r="E33" i="32"/>
  <c r="N39" i="32"/>
  <c r="K39" i="32"/>
  <c r="E39" i="32"/>
  <c r="N35" i="32"/>
  <c r="K35" i="32"/>
  <c r="E35" i="32"/>
  <c r="N99" i="45"/>
  <c r="O101" i="50"/>
  <c r="D335" i="15"/>
  <c r="AX10" i="18"/>
  <c r="AK10" i="18" s="1"/>
  <c r="AX11" i="18"/>
  <c r="AG11" i="18" s="1"/>
  <c r="B291" i="15"/>
  <c r="B339" i="15"/>
  <c r="D339" i="15" s="1"/>
  <c r="B359" i="15"/>
  <c r="D359" i="15" s="1"/>
  <c r="B263" i="15"/>
  <c r="B284" i="15"/>
  <c r="B282" i="15"/>
  <c r="B332" i="15" s="1"/>
  <c r="B293" i="15"/>
  <c r="B333" i="15" s="1"/>
  <c r="D333" i="15" s="1"/>
  <c r="B350" i="15"/>
  <c r="D350" i="15" s="1"/>
  <c r="B279" i="15"/>
  <c r="B331" i="15" s="1"/>
  <c r="B368" i="15" s="1"/>
  <c r="D368" i="15" s="1"/>
  <c r="B616" i="15"/>
  <c r="B111" i="45" s="1"/>
  <c r="H111" i="45" s="1"/>
  <c r="F86" i="50"/>
  <c r="F87" i="47"/>
  <c r="B87" i="47" s="1"/>
  <c r="B88" i="47" s="1"/>
  <c r="F87" i="50"/>
  <c r="B87" i="50" s="1"/>
  <c r="B88" i="50" s="1"/>
  <c r="B148" i="15"/>
  <c r="L90" i="45"/>
  <c r="B90" i="45" s="1"/>
  <c r="B617" i="15"/>
  <c r="C13" i="41"/>
  <c r="C13" i="51"/>
  <c r="N27" i="32"/>
  <c r="K27" i="32"/>
  <c r="E27" i="32"/>
  <c r="N97" i="45"/>
  <c r="O91" i="50"/>
  <c r="D72" i="49"/>
  <c r="D1" i="49"/>
  <c r="D46" i="49"/>
  <c r="Q90" i="23"/>
  <c r="Q90" i="50"/>
  <c r="U52" i="43"/>
  <c r="M42" i="24"/>
  <c r="D312" i="15"/>
  <c r="S44" i="24"/>
  <c r="P68" i="49"/>
  <c r="P8" i="49"/>
  <c r="AC23" i="24"/>
  <c r="AC26" i="24"/>
  <c r="AX12" i="18"/>
  <c r="O91" i="47"/>
  <c r="O101" i="23"/>
  <c r="C36" i="32"/>
  <c r="L19" i="49"/>
  <c r="L31" i="49"/>
  <c r="L35" i="49"/>
  <c r="P66" i="49"/>
  <c r="D101" i="49"/>
  <c r="I110" i="49"/>
  <c r="L135" i="49"/>
  <c r="D363" i="15"/>
  <c r="N107" i="46"/>
  <c r="L134" i="49"/>
  <c r="S46" i="24"/>
  <c r="AO4" i="18"/>
  <c r="R14" i="18"/>
  <c r="X14" i="18"/>
  <c r="L97" i="46"/>
  <c r="L89" i="45"/>
  <c r="F86" i="47"/>
  <c r="C28" i="32"/>
  <c r="K47" i="39"/>
  <c r="L23" i="49"/>
  <c r="AC31" i="24"/>
  <c r="AX14" i="18"/>
  <c r="U104" i="46"/>
  <c r="U96" i="45"/>
  <c r="C42" i="32"/>
  <c r="C12" i="41"/>
  <c r="D3" i="49"/>
  <c r="D74" i="49"/>
  <c r="H163" i="49"/>
  <c r="AC27" i="24"/>
  <c r="AC28" i="24"/>
  <c r="AC4" i="18"/>
  <c r="AG4" i="18"/>
  <c r="N105" i="46"/>
  <c r="L132" i="49"/>
  <c r="B201" i="15"/>
  <c r="P97" i="49" s="1"/>
  <c r="D33" i="36" s="1"/>
  <c r="H33" i="36" s="1"/>
  <c r="AC29" i="24"/>
  <c r="AS4" i="18"/>
  <c r="O91" i="23"/>
  <c r="C30" i="32"/>
  <c r="X18" i="41"/>
  <c r="P67" i="49"/>
  <c r="F164" i="49"/>
  <c r="F174" i="49"/>
  <c r="B411" i="15"/>
  <c r="AX13" i="18" s="1"/>
  <c r="AO13" i="18" s="1"/>
  <c r="AX8" i="18"/>
  <c r="Q90" i="47"/>
  <c r="O101" i="47"/>
  <c r="F86" i="23"/>
  <c r="V14" i="18"/>
  <c r="B312" i="15"/>
  <c r="L19" i="39" s="1"/>
  <c r="B362" i="15"/>
  <c r="B120" i="46" l="1"/>
  <c r="H120" i="46" s="1"/>
  <c r="AK11" i="18"/>
  <c r="AK5" i="18"/>
  <c r="AC6" i="18"/>
  <c r="AC11" i="18"/>
  <c r="AG5" i="18"/>
  <c r="AO5" i="18"/>
  <c r="AS6" i="18"/>
  <c r="AK6" i="18"/>
  <c r="AO6" i="18"/>
  <c r="AO10" i="18"/>
  <c r="AO11" i="18"/>
  <c r="AS11" i="18"/>
  <c r="B330" i="15"/>
  <c r="D330" i="15" s="1"/>
  <c r="AS10" i="18"/>
  <c r="AG10" i="18"/>
  <c r="AC10" i="18"/>
  <c r="AC5" i="18"/>
  <c r="N37" i="32"/>
  <c r="K37" i="32"/>
  <c r="E37" i="32"/>
  <c r="N31" i="32"/>
  <c r="K31" i="32"/>
  <c r="E31" i="32"/>
  <c r="N29" i="32"/>
  <c r="K29" i="32"/>
  <c r="E29" i="32"/>
  <c r="E43" i="32"/>
  <c r="N43" i="32"/>
  <c r="K43" i="32"/>
  <c r="D362" i="15"/>
  <c r="F369" i="15"/>
  <c r="B360" i="15"/>
  <c r="M18" i="51"/>
  <c r="F88" i="50"/>
  <c r="B369" i="15"/>
  <c r="D369" i="15" s="1"/>
  <c r="AO8" i="18"/>
  <c r="AS8" i="18"/>
  <c r="AS12" i="18"/>
  <c r="AO12" i="18"/>
  <c r="B309" i="15" a="1"/>
  <c r="B309" i="15" s="1"/>
  <c r="P127" i="49"/>
  <c r="B370" i="15"/>
  <c r="B407" i="15" s="1"/>
  <c r="AC13" i="18"/>
  <c r="R97" i="49"/>
  <c r="D332" i="15"/>
  <c r="B320" i="15"/>
  <c r="AG13" i="18"/>
  <c r="L99" i="46"/>
  <c r="D23" i="36" s="1"/>
  <c r="D97" i="49"/>
  <c r="AK8" i="18"/>
  <c r="AG12" i="18"/>
  <c r="AK13" i="18"/>
  <c r="F88" i="47"/>
  <c r="M18" i="41"/>
  <c r="AC8" i="18"/>
  <c r="AG8" i="18"/>
  <c r="AC12" i="18"/>
  <c r="AK12" i="18"/>
  <c r="F88" i="23"/>
  <c r="D331" i="15"/>
  <c r="B302" i="15"/>
  <c r="S63" i="24"/>
  <c r="AS13" i="18"/>
  <c r="L91" i="45"/>
  <c r="F367" i="15" l="1"/>
  <c r="D360" i="15"/>
  <c r="B367" i="15"/>
  <c r="D367" i="15" s="1"/>
  <c r="L21" i="39"/>
  <c r="M20" i="51"/>
  <c r="L87" i="50"/>
  <c r="F102" i="23"/>
  <c r="F102" i="50"/>
  <c r="L86" i="50"/>
  <c r="U98" i="45"/>
  <c r="Q96" i="50"/>
  <c r="D370" i="15"/>
  <c r="D407" i="15" s="1"/>
  <c r="D428" i="15"/>
  <c r="B426" i="15" a="1"/>
  <c r="B426" i="15" s="1"/>
  <c r="D427" i="15"/>
  <c r="B423" i="15"/>
  <c r="B422" i="15"/>
  <c r="B424" i="15"/>
  <c r="AX9" i="18"/>
  <c r="L87" i="23"/>
  <c r="I112" i="49"/>
  <c r="B303" i="15"/>
  <c r="L86" i="47"/>
  <c r="Q96" i="47"/>
  <c r="F102" i="47"/>
  <c r="L86" i="23"/>
  <c r="M20" i="41"/>
  <c r="D160" i="49"/>
  <c r="B319" i="15"/>
  <c r="D319" i="15" s="1"/>
  <c r="L102" i="46"/>
  <c r="U106" i="46"/>
  <c r="L94" i="45"/>
  <c r="H169" i="49"/>
  <c r="B414" i="15"/>
  <c r="B437" i="15"/>
  <c r="L87" i="47"/>
  <c r="Q96" i="23"/>
  <c r="B304" i="15" l="1"/>
  <c r="B325" i="15"/>
  <c r="B365" i="15" s="1"/>
  <c r="D365" i="15" s="1"/>
  <c r="B425" i="15"/>
  <c r="B724" i="15" s="1"/>
  <c r="Q86" i="23"/>
  <c r="Q86" i="50"/>
  <c r="L102" i="50"/>
  <c r="F169" i="49"/>
  <c r="O96" i="50"/>
  <c r="AO9" i="18"/>
  <c r="AG9" i="18"/>
  <c r="AC9" i="18"/>
  <c r="L109" i="45"/>
  <c r="O96" i="23"/>
  <c r="L102" i="23"/>
  <c r="D175" i="49"/>
  <c r="D325" i="15"/>
  <c r="AS9" i="18"/>
  <c r="D326" i="15"/>
  <c r="D328" i="15" s="1"/>
  <c r="AK9" i="18"/>
  <c r="L118" i="46"/>
  <c r="U97" i="46"/>
  <c r="N98" i="45"/>
  <c r="N106" i="46"/>
  <c r="L102" i="47"/>
  <c r="O96" i="47"/>
  <c r="U89" i="45"/>
  <c r="Q86" i="47"/>
  <c r="F364" i="15" l="1"/>
  <c r="F405" i="15" s="1"/>
  <c r="F365" i="15"/>
  <c r="B326" i="15"/>
  <c r="B328" i="15" s="1"/>
  <c r="D327" i="15"/>
  <c r="D366" i="15" s="1"/>
  <c r="D413" i="15" s="1"/>
  <c r="B364" i="15"/>
  <c r="B405" i="15" s="1"/>
  <c r="B327" i="15" l="1"/>
  <c r="I109" i="49"/>
  <c r="Q89" i="50"/>
  <c r="Q89" i="47"/>
  <c r="AX7" i="18"/>
  <c r="H162" i="49"/>
  <c r="U95" i="45"/>
  <c r="U103" i="46"/>
  <c r="D364" i="15"/>
  <c r="D405" i="15" s="1"/>
  <c r="D435" i="15" s="1"/>
  <c r="Q89" i="23"/>
  <c r="B366" i="15" l="1"/>
  <c r="B413" i="15" s="1"/>
  <c r="F366" i="15"/>
  <c r="F413" i="15" s="1"/>
  <c r="AC7" i="18"/>
  <c r="AC14" i="18" s="1"/>
  <c r="AK7" i="18"/>
  <c r="AK14" i="18" s="1"/>
  <c r="AO7" i="18"/>
  <c r="AO14" i="18" s="1"/>
  <c r="B613" i="15" s="1"/>
  <c r="U46" i="39" s="1"/>
  <c r="AS7" i="18"/>
  <c r="AS14" i="18" s="1"/>
  <c r="D41" i="41" s="1"/>
  <c r="D40" i="41" s="1"/>
  <c r="AG7" i="18"/>
  <c r="AG14" i="18" s="1"/>
  <c r="B611" i="15" s="1"/>
  <c r="W49" i="39"/>
  <c r="W48" i="39" s="1"/>
  <c r="B612" i="15" l="1"/>
  <c r="O46" i="39" s="1"/>
  <c r="Q49" i="39"/>
  <c r="Q48" i="39" s="1"/>
  <c r="D49" i="39"/>
  <c r="D48" i="39" s="1"/>
  <c r="B610" i="15"/>
  <c r="C46" i="39" s="1"/>
  <c r="F435" i="15"/>
  <c r="W20" i="39"/>
  <c r="U105" i="46"/>
  <c r="U97" i="45"/>
  <c r="Q91" i="50"/>
  <c r="I111" i="49"/>
  <c r="Q91" i="47"/>
  <c r="Q91" i="23"/>
  <c r="H164" i="49"/>
  <c r="X19" i="51"/>
  <c r="X19" i="41"/>
  <c r="B435" i="15"/>
  <c r="F46" i="39"/>
  <c r="K49" i="39"/>
  <c r="K48" i="39" s="1"/>
  <c r="B449" i="15" l="1"/>
  <c r="B450" i="15"/>
  <c r="T23" i="41" s="1"/>
  <c r="B431" i="15"/>
  <c r="B43" i="37" s="1"/>
  <c r="B607" i="15"/>
  <c r="B436" i="15"/>
  <c r="U118" i="46"/>
  <c r="U109" i="45"/>
  <c r="X21" i="41"/>
  <c r="B429" i="15"/>
  <c r="B606" i="15"/>
  <c r="B430" i="15"/>
  <c r="B39" i="37" s="1"/>
  <c r="B36" i="37"/>
  <c r="B38" i="37"/>
  <c r="B596" i="15"/>
  <c r="W22" i="39"/>
  <c r="F436" i="15"/>
  <c r="B40" i="37" l="1"/>
  <c r="O45" i="39"/>
  <c r="C45" i="39"/>
  <c r="U45" i="39"/>
  <c r="S24" i="39"/>
  <c r="F45" i="39"/>
  <c r="B440" i="15"/>
  <c r="H77" i="46" s="1"/>
  <c r="B441" i="15"/>
  <c r="N77" i="46" s="1"/>
  <c r="B442" i="15"/>
  <c r="R77" i="46" s="1"/>
  <c r="B77" i="46"/>
  <c r="B37" i="37"/>
  <c r="U86" i="50"/>
  <c r="U86" i="47"/>
  <c r="Q102" i="47"/>
  <c r="B438" i="15"/>
  <c r="Q102" i="23"/>
  <c r="H175" i="49"/>
  <c r="U86" i="23"/>
  <c r="X21" i="51"/>
  <c r="Q102" i="50"/>
  <c r="B42" i="37"/>
  <c r="B81" i="46"/>
  <c r="B44" i="37"/>
  <c r="B447" i="15"/>
  <c r="N81" i="46" s="1"/>
  <c r="B446" i="15"/>
  <c r="H81" i="46" s="1"/>
  <c r="B448" i="15"/>
  <c r="R81" i="46" s="1"/>
  <c r="R76" i="45"/>
  <c r="U13" i="24"/>
  <c r="B41" i="37"/>
  <c r="B79" i="46"/>
  <c r="B445" i="15"/>
  <c r="R79" i="46" s="1"/>
  <c r="B444" i="15"/>
  <c r="N79" i="46" s="1"/>
  <c r="B443" i="15"/>
  <c r="H79" i="46" s="1"/>
  <c r="U102" i="23" l="1"/>
  <c r="U102" i="50"/>
  <c r="U102" i="47"/>
  <c r="N175"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<sst xmlns="http://schemas.openxmlformats.org/spreadsheetml/2006/main" count="3324" uniqueCount="2300">
  <si>
    <t>Crystal Customer Input Screen</t>
  </si>
  <si>
    <t>MUST ENTER COUNTY OF RESIDENCE</t>
  </si>
  <si>
    <t>Customer Phone Number</t>
  </si>
  <si>
    <t>Perform Search by either phone number or first part of name, but not both. Try phone number first</t>
  </si>
  <si>
    <t xml:space="preserve">Customer Search First Part of Business Name or Last Name </t>
  </si>
  <si>
    <t>If you do not get the name you are looking for, then, clear and enter manually</t>
  </si>
  <si>
    <t>Search Result</t>
  </si>
  <si>
    <t>Data Used for Invoice</t>
  </si>
  <si>
    <t>Customer Number</t>
  </si>
  <si>
    <t xml:space="preserve">Consolidated or Business Name </t>
  </si>
  <si>
    <t>First Name</t>
  </si>
  <si>
    <t>Middle Name</t>
  </si>
  <si>
    <t>Last Name</t>
  </si>
  <si>
    <t>Customer Address</t>
  </si>
  <si>
    <t>Customer Address 2</t>
  </si>
  <si>
    <t>Customer City</t>
  </si>
  <si>
    <t>Customer State</t>
  </si>
  <si>
    <t>Customer Zip Code</t>
  </si>
  <si>
    <t>Customer Florida County</t>
  </si>
  <si>
    <t>Customer Georgia County</t>
  </si>
  <si>
    <t>Customer Email</t>
  </si>
  <si>
    <t>Customer Cell</t>
  </si>
  <si>
    <t>Customer Home</t>
  </si>
  <si>
    <t>Customer Work</t>
  </si>
  <si>
    <t>Customer Tax Exempt Number</t>
  </si>
  <si>
    <t>Customer Insurance Company</t>
  </si>
  <si>
    <t>Customer Insurance Policy Number</t>
  </si>
  <si>
    <t>Customer Insurance Expiration</t>
  </si>
  <si>
    <t>Customer Signature</t>
  </si>
  <si>
    <t>[Customer Signature]</t>
  </si>
  <si>
    <t>Company Signature</t>
  </si>
  <si>
    <t>[Company Signature]</t>
  </si>
  <si>
    <t>Make</t>
  </si>
  <si>
    <t>Mod</t>
  </si>
  <si>
    <t>Desc</t>
  </si>
  <si>
    <t>Machine Serial #</t>
  </si>
  <si>
    <t>Group Code</t>
  </si>
  <si>
    <t xml:space="preserve">Enter Stock Number </t>
  </si>
  <si>
    <t>Enter Stock Number in Yellow Cells to get Unit Data</t>
  </si>
  <si>
    <t>Data Good through June 17</t>
  </si>
  <si>
    <t>Must Have a Value in Orange Cells</t>
  </si>
  <si>
    <t>Fill in all Cells with Possible Data</t>
  </si>
  <si>
    <t>Store</t>
  </si>
  <si>
    <t>Customer Name</t>
  </si>
  <si>
    <t>Quote Number</t>
  </si>
  <si>
    <t>Quote Date</t>
  </si>
  <si>
    <t>Sales Person</t>
  </si>
  <si>
    <t>Second Sales Person</t>
  </si>
  <si>
    <t>Other Description from Table</t>
  </si>
  <si>
    <t>FREE FORM DESCRIPTION</t>
  </si>
  <si>
    <t>Type</t>
  </si>
  <si>
    <t>Stock Number</t>
  </si>
  <si>
    <t>Model</t>
  </si>
  <si>
    <t>Serial Number</t>
  </si>
  <si>
    <t>Not In Stock</t>
  </si>
  <si>
    <t>Description</t>
  </si>
  <si>
    <t>Other Description</t>
  </si>
  <si>
    <t>Non Serialized items</t>
  </si>
  <si>
    <t>Quantity</t>
  </si>
  <si>
    <t>Part Number</t>
  </si>
  <si>
    <t>Description from Table</t>
  </si>
  <si>
    <t>Other Description Free Form</t>
  </si>
  <si>
    <t>No Serial Number</t>
  </si>
  <si>
    <t>Trade In</t>
  </si>
  <si>
    <t>Lender</t>
  </si>
  <si>
    <t>Payoff Good Until</t>
  </si>
  <si>
    <t>Amount Owed</t>
  </si>
  <si>
    <t>Hours</t>
  </si>
  <si>
    <t>Condition</t>
  </si>
  <si>
    <t>Quanitityof New Tires Sold</t>
  </si>
  <si>
    <t>Quantity of new tires sold</t>
  </si>
  <si>
    <t xml:space="preserve">Quantity of New Batteries Sold </t>
  </si>
  <si>
    <t>Quantity of new batteries Sold</t>
  </si>
  <si>
    <t>Additional Information for Invoice Detail</t>
  </si>
  <si>
    <t>Commission Split</t>
  </si>
  <si>
    <t>Tax Exempt</t>
  </si>
  <si>
    <t>Freight Charge</t>
  </si>
  <si>
    <t>Customer Accepted Terms before sent to Finance</t>
  </si>
  <si>
    <t>Sales Person Names</t>
  </si>
  <si>
    <t>Set Up Fee</t>
  </si>
  <si>
    <t>Sales Tax Exemption Reason 1</t>
  </si>
  <si>
    <t>DMV Charges</t>
  </si>
  <si>
    <t>Customer Accepted Term in Months before Finance Referal</t>
  </si>
  <si>
    <t>Days Until Quote Expiration</t>
  </si>
  <si>
    <t>SalesTax Exemption Reason 2</t>
  </si>
  <si>
    <t>Title Fees</t>
  </si>
  <si>
    <t>Customer Accepted Interest Rate before Finance Referal</t>
  </si>
  <si>
    <t>Invoice Date</t>
  </si>
  <si>
    <t>%(Invoice Date)%</t>
  </si>
  <si>
    <t>SalesTax Exemption Reason 3</t>
  </si>
  <si>
    <t>Tag Fees</t>
  </si>
  <si>
    <t>Customer Accepted Down Payment before Finance Referal</t>
  </si>
  <si>
    <t>Invoice Number</t>
  </si>
  <si>
    <t>SalesTax Exemption Reason 4</t>
  </si>
  <si>
    <t>UCC Fee</t>
  </si>
  <si>
    <t>Customer Accepted Payment</t>
  </si>
  <si>
    <t>SalesTax Exemption Reason 5</t>
  </si>
  <si>
    <t>Doc Stamp Taxes</t>
  </si>
  <si>
    <t>Sale Type</t>
  </si>
  <si>
    <t>INCLUDE KUBOTA INSURANCE</t>
  </si>
  <si>
    <t>ADVANCE DEPOSIT</t>
  </si>
  <si>
    <t>Customer Primary End User</t>
  </si>
  <si>
    <t>Rate Table</t>
  </si>
  <si>
    <t>DOWN PAYMENT DUE AT SIGNING</t>
  </si>
  <si>
    <t>Purchase Order Number</t>
  </si>
  <si>
    <t>MAKE</t>
  </si>
  <si>
    <t>MODEL</t>
  </si>
  <si>
    <t>Dealer List Price</t>
  </si>
  <si>
    <t>Discount on Line Item</t>
  </si>
  <si>
    <t>Net Selling Price</t>
  </si>
  <si>
    <t xml:space="preserve">COST </t>
  </si>
  <si>
    <t>Incentive Amount</t>
  </si>
  <si>
    <t>Margin</t>
  </si>
  <si>
    <t>Incentive Description</t>
  </si>
  <si>
    <t>Customer Rebate - Reduces Amount due from Customer</t>
  </si>
  <si>
    <t>Rebate Description</t>
  </si>
  <si>
    <t xml:space="preserve">MONTHLY  KTC INSURANCE RATE </t>
  </si>
  <si>
    <t>Suggested KTC Rate</t>
  </si>
  <si>
    <t>Cost Adjustment</t>
  </si>
  <si>
    <t>Cost Adjustment Description</t>
  </si>
  <si>
    <t>We Owe Amount</t>
  </si>
  <si>
    <t>We Owe Description</t>
  </si>
  <si>
    <t>We Owe Free Form Description</t>
  </si>
  <si>
    <t>Accounting Cost Adjustment</t>
  </si>
  <si>
    <t>Accounting Cost Adjustment Description</t>
  </si>
  <si>
    <t>Second Incentive Description</t>
  </si>
  <si>
    <t>Second Rebate Description</t>
  </si>
  <si>
    <t>Write In Items</t>
  </si>
  <si>
    <t>Non Serialied Items</t>
  </si>
  <si>
    <t>Quantity Sold</t>
  </si>
  <si>
    <t>Dealer List Price Per Unit</t>
  </si>
  <si>
    <t>Discount Line Item per unit</t>
  </si>
  <si>
    <t>Net Extended Selling Price</t>
  </si>
  <si>
    <t>COST per Item</t>
  </si>
  <si>
    <t>Extended Margin</t>
  </si>
  <si>
    <t>Trade Allowance</t>
  </si>
  <si>
    <t>Trade  ACV Value</t>
  </si>
  <si>
    <t>Disposition Plan</t>
  </si>
  <si>
    <t>Reduce Taxable  Amount by Trade Allowance</t>
  </si>
  <si>
    <t>Unit to Which We Owe Applies</t>
  </si>
  <si>
    <t>Cost to Fill We Owe</t>
  </si>
  <si>
    <t>We Owe Desctiption</t>
  </si>
  <si>
    <t>Free Form We Owe Description</t>
  </si>
  <si>
    <t>If None, then Nothing Owed</t>
  </si>
  <si>
    <t>We Owe</t>
  </si>
  <si>
    <t>Total Front Margin</t>
  </si>
  <si>
    <t>Finance Manager</t>
  </si>
  <si>
    <t>PRODUCT NAME</t>
  </si>
  <si>
    <t>Term and Expanded Description</t>
  </si>
  <si>
    <t>Seller of Product</t>
  </si>
  <si>
    <t>Selling Price</t>
  </si>
  <si>
    <t>Cost if Accepted</t>
  </si>
  <si>
    <t>Customer Accepted</t>
  </si>
  <si>
    <t>Platinum Package</t>
  </si>
  <si>
    <t>Gold Package</t>
  </si>
  <si>
    <t>Silver Package</t>
  </si>
  <si>
    <t>Bronze Package</t>
  </si>
  <si>
    <t>Platinum Plan</t>
  </si>
  <si>
    <t>Platinum Selling Price without Tax</t>
  </si>
  <si>
    <t>Platinum Price with Tax</t>
  </si>
  <si>
    <t>Platinum Cost</t>
  </si>
  <si>
    <t>Gold Plan</t>
  </si>
  <si>
    <t>Gold Plan Price</t>
  </si>
  <si>
    <t>Gold Price with Tax</t>
  </si>
  <si>
    <t>GoldCost</t>
  </si>
  <si>
    <t>Silver Plan</t>
  </si>
  <si>
    <t>SILVER PLAN PRICE</t>
  </si>
  <si>
    <t>Silver Price with tax</t>
  </si>
  <si>
    <t>Silver Cost</t>
  </si>
  <si>
    <t>Bronze Plan</t>
  </si>
  <si>
    <t>Bronze Plan Price</t>
  </si>
  <si>
    <t>Bronze Price with tax</t>
  </si>
  <si>
    <t>Bronze Cost</t>
  </si>
  <si>
    <t>Customer Accepted Protection Options</t>
  </si>
  <si>
    <t>Customer Accepted Price</t>
  </si>
  <si>
    <t>Accepted Price with tax</t>
  </si>
  <si>
    <t>Accepted Cost</t>
  </si>
  <si>
    <t>Customer Declined Protection Options</t>
  </si>
  <si>
    <t>Customer Decline Price</t>
  </si>
  <si>
    <t>Price with Tax</t>
  </si>
  <si>
    <t>Cost</t>
  </si>
  <si>
    <t xml:space="preserve">Customer Declined </t>
  </si>
  <si>
    <t>Platinum</t>
  </si>
  <si>
    <t>Gold</t>
  </si>
  <si>
    <t>Silver</t>
  </si>
  <si>
    <t>Bronze</t>
  </si>
  <si>
    <t>Additional Product Sale</t>
  </si>
  <si>
    <t>PLAN PRICE</t>
  </si>
  <si>
    <t>totals</t>
  </si>
  <si>
    <t>totala</t>
  </si>
  <si>
    <t>Include Kubota Insurance on Final Invocie and Payments</t>
  </si>
  <si>
    <t>Kubota Insurance Amount overide</t>
  </si>
  <si>
    <t>Agreed and Approved Finance Term</t>
  </si>
  <si>
    <t>Agreed and Approved Finance Rate</t>
  </si>
  <si>
    <t>Days to First Payment</t>
  </si>
  <si>
    <t>Name of Non Listed Finance Source</t>
  </si>
  <si>
    <t>Funding Lender</t>
  </si>
  <si>
    <t>Buy Rate</t>
  </si>
  <si>
    <t>Finance Spread</t>
  </si>
  <si>
    <t>Rate Participation Percentage</t>
  </si>
  <si>
    <t>FLAT FEE DUE FROM LENDER</t>
  </si>
  <si>
    <t>Flat Fee From Lender</t>
  </si>
  <si>
    <t>Cash in Lieu if not listed on incentives</t>
  </si>
  <si>
    <t xml:space="preserve">From What Party </t>
  </si>
  <si>
    <t>APPLICABLE TO WHICH UNIT</t>
  </si>
  <si>
    <t>Rate Buydown cost</t>
  </si>
  <si>
    <t>Back End Margin</t>
  </si>
  <si>
    <t>LOAN NUMBER</t>
  </si>
  <si>
    <t>Monthly KTC RATE 1</t>
  </si>
  <si>
    <t>Monthly KTC Rate 2</t>
  </si>
  <si>
    <t>Monthly KTC Rate 3</t>
  </si>
  <si>
    <t>Zero Cost Rate</t>
  </si>
  <si>
    <t>Name</t>
  </si>
  <si>
    <t>Taxable</t>
  </si>
  <si>
    <t>Florida County Tax Level</t>
  </si>
  <si>
    <t>Georgia County Tax Level</t>
  </si>
  <si>
    <t>Product 1</t>
  </si>
  <si>
    <t>Non Taxable</t>
  </si>
  <si>
    <t>No County Tax</t>
  </si>
  <si>
    <t>Product 2</t>
  </si>
  <si>
    <t>Product 3</t>
  </si>
  <si>
    <t>Product 4</t>
  </si>
  <si>
    <t>Customer</t>
  </si>
  <si>
    <t>Product 5</t>
  </si>
  <si>
    <t>Product 6</t>
  </si>
  <si>
    <t>Product 7</t>
  </si>
  <si>
    <t>Product 8</t>
  </si>
  <si>
    <t>Product 9</t>
  </si>
  <si>
    <t>Product 10</t>
  </si>
  <si>
    <t>GPS</t>
  </si>
  <si>
    <t>Amount</t>
  </si>
  <si>
    <t>Cutoff</t>
  </si>
  <si>
    <t>Aggregate or Individual</t>
  </si>
  <si>
    <t>Lowest cutoff Dealer fee</t>
  </si>
  <si>
    <t>Individual</t>
  </si>
  <si>
    <t>Second lowest cutoff dlr fee</t>
  </si>
  <si>
    <t>Aggregate</t>
  </si>
  <si>
    <t>third lowest cutoff dealer fee</t>
  </si>
  <si>
    <t>fourth lowest cutoff dealer fee</t>
  </si>
  <si>
    <t>fifth lowest cutof dealer fee</t>
  </si>
  <si>
    <t>highest level of dealer fee</t>
  </si>
  <si>
    <t>State Tax Level</t>
  </si>
  <si>
    <t xml:space="preserve"> County Tax Level</t>
  </si>
  <si>
    <t>Florida Battery Fee per unit</t>
  </si>
  <si>
    <t>Georgia Battery Fee per unit</t>
  </si>
  <si>
    <t>No State Tax</t>
  </si>
  <si>
    <t>Florida Tire Tax per unit</t>
  </si>
  <si>
    <t>Georgia Tire Tax per Unit</t>
  </si>
  <si>
    <t>Title of Document Fee</t>
  </si>
  <si>
    <t>Dealer Fee</t>
  </si>
  <si>
    <t>State Taxable</t>
  </si>
  <si>
    <t>Prep Charge</t>
  </si>
  <si>
    <t>Florida State Sales Tax Rate</t>
  </si>
  <si>
    <t>Georgia State Sales Tax Rate</t>
  </si>
  <si>
    <t>Florida Per Item Sales Tax Cap</t>
  </si>
  <si>
    <t>Georgia Per Item Sales tax Cap</t>
  </si>
  <si>
    <t>Rates For Matrix</t>
  </si>
  <si>
    <t>Regular Equipment Rate</t>
  </si>
  <si>
    <t>Mower And UTV Rate</t>
  </si>
  <si>
    <t>Prime Rate</t>
  </si>
  <si>
    <t>Overide Rate</t>
  </si>
  <si>
    <t>Term 1</t>
  </si>
  <si>
    <t>Term 2</t>
  </si>
  <si>
    <t>Term 3</t>
  </si>
  <si>
    <t>Down Payment 1</t>
  </si>
  <si>
    <t>Down Payment 2</t>
  </si>
  <si>
    <t>Down Payment 3</t>
  </si>
  <si>
    <t>CRYSTAL</t>
  </si>
  <si>
    <t>TRACTOR &amp; EQUIPMENT</t>
  </si>
  <si>
    <t>CUSTOMER:</t>
  </si>
  <si>
    <t>CUSTOMER CELL</t>
  </si>
  <si>
    <t>QUOTE NUMBER</t>
  </si>
  <si>
    <t>CUSTOMER WORK</t>
  </si>
  <si>
    <t>QUOTE DATE</t>
  </si>
  <si>
    <t>CUSTOMER HOME</t>
  </si>
  <si>
    <t>SALES PERSON</t>
  </si>
  <si>
    <t>PURCHASE ORDER NO.</t>
  </si>
  <si>
    <t>Customer hereby orders the following described machinery and equipment from Crystal Tractor, LLC, Crystal Equipment, LLC or Crystal Motorsports, LLC.  Upon acceptance by Seller and Customer, this order becomes a agreement to endeavor to conclude the purchase and sale of goods upon the terms and conditions set forth herein and on the reverse of this order.</t>
  </si>
  <si>
    <t>DEALER SUGGESTED PRICE</t>
  </si>
  <si>
    <t>DISCOUNT</t>
  </si>
  <si>
    <t>NET SELLING PRICE</t>
  </si>
  <si>
    <t>STOCK NUMBER</t>
  </si>
  <si>
    <t>SERIAL NUMBER</t>
  </si>
  <si>
    <t>TRADE IN</t>
  </si>
  <si>
    <t>DESCRIPTION</t>
  </si>
  <si>
    <t xml:space="preserve"> ALLOWANCE</t>
  </si>
  <si>
    <t>PAYOFF</t>
  </si>
  <si>
    <t>Down Payment</t>
  </si>
  <si>
    <t>TRANSACTION SUMMARY</t>
  </si>
  <si>
    <t>DEALER PRICE OF ALL EQUIPMENT</t>
  </si>
  <si>
    <t>SUB TOTAL</t>
  </si>
  <si>
    <t>TIRE FEE</t>
  </si>
  <si>
    <t>SELLING PRICE, NET OF DISCOUNTS</t>
  </si>
  <si>
    <t>BATTERY FEE</t>
  </si>
  <si>
    <t>TRADE VALUE</t>
  </si>
  <si>
    <t>DMV, TAX &amp; TITLE FEES</t>
  </si>
  <si>
    <t>TRADE PAYOFF</t>
  </si>
  <si>
    <t>DOC STAMP TAX</t>
  </si>
  <si>
    <t>DOCUMENT FEE (1)</t>
  </si>
  <si>
    <t>UCC FEE</t>
  </si>
  <si>
    <t xml:space="preserve">FREIGHT </t>
  </si>
  <si>
    <t>SET UP FEE (1)</t>
  </si>
  <si>
    <t>Final Transaction Terms may vary based upon financing terms approved by lenders, products selected by the customer and finalization of pricing by the Company</t>
  </si>
  <si>
    <t>(1) Document Fee and Set Up Fee: These charges represents cost and profit to the seller/dealer for items such as assembling, inspecting, cleaning and adjusting new and used units and preparing documents related to the sale.</t>
  </si>
  <si>
    <t>INVOICE NUMBER</t>
  </si>
  <si>
    <t>INVOICE DATE</t>
  </si>
  <si>
    <t>QUANTITY</t>
  </si>
  <si>
    <t>PART NUMBER</t>
  </si>
  <si>
    <t>PER UNIT PRICE</t>
  </si>
  <si>
    <t>PER UNIT DISCOUNT</t>
  </si>
  <si>
    <t>EXTENDED VALUE</t>
  </si>
  <si>
    <t>PRIOR PENCIL</t>
  </si>
  <si>
    <t xml:space="preserve"> Revised Loan Terms to achieve Desired Payment</t>
  </si>
  <si>
    <t>APR</t>
  </si>
  <si>
    <t>Month Term</t>
  </si>
  <si>
    <t>Payment at Prior Pencil</t>
  </si>
  <si>
    <t>Desired Payment</t>
  </si>
  <si>
    <t>Where to roll payment</t>
  </si>
  <si>
    <t>New Terms</t>
  </si>
  <si>
    <t>Original Matrix</t>
  </si>
  <si>
    <t>Revised Amount</t>
  </si>
  <si>
    <t>Change In Profit</t>
  </si>
  <si>
    <t>Original Net Equipment Price</t>
  </si>
  <si>
    <t>Original Trade ALLOWANCE</t>
  </si>
  <si>
    <t>INCLUDE ADDITONAL EQUIPMENT AT NO COST TO CUSTOMER</t>
  </si>
  <si>
    <t>Incentives</t>
  </si>
  <si>
    <t>Include Kubota Insurance in Revised Quote</t>
  </si>
  <si>
    <t>New Payment</t>
  </si>
  <si>
    <t>Front End Profit</t>
  </si>
  <si>
    <t>Revised Front End Profit</t>
  </si>
  <si>
    <t>Customer hereby orders the following described machinery and equipment from Crystal Tractor, LLC, Crystal Equipment, LLC or Crystal Motorsports, LLC.  Upon acceptance by Seller and Customer, this order becomes a agreement to endeavor to conclude the purchase and sale of goods upon the terms and conditions set forth herein  and on the reverse of this order.</t>
  </si>
  <si>
    <t>TRADE ALLOWANCE</t>
  </si>
  <si>
    <t>Payment Summary</t>
  </si>
  <si>
    <t>DOWN PAYMENT</t>
  </si>
  <si>
    <t>TERM</t>
  </si>
  <si>
    <t>RATE</t>
  </si>
  <si>
    <t>PAYMENT</t>
  </si>
  <si>
    <t>PRELIMINARY INVOICE</t>
  </si>
  <si>
    <t>PRELIMINARY INVOICE SUMMARY</t>
  </si>
  <si>
    <t>PURCHASES BEFORE ADDITIONAL FEES, TAXES AND REBATES</t>
  </si>
  <si>
    <t>PURCHASES WITH FEES BEFORE TAX AND REBATES</t>
  </si>
  <si>
    <t>NET PURCHASE PRICE DUE FROM CUSTOMER</t>
  </si>
  <si>
    <t>DOC Stamp Tax</t>
  </si>
  <si>
    <t>LESS:</t>
  </si>
  <si>
    <t>ADVANCED DEPOSIT</t>
  </si>
  <si>
    <t>ADDITIONAL DOWN PAYMENT</t>
  </si>
  <si>
    <t>DMV &amp; TITLE FEES</t>
  </si>
  <si>
    <t>NET CASH BALANCE DUE</t>
  </si>
  <si>
    <t>AS-IS and WITH ALL FAULTS. The only warranties applying to the equioment sold herein are those provided in a separate writing or offered by the manufacturer or, if applicable, by the manufacturer of the non-factory installed equipment. The Dealer expressly disclaims all warranties, either express or implied, including any implied warranty of merchantability and implied warranty of fitness for a particular purpose and the Dealer neither assumes nor authorizes any other person to assume for it any liability in connection with the sale of this equipment. Buyer shall not be entitled to recover from the Dealer any consequential damages, damages to property, damages for loss of use, loss of time, loss of profit, or income, or any other incidental damages. </t>
  </si>
  <si>
    <t>Upon Execution, you agree to receive conversational messages sent via SMS/text message. This agreement isn't a condition of any purchase. Terms, Privacy Policy, and opt out process can be found at www.crystaltractor.com/read-our-policy-statement-xprivacy. Charges may apply. You may reply "Stop" at any time to opt-out.</t>
  </si>
  <si>
    <t>This Document reflects the anticipated terms fo the sale of the listed equipmnent to the customer as identified above.  While the Cusotmer is agreeing to purchase the indicated items, no Sale of the Equipment occurs unitl a final invoice is issued and excuted by both the seller/dealer and customer and no sale occurs until payment is receoievd by dealer/seller.</t>
  </si>
  <si>
    <t>Accepted:</t>
  </si>
  <si>
    <t>INVOICE</t>
  </si>
  <si>
    <t>INVOICE SUMMARY</t>
  </si>
  <si>
    <t>You agree to receive conversational messages sent via SMS/text message. This agreement isn't a condition of any purchase. Terms, Privacy Policy, and opt out process can be found at www.crystaltractor.com/read-our-policy-statement-xprivacy. Charges may apply. You may reply "Stop" at any time to opt-out.</t>
  </si>
  <si>
    <t xml:space="preserve">Company </t>
  </si>
  <si>
    <t>TAX EXEMPTION CERTIFICATION</t>
  </si>
  <si>
    <t xml:space="preserve">Sales and Use Tax Certificate No. </t>
  </si>
  <si>
    <t>I understand that if I use the item for any purpose other than the one I stated, I must pay tax on the purchase or lease price of the taxable item directly to the Department of Revenue. I understand that if I fraudulently issue this certificate to evade the payment of sales tax I will be liable for payment of the sales tax plus a penalty of 200% of the tax and may be subject to conviction of a third degree felony.  Under penalties of perjury, I declare that I have read the foregoing document and that the facts stated in it are true.</t>
  </si>
  <si>
    <t>WE OWE</t>
  </si>
  <si>
    <t>EQUIPMENT PROTECTION OPTIONS</t>
  </si>
  <si>
    <t>Accepted Products</t>
  </si>
  <si>
    <t xml:space="preserve">Net Trade Value </t>
  </si>
  <si>
    <t>Sales Tax</t>
  </si>
  <si>
    <t>Dealer Based Fees for Documents, Freight and Set Up</t>
  </si>
  <si>
    <t>MANUFACTURER REBATE</t>
  </si>
  <si>
    <t>Governmental Fees</t>
  </si>
  <si>
    <t>TOTAL DUE FROM CUSTOMER, plus Kubota Insurance, if applicable, as shown below</t>
  </si>
  <si>
    <t>Rate</t>
  </si>
  <si>
    <t>BASE PAYMENT BASED UPON TERMS HEREIN LISTED</t>
  </si>
  <si>
    <t>Price</t>
  </si>
  <si>
    <t>Tax</t>
  </si>
  <si>
    <t>Total Package Price</t>
  </si>
  <si>
    <t>Accept</t>
  </si>
  <si>
    <t xml:space="preserve"> Decline </t>
  </si>
  <si>
    <t>We make available to all of our customers optional products and plans that provide additional protection in connection with the purchase and/or financing of your equipment. Each of these optional products is described in detail in separate contracts and all forms and contracts are available for your review prior to purchase. You are not required to buy any of the products in order to obtain financing. The "Accepted Protection" column means that you have purchased these protection options. (If you accepted a protection package, each individual product is itemized.) The "Declined Protection" column means that you have chosen not to purchase any of the declined products or packages, and you will not be eligible for the benefits associated with the declined products/packages. If you accept, you may choose to pay cash for the plan or it can be financed through your Promissory Note/Security Agreement (PNSA), lease or retail installment contract with the approval of the financial institution. The dealership is compensated for providing financial products and services. I understand that this Menu tool is not a legal contract and that these payments are estimates. Complete terms and conditions of each optional products is detailed in the agreements itself.</t>
  </si>
  <si>
    <t>Prepared by</t>
  </si>
  <si>
    <t>Dealer Based Fees for Documents, Freight and Prep</t>
  </si>
  <si>
    <t>CUSTOMER HAS DECLINED THE ABOVE PROTECTION OPTIONS</t>
  </si>
  <si>
    <t>COST AT TIME OF TRANSACTION</t>
  </si>
  <si>
    <t>Total Cost</t>
  </si>
  <si>
    <t>Front Margin</t>
  </si>
  <si>
    <t>2 Cycle Margin</t>
  </si>
  <si>
    <t>Incentive</t>
  </si>
  <si>
    <t>Acct Adj</t>
  </si>
  <si>
    <t>Cost Adj.</t>
  </si>
  <si>
    <t>Not in Stock Items</t>
  </si>
  <si>
    <t>Serial  Number</t>
  </si>
  <si>
    <t>Acctg Cost Adj</t>
  </si>
  <si>
    <t>Non Serialized Items</t>
  </si>
  <si>
    <t>Net Price Per Item</t>
  </si>
  <si>
    <t>Per Item Cost</t>
  </si>
  <si>
    <t>Total Extended Cost</t>
  </si>
  <si>
    <t>TRADE 1 PAYOFF</t>
  </si>
  <si>
    <t>TRADE 2 PAYOFF</t>
  </si>
  <si>
    <t>TRADE 3 PAYOFF</t>
  </si>
  <si>
    <t>TRADE 4 PAYOFF</t>
  </si>
  <si>
    <t>TRADE 5 PAYOFF</t>
  </si>
  <si>
    <t>TRADE 6 PAYOFF</t>
  </si>
  <si>
    <t>ADDITIONAL WE OWE</t>
  </si>
  <si>
    <t>Front End Margin</t>
  </si>
  <si>
    <t>Extended Selling Price</t>
  </si>
  <si>
    <t>TOTAL COST</t>
  </si>
  <si>
    <t>Protection Plan</t>
  </si>
  <si>
    <t xml:space="preserve">Provider </t>
  </si>
  <si>
    <t>Buy Down Cost</t>
  </si>
  <si>
    <t>Rate Split</t>
  </si>
  <si>
    <t>Flat Fee From Bank</t>
  </si>
  <si>
    <t xml:space="preserve">Cash in Lieu </t>
  </si>
  <si>
    <t>Total Backend Profit</t>
  </si>
  <si>
    <t>Total Deal Profit</t>
  </si>
  <si>
    <t>Rebates</t>
  </si>
  <si>
    <t>RECAP</t>
  </si>
  <si>
    <t>SALESPERSON 1</t>
  </si>
  <si>
    <t>SALESPERSON 2</t>
  </si>
  <si>
    <t>Business Name</t>
  </si>
  <si>
    <t>Finance Term</t>
  </si>
  <si>
    <t xml:space="preserve">Lender </t>
  </si>
  <si>
    <t>CUSTOMER USE</t>
  </si>
  <si>
    <t>SALE TYPE</t>
  </si>
  <si>
    <t>CUSTOMER TYPE</t>
  </si>
  <si>
    <t>Serialized 1</t>
  </si>
  <si>
    <t>Serialized 2</t>
  </si>
  <si>
    <t>Serialized 3</t>
  </si>
  <si>
    <t>Serialized 4</t>
  </si>
  <si>
    <t>Serialized 5</t>
  </si>
  <si>
    <t>Serialized 6</t>
  </si>
  <si>
    <t>Serialized 7</t>
  </si>
  <si>
    <t>Serialized 8</t>
  </si>
  <si>
    <t>Serialized 9</t>
  </si>
  <si>
    <t>Serialized 10</t>
  </si>
  <si>
    <t>Write In 1</t>
  </si>
  <si>
    <t>Write In 2</t>
  </si>
  <si>
    <t>Write In 3</t>
  </si>
  <si>
    <t>Write In 4</t>
  </si>
  <si>
    <t>Write In 5</t>
  </si>
  <si>
    <t>Cost Adjustment per item</t>
  </si>
  <si>
    <t>Non Serialized 1</t>
  </si>
  <si>
    <t>Non Serialized 2</t>
  </si>
  <si>
    <t>Non Serialized 3</t>
  </si>
  <si>
    <t>Non Serialized 4</t>
  </si>
  <si>
    <t>Non Serialized 5</t>
  </si>
  <si>
    <t>Term 1 Low Rate</t>
  </si>
  <si>
    <t>Term 2  Low Rate</t>
  </si>
  <si>
    <t>Term 3 Low Rate</t>
  </si>
  <si>
    <t>Payment with Low Down PMT Term 1&amp; Low Rate</t>
  </si>
  <si>
    <t>Payment with Low Down PMT Term 2 &amp; Low Rate</t>
  </si>
  <si>
    <t>Payment with Low Down PMT Term 3 &amp; Low Rate</t>
  </si>
  <si>
    <t>Payment with MId Down PMT Term 1&amp; Low Rate</t>
  </si>
  <si>
    <t>Payment with MId Down PMT Term 2 &amp; Low Rate</t>
  </si>
  <si>
    <t>Payment with MId Down PMT Term 3 &amp; Low Rate</t>
  </si>
  <si>
    <t>Payment with High Down PMT Term 1&amp; Low Rate</t>
  </si>
  <si>
    <t>Payment with High Down PMT Term 2 &amp; Low Rate</t>
  </si>
  <si>
    <t>Payment with High Down PMT Term 3 &amp; Low Rate</t>
  </si>
  <si>
    <t>Phone Number</t>
  </si>
  <si>
    <t>Search 1</t>
  </si>
  <si>
    <t>Combined Search</t>
  </si>
  <si>
    <t>Branch</t>
  </si>
  <si>
    <t>Customer Number:</t>
  </si>
  <si>
    <t>Sold To Customer Name</t>
  </si>
  <si>
    <t>First</t>
  </si>
  <si>
    <t>Mid</t>
  </si>
  <si>
    <t>Sold To Address 1</t>
  </si>
  <si>
    <t>Sold To Address 2</t>
  </si>
  <si>
    <t>City</t>
  </si>
  <si>
    <t>Prv/St</t>
  </si>
  <si>
    <t>County</t>
  </si>
  <si>
    <t>Sold To Postal/Zip Code</t>
  </si>
  <si>
    <t>Phone #</t>
  </si>
  <si>
    <t>Cell Phone Number</t>
  </si>
  <si>
    <t>Status</t>
  </si>
  <si>
    <t>Certificate Of Insurance</t>
  </si>
  <si>
    <t>Search 2</t>
  </si>
  <si>
    <t>Fst Ex #</t>
  </si>
  <si>
    <t>Pst Ex #</t>
  </si>
  <si>
    <t>Date Last Modified</t>
  </si>
  <si>
    <t>Date Added</t>
  </si>
  <si>
    <t>Date Last Billed</t>
  </si>
  <si>
    <t>Business Email Address</t>
  </si>
  <si>
    <t>Home Email Address</t>
  </si>
  <si>
    <t>.</t>
  </si>
  <si>
    <t>3214424490.</t>
  </si>
  <si>
    <t>03</t>
  </si>
  <si>
    <t>.001</t>
  </si>
  <si>
    <t>CARL SCHAEFER</t>
  </si>
  <si>
    <t>CARL</t>
  </si>
  <si>
    <t/>
  </si>
  <si>
    <t>SCHAEFER</t>
  </si>
  <si>
    <t>***DO NOT USE***</t>
  </si>
  <si>
    <t>KISSIMMEE</t>
  </si>
  <si>
    <t>FL</t>
  </si>
  <si>
    <t>097</t>
  </si>
  <si>
    <t>34745</t>
  </si>
  <si>
    <t>3214424490</t>
  </si>
  <si>
    <t>D</t>
  </si>
  <si>
    <t>N</t>
  </si>
  <si>
    <t xml:space="preserve"> Quote Expiration</t>
  </si>
  <si>
    <t>Merge Last Name</t>
  </si>
  <si>
    <t>Commision Split to second Sales Person</t>
  </si>
  <si>
    <t>Make Code First Line of Equipment</t>
  </si>
  <si>
    <t>Make First Line of Equipment</t>
  </si>
  <si>
    <t>Model First Line of Equipment</t>
  </si>
  <si>
    <t>Serial Number First Line of Equipment</t>
  </si>
  <si>
    <t>Description First Line of Equipment</t>
  </si>
  <si>
    <t>Floorplan First Line  of Equipment</t>
  </si>
  <si>
    <t>Inventory Cost First Line of Equipment</t>
  </si>
  <si>
    <t>Merge Descriptions First Line of Equipment</t>
  </si>
  <si>
    <t>Branch First Line of Equipment</t>
  </si>
  <si>
    <t>Margin First Line of Equipment</t>
  </si>
  <si>
    <t>First Line of Equipment Taxable Amount</t>
  </si>
  <si>
    <t>First Line of Equipment  County Taxable Amount</t>
  </si>
  <si>
    <t>Make Code Second Line of Equipment</t>
  </si>
  <si>
    <t>Make Second Line of Equipment</t>
  </si>
  <si>
    <t>Model Second Line of Equipment</t>
  </si>
  <si>
    <t>Serial Number Second Line of Equipment</t>
  </si>
  <si>
    <t>Description Second Line of Equipment</t>
  </si>
  <si>
    <t>Floorplan Second Line  of Equipment</t>
  </si>
  <si>
    <t>Inventory Cost Second Line of Equipment</t>
  </si>
  <si>
    <t>Merge Descriptions Second Line of Equipment</t>
  </si>
  <si>
    <t>Branch Second Line of Equipment</t>
  </si>
  <si>
    <t>Margin Second Line of Equipment</t>
  </si>
  <si>
    <t>Second Line of Equipment Taxable Amount</t>
  </si>
  <si>
    <t>Second Line of Equipment County Taxable Amount</t>
  </si>
  <si>
    <t>Make Code Third Line of Equipment</t>
  </si>
  <si>
    <t>Make Third Line of Equipment</t>
  </si>
  <si>
    <t>Model Third Line of Equipment</t>
  </si>
  <si>
    <t>Serial Number Third Line of Equipment</t>
  </si>
  <si>
    <t>Description Third Line of Equipment</t>
  </si>
  <si>
    <t>Floorplan Third Line  of Equipment</t>
  </si>
  <si>
    <t>Inventory Cost Third Line of Equipment</t>
  </si>
  <si>
    <t>Merge Descriptions Third Line of Equipment</t>
  </si>
  <si>
    <t>Branch Third Line of Equipment</t>
  </si>
  <si>
    <t>Margin Third Line of Equipment</t>
  </si>
  <si>
    <t>Third Line of EquipmentTaxable Amount</t>
  </si>
  <si>
    <t>Third Line of Equipment County Taxable Amount</t>
  </si>
  <si>
    <t>Make Code Fourth Line of Equipment</t>
  </si>
  <si>
    <t>Make Fourth Line of Equipment</t>
  </si>
  <si>
    <t>Model Fourth Line of Equipment</t>
  </si>
  <si>
    <t>Serial Number Fourth Line of Equipment</t>
  </si>
  <si>
    <t>Description Fourth Line of Equipment</t>
  </si>
  <si>
    <t>Floorplan Fourth Line  of Equipment</t>
  </si>
  <si>
    <t>Inventory Cost Fourth Line of Equipment</t>
  </si>
  <si>
    <t>Merge Descriptions Fourth Line of Equipment</t>
  </si>
  <si>
    <t>Branch Fourth Line of Equipment</t>
  </si>
  <si>
    <t>Margin Fourth Line of Equipment</t>
  </si>
  <si>
    <t>Fourth Line of Equipment Taxable Amount</t>
  </si>
  <si>
    <t>Fourth Line of Equipment County Taxable Amount</t>
  </si>
  <si>
    <t>Make Code Fifth Line of Equipment</t>
  </si>
  <si>
    <t>Make Fifth Line of Equipment</t>
  </si>
  <si>
    <t>Model Fifth Line of Equipment</t>
  </si>
  <si>
    <t>Serial Number Fifth Line of Equipment</t>
  </si>
  <si>
    <t>Description Fifth Line of Equipment</t>
  </si>
  <si>
    <t>Floorplan Fifth Line  of Equipment</t>
  </si>
  <si>
    <t>Inventory Cost Fifth Line of Equipment</t>
  </si>
  <si>
    <t>Merge Descriptions Fifth Line of Equipment</t>
  </si>
  <si>
    <t>Branch Fifth Line of Equipment</t>
  </si>
  <si>
    <t>Margin Fifth Line of Equipment</t>
  </si>
  <si>
    <t>Fifth Line of Equipment Taxable Amount</t>
  </si>
  <si>
    <t>Fifth Line of Equipment County Taxable Amount</t>
  </si>
  <si>
    <t>Make Code Sixth Line of Equipment</t>
  </si>
  <si>
    <t>Make Sixth Line of Equipment</t>
  </si>
  <si>
    <t>Model Sixth Line of Equipment</t>
  </si>
  <si>
    <t>Serial Number Sixth Line of Equipment</t>
  </si>
  <si>
    <t>Description Sixth Line of Equipment</t>
  </si>
  <si>
    <t>Floorplan Sixth Line  of Equipment</t>
  </si>
  <si>
    <t>Inventory Cost Sixth Line of Equipment</t>
  </si>
  <si>
    <t>Merge Descriptions Sixth Line of Equipment</t>
  </si>
  <si>
    <t>Branch Sixth Line of Equipment</t>
  </si>
  <si>
    <t>Margin Sixth Line of Equipment</t>
  </si>
  <si>
    <t>Sixth Line of Equipment Taxable Amount</t>
  </si>
  <si>
    <t>Sixth Line of Equipment County Taxable Amount</t>
  </si>
  <si>
    <t>Make Code Seventh Line of Equipment</t>
  </si>
  <si>
    <t>Make Seventh Line of Equipment</t>
  </si>
  <si>
    <t>Model Seventh Line of Equipment</t>
  </si>
  <si>
    <t>Serial Number Seventh Line of Equipment</t>
  </si>
  <si>
    <t>Description Seventh Line of Equipment</t>
  </si>
  <si>
    <t>Floorplan Seventh Line  of Equipment</t>
  </si>
  <si>
    <t>Inventory Cost Seventh Fifth Line of Equipment</t>
  </si>
  <si>
    <t>Merge Descriptions Seventh Line of Equipment</t>
  </si>
  <si>
    <t>Branch Seventh Line of Equipment</t>
  </si>
  <si>
    <t>Margin Seventh Line of Equipment</t>
  </si>
  <si>
    <t>Seventh Line of Equipment Taxable Amount</t>
  </si>
  <si>
    <t>Seventh Line of Equipment County Taxable Amount</t>
  </si>
  <si>
    <t>Make Code Eighth Line of Equipment</t>
  </si>
  <si>
    <t>Make Eighth Line of Equipment</t>
  </si>
  <si>
    <t>Model Eighth Line of Equipment</t>
  </si>
  <si>
    <t>Serial Number Eighth Line of Equipment</t>
  </si>
  <si>
    <t>Description Eighth Line of Equipment</t>
  </si>
  <si>
    <t>Floorplan Eighth Line  of Equipment</t>
  </si>
  <si>
    <t>Inventory Cost Eighth Line of Equipment</t>
  </si>
  <si>
    <t>Merge Descriptions Eighth Line of Equipment</t>
  </si>
  <si>
    <t>Branch Eighth Line of Equipment</t>
  </si>
  <si>
    <t>Margin Eighth Line of Equipment</t>
  </si>
  <si>
    <t>Eighth Line of Equipment Taxable Amount</t>
  </si>
  <si>
    <t>Eighth Line of Equipment County Taxable Amount</t>
  </si>
  <si>
    <t>Make Code Ninth Line of Equipment</t>
  </si>
  <si>
    <t>Make Ninth Line of Equipment</t>
  </si>
  <si>
    <t>Model Ninth Line of Equipment</t>
  </si>
  <si>
    <t>Serial Number Ninth Line of Equipment</t>
  </si>
  <si>
    <t>Description Ninth Line of Equipment</t>
  </si>
  <si>
    <t>Floorplan Ninth Line  of Equipment</t>
  </si>
  <si>
    <t>Inventory Cost Ninth Line of Equipment</t>
  </si>
  <si>
    <t>Merge Descriptions Ninth Line of Equipment</t>
  </si>
  <si>
    <t>Branch Ninth Line of Equipment</t>
  </si>
  <si>
    <t>Margin Ninth Line of Equipment</t>
  </si>
  <si>
    <t>Ninth Line of Equipment Taxable Amount</t>
  </si>
  <si>
    <t>Ninth Line of Equipment County Taxable Amount</t>
  </si>
  <si>
    <t>Make Code Tenth Line of Equipment</t>
  </si>
  <si>
    <t>Make Tenth Line of Equipment</t>
  </si>
  <si>
    <t>Model Tenth Line of Equipment</t>
  </si>
  <si>
    <t>Serial Number Tenth Line of Equipment</t>
  </si>
  <si>
    <t>Description Tenth Line of Equipment</t>
  </si>
  <si>
    <t>Floorplan Tenth Line  of Equipment</t>
  </si>
  <si>
    <t>Inventory Cost Tenth Line of Equipment</t>
  </si>
  <si>
    <t>Merge Descriptions Tenth Line of Equipment</t>
  </si>
  <si>
    <t>Branch Tenth Line of Equipment</t>
  </si>
  <si>
    <t>Margin Tenth Line of Equipment</t>
  </si>
  <si>
    <t>Tenth Line of Equipment Taxable Amount</t>
  </si>
  <si>
    <t>Merge Descriptions First Add On Line of Equipment</t>
  </si>
  <si>
    <t>Margin First Add On Line of Equipment</t>
  </si>
  <si>
    <t>First Add On Line of Equipment Taxable Amount</t>
  </si>
  <si>
    <t>First Add On Line of Equipment County Taxable Amount</t>
  </si>
  <si>
    <t>Merge Descriptions Second Add On Line of Equipment</t>
  </si>
  <si>
    <t>Margin Second Add On Line of Equipment</t>
  </si>
  <si>
    <t>Second Add On Line of Equipment Taxable Amount</t>
  </si>
  <si>
    <t>Second Add On Line of Equipment County Taxable Amount</t>
  </si>
  <si>
    <t>Merge Descriptions Third Add On Line of Equipment</t>
  </si>
  <si>
    <t>Margin Third Add On Line of Equipment</t>
  </si>
  <si>
    <t>Third Add On Line of Equipment Taxable Amount</t>
  </si>
  <si>
    <t>Third Add On Line of Equipment County Taxable Amount</t>
  </si>
  <si>
    <t>Merge Descriptions Fourth Add On Line of Equipment</t>
  </si>
  <si>
    <t>Margin Fourth Add On Line of Equipment</t>
  </si>
  <si>
    <t>Fourth Add On Line of Equipment Taxable Amount</t>
  </si>
  <si>
    <t>Fourth Add On Line of Equipment County Taxable Amount</t>
  </si>
  <si>
    <t>Merge Descriptions Fifth Add On Line of Equipment</t>
  </si>
  <si>
    <t>Margin Fifth Add On Line of Equipment</t>
  </si>
  <si>
    <t>Fifth Add On Line of Equipment Taxable Amount</t>
  </si>
  <si>
    <t>Fifth Add On Line of Equipment County Taxable Amount</t>
  </si>
  <si>
    <t>Merge Descriptions First Non Serialized Line of Equipment</t>
  </si>
  <si>
    <t>Margin First Non Serialized Line of Equipment</t>
  </si>
  <si>
    <t>First Non Serialized Line of Equipment Taxable Amount</t>
  </si>
  <si>
    <t>First Non Serialized Line of Equipment County Taxable Amount</t>
  </si>
  <si>
    <t>Quanity Selling Price First Line Non Serialized Equipment</t>
  </si>
  <si>
    <t>Quantity Discount First Line of Non Serialized Equipment</t>
  </si>
  <si>
    <t>Quantity Cost First Line of Non Serialized Equipment</t>
  </si>
  <si>
    <t>Quantity Cost Adjustment First Line of Non Serialized Equipment</t>
  </si>
  <si>
    <t>Merge Descriptions Second Non Serialized Line of Equipment</t>
  </si>
  <si>
    <t>Margin Second Non Serialized Line of Equipment</t>
  </si>
  <si>
    <t>Second Non Serialized Line of Equipment Taxable Amount</t>
  </si>
  <si>
    <t>Second Non Serialized Line of Equipment County Taxable Amount</t>
  </si>
  <si>
    <t>Quanity Selling Price Second Line Non Serialized Equipment</t>
  </si>
  <si>
    <t>Quantity Discount Second Line of Non Serialized Equipment</t>
  </si>
  <si>
    <t>Quantity Cost Second Line of Non Serialized Equipment</t>
  </si>
  <si>
    <t>Quantity Cost Adjustment Second Line of Non Serialized Equipment</t>
  </si>
  <si>
    <t>Merge Descriptions Third Non Serialized Line of Equipment</t>
  </si>
  <si>
    <t>Margin Third Non Serialized Line of Equipment</t>
  </si>
  <si>
    <t>Third Non Serialized Line of Equipment Taxable Amount</t>
  </si>
  <si>
    <t>Third Non Serialized Line of Equipment County Taxable Amount</t>
  </si>
  <si>
    <t>Quanity Selling Price Third Line Non Serialized Equipment</t>
  </si>
  <si>
    <t>Quantity Discount Third Line of Non Serialized Equipment</t>
  </si>
  <si>
    <t>Quantity Cost Third Line of Non Serialized Equipment</t>
  </si>
  <si>
    <t>Quantity Cost Adjustment Third Line of Non Serialized Equipment</t>
  </si>
  <si>
    <t>Merge Descriptions Fourth Non Serialized Line of Equipment</t>
  </si>
  <si>
    <t>Margin Fourth Non Serialized Line of Equipment</t>
  </si>
  <si>
    <t>Fourth Non Serialized Line of Equipment Taxable Amount</t>
  </si>
  <si>
    <t>Fourth Non Serialized Line of Equipment County Taxable Amount</t>
  </si>
  <si>
    <t>Quanity Selling Price Fourth Line Non Serialized Equipment</t>
  </si>
  <si>
    <t>Quantity Discount Fourth Line of Non Serialized Equipment</t>
  </si>
  <si>
    <t>Quantity Cost Fourth Line of Non Serialized Equipment</t>
  </si>
  <si>
    <t>Quantity Cost Adjustment Fourth Line of Non Serialized Equipment</t>
  </si>
  <si>
    <t>Merge Descriptions Fifth Non Serialized Line of Equipment</t>
  </si>
  <si>
    <t>Margin Fifth Non Serialized Line of Equipment</t>
  </si>
  <si>
    <t>Fifth Non Serialized Line of Equipment Taxable Amount</t>
  </si>
  <si>
    <t>Fifth Non Serialized Line of Equipment County Taxable Amount</t>
  </si>
  <si>
    <t>Quanity Selling Price Fifth Line Non Serialized Equipment</t>
  </si>
  <si>
    <t>Quantity Discount Fifth Line of Non Serialized Equipment</t>
  </si>
  <si>
    <t>Quantity Cost Fifth Line of Non Serialized Equipment</t>
  </si>
  <si>
    <t>Quantity Cost Adjustment Fifth Line of Non Serialized Equipment</t>
  </si>
  <si>
    <t>Margin Trade 1</t>
  </si>
  <si>
    <t>Margin Trade 2</t>
  </si>
  <si>
    <t>First Trade Taxable Amount</t>
  </si>
  <si>
    <t>First Trade County Taxable Amount</t>
  </si>
  <si>
    <t>Second Trade Taxable Amount</t>
  </si>
  <si>
    <t>Second Trade County Taxable Amount</t>
  </si>
  <si>
    <t>We Owe Line 1</t>
  </si>
  <si>
    <t>We Owe Line 2</t>
  </si>
  <si>
    <t>We Owe Line 4</t>
  </si>
  <si>
    <t>We Owe Line 5</t>
  </si>
  <si>
    <t>We Owe Line 1 text</t>
  </si>
  <si>
    <t>We Owe Line 2 text</t>
  </si>
  <si>
    <t>We Owe Line 4 text</t>
  </si>
  <si>
    <t>We Owe Line 5 text</t>
  </si>
  <si>
    <t>Total Front End Margin</t>
  </si>
  <si>
    <t>Product 1 Taxable calculation Amount</t>
  </si>
  <si>
    <t>Product  2 Taxable calculation Amount</t>
  </si>
  <si>
    <t>Product 3 Taxable calculation Amount</t>
  </si>
  <si>
    <t>Product 4 Taxable calculation Amount</t>
  </si>
  <si>
    <t>Product 5 Taxable calculation Amount</t>
  </si>
  <si>
    <t>Product 6 Taxable calculation Amount</t>
  </si>
  <si>
    <t>Product  7 Taxable calculation Amount</t>
  </si>
  <si>
    <t>Product  8  Taxable calculation Amount</t>
  </si>
  <si>
    <t>Product  9 Taxable calculation Amount</t>
  </si>
  <si>
    <t>Product  10 Taxable calculation Amount</t>
  </si>
  <si>
    <t>Product 1 Taxable Florida County method</t>
  </si>
  <si>
    <t>Product  2 Taxable Florida County method</t>
  </si>
  <si>
    <t>Product 3 Taxable Florida County method</t>
  </si>
  <si>
    <t>Product 4 Taxable Florida County method</t>
  </si>
  <si>
    <t>Product 5 Taxable Florida County method</t>
  </si>
  <si>
    <t>Product 6 Taxable Florida County method</t>
  </si>
  <si>
    <t>Product  7 Taxable Florida County method</t>
  </si>
  <si>
    <t>Product  8  Taxable Florida County method</t>
  </si>
  <si>
    <t>Product  9 Taxable Florida County method</t>
  </si>
  <si>
    <t>Product  10 Taxable Florida County method</t>
  </si>
  <si>
    <t>Product 1 Taxable Georgia County method</t>
  </si>
  <si>
    <t>Product  2 Taxable Georgia County method</t>
  </si>
  <si>
    <t>Product 3 Taxable Georgia County method</t>
  </si>
  <si>
    <t>Product 4 Taxable Georgia County method</t>
  </si>
  <si>
    <t>Product 5 Taxable Georgia County method</t>
  </si>
  <si>
    <t>Product 6 Taxable Georgia County method</t>
  </si>
  <si>
    <t>Product  7 Taxable Georgia County method</t>
  </si>
  <si>
    <t>Product  8  Taxable Georgia County method</t>
  </si>
  <si>
    <t>Product  9 Taxable Georgia County method</t>
  </si>
  <si>
    <t>Product  10 Taxable Georgia County method</t>
  </si>
  <si>
    <t>Accepted Product Selling Price Product 1</t>
  </si>
  <si>
    <t>Accepted Product Selling Price Product 2</t>
  </si>
  <si>
    <t>Accepted Product Selling Price Product 3</t>
  </si>
  <si>
    <t>Accepted Product Selling Price Product 4</t>
  </si>
  <si>
    <t>Accepted Product Selling Price Product 5</t>
  </si>
  <si>
    <t>Accepted Product Selling Price Product 6</t>
  </si>
  <si>
    <t>Accepted Product Selling Price Product 7</t>
  </si>
  <si>
    <t>Accepted Product Selling Price Product 8</t>
  </si>
  <si>
    <t>Accepted Product Selling Price Product 9</t>
  </si>
  <si>
    <t>Accepted Product Selling Price Product 10</t>
  </si>
  <si>
    <t>Accepted Product Cost Product 1</t>
  </si>
  <si>
    <t>Accepted Product Cost Product 2</t>
  </si>
  <si>
    <t>Accepted Product Cost Product 3</t>
  </si>
  <si>
    <t>Accepted Product Cost Product 4</t>
  </si>
  <si>
    <t>Accepted Product Cost Product 5</t>
  </si>
  <si>
    <t>Accepted Product Cost Product 6</t>
  </si>
  <si>
    <t>Accepted Product Cost Product 7</t>
  </si>
  <si>
    <t>Accepted Product Cost Product 8</t>
  </si>
  <si>
    <t>Accepted Product Cost Product 9</t>
  </si>
  <si>
    <t>Accepted Product Cost Product 10</t>
  </si>
  <si>
    <t>Product 1 Taxable Florida Customer Based County Amount</t>
  </si>
  <si>
    <t>Product  2 Taxable Florida Customer Based County Amount</t>
  </si>
  <si>
    <t>Product 3 Taxable Florida Customer Based County Amount</t>
  </si>
  <si>
    <t>Product 4 Taxable Florida Customer Based County Amount</t>
  </si>
  <si>
    <t>Product 5 Taxable Florida Customer Based County Amount</t>
  </si>
  <si>
    <t>Product 6 Taxable Florida Customer Based County Amount</t>
  </si>
  <si>
    <t>Product  7 Taxable Florida Customer Based County Amount</t>
  </si>
  <si>
    <t>Product  8  Taxable Florida Customer Based County Amount</t>
  </si>
  <si>
    <t>Product  9 Taxable Florida Customer Based County Amount</t>
  </si>
  <si>
    <t>Product  10 Taxable Florida Customer Based County Amount</t>
  </si>
  <si>
    <t>Product  1 Taxable Florida County Selling Store County Amount</t>
  </si>
  <si>
    <t>Product  2 Taxable Florida County Selling Store County Amount</t>
  </si>
  <si>
    <t>Product 3 Taxable Florida County Selling Store County Amount</t>
  </si>
  <si>
    <t>Product 4 Taxable Florida County Selling Store County Amount</t>
  </si>
  <si>
    <t>Product 5 Taxable Florida County Selling Store County Amount</t>
  </si>
  <si>
    <t>Product 6 Taxable Florida County Selling Store County Amount</t>
  </si>
  <si>
    <t>Product  7 Taxable Florida County Selling Store County Amount</t>
  </si>
  <si>
    <t>Product  8  Taxable Florida County Selling Store County Amount</t>
  </si>
  <si>
    <t>Product  9 Taxable Florida County Selling Store County Amount</t>
  </si>
  <si>
    <t>Product  10 Taxable Florida County Selling Store County Amount</t>
  </si>
  <si>
    <t>Product 1 Taxable Georgia Customer Based County Amount</t>
  </si>
  <si>
    <t>Product  2 Taxable Georgia Customer Based County Amount</t>
  </si>
  <si>
    <t>Product 3 Taxable Georgia Customer Based County Amount</t>
  </si>
  <si>
    <t>Product 4 Taxable Georgia Customer Based County Amount</t>
  </si>
  <si>
    <t>Product 5 Taxable Georgia Customer Based County Amount</t>
  </si>
  <si>
    <t>Product 6 Taxable Georgia Customer Based County Amount</t>
  </si>
  <si>
    <t>Product  7 Taxable Georgia Customer Based County Amount</t>
  </si>
  <si>
    <t>Product  8  Taxable Georgia Customer Based County Amount</t>
  </si>
  <si>
    <t>Product  9 Taxable Georgia Customer Based County Amount</t>
  </si>
  <si>
    <t>Product  10 Taxable Georgia Customer Based County Amount</t>
  </si>
  <si>
    <t>Product  1 Taxable Georgia County Selling Store County Amount</t>
  </si>
  <si>
    <t>Product  2 Taxable Georgia County Selling Store County Amount</t>
  </si>
  <si>
    <t>Product 3 Taxable Georgia County Selling Store County Amount</t>
  </si>
  <si>
    <t>Product 4 Taxable Georgia County Selling Store County Amount</t>
  </si>
  <si>
    <t>Product 5 Taxable Georgia County Selling Store County Amount</t>
  </si>
  <si>
    <t>Product 6 Taxable Georgia County Selling Store County Amount</t>
  </si>
  <si>
    <t>Product  7 Taxable Georgia County Selling Store County Amount</t>
  </si>
  <si>
    <t>Product  8  Taxable Georgia County Selling Store County Amount</t>
  </si>
  <si>
    <t>Product  9 Taxable Georgia County Selling Store County Amount</t>
  </si>
  <si>
    <t>Product  10 Taxable Georgia County Selling Store County Amount</t>
  </si>
  <si>
    <t>DEALER FEE</t>
  </si>
  <si>
    <t>a</t>
  </si>
  <si>
    <t>DEALER FEE TAXABLE AMOUNT</t>
  </si>
  <si>
    <t>DEALER FEE COUNTY TAXABLE AMOUNT</t>
  </si>
  <si>
    <t>Florida Battery Fee</t>
  </si>
  <si>
    <t>Florida Tire Fee</t>
  </si>
  <si>
    <t>Georgia Tire Fee</t>
  </si>
  <si>
    <t>Georgia Battery Fee</t>
  </si>
  <si>
    <t>Kubota Insurance cost per month</t>
  </si>
  <si>
    <t>Total Price of All Equipment</t>
  </si>
  <si>
    <t>Work A Quote</t>
  </si>
  <si>
    <t>Total Discount All Equipment</t>
  </si>
  <si>
    <t>Net Selling Price All Equipment</t>
  </si>
  <si>
    <t>Total Cost All Equipment</t>
  </si>
  <si>
    <t>Total Cost Adjustment All Equipment</t>
  </si>
  <si>
    <t>Total Trade Alowance</t>
  </si>
  <si>
    <t>Total Trade Payoff</t>
  </si>
  <si>
    <t>Total Trade ACV</t>
  </si>
  <si>
    <t>Total Rebate</t>
  </si>
  <si>
    <t xml:space="preserve">Matrix  Sub Total </t>
  </si>
  <si>
    <t>Invoice Sub Total</t>
  </si>
  <si>
    <t>Total Product Sales</t>
  </si>
  <si>
    <t>Total Product Cost</t>
  </si>
  <si>
    <t xml:space="preserve">Total We Owe </t>
  </si>
  <si>
    <t>Total Incentive</t>
  </si>
  <si>
    <t>Total State Sales Taxable Equipment</t>
  </si>
  <si>
    <t>Total Customer Based County Sales Taxable Equipment</t>
  </si>
  <si>
    <t>Floriida Equipment County Surtax Capped</t>
  </si>
  <si>
    <t>Georgia Equipment County Surtax Capped</t>
  </si>
  <si>
    <t xml:space="preserve">Total Product State Sales Taxable </t>
  </si>
  <si>
    <t>Total Customer Based Florida County Sales Taxable Product</t>
  </si>
  <si>
    <t>Total Store Based Florida County Sales Taxable Product</t>
  </si>
  <si>
    <t>Total Customer Based Georgia County Sales Taxable Product</t>
  </si>
  <si>
    <t>Total Store Based Georgia County Sales Taxable Product</t>
  </si>
  <si>
    <t>Freight Charge Tax Amount</t>
  </si>
  <si>
    <t>Set Up Charge Tax Amount</t>
  </si>
  <si>
    <t>DMV Charges Tax Amount</t>
  </si>
  <si>
    <t>Title Fees Tax Amount</t>
  </si>
  <si>
    <t>Tag Fees Tax Amount</t>
  </si>
  <si>
    <t>Freight Charge Florida Customer Based County Taxable Amount Amount</t>
  </si>
  <si>
    <t>Prep Charge Florida Customer Based County Taxable Amount Amount</t>
  </si>
  <si>
    <t>DMV Charges Florida Customer Based County Taxable Amount Amount</t>
  </si>
  <si>
    <t>Title Fees Florida Customer Based County Taxable Amount Amount</t>
  </si>
  <si>
    <t>Tag Fees Florida Customer Based County Taxable Amount Amount</t>
  </si>
  <si>
    <t>Freight Charge Florida Store Based County Taxable Amount Amount</t>
  </si>
  <si>
    <t>Prep Charge Florida Store Based County Taxable Amount Amount</t>
  </si>
  <si>
    <t>DMV Charges Florida Store Based County Taxable Amount Amount</t>
  </si>
  <si>
    <t>Title Fees Florida Store Based County Taxable Amount Amount</t>
  </si>
  <si>
    <t>Tag Fees Florida Store Based County Taxable Amount Amount</t>
  </si>
  <si>
    <t>Freight Charge Georgia Customer Based County Taxable Amount Amount</t>
  </si>
  <si>
    <t>Prep Charge Georgia Customer Based County Taxable Amount Amount</t>
  </si>
  <si>
    <t>DMV Charges Georgia Customer Based County Taxable Amount Amount</t>
  </si>
  <si>
    <t>Title Fees Georgia Customer Based County Taxable Amount Amount</t>
  </si>
  <si>
    <t>Tag Fees Georgia Customer Based County Taxable Amount Amount</t>
  </si>
  <si>
    <t>Freight Charge Georgia Store Based County Taxable Amount Amount</t>
  </si>
  <si>
    <t>Prep Charge Georgia Store Based County Taxable Amount Amount</t>
  </si>
  <si>
    <t>DMV Charges Georgia Store Based County Taxable Amount Amount</t>
  </si>
  <si>
    <t>Title Fees Georgia Store Based County Taxable Amount Amount</t>
  </si>
  <si>
    <t>Tag Fees Georgia Store Based County Taxable Amount Amount</t>
  </si>
  <si>
    <t>Fees Taxable Total</t>
  </si>
  <si>
    <t>Fees Florida Customer County Taxable total</t>
  </si>
  <si>
    <t>Fees Florida Store County Taxable Total</t>
  </si>
  <si>
    <t>Fees Georgia Customer County Taxable total</t>
  </si>
  <si>
    <t>Fees Georgia Store County Taxable Total</t>
  </si>
  <si>
    <t>Total State Taxable Amount - FL</t>
  </si>
  <si>
    <t>Total State Taxable Amount   GA</t>
  </si>
  <si>
    <t>County Customer Taxable Amount Equipment</t>
  </si>
  <si>
    <t>Total Florida Customer County Taxable Amount</t>
  </si>
  <si>
    <t>Total Florida Store County Taxable Amount</t>
  </si>
  <si>
    <t>Total Georgia  Customer County Taxable Amount</t>
  </si>
  <si>
    <t>Total Georgia  Store County Taxable Amount</t>
  </si>
  <si>
    <t>Finance Disclaimer</t>
  </si>
  <si>
    <t xml:space="preserve">The payments presented herein are based upon interest rates available to a variety of customers based upon credit quality, down payment, collateral and other factors.  The actual interest rate charged will be disclosed in the finance contract and may be higher or lower then the rates used in this illustration.  </t>
  </si>
  <si>
    <t>Agreed Term Disclosure</t>
  </si>
  <si>
    <t>Battery Fee Calculation</t>
  </si>
  <si>
    <t>Tire Fee Calculation</t>
  </si>
  <si>
    <t>Battery Fee Florida State Tax</t>
  </si>
  <si>
    <t>Battery Fee Georgia Tax</t>
  </si>
  <si>
    <t>Tire Fee Florida State Tax</t>
  </si>
  <si>
    <t>Tire Fee Georgia State Tax</t>
  </si>
  <si>
    <t>Battery Fee Florida County Tax Customer</t>
  </si>
  <si>
    <t>Battery Fee Georgia County Tax Customer</t>
  </si>
  <si>
    <t>Tire Fee Florida State COUNTY TAX CUSTOMER</t>
  </si>
  <si>
    <t>Tire Fee Georgia State Tax Florida Tax Customer</t>
  </si>
  <si>
    <t>Battery Fee Florida County Tax Store</t>
  </si>
  <si>
    <t>Battery Fee Georgia County Tax Store</t>
  </si>
  <si>
    <t>Tire Fee Florida State COUNTY TAX Store</t>
  </si>
  <si>
    <t>Tire Fee Georgia State Tax Florida Tax Store</t>
  </si>
  <si>
    <t>Tax Statement 1 a</t>
  </si>
  <si>
    <t>Tax Statement 1b</t>
  </si>
  <si>
    <t>Combined Tax Statement 1</t>
  </si>
  <si>
    <t>Statefor Store</t>
  </si>
  <si>
    <t>Tax Statement 2</t>
  </si>
  <si>
    <t>State Tax Rate</t>
  </si>
  <si>
    <t>State Sales Tax</t>
  </si>
  <si>
    <t>Tax Statement 3</t>
  </si>
  <si>
    <t>Store County Tax</t>
  </si>
  <si>
    <t>Store County Tax Rate</t>
  </si>
  <si>
    <t>FL Store County</t>
  </si>
  <si>
    <t>Customer County TaxRate  in State</t>
  </si>
  <si>
    <t>Customer County Rate out of State</t>
  </si>
  <si>
    <t>Customer County Tax if IN State</t>
  </si>
  <si>
    <t>Customer County Tax No Known CUSTOMER COUNTY</t>
  </si>
  <si>
    <t>Description for County Tax Location</t>
  </si>
  <si>
    <t>Kubota Insurance Statement</t>
  </si>
  <si>
    <t>IncludeKTC  Insurance on Referal to Finance</t>
  </si>
  <si>
    <t>Inlcude Kubota Insurance on Invoice</t>
  </si>
  <si>
    <t xml:space="preserve"> Data Field, No Insurance Field 1</t>
  </si>
  <si>
    <t xml:space="preserve"> Data Field, No Insurance Field 2</t>
  </si>
  <si>
    <t xml:space="preserve"> Data Field, No Insurance Field 3</t>
  </si>
  <si>
    <t>Purchased Term KTC Ins Cost No Ins Field</t>
  </si>
  <si>
    <t>Term 1 Kubota Insurance Charge"</t>
  </si>
  <si>
    <t>KTC adds something for multi units - $25?</t>
  </si>
  <si>
    <t>Term 2 Kubota Insurance Charge"</t>
  </si>
  <si>
    <t>Term 3 Kubota Insurance Charge"</t>
  </si>
  <si>
    <t>Terms to Finance Kubota Insurance</t>
  </si>
  <si>
    <t>Invoice Final Term KTC Ins Cost</t>
  </si>
  <si>
    <t>Work A quote Kubota Insurance -last Pencil</t>
  </si>
  <si>
    <t>Work a Quote Kubota Insurance -New Quote</t>
  </si>
  <si>
    <t>Low  Down Payment"</t>
  </si>
  <si>
    <t>Mid Down Payment"</t>
  </si>
  <si>
    <t>High Down Payment"</t>
  </si>
  <si>
    <t>Term 1 Rate</t>
  </si>
  <si>
    <t>Term 2  Rate</t>
  </si>
  <si>
    <t>Term 3  Rate</t>
  </si>
  <si>
    <t>Matrix Purchase Price with Taxes and Fees less Rebate</t>
  </si>
  <si>
    <t>Invoice Net Due Purchase Price with taxes, fees and ins</t>
  </si>
  <si>
    <t>Total DMV, Tag and Title Fees</t>
  </si>
  <si>
    <t>b</t>
  </si>
  <si>
    <t>Payment with Low Down PMT Term 1 &amp; High Rate</t>
  </si>
  <si>
    <t>Payment with Low Down PMT Term 2 &amp; High Rate</t>
  </si>
  <si>
    <t>Payment with Low Down PMT Term 3 &amp; High  Rate</t>
  </si>
  <si>
    <t>Payment with MId Down PMT Term 1 &amp; High Rate</t>
  </si>
  <si>
    <t>Payment with MId Down PMT Term 2 &amp; High Rate</t>
  </si>
  <si>
    <t>Payment with MId Down PMT Term 3 &amp; High  Rate</t>
  </si>
  <si>
    <t>Payment with High Down PMT Term 1 &amp; High Rate</t>
  </si>
  <si>
    <t>Payment with High Down PMT Term 2 &amp; High Rate</t>
  </si>
  <si>
    <t>Payment with High Down PMT Term 3 &amp; High  Rate</t>
  </si>
  <si>
    <t>Payment on Agreeed terms to Finance</t>
  </si>
  <si>
    <t>Base Payment for Menu</t>
  </si>
  <si>
    <t>Eq Line 1</t>
  </si>
  <si>
    <t>Eq Line 2</t>
  </si>
  <si>
    <t>EQ Line 3</t>
  </si>
  <si>
    <t>EQ line 4</t>
  </si>
  <si>
    <t>Eq Line 5</t>
  </si>
  <si>
    <t>Eq Line 6</t>
  </si>
  <si>
    <t>Eq Line 7</t>
  </si>
  <si>
    <t>Eq Line 8</t>
  </si>
  <si>
    <t>Eq Line 9</t>
  </si>
  <si>
    <t>Eq Line 10</t>
  </si>
  <si>
    <t>Line 1 not in stock Make</t>
  </si>
  <si>
    <t>Line 2 not in stock Make</t>
  </si>
  <si>
    <t>Line 3 not in stock Make</t>
  </si>
  <si>
    <t>Line 4 not in stock Make</t>
  </si>
  <si>
    <t>Line 5 not in stock Make</t>
  </si>
  <si>
    <t>Line 1 not in stock Model</t>
  </si>
  <si>
    <t>Line 2 not in stock Model</t>
  </si>
  <si>
    <t>Line 3 not in stock Model</t>
  </si>
  <si>
    <t>Line 4 not in stock Model</t>
  </si>
  <si>
    <t>Line 5 not in stock Model</t>
  </si>
  <si>
    <t>Line 1 not in stock Serial</t>
  </si>
  <si>
    <t>Line 2 not in stock Serial</t>
  </si>
  <si>
    <t>Line 3 not in stock Serial</t>
  </si>
  <si>
    <t>Line 4 not in stock Serial</t>
  </si>
  <si>
    <t>Line 5 not in stock Serial</t>
  </si>
  <si>
    <t>Line 1 not serialized Quantity</t>
  </si>
  <si>
    <t>Line 2 not serialized Quantity</t>
  </si>
  <si>
    <t>Line 3 not serialized Quantity</t>
  </si>
  <si>
    <t>Line 4 nnot serialized Quantity</t>
  </si>
  <si>
    <t>Line 5 not serialized Quantity</t>
  </si>
  <si>
    <t>Line 1 not serialized Model</t>
  </si>
  <si>
    <t>Line 2 not serialized Model</t>
  </si>
  <si>
    <t>Line 3 not serialized Model</t>
  </si>
  <si>
    <t>Line 4 nnot serialized Model</t>
  </si>
  <si>
    <t>Line 5 not serialized Model</t>
  </si>
  <si>
    <t>Line 1 not serialized Part Number</t>
  </si>
  <si>
    <t>Line 2 not serialized Part Number</t>
  </si>
  <si>
    <t>Line 3 not serialized Part Number</t>
  </si>
  <si>
    <t>Line 4 nnot serialized Part Number</t>
  </si>
  <si>
    <t>Line 5 not serialized Part Number</t>
  </si>
  <si>
    <t>Line 1 not serialized Make</t>
  </si>
  <si>
    <t>Line 2 not serialized Make</t>
  </si>
  <si>
    <t>Line 3 not serialized Make</t>
  </si>
  <si>
    <t>Line 4 nnot serialized Make</t>
  </si>
  <si>
    <t>Line 5 not serialized Make</t>
  </si>
  <si>
    <t>Trade 1 Description</t>
  </si>
  <si>
    <t>Trade 2 Description</t>
  </si>
  <si>
    <t>Trade 1 Allowance</t>
  </si>
  <si>
    <t>Trade 2 Allowance</t>
  </si>
  <si>
    <t>Trade 1 Payoff</t>
  </si>
  <si>
    <t>Trade 2 Payoff</t>
  </si>
  <si>
    <t>Trade 1 Serial</t>
  </si>
  <si>
    <t>Trade 2 Serial</t>
  </si>
  <si>
    <t>Trade 1 Make</t>
  </si>
  <si>
    <t>Trade 2 Make</t>
  </si>
  <si>
    <t>Trade 1 Model</t>
  </si>
  <si>
    <t>Trade 2 Model</t>
  </si>
  <si>
    <t>Trade 1 ACV</t>
  </si>
  <si>
    <t>Trade 2 ACV</t>
  </si>
  <si>
    <t xml:space="preserve">Trade 1 Lender </t>
  </si>
  <si>
    <t>Trade 2 Lender</t>
  </si>
  <si>
    <t>Trade 1 Disposition Plan</t>
  </si>
  <si>
    <t>Trade 2 Disposition Plan</t>
  </si>
  <si>
    <t>Product 1MArgin for selected Product Items</t>
  </si>
  <si>
    <t>Product  2MArgin for selected Product Items</t>
  </si>
  <si>
    <t>Product 3MArgin for selected Product Items</t>
  </si>
  <si>
    <t>Product 4MArgin for selected Product Items</t>
  </si>
  <si>
    <t>Product 5MArgin for selected Product Items</t>
  </si>
  <si>
    <t>Product 6MArgin for selected Product Items</t>
  </si>
  <si>
    <t>Product  7MArgin for selected Product Items</t>
  </si>
  <si>
    <t>Product  8 MArgin for selected Product Items</t>
  </si>
  <si>
    <t>Product  9MArgin for selected Product Items</t>
  </si>
  <si>
    <t>Product  10MArgin for selected Product Items</t>
  </si>
  <si>
    <t>Net Price 1st In Stock</t>
  </si>
  <si>
    <t>Net Price 2nd in Stock</t>
  </si>
  <si>
    <t>Net Price 3rd in Stock</t>
  </si>
  <si>
    <t>Net Price 4th in stock</t>
  </si>
  <si>
    <t>Net Price 5th in stock</t>
  </si>
  <si>
    <t>Net Price 6th in stock</t>
  </si>
  <si>
    <t>Net Price 7th in stock</t>
  </si>
  <si>
    <t>Net Price 8th in stock</t>
  </si>
  <si>
    <t>Net Price 9th in stock</t>
  </si>
  <si>
    <t>Net Price 10th in stock</t>
  </si>
  <si>
    <t>Net Price 1st Added</t>
  </si>
  <si>
    <t>Net Price 2nd Added</t>
  </si>
  <si>
    <t>Net Price 3rd Added</t>
  </si>
  <si>
    <t>Net Price 4th Added</t>
  </si>
  <si>
    <t>Net Price 5th Added</t>
  </si>
  <si>
    <t>Stock Number line 1</t>
  </si>
  <si>
    <t>Stock Number line 2</t>
  </si>
  <si>
    <t>Stock Number line 3</t>
  </si>
  <si>
    <t>Stock Number line 4</t>
  </si>
  <si>
    <t>Stock Number line 5</t>
  </si>
  <si>
    <t>Stock Number line 6</t>
  </si>
  <si>
    <t>Stock Number line 7</t>
  </si>
  <si>
    <t>Stock Number line 8</t>
  </si>
  <si>
    <t>Stock Number line 9</t>
  </si>
  <si>
    <t>Stock Number line 10</t>
  </si>
  <si>
    <t>Not in Stock Line 1</t>
  </si>
  <si>
    <t>Not in Stock Line 2</t>
  </si>
  <si>
    <t>Not in Stock Line 3</t>
  </si>
  <si>
    <t>Not in Stock Line 4</t>
  </si>
  <si>
    <t>Not in Stock Line 5</t>
  </si>
  <si>
    <t>Sales Tax Verbiage</t>
  </si>
  <si>
    <t>Tax Exemption 1</t>
  </si>
  <si>
    <t>Tax Exemption 2</t>
  </si>
  <si>
    <t>Tax Exemption 3</t>
  </si>
  <si>
    <t>Tax Exemption 4</t>
  </si>
  <si>
    <t>Tax Exemption 5</t>
  </si>
  <si>
    <t>We Owe Header</t>
  </si>
  <si>
    <t>Dealer name</t>
  </si>
  <si>
    <t>Dealer Address</t>
  </si>
  <si>
    <t>Dealer Location</t>
  </si>
  <si>
    <t>Dealer number</t>
  </si>
  <si>
    <t>Dealer URL</t>
  </si>
  <si>
    <t>CRYSTALTRACTOR.COM</t>
  </si>
  <si>
    <t>Total Cost 1st In Stock</t>
  </si>
  <si>
    <t>Total Cost 2nd in Stock</t>
  </si>
  <si>
    <t>Total Cost 3rd in Stock</t>
  </si>
  <si>
    <t>Total Cost 4th in stock</t>
  </si>
  <si>
    <t>Total Cost 5th in stock</t>
  </si>
  <si>
    <t>Total Cost 6th in stock</t>
  </si>
  <si>
    <t>Total Cost 7th in stock</t>
  </si>
  <si>
    <t>Total Cost 8th in stock</t>
  </si>
  <si>
    <t>Total Cost 9th in stock</t>
  </si>
  <si>
    <t>Total Cost 10th in stock</t>
  </si>
  <si>
    <t>Total Cost 1st Added</t>
  </si>
  <si>
    <t>Total Cost 2nd Added</t>
  </si>
  <si>
    <t>Total Cost 3rd Added</t>
  </si>
  <si>
    <t>Total Cost 4th Added</t>
  </si>
  <si>
    <t>Total Cost 5th Added</t>
  </si>
  <si>
    <t>Total Cost 1st Added qty</t>
  </si>
  <si>
    <t>Total Cost 2nd Added qty</t>
  </si>
  <si>
    <t>Total Cost 3rd Added qty</t>
  </si>
  <si>
    <t>Total Cost 4th Added qty</t>
  </si>
  <si>
    <t>Total Cost 5th Added qty</t>
  </si>
  <si>
    <t xml:space="preserve">Trade 1 Over/Under Allowance </t>
  </si>
  <si>
    <t xml:space="preserve">Trade 2 Over/Under Allowance </t>
  </si>
  <si>
    <t>Payment for Finance Menu</t>
  </si>
  <si>
    <t>Adderess 1</t>
  </si>
  <si>
    <t>Address 2</t>
  </si>
  <si>
    <t>Merge Addres City State</t>
  </si>
  <si>
    <t>Email</t>
  </si>
  <si>
    <t>Roll Payment to Rate</t>
  </si>
  <si>
    <t>Roll Payment to Term</t>
  </si>
  <si>
    <t>Roll Payment to Down Payment</t>
  </si>
  <si>
    <t>Rate Participation</t>
  </si>
  <si>
    <t>Menu Finance Disclosure</t>
  </si>
  <si>
    <t>Additional Payment for Accepted Items</t>
  </si>
  <si>
    <t>DISCOUNT LANGUAGE</t>
  </si>
  <si>
    <t>DISCOUNT AMOUNT</t>
  </si>
  <si>
    <t>Group Code Item 1</t>
  </si>
  <si>
    <t>Group Code Item 2</t>
  </si>
  <si>
    <t>Group Code Item 3</t>
  </si>
  <si>
    <t>Group Code Item 4</t>
  </si>
  <si>
    <t>Group Code Item 5</t>
  </si>
  <si>
    <t>Group Code Item 6</t>
  </si>
  <si>
    <t>Group Code Item 7</t>
  </si>
  <si>
    <t>Group Code Item 8</t>
  </si>
  <si>
    <t>Group Code Item 9</t>
  </si>
  <si>
    <t>Group Code Item 10</t>
  </si>
  <si>
    <t>We Owe Item 1</t>
  </si>
  <si>
    <t>We Owe Item 2</t>
  </si>
  <si>
    <t>We Owe Item 3</t>
  </si>
  <si>
    <t>We Owe Item 4</t>
  </si>
  <si>
    <t>We Owe Item 5</t>
  </si>
  <si>
    <t>We Owe Item 6</t>
  </si>
  <si>
    <t>We Owe Item 7</t>
  </si>
  <si>
    <t>We Owe Item 8</t>
  </si>
  <si>
    <t>We Owe Item 9</t>
  </si>
  <si>
    <t>We Owe Item 10</t>
  </si>
  <si>
    <t>We Owe No Value Statement Calculation</t>
  </si>
  <si>
    <t xml:space="preserve">We Owe No Value Statement </t>
  </si>
  <si>
    <t>NOTHING OWED</t>
  </si>
  <si>
    <t>Accepted Product Description 1</t>
  </si>
  <si>
    <t>Accepted Product Description 2</t>
  </si>
  <si>
    <t>Accepted Product Description 3</t>
  </si>
  <si>
    <t>Accepted Product Description 4</t>
  </si>
  <si>
    <t>Accepted Product Description 5</t>
  </si>
  <si>
    <t>Accepted Product Description 6</t>
  </si>
  <si>
    <t>Accepted Product Description 7</t>
  </si>
  <si>
    <t>Accepted Product Description 8</t>
  </si>
  <si>
    <t>Accepted Product Description 9</t>
  </si>
  <si>
    <t>Accepted Product Description 10</t>
  </si>
  <si>
    <t>Kubota Insurance on Quote</t>
  </si>
  <si>
    <t>Rebate Language</t>
  </si>
  <si>
    <t>Tax Exempt Statement</t>
  </si>
  <si>
    <t xml:space="preserve">Kubota Insurance cost </t>
  </si>
  <si>
    <t>Kubota Insurance Margin</t>
  </si>
  <si>
    <t>Type In Stock Line 1</t>
  </si>
  <si>
    <t>Type In Stock Line 2</t>
  </si>
  <si>
    <t>Type In Stock Line 3</t>
  </si>
  <si>
    <t>Type In Stock Line 4</t>
  </si>
  <si>
    <t>Type In Stock Line 5</t>
  </si>
  <si>
    <t>Type In Stock Line 6</t>
  </si>
  <si>
    <t>Type In Stock Line 7</t>
  </si>
  <si>
    <t>Type In Stock Line 8</t>
  </si>
  <si>
    <t>Type In Stock Line 9</t>
  </si>
  <si>
    <t>Type In Stock Line 10</t>
  </si>
  <si>
    <t>Margin Trade 3</t>
  </si>
  <si>
    <t>3rd Trade Taxable Amount</t>
  </si>
  <si>
    <t>Third Trade County Taxable Amount</t>
  </si>
  <si>
    <t>Margin Trade 4</t>
  </si>
  <si>
    <t>4th Trade Taxable Amount</t>
  </si>
  <si>
    <t>Fourth Trade County Taxable Amount</t>
  </si>
  <si>
    <t>Margin Trade 5</t>
  </si>
  <si>
    <t>5thTrade Taxable Amount</t>
  </si>
  <si>
    <t>FifthTrade County Taxable Amount</t>
  </si>
  <si>
    <t>Margin Trade 6</t>
  </si>
  <si>
    <t>6th Trade Taxable Amount</t>
  </si>
  <si>
    <t>Sixth Trade County Taxable Amount</t>
  </si>
  <si>
    <t>Trade 3 Description</t>
  </si>
  <si>
    <t>Trade 4 Description</t>
  </si>
  <si>
    <t>Trade 5 Description</t>
  </si>
  <si>
    <t>Trade 6 Description</t>
  </si>
  <si>
    <t>Trade 3Allowance</t>
  </si>
  <si>
    <t>Trade 4 Allowance</t>
  </si>
  <si>
    <t>Trade 5 Allowance</t>
  </si>
  <si>
    <t>Trade 6 Allowance</t>
  </si>
  <si>
    <t>Trade 3 Payoff</t>
  </si>
  <si>
    <t>Trade 4 Payoff</t>
  </si>
  <si>
    <t xml:space="preserve">Trade 5 Payoff </t>
  </si>
  <si>
    <t>Trade 6 payoff</t>
  </si>
  <si>
    <t>Trade 3 serial</t>
  </si>
  <si>
    <t>Trade 4 serial</t>
  </si>
  <si>
    <t>Trade 5 serail</t>
  </si>
  <si>
    <t>Trade 6 serial</t>
  </si>
  <si>
    <t>Trade 3 make</t>
  </si>
  <si>
    <t>Trade 4 make</t>
  </si>
  <si>
    <t>Trade 5 make</t>
  </si>
  <si>
    <t>Trade 6 make</t>
  </si>
  <si>
    <t>Trade 3 model</t>
  </si>
  <si>
    <t>Trade 4 model</t>
  </si>
  <si>
    <t>Trade 5 model</t>
  </si>
  <si>
    <t>Trade 6 model</t>
  </si>
  <si>
    <t>Trade 3 ACV</t>
  </si>
  <si>
    <t>Trade 4 ACV</t>
  </si>
  <si>
    <t>Trade 5 ACV</t>
  </si>
  <si>
    <t>Trade 6 ACV</t>
  </si>
  <si>
    <t xml:space="preserve">Trade 3 Lender </t>
  </si>
  <si>
    <t>Trade 4 Lender</t>
  </si>
  <si>
    <t>Trade 5 Lender</t>
  </si>
  <si>
    <t>Trade 6 Lender</t>
  </si>
  <si>
    <t>Trade 3 Disposition Plan</t>
  </si>
  <si>
    <t>Trade 4 Disposition Plan</t>
  </si>
  <si>
    <t>Trade 5 Disposition Plan</t>
  </si>
  <si>
    <t>Trade 6 Disposition Plan</t>
  </si>
  <si>
    <t>Trade 3 Over/Underallowance</t>
  </si>
  <si>
    <t>Trade 4 Over/Underallowance</t>
  </si>
  <si>
    <t>Trade 5 Over/Underallowance</t>
  </si>
  <si>
    <t>Trade 6 Over/Underallowance</t>
  </si>
  <si>
    <t>DESCRIPTIONS</t>
  </si>
  <si>
    <t>12 INCH BUCKET</t>
  </si>
  <si>
    <t>16 INCH BUCKET</t>
  </si>
  <si>
    <t>18 INCH BUCKET</t>
  </si>
  <si>
    <t>24 INCH BUCKET</t>
  </si>
  <si>
    <t>36 INCH BUCKET</t>
  </si>
  <si>
    <t>48 INCH BUCKET</t>
  </si>
  <si>
    <t>54 INCH BUCKET</t>
  </si>
  <si>
    <t>66 INCH BUCKET</t>
  </si>
  <si>
    <t>72 INCH BUCKET</t>
  </si>
  <si>
    <t>74 INCH BUCKET</t>
  </si>
  <si>
    <t>80 INCH BUCKET</t>
  </si>
  <si>
    <t>96 INCH BUCKET</t>
  </si>
  <si>
    <t>GRILL GUARD</t>
  </si>
  <si>
    <t>THIRD FUNCTION VALVE</t>
  </si>
  <si>
    <t>KUBOTA SHOCKLESS RIDE</t>
  </si>
  <si>
    <t>HIGH FLOW HYDRAULICS</t>
  </si>
  <si>
    <t>HYDRAULIC COUPLER</t>
  </si>
  <si>
    <t>REVERSING FAN</t>
  </si>
  <si>
    <t>BACKUP CAMERA</t>
  </si>
  <si>
    <t>HYDRAULIC OIL COOLER</t>
  </si>
  <si>
    <t>MULCH KIT</t>
  </si>
  <si>
    <t>LED LIGHT KIT</t>
  </si>
  <si>
    <t>SPRAY IN LINER</t>
  </si>
  <si>
    <t>ALLOY WHEELS</t>
  </si>
  <si>
    <t>GLASS WINDSHIELD</t>
  </si>
  <si>
    <t>PLASTIC WINDSHIELD</t>
  </si>
  <si>
    <t>QUICK COUPLER</t>
  </si>
  <si>
    <t>BACKUP ALARM</t>
  </si>
  <si>
    <t>HYDRAULIC THUMB</t>
  </si>
  <si>
    <t>CAB AND AIR CONDITIONING</t>
  </si>
  <si>
    <t>AG TIRES</t>
  </si>
  <si>
    <t>TURF TIRES</t>
  </si>
  <si>
    <t>INDUSTRIAL TIRES</t>
  </si>
  <si>
    <t>HYBRID TIRES</t>
  </si>
  <si>
    <t>RUBBER TRACKS</t>
  </si>
  <si>
    <t>OPEN STATION</t>
  </si>
  <si>
    <t>Table</t>
  </si>
  <si>
    <t>Co#</t>
  </si>
  <si>
    <t>Div</t>
  </si>
  <si>
    <t>Br#</t>
  </si>
  <si>
    <t>Key</t>
  </si>
  <si>
    <t>Sta</t>
  </si>
  <si>
    <t>Data</t>
  </si>
  <si>
    <t>NAME</t>
  </si>
  <si>
    <t>CMSMN</t>
  </si>
  <si>
    <t>01</t>
  </si>
  <si>
    <t>000</t>
  </si>
  <si>
    <t>Unassigned</t>
  </si>
  <si>
    <t>Make Code</t>
  </si>
  <si>
    <t>Desxcription for Make Code</t>
  </si>
  <si>
    <t>AB</t>
  </si>
  <si>
    <t>A &amp; B</t>
  </si>
  <si>
    <t>AD</t>
  </si>
  <si>
    <t>ADI</t>
  </si>
  <si>
    <t>AR</t>
  </si>
  <si>
    <t>AG SPRAY</t>
  </si>
  <si>
    <t>AX</t>
  </si>
  <si>
    <t>AGKNX</t>
  </si>
  <si>
    <t>AG</t>
  </si>
  <si>
    <t>AGRIMETAL</t>
  </si>
  <si>
    <t>AZ</t>
  </si>
  <si>
    <t>ALTOZ</t>
  </si>
  <si>
    <t>AL</t>
  </si>
  <si>
    <t>ALUMA</t>
  </si>
  <si>
    <t>AM</t>
  </si>
  <si>
    <t>AMP TRAILERS</t>
  </si>
  <si>
    <t>AN</t>
  </si>
  <si>
    <t>ANSUNG USA</t>
  </si>
  <si>
    <t>AI</t>
  </si>
  <si>
    <t>ARIENS</t>
  </si>
  <si>
    <t>AS</t>
  </si>
  <si>
    <t>ASV</t>
  </si>
  <si>
    <t>BA</t>
  </si>
  <si>
    <t>BARRETO</t>
  </si>
  <si>
    <t>BE</t>
  </si>
  <si>
    <t>BEARCAT</t>
  </si>
  <si>
    <t>BF</t>
  </si>
  <si>
    <t>BIG FOOT</t>
  </si>
  <si>
    <t>BS</t>
  </si>
  <si>
    <t>BIG SANY</t>
  </si>
  <si>
    <t>BT</t>
  </si>
  <si>
    <t>BIG TEX</t>
  </si>
  <si>
    <t>BG</t>
  </si>
  <si>
    <t>BILLY GOAT</t>
  </si>
  <si>
    <t>BM</t>
  </si>
  <si>
    <t>BLACKMAX</t>
  </si>
  <si>
    <t>BD</t>
  </si>
  <si>
    <t>BLUE DIAMOND ATTACHMENTS</t>
  </si>
  <si>
    <t>BB</t>
  </si>
  <si>
    <t>BLUEBIRD</t>
  </si>
  <si>
    <t>BC</t>
  </si>
  <si>
    <t>BOBCAT</t>
  </si>
  <si>
    <t>BR</t>
  </si>
  <si>
    <t>BRANSON TRACTOR</t>
  </si>
  <si>
    <t>RW</t>
  </si>
  <si>
    <t>BROWN</t>
  </si>
  <si>
    <t>BW</t>
  </si>
  <si>
    <t>BRUSH WOLF</t>
  </si>
  <si>
    <t>RF</t>
  </si>
  <si>
    <t>BRUSHFOX</t>
  </si>
  <si>
    <t>BH</t>
  </si>
  <si>
    <t>BUSH HOG</t>
  </si>
  <si>
    <t>CN</t>
  </si>
  <si>
    <t>CANAM</t>
  </si>
  <si>
    <t>CO</t>
  </si>
  <si>
    <t>CARRY ON</t>
  </si>
  <si>
    <t>CA</t>
  </si>
  <si>
    <t>CASE</t>
  </si>
  <si>
    <t>CP</t>
  </si>
  <si>
    <t>CAT PUMPS</t>
  </si>
  <si>
    <t>CT</t>
  </si>
  <si>
    <t>CATERPILLAR</t>
  </si>
  <si>
    <t>CF</t>
  </si>
  <si>
    <t>CFMOTO</t>
  </si>
  <si>
    <t>CI</t>
  </si>
  <si>
    <t>CID</t>
  </si>
  <si>
    <t>CL</t>
  </si>
  <si>
    <t>COLE</t>
  </si>
  <si>
    <t>CC</t>
  </si>
  <si>
    <t>CRAIG CRAFT</t>
  </si>
  <si>
    <t>CU</t>
  </si>
  <si>
    <t>CUB CADET</t>
  </si>
  <si>
    <t>DH</t>
  </si>
  <si>
    <t>DARRELL HARP</t>
  </si>
  <si>
    <t>DS</t>
  </si>
  <si>
    <t>DAUSER</t>
  </si>
  <si>
    <t>DI</t>
  </si>
  <si>
    <t>DAVIS INDUSTRIES</t>
  </si>
  <si>
    <t>VP</t>
  </si>
  <si>
    <t>DEFERDER X MR HD10</t>
  </si>
  <si>
    <t>DW</t>
  </si>
  <si>
    <t>DITCH WITCH</t>
  </si>
  <si>
    <t>DE</t>
  </si>
  <si>
    <t>DOWN2EARTH</t>
  </si>
  <si>
    <t>EC</t>
  </si>
  <si>
    <t>ECHO</t>
  </si>
  <si>
    <t>ET</t>
  </si>
  <si>
    <t>ELITE TRAILERS</t>
  </si>
  <si>
    <t>EP</t>
  </si>
  <si>
    <t>ENGINE POWER SOURCE</t>
  </si>
  <si>
    <t>ER</t>
  </si>
  <si>
    <t>ERSKINE</t>
  </si>
  <si>
    <t>EX</t>
  </si>
  <si>
    <t>EXMARK</t>
  </si>
  <si>
    <t>FC</t>
  </si>
  <si>
    <t>FECON</t>
  </si>
  <si>
    <t>FE</t>
  </si>
  <si>
    <t>FERRIS</t>
  </si>
  <si>
    <t>FO</t>
  </si>
  <si>
    <t>FORD</t>
  </si>
  <si>
    <t>GH</t>
  </si>
  <si>
    <t>GHEEN</t>
  </si>
  <si>
    <t>GU</t>
  </si>
  <si>
    <t>GIDDY UP</t>
  </si>
  <si>
    <t>GP</t>
  </si>
  <si>
    <t>GR</t>
  </si>
  <si>
    <t>GRAVELY</t>
  </si>
  <si>
    <t>HH</t>
  </si>
  <si>
    <t>H &amp; H EQUIPMENT SALES</t>
  </si>
  <si>
    <t>HS</t>
  </si>
  <si>
    <t>HAMMERSMITH</t>
  </si>
  <si>
    <t>HY</t>
  </si>
  <si>
    <t>HARLEY-DAVIDSON</t>
  </si>
  <si>
    <t>HA</t>
  </si>
  <si>
    <t>HART</t>
  </si>
  <si>
    <t>HM</t>
  </si>
  <si>
    <t>HENRY MITCHUM</t>
  </si>
  <si>
    <t>HL</t>
  </si>
  <si>
    <t>HLA</t>
  </si>
  <si>
    <t>HT</t>
  </si>
  <si>
    <t>HOMELITE</t>
  </si>
  <si>
    <t>HD</t>
  </si>
  <si>
    <t>HOMEMADE TRAILER</t>
  </si>
  <si>
    <t>HO</t>
  </si>
  <si>
    <t>HONDA</t>
  </si>
  <si>
    <t>HU</t>
  </si>
  <si>
    <t>HUSQVARNA</t>
  </si>
  <si>
    <t>HR</t>
  </si>
  <si>
    <t>HUSTLER</t>
  </si>
  <si>
    <t>IM</t>
  </si>
  <si>
    <t>IMPLEMENT SALES</t>
  </si>
  <si>
    <t>IR</t>
  </si>
  <si>
    <t>IRONCRAFT</t>
  </si>
  <si>
    <t>JB</t>
  </si>
  <si>
    <t>JBAR</t>
  </si>
  <si>
    <t>JC</t>
  </si>
  <si>
    <t>JCB</t>
  </si>
  <si>
    <t>CB</t>
  </si>
  <si>
    <t>JI</t>
  </si>
  <si>
    <t>JINMA</t>
  </si>
  <si>
    <t>JG</t>
  </si>
  <si>
    <t>JLG</t>
  </si>
  <si>
    <t>JD</t>
  </si>
  <si>
    <t>JOHN DEERE</t>
  </si>
  <si>
    <t>KY</t>
  </si>
  <si>
    <t>KEYWEST</t>
  </si>
  <si>
    <t>KK</t>
  </si>
  <si>
    <t>KING KUTTER</t>
  </si>
  <si>
    <t>KO</t>
  </si>
  <si>
    <t>KOMATSU</t>
  </si>
  <si>
    <t>KU</t>
  </si>
  <si>
    <t>KUBOTA</t>
  </si>
  <si>
    <t>LT</t>
  </si>
  <si>
    <t>L &amp; T</t>
  </si>
  <si>
    <t>LP</t>
  </si>
  <si>
    <t>LANDPRIDE</t>
  </si>
  <si>
    <t>LN</t>
  </si>
  <si>
    <t>LANE SHARK</t>
  </si>
  <si>
    <t>LE</t>
  </si>
  <si>
    <t>LELY</t>
  </si>
  <si>
    <t>LW</t>
  </si>
  <si>
    <t>LITTLE WONDER</t>
  </si>
  <si>
    <t>LR</t>
  </si>
  <si>
    <t>LOAD RIGHT</t>
  </si>
  <si>
    <t>TL</t>
  </si>
  <si>
    <t>LOAD TRAIL TRAILERS</t>
  </si>
  <si>
    <t>LO</t>
  </si>
  <si>
    <t>LOFLIN</t>
  </si>
  <si>
    <t>LS</t>
  </si>
  <si>
    <t>LS TRACTOR</t>
  </si>
  <si>
    <t>LI</t>
  </si>
  <si>
    <t>LYNN INDUST WELDING</t>
  </si>
  <si>
    <t>MA</t>
  </si>
  <si>
    <t>MAHINDRA</t>
  </si>
  <si>
    <t>MF</t>
  </si>
  <si>
    <t>MASSEY FERGUSON</t>
  </si>
  <si>
    <t>MX</t>
  </si>
  <si>
    <t>MAXX-D</t>
  </si>
  <si>
    <t>MB</t>
  </si>
  <si>
    <t>MBW EQUIPMENT</t>
  </si>
  <si>
    <t>MW</t>
  </si>
  <si>
    <t>MILWAUKEE</t>
  </si>
  <si>
    <t>MI</t>
  </si>
  <si>
    <t>MISCELLANEOUS</t>
  </si>
  <si>
    <t>NG</t>
  </si>
  <si>
    <t>NEW GENERTION UTILITY</t>
  </si>
  <si>
    <t>NH</t>
  </si>
  <si>
    <t>NEW HOLLAND</t>
  </si>
  <si>
    <t>OD</t>
  </si>
  <si>
    <t>OLIVER &amp; DAHLMAN</t>
  </si>
  <si>
    <t>OL</t>
  </si>
  <si>
    <t>ORANGE LINE TRAILERS</t>
  </si>
  <si>
    <t>PR</t>
  </si>
  <si>
    <t>P&amp;T TRAILERS</t>
  </si>
  <si>
    <t>PE</t>
  </si>
  <si>
    <t>PACE</t>
  </si>
  <si>
    <t>PA</t>
  </si>
  <si>
    <t>PALADIN</t>
  </si>
  <si>
    <t>PT</t>
  </si>
  <si>
    <t>PATRIOT EQUIPMENT</t>
  </si>
  <si>
    <t>PI</t>
  </si>
  <si>
    <t>PITTSBURG</t>
  </si>
  <si>
    <t>PO</t>
  </si>
  <si>
    <t>POLARIS</t>
  </si>
  <si>
    <t>PS</t>
  </si>
  <si>
    <t>POWERSTROKE</t>
  </si>
  <si>
    <t>PP</t>
  </si>
  <si>
    <t>PRESSURE PRO</t>
  </si>
  <si>
    <t>RS</t>
  </si>
  <si>
    <t>RAKE SHOP</t>
  </si>
  <si>
    <t>RK</t>
  </si>
  <si>
    <t>RAKEMASTER</t>
  </si>
  <si>
    <t>RH</t>
  </si>
  <si>
    <t>RHINO</t>
  </si>
  <si>
    <t>RI</t>
  </si>
  <si>
    <t>RIGID</t>
  </si>
  <si>
    <t>RE</t>
  </si>
  <si>
    <t>ROKE SOLID CARGO 7X16</t>
  </si>
  <si>
    <t>RD</t>
  </si>
  <si>
    <t>ROYAL ENFIELD</t>
  </si>
  <si>
    <t>RU</t>
  </si>
  <si>
    <t>RURAL  KING</t>
  </si>
  <si>
    <t>RY</t>
  </si>
  <si>
    <t>RYOBI</t>
  </si>
  <si>
    <t>SY</t>
  </si>
  <si>
    <t>SANY AMERICA</t>
  </si>
  <si>
    <t>SG</t>
  </si>
  <si>
    <t>SCAG</t>
  </si>
  <si>
    <t>SC</t>
  </si>
  <si>
    <t>SCOTTS</t>
  </si>
  <si>
    <t>SE</t>
  </si>
  <si>
    <t>SEPPI</t>
  </si>
  <si>
    <t>SA</t>
  </si>
  <si>
    <t>SHAWDSON</t>
  </si>
  <si>
    <t>SH</t>
  </si>
  <si>
    <t>SHINDAIWA</t>
  </si>
  <si>
    <t>SI</t>
  </si>
  <si>
    <t>SIMPSON</t>
  </si>
  <si>
    <t>SN</t>
  </si>
  <si>
    <t>SNAPPER</t>
  </si>
  <si>
    <t>SP</t>
  </si>
  <si>
    <t>SPARTAN MOWERS</t>
  </si>
  <si>
    <t>ST</t>
  </si>
  <si>
    <t>STIHL</t>
  </si>
  <si>
    <t>SR</t>
  </si>
  <si>
    <t>SUPERIOR</t>
  </si>
  <si>
    <t>SU</t>
  </si>
  <si>
    <t>SURE TRAC</t>
  </si>
  <si>
    <t>SZ</t>
  </si>
  <si>
    <t>SUZUKI</t>
  </si>
  <si>
    <t>SW</t>
  </si>
  <si>
    <t>SWARTZ TRAILERS</t>
  </si>
  <si>
    <t>TA</t>
  </si>
  <si>
    <t>TAKEUCHI</t>
  </si>
  <si>
    <t>TP</t>
  </si>
  <si>
    <t>TAYLOR PITTSBURGH</t>
  </si>
  <si>
    <t>TF</t>
  </si>
  <si>
    <t>TERRA FORCE</t>
  </si>
  <si>
    <t>PC</t>
  </si>
  <si>
    <t>THE PERRY COMPANY</t>
  </si>
  <si>
    <t>TI</t>
  </si>
  <si>
    <t>TITAN IMPLEMENTS</t>
  </si>
  <si>
    <t>TS</t>
  </si>
  <si>
    <t>TOP SHELF</t>
  </si>
  <si>
    <t>TO</t>
  </si>
  <si>
    <t>TORO</t>
  </si>
  <si>
    <t>TC</t>
  </si>
  <si>
    <t>TRIPLE CROWN</t>
  </si>
  <si>
    <t>TU</t>
  </si>
  <si>
    <t>TUFLINE</t>
  </si>
  <si>
    <t>TY</t>
  </si>
  <si>
    <t>TYN</t>
  </si>
  <si>
    <t>US</t>
  </si>
  <si>
    <t>USA ATTACHMENTS</t>
  </si>
  <si>
    <t>VA</t>
  </si>
  <si>
    <t>VAIL</t>
  </si>
  <si>
    <t>VM</t>
  </si>
  <si>
    <t>VERMEER</t>
  </si>
  <si>
    <t>VG</t>
  </si>
  <si>
    <t>VIRNIG</t>
  </si>
  <si>
    <t>VO</t>
  </si>
  <si>
    <t>VOLVO</t>
  </si>
  <si>
    <t>WN</t>
  </si>
  <si>
    <t>WACKER NEUSON</t>
  </si>
  <si>
    <t>WA</t>
  </si>
  <si>
    <t>WALLACE</t>
  </si>
  <si>
    <t>WE</t>
  </si>
  <si>
    <t>WEEK</t>
  </si>
  <si>
    <t>WO</t>
  </si>
  <si>
    <t>WOODS</t>
  </si>
  <si>
    <t>WR</t>
  </si>
  <si>
    <t>WRIGHT</t>
  </si>
  <si>
    <t>YA</t>
  </si>
  <si>
    <t>YAMAHA</t>
  </si>
  <si>
    <t>Br</t>
  </si>
  <si>
    <t>Order/Stock Number</t>
  </si>
  <si>
    <t>CURRCOST</t>
  </si>
  <si>
    <t>Floor Plan</t>
  </si>
  <si>
    <t>Finance Start Date</t>
  </si>
  <si>
    <t>Trans Ser #</t>
  </si>
  <si>
    <t>Typ</t>
  </si>
  <si>
    <t>04</t>
  </si>
  <si>
    <t>C056897A</t>
  </si>
  <si>
    <t>BTB13518</t>
  </si>
  <si>
    <t>18'' PIN ON BUCKET WITH TEETH 2.7 CU FT CAP</t>
  </si>
  <si>
    <t>TI0047563</t>
  </si>
  <si>
    <t>2CYCLE</t>
  </si>
  <si>
    <t>V</t>
  </si>
  <si>
    <t>15</t>
  </si>
  <si>
    <t>CA0707B</t>
  </si>
  <si>
    <t>ZD1211L-3-72</t>
  </si>
  <si>
    <t>ZD DIESEL 72" DECK</t>
  </si>
  <si>
    <t>KBGGDCF0LPGL54161</t>
  </si>
  <si>
    <t>ZTURN</t>
  </si>
  <si>
    <t>D066304C</t>
  </si>
  <si>
    <t>U555R3A</t>
  </si>
  <si>
    <t>EXCAVATOR W/RUB TKS/AC CAB/ANGLE</t>
  </si>
  <si>
    <t>KBCDZ57CHR3D14462</t>
  </si>
  <si>
    <t>EXC</t>
  </si>
  <si>
    <t>D066395D</t>
  </si>
  <si>
    <t>LX2620HSD</t>
  </si>
  <si>
    <t>4WD TRACTOR</t>
  </si>
  <si>
    <t>KBUBFAHRJR1D12917</t>
  </si>
  <si>
    <t>TRACTOR</t>
  </si>
  <si>
    <t>U</t>
  </si>
  <si>
    <t>D066396E</t>
  </si>
  <si>
    <t>LA535</t>
  </si>
  <si>
    <t>FRONT END LOADER QC</t>
  </si>
  <si>
    <t>D9182</t>
  </si>
  <si>
    <t>ATTACH</t>
  </si>
  <si>
    <t>Alabama</t>
  </si>
  <si>
    <t>Ala.</t>
  </si>
  <si>
    <t>Alaska</t>
  </si>
  <si>
    <t>AK</t>
  </si>
  <si>
    <t>Arizona</t>
  </si>
  <si>
    <t>Ariz.</t>
  </si>
  <si>
    <t>Arkansas</t>
  </si>
  <si>
    <t>Ark.</t>
  </si>
  <si>
    <t>California</t>
  </si>
  <si>
    <t>Calif.</t>
  </si>
  <si>
    <t>Colorado</t>
  </si>
  <si>
    <t>Colo.</t>
  </si>
  <si>
    <t>Connecticut</t>
  </si>
  <si>
    <t>Conn.</t>
  </si>
  <si>
    <t>Delaware</t>
  </si>
  <si>
    <t>Del.</t>
  </si>
  <si>
    <t>District of Columbia</t>
  </si>
  <si>
    <t>D.C.</t>
  </si>
  <si>
    <t>DC</t>
  </si>
  <si>
    <t>Florida</t>
  </si>
  <si>
    <t>Fla.</t>
  </si>
  <si>
    <t>Georgia</t>
  </si>
  <si>
    <t>Ga.</t>
  </si>
  <si>
    <t>GA</t>
  </si>
  <si>
    <t>Hawaii</t>
  </si>
  <si>
    <t>HI</t>
  </si>
  <si>
    <t>Idaho</t>
  </si>
  <si>
    <t>ID</t>
  </si>
  <si>
    <t>Illinois</t>
  </si>
  <si>
    <t>Ill.</t>
  </si>
  <si>
    <t>IL</t>
  </si>
  <si>
    <t>Indiana</t>
  </si>
  <si>
    <t>Ind.</t>
  </si>
  <si>
    <t>IN</t>
  </si>
  <si>
    <t>Iowa</t>
  </si>
  <si>
    <t>IA</t>
  </si>
  <si>
    <t>Kansas</t>
  </si>
  <si>
    <t>Kans.</t>
  </si>
  <si>
    <t>KS</t>
  </si>
  <si>
    <t>Kentucky</t>
  </si>
  <si>
    <t>Ky.</t>
  </si>
  <si>
    <t>Louisiana</t>
  </si>
  <si>
    <t>LA</t>
  </si>
  <si>
    <t>Maine</t>
  </si>
  <si>
    <t>Me.</t>
  </si>
  <si>
    <t>ME</t>
  </si>
  <si>
    <t>Maryland</t>
  </si>
  <si>
    <t>Md.</t>
  </si>
  <si>
    <t>MD</t>
  </si>
  <si>
    <t>Massachusetts</t>
  </si>
  <si>
    <t>Mass.</t>
  </si>
  <si>
    <t>Michigan</t>
  </si>
  <si>
    <t>Mich.</t>
  </si>
  <si>
    <t>Minnesota</t>
  </si>
  <si>
    <t>Minn.</t>
  </si>
  <si>
    <t>MN</t>
  </si>
  <si>
    <t>Mississippi</t>
  </si>
  <si>
    <t>Miss.</t>
  </si>
  <si>
    <t>MS</t>
  </si>
  <si>
    <t>Missouri</t>
  </si>
  <si>
    <t>Mo.</t>
  </si>
  <si>
    <t>MO</t>
  </si>
  <si>
    <t>Montana</t>
  </si>
  <si>
    <t>Mont.</t>
  </si>
  <si>
    <t>MT</t>
  </si>
  <si>
    <t>Nebraska</t>
  </si>
  <si>
    <t>Nebr.</t>
  </si>
  <si>
    <t>NE</t>
  </si>
  <si>
    <t>Nevada</t>
  </si>
  <si>
    <t>Nev.</t>
  </si>
  <si>
    <t>NV</t>
  </si>
  <si>
    <t>New Hampshire</t>
  </si>
  <si>
    <t>N.H.</t>
  </si>
  <si>
    <t>New Jersey</t>
  </si>
  <si>
    <t>N.J.</t>
  </si>
  <si>
    <t>NJ</t>
  </si>
  <si>
    <t>New Mexico</t>
  </si>
  <si>
    <t>N.Mex.</t>
  </si>
  <si>
    <t>NM</t>
  </si>
  <si>
    <t>New York</t>
  </si>
  <si>
    <t>N.Y.</t>
  </si>
  <si>
    <t>NY</t>
  </si>
  <si>
    <t>North Carolina</t>
  </si>
  <si>
    <t>N.C.</t>
  </si>
  <si>
    <t>NC</t>
  </si>
  <si>
    <t>North Dakota</t>
  </si>
  <si>
    <t>ND</t>
  </si>
  <si>
    <t>Ohio</t>
  </si>
  <si>
    <t>OH</t>
  </si>
  <si>
    <t>Oklahoma</t>
  </si>
  <si>
    <t>Okla.</t>
  </si>
  <si>
    <t>OK</t>
  </si>
  <si>
    <t>Oregon</t>
  </si>
  <si>
    <t>Ore.</t>
  </si>
  <si>
    <t>OR</t>
  </si>
  <si>
    <t>Pennsylvania</t>
  </si>
  <si>
    <t>Penn.</t>
  </si>
  <si>
    <t>Rhode Island</t>
  </si>
  <si>
    <t>R.I.</t>
  </si>
  <si>
    <t>South Carolina</t>
  </si>
  <si>
    <t>S.C.</t>
  </si>
  <si>
    <t>South Dakota</t>
  </si>
  <si>
    <t>SD</t>
  </si>
  <si>
    <t>Tennessee</t>
  </si>
  <si>
    <t>Tenn.</t>
  </si>
  <si>
    <t>TN</t>
  </si>
  <si>
    <t>Texas</t>
  </si>
  <si>
    <t>Tex.</t>
  </si>
  <si>
    <t>TX</t>
  </si>
  <si>
    <t>Utah</t>
  </si>
  <si>
    <t>UT</t>
  </si>
  <si>
    <t>Vermont</t>
  </si>
  <si>
    <t>Vt.</t>
  </si>
  <si>
    <t>VT</t>
  </si>
  <si>
    <t>Virginia</t>
  </si>
  <si>
    <t>Va.</t>
  </si>
  <si>
    <t>Washington</t>
  </si>
  <si>
    <t>Wash.</t>
  </si>
  <si>
    <t>West Virginia</t>
  </si>
  <si>
    <t>W.Va.</t>
  </si>
  <si>
    <t>WV</t>
  </si>
  <si>
    <t>Wisconsin</t>
  </si>
  <si>
    <t>Wis.</t>
  </si>
  <si>
    <t>WI</t>
  </si>
  <si>
    <t>Wyoming</t>
  </si>
  <si>
    <t>Wyo.</t>
  </si>
  <si>
    <t>WY</t>
  </si>
  <si>
    <t>State of Florida</t>
  </si>
  <si>
    <t>Department of Revenue</t>
  </si>
  <si>
    <t>Discretionary Sales Surtax Rates Table</t>
  </si>
  <si>
    <t>Total Surtax Rate</t>
  </si>
  <si>
    <t>ALACHUA</t>
  </si>
  <si>
    <t>1.50%</t>
  </si>
  <si>
    <t>BAKER</t>
  </si>
  <si>
    <t>1.00%</t>
  </si>
  <si>
    <t>BAY</t>
  </si>
  <si>
    <t>BRADFORD</t>
  </si>
  <si>
    <t>BREVARD</t>
  </si>
  <si>
    <t>BROWARD</t>
  </si>
  <si>
    <t>CALHOUN</t>
  </si>
  <si>
    <t>CHARLOTTE</t>
  </si>
  <si>
    <t>CITRUS</t>
  </si>
  <si>
    <t>0.00%</t>
  </si>
  <si>
    <t>CLAY</t>
  </si>
  <si>
    <t>COLLIER</t>
  </si>
  <si>
    <t>COLUMBIA</t>
  </si>
  <si>
    <t>DESOTO</t>
  </si>
  <si>
    <t>DIXIE</t>
  </si>
  <si>
    <t>DUVAL</t>
  </si>
  <si>
    <t>ESCAMBIA</t>
  </si>
  <si>
    <t>FLAGLER</t>
  </si>
  <si>
    <t>FRANKLIN</t>
  </si>
  <si>
    <t>GADSDEN</t>
  </si>
  <si>
    <t>GILCHRIST</t>
  </si>
  <si>
    <t>GLADES</t>
  </si>
  <si>
    <t>GULF</t>
  </si>
  <si>
    <t>HAMILTON</t>
  </si>
  <si>
    <t>HARDEE</t>
  </si>
  <si>
    <t>HENDRY</t>
  </si>
  <si>
    <t>HERNANDO</t>
  </si>
  <si>
    <t>0.50%</t>
  </si>
  <si>
    <t>HIGHLANDS</t>
  </si>
  <si>
    <t>HILLSBOROUGH</t>
  </si>
  <si>
    <t>HOLMES</t>
  </si>
  <si>
    <t>INDIAN RIVER</t>
  </si>
  <si>
    <t>JACKSON</t>
  </si>
  <si>
    <t>JEFFERSON</t>
  </si>
  <si>
    <t>LAFAYETTE</t>
  </si>
  <si>
    <t>LAKE</t>
  </si>
  <si>
    <t>LEE</t>
  </si>
  <si>
    <t>LEON</t>
  </si>
  <si>
    <t>LEVY</t>
  </si>
  <si>
    <t>LIBERTY</t>
  </si>
  <si>
    <t>MADISON</t>
  </si>
  <si>
    <t>MANATEE</t>
  </si>
  <si>
    <t>MARION</t>
  </si>
  <si>
    <t>MARTIN</t>
  </si>
  <si>
    <t>MIAMI-DADE</t>
  </si>
  <si>
    <t>MONROE</t>
  </si>
  <si>
    <t>NASSAU</t>
  </si>
  <si>
    <t>OKALOOSA</t>
  </si>
  <si>
    <t>OKEECHOBEE</t>
  </si>
  <si>
    <t>ORANGE</t>
  </si>
  <si>
    <t>OSCEOLA</t>
  </si>
  <si>
    <t>PALM BEACH</t>
  </si>
  <si>
    <t>PASCO</t>
  </si>
  <si>
    <t>PINELLAS</t>
  </si>
  <si>
    <t>POLK</t>
  </si>
  <si>
    <t>PUTNAM</t>
  </si>
  <si>
    <t>SANTA ROSA</t>
  </si>
  <si>
    <t>SARASOTA</t>
  </si>
  <si>
    <t>SEMINOLE</t>
  </si>
  <si>
    <t>ST JOHNS</t>
  </si>
  <si>
    <t>ST LUCIE</t>
  </si>
  <si>
    <t>SUMTER</t>
  </si>
  <si>
    <t>SUWANNEE</t>
  </si>
  <si>
    <t>TAYLOR</t>
  </si>
  <si>
    <t>UNION</t>
  </si>
  <si>
    <t>VOLUSIA</t>
  </si>
  <si>
    <t>WAKULLA</t>
  </si>
  <si>
    <t>WALTON</t>
  </si>
  <si>
    <t>WASHINGTON</t>
  </si>
  <si>
    <t>Rates shown above are current as of 6/21/2024</t>
  </si>
  <si>
    <t>Effective and expiration dates for surtax rates are listed on Form DR-15DSS, which is posted on the Department of Revenue's website: www.myflorida.com/dor</t>
  </si>
  <si>
    <t>Appling</t>
  </si>
  <si>
    <t>Atkinson</t>
  </si>
  <si>
    <t>Bacon</t>
  </si>
  <si>
    <t>Baker</t>
  </si>
  <si>
    <t>Baldwin</t>
  </si>
  <si>
    <t>Banks</t>
  </si>
  <si>
    <t>Barrow</t>
  </si>
  <si>
    <t>Bartow</t>
  </si>
  <si>
    <t>Ben Hill</t>
  </si>
  <si>
    <t>Berrien</t>
  </si>
  <si>
    <t>Bibb</t>
  </si>
  <si>
    <t>Bleckley</t>
  </si>
  <si>
    <t>Brantley</t>
  </si>
  <si>
    <t>Brooks</t>
  </si>
  <si>
    <t>Bryan</t>
  </si>
  <si>
    <t>Bulloch</t>
  </si>
  <si>
    <t>Burke</t>
  </si>
  <si>
    <t>Butts</t>
  </si>
  <si>
    <t>Calhoun</t>
  </si>
  <si>
    <t>Camden</t>
  </si>
  <si>
    <t>Candler</t>
  </si>
  <si>
    <t>Carroll</t>
  </si>
  <si>
    <t>Catoosa</t>
  </si>
  <si>
    <t>Charlton</t>
  </si>
  <si>
    <t>Chatham</t>
  </si>
  <si>
    <t>Chattahoochee</t>
  </si>
  <si>
    <t>Chattooga</t>
  </si>
  <si>
    <t>Cherokee</t>
  </si>
  <si>
    <t>Clarke</t>
  </si>
  <si>
    <t>Clay</t>
  </si>
  <si>
    <t>Clayton</t>
  </si>
  <si>
    <t>Clinch</t>
  </si>
  <si>
    <t>Cobb</t>
  </si>
  <si>
    <t>Coffee</t>
  </si>
  <si>
    <t>Colquitt</t>
  </si>
  <si>
    <t>Columbia</t>
  </si>
  <si>
    <t>Cook</t>
  </si>
  <si>
    <t>Coweta</t>
  </si>
  <si>
    <t>Crawford</t>
  </si>
  <si>
    <t>Crisp</t>
  </si>
  <si>
    <t>Dade</t>
  </si>
  <si>
    <t>Dawson</t>
  </si>
  <si>
    <t>Decatur</t>
  </si>
  <si>
    <t>Dekalb</t>
  </si>
  <si>
    <t>Dodge</t>
  </si>
  <si>
    <t>Dooly</t>
  </si>
  <si>
    <t>Dougherty</t>
  </si>
  <si>
    <t>Douglas</t>
  </si>
  <si>
    <t>Early</t>
  </si>
  <si>
    <t>Echols</t>
  </si>
  <si>
    <t>Effingham</t>
  </si>
  <si>
    <t>Elbert</t>
  </si>
  <si>
    <t>Emanuel</t>
  </si>
  <si>
    <t>Evans</t>
  </si>
  <si>
    <t>Fannin</t>
  </si>
  <si>
    <t>Fayette</t>
  </si>
  <si>
    <t>Floyd</t>
  </si>
  <si>
    <t>Forsyth</t>
  </si>
  <si>
    <t>Franklin</t>
  </si>
  <si>
    <t>Fulton</t>
  </si>
  <si>
    <t>Gilmer</t>
  </si>
  <si>
    <t>Glascock</t>
  </si>
  <si>
    <t>Glynn</t>
  </si>
  <si>
    <t>Gordon</t>
  </si>
  <si>
    <t>Grady</t>
  </si>
  <si>
    <t>Greene</t>
  </si>
  <si>
    <t>Gwinnett</t>
  </si>
  <si>
    <t>Habersham</t>
  </si>
  <si>
    <t>Hall</t>
  </si>
  <si>
    <t>Hancock</t>
  </si>
  <si>
    <t>Haralson</t>
  </si>
  <si>
    <t>Harris</t>
  </si>
  <si>
    <t>Hart</t>
  </si>
  <si>
    <t>Heard</t>
  </si>
  <si>
    <t>Henry</t>
  </si>
  <si>
    <t>Houston</t>
  </si>
  <si>
    <t>Irwin</t>
  </si>
  <si>
    <t>Jackson</t>
  </si>
  <si>
    <t>Jasper</t>
  </si>
  <si>
    <t>Jeff Davis</t>
  </si>
  <si>
    <t>Jefferson</t>
  </si>
  <si>
    <t>Jenkins</t>
  </si>
  <si>
    <t>Johnson</t>
  </si>
  <si>
    <t>Jones</t>
  </si>
  <si>
    <t>Lamar</t>
  </si>
  <si>
    <t>Lanier</t>
  </si>
  <si>
    <t>Laurens</t>
  </si>
  <si>
    <t>Lee</t>
  </si>
  <si>
    <t>Liberty</t>
  </si>
  <si>
    <t>Lincoln</t>
  </si>
  <si>
    <t>Long</t>
  </si>
  <si>
    <t>Lowndes</t>
  </si>
  <si>
    <t>Lumpkin</t>
  </si>
  <si>
    <t>Macon</t>
  </si>
  <si>
    <t>Madison</t>
  </si>
  <si>
    <t>Marion</t>
  </si>
  <si>
    <t>Mcduffie</t>
  </si>
  <si>
    <t>Mcintosh</t>
  </si>
  <si>
    <t>Meriwether</t>
  </si>
  <si>
    <t>Miller</t>
  </si>
  <si>
    <t>Mitchell</t>
  </si>
  <si>
    <t>Monroe</t>
  </si>
  <si>
    <t>Montgomery</t>
  </si>
  <si>
    <t>Morgan</t>
  </si>
  <si>
    <t>Murray</t>
  </si>
  <si>
    <t>Muscogee</t>
  </si>
  <si>
    <t>Newton</t>
  </si>
  <si>
    <t>Oconee</t>
  </si>
  <si>
    <t>Oglethorpe</t>
  </si>
  <si>
    <t>Paulding</t>
  </si>
  <si>
    <t>Peach</t>
  </si>
  <si>
    <t>Pickens</t>
  </si>
  <si>
    <t>Pierce</t>
  </si>
  <si>
    <t>Pike</t>
  </si>
  <si>
    <t>Polk</t>
  </si>
  <si>
    <t>Pulaski</t>
  </si>
  <si>
    <t>Putnam</t>
  </si>
  <si>
    <t>Quitman</t>
  </si>
  <si>
    <t>Rabun</t>
  </si>
  <si>
    <t>Randolph</t>
  </si>
  <si>
    <t>Richmond</t>
  </si>
  <si>
    <t>Rockdale</t>
  </si>
  <si>
    <t>Schley</t>
  </si>
  <si>
    <t>Screven</t>
  </si>
  <si>
    <t>Seminole</t>
  </si>
  <si>
    <t>Spalding</t>
  </si>
  <si>
    <t>Stephens</t>
  </si>
  <si>
    <t>Stewart</t>
  </si>
  <si>
    <t>Sumter</t>
  </si>
  <si>
    <t>Talbot</t>
  </si>
  <si>
    <t>Taliaferro</t>
  </si>
  <si>
    <t>Tattnall</t>
  </si>
  <si>
    <t>Taylor</t>
  </si>
  <si>
    <t>Telfair</t>
  </si>
  <si>
    <t>Terrell</t>
  </si>
  <si>
    <t>Thomas</t>
  </si>
  <si>
    <t>Tift</t>
  </si>
  <si>
    <t>Toombs</t>
  </si>
  <si>
    <t>Towns</t>
  </si>
  <si>
    <t>Treutlen</t>
  </si>
  <si>
    <t>Troup</t>
  </si>
  <si>
    <t>Turner</t>
  </si>
  <si>
    <t>Twiggs</t>
  </si>
  <si>
    <t>Union</t>
  </si>
  <si>
    <t>Upson</t>
  </si>
  <si>
    <t>Walker</t>
  </si>
  <si>
    <t>Walton</t>
  </si>
  <si>
    <t>Ware</t>
  </si>
  <si>
    <t>Warren</t>
  </si>
  <si>
    <t>Wayne</t>
  </si>
  <si>
    <t>Webster</t>
  </si>
  <si>
    <t>Wheeler</t>
  </si>
  <si>
    <t>White</t>
  </si>
  <si>
    <t>Whitfield</t>
  </si>
  <si>
    <t>Wilcox</t>
  </si>
  <si>
    <t>Wilkes</t>
  </si>
  <si>
    <t>Wilkinson</t>
  </si>
  <si>
    <t>Worth</t>
  </si>
  <si>
    <t xml:space="preserve">Location </t>
  </si>
  <si>
    <t>Branch Number</t>
  </si>
  <si>
    <t>Low Rate Term 1</t>
  </si>
  <si>
    <t>Low Rate Term 2</t>
  </si>
  <si>
    <t>Low Rate Term 3</t>
  </si>
  <si>
    <t>High Rate Term 1</t>
  </si>
  <si>
    <t>High Rate Term 2</t>
  </si>
  <si>
    <t>High Rate Term 3</t>
  </si>
  <si>
    <t>Mower Low Rate Term 1</t>
  </si>
  <si>
    <t>Mower Low Rate Term 2</t>
  </si>
  <si>
    <t>Mower Low Rate Term 3</t>
  </si>
  <si>
    <t>Mower High Rate Term 1</t>
  </si>
  <si>
    <t>Mower High Rate Term 2</t>
  </si>
  <si>
    <t>Mower High Rate Term 3</t>
  </si>
  <si>
    <t>DELAND</t>
  </si>
  <si>
    <t>386-734-2119</t>
  </si>
  <si>
    <t>1580 S. WOODLAND BLVD.</t>
  </si>
  <si>
    <t>32720</t>
  </si>
  <si>
    <t>DELAND, FL 32720</t>
  </si>
  <si>
    <t>CRYSTAL TRACTOR &amp; EQUIPMENT - DELAND</t>
  </si>
  <si>
    <t>LEESBURG</t>
  </si>
  <si>
    <t>02</t>
  </si>
  <si>
    <t>352-787-1234</t>
  </si>
  <si>
    <t>3701 W. MAIN ST.</t>
  </si>
  <si>
    <t>34748</t>
  </si>
  <si>
    <t>LEESBURG, FL 34748</t>
  </si>
  <si>
    <t>CRYSTAL TRACTOR &amp; EQUIPMENT - LEESBURG</t>
  </si>
  <si>
    <t>CHIEFLAND</t>
  </si>
  <si>
    <t>352-490-7061</t>
  </si>
  <si>
    <t>14811 US 19</t>
  </si>
  <si>
    <t>32626</t>
  </si>
  <si>
    <t>CHIEFLAND, FL 32626</t>
  </si>
  <si>
    <t>CRYSTAL TRACTOR &amp; EQUIPMENT - CHIEFLAND</t>
  </si>
  <si>
    <t>16</t>
  </si>
  <si>
    <t>HASTINGS</t>
  </si>
  <si>
    <t>08</t>
  </si>
  <si>
    <t>904-692-3673</t>
  </si>
  <si>
    <t>8515 STATE RD 207</t>
  </si>
  <si>
    <t>32145</t>
  </si>
  <si>
    <t>HASTINGS, FL 32145</t>
  </si>
  <si>
    <t>CRYSTAL TRACTOR &amp; EQUIPMENT - HASTINGS</t>
  </si>
  <si>
    <t>12</t>
  </si>
  <si>
    <t>850-973-2245</t>
  </si>
  <si>
    <t>491 SW RANGE AVE</t>
  </si>
  <si>
    <t>32340</t>
  </si>
  <si>
    <t>MADISON, FL 32340</t>
  </si>
  <si>
    <t>CRYSTAL TRACTOR &amp; EQUIPMENT - MADISON</t>
  </si>
  <si>
    <t>PANAMA CITY</t>
  </si>
  <si>
    <t>13</t>
  </si>
  <si>
    <t>850-763-5441</t>
  </si>
  <si>
    <t>2841 FL-77</t>
  </si>
  <si>
    <t>32405</t>
  </si>
  <si>
    <t>PANAMA CITY, FL 32405</t>
  </si>
  <si>
    <t>CRYSTAL TRACTOR &amp; EQUIPMENT - PANAMA CITY</t>
  </si>
  <si>
    <t>CAIRO, GA</t>
  </si>
  <si>
    <t>229-377-1585</t>
  </si>
  <si>
    <t>1920 US HIGHWAY 84 E</t>
  </si>
  <si>
    <t>CAIRO</t>
  </si>
  <si>
    <t>39828</t>
  </si>
  <si>
    <t>GRADY</t>
  </si>
  <si>
    <t>CAIRO, GA 39828</t>
  </si>
  <si>
    <t>CRYSTAL TRACTOR &amp; EQUIPMENT - CAIRO, GA</t>
  </si>
  <si>
    <t>TALLAHASSEE</t>
  </si>
  <si>
    <t>14</t>
  </si>
  <si>
    <t>850-671-2585</t>
  </si>
  <si>
    <t>4017 WOODVILLE HWY</t>
  </si>
  <si>
    <t>32305</t>
  </si>
  <si>
    <t>TALLAHASSEE, FL 32305</t>
  </si>
  <si>
    <t>CRYSTAL TRACTOR &amp; EQUIPMENT - TALLAHASSEE</t>
  </si>
  <si>
    <t>SPRING HILL</t>
  </si>
  <si>
    <t>05</t>
  </si>
  <si>
    <t>352-597-4100</t>
  </si>
  <si>
    <t>3477 COMMERCIAL WAY</t>
  </si>
  <si>
    <t>34606</t>
  </si>
  <si>
    <t>SPRING HILL, FL 34606</t>
  </si>
  <si>
    <t>CRYSTAL TRACTOR &amp; EQUIPMENT - SPRING HILL</t>
  </si>
  <si>
    <t>HOMOSASSA</t>
  </si>
  <si>
    <t>07</t>
  </si>
  <si>
    <t>352-835-3110</t>
  </si>
  <si>
    <t>3029 S SUNCOAST BLVD</t>
  </si>
  <si>
    <t>34448</t>
  </si>
  <si>
    <t>HOMOSASSA, FL 34448</t>
  </si>
  <si>
    <t>CRYSTAL TRACTOR &amp; EQUIPMENT - HOMOSASSA</t>
  </si>
  <si>
    <t>OCALA</t>
  </si>
  <si>
    <t>06</t>
  </si>
  <si>
    <t>352-835-3130</t>
  </si>
  <si>
    <t>5400 FL 40</t>
  </si>
  <si>
    <t>34482</t>
  </si>
  <si>
    <t>OCALA, FL 34482</t>
  </si>
  <si>
    <t>CRYSTAL TRACTOR &amp; EQUIPMENT - OCALA</t>
  </si>
  <si>
    <t>STARKE</t>
  </si>
  <si>
    <t>10</t>
  </si>
  <si>
    <t>904-964-4238</t>
  </si>
  <si>
    <t>11863 US HWY 301</t>
  </si>
  <si>
    <t>HAMPTON</t>
  </si>
  <si>
    <t>32044</t>
  </si>
  <si>
    <t>HAMPTON, FL 32044</t>
  </si>
  <si>
    <t>CRYSTAL TRACTOR &amp; EQUIPMENT - STARKE</t>
  </si>
  <si>
    <t>PALATKA</t>
  </si>
  <si>
    <t>09</t>
  </si>
  <si>
    <t>386-385-5658</t>
  </si>
  <si>
    <t>625 FL-19</t>
  </si>
  <si>
    <t>32177</t>
  </si>
  <si>
    <t>PALATKA, FL 32177</t>
  </si>
  <si>
    <t>CRYSTAL TRACTOR &amp; EQUIPMENT - PALATKA</t>
  </si>
  <si>
    <t>LIVE OAK</t>
  </si>
  <si>
    <t>11</t>
  </si>
  <si>
    <t>386-362-1887</t>
  </si>
  <si>
    <t>411 72nd Tr</t>
  </si>
  <si>
    <t>SUWANEE</t>
  </si>
  <si>
    <t>LIVE OAK, FL 32060</t>
  </si>
  <si>
    <t>CRYSTAL TRACTOR &amp; EQUIPMENT - LIVE OAK</t>
  </si>
  <si>
    <t>LECANTO</t>
  </si>
  <si>
    <t>352-527-2001</t>
  </si>
  <si>
    <t>4016 W SOUTHERN  ST.</t>
  </si>
  <si>
    <t>LECANTO, FL 34461</t>
  </si>
  <si>
    <t>CRYSTAL TRACTOR &amp; EQUIPMENT - LECANTO</t>
  </si>
  <si>
    <t>PARTS WAREHOUSE</t>
  </si>
  <si>
    <t>000-000-0000</t>
  </si>
  <si>
    <t>3016 E Norvell Bryant Hwy</t>
  </si>
  <si>
    <t>HERNANDO, FL 34442</t>
  </si>
  <si>
    <t>CRYSTAL TRACTOR &amp; EQUIPMENT - CORPORATE</t>
  </si>
  <si>
    <t>Florida Poulty Generator</t>
  </si>
  <si>
    <t>Generators purchased, rented, or leased for exclusive use on a poultry farm. See the exemption category provided for power farm equipment, as defined in Section 212.02(30), F.S., which includes generators, motors, and similar types of equipment.</t>
  </si>
  <si>
    <t>Florida Containers used in farm products</t>
  </si>
  <si>
    <t>Portable containers, or moveable receptacles in which portable containers are placed, that are used for harvesting or processing farm products.</t>
  </si>
  <si>
    <t>Florida Items Used in Farming Production</t>
  </si>
  <si>
    <t>Items that are used by a farmer to contain, produce, or process an agricultural commodity, such as: glue for tin and glass for use by apiarists; containers, labels, and mailing cases for honey; wax moth control with paradichlorobenzene; cellophane wrappers; shipping cases; labels, containers, clay pots and receptacles, sacks or bags, burlap, cans, nails, and other materials used in packaging plants for sale; window cartons; baling wire and twine used for baling hay; and other packaging materials for one time use in preparing an agricultural commodity for sale.</t>
  </si>
  <si>
    <t>Florida Fuels used on farm</t>
  </si>
  <si>
    <t>Liquefied petroleum gas, diesel, or kerosene used for agricultural purposes in any tractor, vehicle, or other farm equipment that is used exclusively on a farm for farming purposes.</t>
  </si>
  <si>
    <t>Florida Power Drawn Farm Equipment and Accessories</t>
  </si>
  <si>
    <t>Florida Trailer used in Agriicultural</t>
  </si>
  <si>
    <t xml:space="preserve"> Farm trailers with a sales price below $20,000 and weighing 12,000 pounds or less for exclusive use in agricultural production, transport of farm products, or equipment as provided in Section 212.08(3), F.S. The exemption provided does not apply to the lease or rental of a trailer.</t>
  </si>
  <si>
    <t>Florida Industrial Machinery</t>
  </si>
  <si>
    <t xml:space="preserve">Industrial machinery and equipment: I am an eligible manufacturing business. The industrial machinery and equipment being purchased will be used at a fixed location in Florida to manufacture, process, compound, or produce items of tangible personal property for sale. Any parts and accessories purchased for the machinery and equipment will be purchased prior to the date the machinery and equipment is placed into service. </t>
  </si>
  <si>
    <t>Florida Post Harvest Activites</t>
  </si>
  <si>
    <t>Postharvest machinery and equipment: I am an eligible postharvest activity business.  The postharvest machinery and equipment being purchased will be used at a fixed location in Florida to perform postharvest activities, which are services performed on crops, after their harvest, with the intent of preparing them for market or further processing.  Examples include crop cleaning, sun drying, shelling, fumigating, curing, sorting, grading, packing, and cooling.  Any parts and materials being purchased will be used to repair, and will be incorporated into, the machinery and equipment</t>
  </si>
  <si>
    <t>Customer Purchased for Resale</t>
  </si>
  <si>
    <r>
      <t xml:space="preserve">Purchaser represents that its purchase of machinery or equipment is purchased for resale and Purchaser has provided its state sales tax resale number.   </t>
    </r>
    <r>
      <rPr>
        <b/>
        <sz val="12"/>
        <color rgb="FF000000"/>
        <rFont val="Times New Roman"/>
        <family val="1"/>
      </rPr>
      <t>PURCHASER CERTIFIES THAT IT HAS PROVIDED SELLER WITH PURCHASER'S EXEMPTION CERTIFICATE.</t>
    </r>
  </si>
  <si>
    <t>Customer Provided Sales Tax Exemption Statement</t>
  </si>
  <si>
    <r>
      <t xml:space="preserve">Purchaser certifies that it is exempt from Tax for specified reason as follows:_______________________________________________.   </t>
    </r>
    <r>
      <rPr>
        <b/>
        <sz val="12"/>
        <color rgb="FF000000"/>
        <rFont val="Times New Roman"/>
        <family val="1"/>
      </rPr>
      <t>PURCHASER CERTIFIES THAT IT HAS PROVIDED SELLER WITH PURCHASER'S EXEMPTION CERTIFICATE.</t>
    </r>
  </si>
  <si>
    <t>Equipment transported out of State</t>
  </si>
  <si>
    <t>Purchaser has acquired the machinery and equipment and it has been shipoped to the customer out of state.</t>
  </si>
  <si>
    <t>Georgia Manufacturing</t>
  </si>
  <si>
    <t>Purchaser represents that its purchase of machinery or equipment is necessary and integral to the manufacture of tangible personal property and the sale, use, storage, or consumption of industrial materials or packaging supplies and is exempt from all sales and use taxation. This exemption includes components and repair or replacement parts. This certification includes consumable supplies or is for the maintenance and replacement parts for machinery or equipment, stationary or in transit, used to mix, agitate, and transport freshly mixed concrete in a plastic and unhardened state, including but not limited to mixers and components, engines and components, interior and exterior operational controls and components, hydraulics and components, all structural components, and all safety components</t>
  </si>
  <si>
    <t>Georgia Agricultural</t>
  </si>
  <si>
    <r>
      <t xml:space="preserve">Purchaser is a qualified agriculture producer of agricultural production inputs, energy used in agriculture, and agricultural machinery and equipment are exempt from sales and use taxation. Purchaser certifies that it has such an exemption, that my use meets the statutory criteria for designation as a </t>
    </r>
    <r>
      <rPr>
        <sz val="12"/>
        <color rgb="FF333333"/>
        <rFont val="Times New Roman"/>
        <family val="1"/>
      </rPr>
      <t>“</t>
    </r>
    <r>
      <rPr>
        <sz val="12"/>
        <color rgb="FF000000"/>
        <rFont val="Times New Roman"/>
        <family val="1"/>
      </rPr>
      <t xml:space="preserve">qualified agricultural producer” and the Commissioner of Agriculture has issued me an agricultural sales and use tax exemption certificate that contains an exemption number. </t>
    </r>
    <r>
      <rPr>
        <b/>
        <sz val="12"/>
        <color rgb="FF000000"/>
        <rFont val="Times New Roman"/>
        <family val="1"/>
      </rPr>
      <t>PURCHASER CERTIFIES THAT IT HAS PROVIDED SELLER WITH PURCHASER'S EXEMPTION CERTIFICATE.</t>
    </r>
  </si>
  <si>
    <t>Main Number</t>
  </si>
  <si>
    <t>Contact</t>
  </si>
  <si>
    <t>Status Information</t>
  </si>
  <si>
    <t>Email Address</t>
  </si>
  <si>
    <t>sent</t>
  </si>
  <si>
    <t>bank complete</t>
  </si>
  <si>
    <t>Alabama Credit Union</t>
  </si>
  <si>
    <t>205-469-5809</t>
  </si>
  <si>
    <t>Dealer Support</t>
  </si>
  <si>
    <t>ACU Portal</t>
  </si>
  <si>
    <t>funding@acusi.com</t>
  </si>
  <si>
    <t>✅</t>
  </si>
  <si>
    <t>Campus Credit Union</t>
  </si>
  <si>
    <t>800-367-6440</t>
  </si>
  <si>
    <t>Dealertrack</t>
  </si>
  <si>
    <t>indirect@campuscu.com</t>
  </si>
  <si>
    <t>Capital City Bank</t>
  </si>
  <si>
    <t>888-671-0400</t>
  </si>
  <si>
    <t>Ben Cleaveland</t>
  </si>
  <si>
    <t>352-584-3872</t>
  </si>
  <si>
    <t>cleaveland.ben@ccbg.com</t>
  </si>
  <si>
    <t>Conserve Capital</t>
  </si>
  <si>
    <t>256-339-4719</t>
  </si>
  <si>
    <t>Andrew Clark</t>
  </si>
  <si>
    <t>Direct Contact</t>
  </si>
  <si>
    <t>aclark@conservcapital.com</t>
  </si>
  <si>
    <t>CRYSTAL TRACTOR WIRE INSTRUCTIONS</t>
  </si>
  <si>
    <t>DLL Commercial</t>
  </si>
  <si>
    <t>484-868-1167</t>
  </si>
  <si>
    <t>Molt Massey</t>
  </si>
  <si>
    <t>mmassey@leasedirect.com</t>
  </si>
  <si>
    <t>DLL Food/AG</t>
  </si>
  <si>
    <t>800-873-2474</t>
  </si>
  <si>
    <t>KD Preusse</t>
  </si>
  <si>
    <t>Dealerhub</t>
  </si>
  <si>
    <t>215-388-6538</t>
  </si>
  <si>
    <t>kd.preusse@dllgroup.com</t>
  </si>
  <si>
    <t>Falcon Equipment Finance</t>
  </si>
  <si>
    <t>612-382-6141</t>
  </si>
  <si>
    <t>Lori Giefer</t>
  </si>
  <si>
    <t>lgiefer@falconequipmentfinance.com</t>
  </si>
  <si>
    <t>Farm Credit</t>
  </si>
  <si>
    <t>800-477-9947</t>
  </si>
  <si>
    <t>Farm Credit Portal</t>
  </si>
  <si>
    <t>support@farmcreditexpress.com</t>
  </si>
  <si>
    <t>online</t>
  </si>
  <si>
    <t>First Business Bank</t>
  </si>
  <si>
    <t>952-594-1446</t>
  </si>
  <si>
    <t>Jonathan Auge</t>
  </si>
  <si>
    <t>jauge@firstbusiness.bank</t>
  </si>
  <si>
    <t>First Citizens</t>
  </si>
  <si>
    <t>603-373-1347</t>
  </si>
  <si>
    <t>Rob Walsh</t>
  </si>
  <si>
    <t>robert.walsh@firstcitizens.com</t>
  </si>
  <si>
    <t>JCB Finance</t>
  </si>
  <si>
    <t>770-530-4726</t>
  </si>
  <si>
    <t>crovnak@leaserv.com</t>
  </si>
  <si>
    <t>Kubota</t>
  </si>
  <si>
    <t>800-794-4992</t>
  </si>
  <si>
    <t>Kevin Freidheim</t>
  </si>
  <si>
    <t>KCC Showroom</t>
  </si>
  <si>
    <t>404-416-3047</t>
  </si>
  <si>
    <t>kevin.freidheim@kubota.com</t>
  </si>
  <si>
    <t>Leaf Financial</t>
  </si>
  <si>
    <t>800-664-4553</t>
  </si>
  <si>
    <t>Beth Clampitt</t>
  </si>
  <si>
    <t>bclampitt@leafnow.com</t>
  </si>
  <si>
    <t>Mahindra</t>
  </si>
  <si>
    <t>800-743-0146</t>
  </si>
  <si>
    <t>Chris Canty</t>
  </si>
  <si>
    <t>346-578-7075</t>
  </si>
  <si>
    <t>chris.canty@mahindrafinanceusa.com</t>
  </si>
  <si>
    <t>CRYSTAL MOTORSPORTS</t>
  </si>
  <si>
    <t>Mitsubishi HC Capital</t>
  </si>
  <si>
    <t>770-856-6090</t>
  </si>
  <si>
    <t>Ben Palmer</t>
  </si>
  <si>
    <t>bpalmer@mhccna.com</t>
  </si>
  <si>
    <t>WIRE INSTRUCTIONS</t>
  </si>
  <si>
    <t>Oakmont Capital</t>
  </si>
  <si>
    <t xml:space="preserve">320-844-8804 </t>
  </si>
  <si>
    <t>Molly Sands</t>
  </si>
  <si>
    <t>Onemain Financial</t>
  </si>
  <si>
    <t>833-390-1989</t>
  </si>
  <si>
    <t>Automn Johns</t>
  </si>
  <si>
    <t>480-797-2964</t>
  </si>
  <si>
    <t>autumn.johns@omf.com</t>
  </si>
  <si>
    <t xml:space="preserve">Crystal </t>
  </si>
  <si>
    <t>Partners Capital</t>
  </si>
  <si>
    <t>949-916-3900</t>
  </si>
  <si>
    <t>David Frank</t>
  </si>
  <si>
    <t>dfrank@partnerscapitalgrp.com</t>
  </si>
  <si>
    <t>Priority Capital</t>
  </si>
  <si>
    <t>508-873-1908</t>
  </si>
  <si>
    <t>Mike Foley</t>
  </si>
  <si>
    <t>mfoley@prioritycaptial.com</t>
  </si>
  <si>
    <t>Roadrunner</t>
  </si>
  <si>
    <t>646-370-5471</t>
  </si>
  <si>
    <t>Julie Ward</t>
  </si>
  <si>
    <t>Octane Portal</t>
  </si>
  <si>
    <t>646-849-2008</t>
  </si>
  <si>
    <t>julie.ward@roadrunnerfinancial.com</t>
  </si>
  <si>
    <t>Sheffield</t>
  </si>
  <si>
    <t>800-438-8894</t>
  </si>
  <si>
    <t>Sheffield Portal</t>
  </si>
  <si>
    <t>funding@sheffieldfinancial.com</t>
  </si>
  <si>
    <t>Synchrony</t>
  </si>
  <si>
    <t>800-330-5187</t>
  </si>
  <si>
    <t>Synchrony Portal</t>
  </si>
  <si>
    <t>N/A - Phone and Portal only</t>
  </si>
  <si>
    <t xml:space="preserve">TERRANCE FINANCE </t>
  </si>
  <si>
    <t>412-290-4690</t>
  </si>
  <si>
    <t>Francine Reading</t>
  </si>
  <si>
    <t>franciner@terracefinance.com</t>
  </si>
  <si>
    <t>TD Yard Card</t>
  </si>
  <si>
    <t>847-254-6554</t>
  </si>
  <si>
    <t>Mike Lupo</t>
  </si>
  <si>
    <t>TD Yard Card Portal</t>
  </si>
  <si>
    <t>michael.lupo@td.com</t>
  </si>
  <si>
    <t>Wacker Neuson Finance</t>
  </si>
  <si>
    <t>800-945-2644</t>
  </si>
  <si>
    <t>Brad Braunschweig</t>
  </si>
  <si>
    <t>262-442-2360</t>
  </si>
  <si>
    <t>brad.braunschweig@wackerneuson.com</t>
  </si>
  <si>
    <t>Wells Fargo</t>
  </si>
  <si>
    <t>BULK HANDLING/LOADING/UNLOADING</t>
  </si>
  <si>
    <t>BUSINESS PROPERTY MANAGEMENT· STD PGM</t>
  </si>
  <si>
    <t>CEMETERY • BID</t>
  </si>
  <si>
    <t>CEMETERY • STD PGM</t>
  </si>
  <si>
    <t>CHURCH • STD PGM</t>
  </si>
  <si>
    <t>CHURCH· BID</t>
  </si>
  <si>
    <t>CITY(TOWN/VILLAGE-LOCAL GOVERNMENT· STD PGM</t>
  </si>
  <si>
    <t>CITY/TOWN/VILLAGE·LOCAL GOVERNMENT· BID</t>
  </si>
  <si>
    <t>CONSTRUCTION • COMMERCIAL BUILDING</t>
  </si>
  <si>
    <t>CONSTRUCTION • LANDSCAPE</t>
  </si>
  <si>
    <t>CONSTRUCTION• RESIDENTIAL BUILDING</t>
  </si>
  <si>
    <t>CONTRACTOR • BID</t>
  </si>
  <si>
    <t>CONTRACTOR • STD PGM</t>
  </si>
  <si>
    <t>COUNTY/PARISH GOVERNMENT • BID</t>
  </si>
  <si>
    <t>COUNTY/PARISH GOVERNMENT • STD PGM</t>
  </si>
  <si>
    <t>CROP PRODUCTION • GENERAL/HAY/GRAIN</t>
  </si>
  <si>
    <t>CROP PRODUCTION • ORCHARD/VINEYARD</t>
  </si>
  <si>
    <t>CROP PRODUCTION • ROW CROP/VEGETABLE</t>
  </si>
  <si>
    <t>CUSTOM OPERATOR • STD PGM</t>
  </si>
  <si>
    <t>DEMOLITLON</t>
  </si>
  <si>
    <t>EXCAVATION • PIPELINE</t>
  </si>
  <si>
    <t>EXCAVATION • WATER/SEWER</t>
  </si>
  <si>
    <t>EXCAVATION• COMMUNICATION/POWERLINES</t>
  </si>
  <si>
    <t>FARMER • STD PGM</t>
  </si>
  <si>
    <t>FEDERAL GOVERNMENT • BID</t>
  </si>
  <si>
    <t>FEDERAL GOVERNMENT • STD PGM</t>
  </si>
  <si>
    <t>FORESTRY· STD PGM</t>
  </si>
  <si>
    <t>GENERAL FORESTRY</t>
  </si>
  <si>
    <t>GOLF COURSE • STD PGM</t>
  </si>
  <si>
    <t>GOLF COURSE· BID</t>
  </si>
  <si>
    <t>GOVERNMENT SERVICES AGENCY</t>
  </si>
  <si>
    <t>GROUNDS CARE/MAINTENANCE (COMMERCIAL)</t>
  </si>
  <si>
    <t>GROUNDS CARE/MAINTENANCE (HOMEOWNER)</t>
  </si>
  <si>
    <t>HOBBY FARMING (NON COMMERCIAL)</t>
  </si>
  <si>
    <t>HOMEOWNER • STD PGM</t>
  </si>
  <si>
    <t>HOTEL· STD PGM</t>
  </si>
  <si>
    <t>INDUSTRIAL· STD PGM</t>
  </si>
  <si>
    <t>ISBEE • INDIAN SMALL BUSINESS ECON ENTERPRISE BID</t>
  </si>
  <si>
    <t>LAND IMPROVEMENT/IRRIGATION/DRAINAGE</t>
  </si>
  <si>
    <t>LAWN CARE (COMMERCIAL)</t>
  </si>
  <si>
    <t>LAWN CARE (HOMEOWNER)</t>
  </si>
  <si>
    <t>LIVESTOCK/POULTRY/DAIRY</t>
  </si>
  <si>
    <t>LIVESTOCK/CROP PRODUCTION</t>
  </si>
  <si>
    <t>MILITARY • BID</t>
  </si>
  <si>
    <t>MILITARY • STD PGM</t>
  </si>
  <si>
    <t>MINE/QUARRY • STD PGM</t>
  </si>
  <si>
    <t>NATIONAL ACCOUNTS • NJPA</t>
  </si>
  <si>
    <t>NATIONAL ACCOUNTS • STATE CONTRACT</t>
  </si>
  <si>
    <t>NON·PROFIT ORGANIZATION • BID</t>
  </si>
  <si>
    <t>NON·PROFIT ORGANIZATION • STD PGM</t>
  </si>
  <si>
    <t>NURSERY PRODUCTION-SOD-TREES/SHRUBS</t>
  </si>
  <si>
    <t>NURSERY· STD PGM</t>
  </si>
  <si>
    <t>OTHER (PRIVATE) • STD PGM</t>
  </si>
  <si>
    <t>OTHER (PRIVATE)·BID</t>
  </si>
  <si>
    <t>OTHER</t>
  </si>
  <si>
    <t>PARK • STD PGM</t>
  </si>
  <si>
    <t>PARK· BID</t>
  </si>
  <si>
    <t>PUBLIC SCHOOL/DIST. • BID</t>
  </si>
  <si>
    <t>PUBLIC SCHOOL/DIST. • STD PGM</t>
  </si>
  <si>
    <t>RECYCLING</t>
  </si>
  <si>
    <t>RENT TO RENT</t>
  </si>
  <si>
    <t>RENTAL</t>
  </si>
  <si>
    <t>ROAD SIDE MOWING</t>
  </si>
  <si>
    <t>SCHOOL/PRIVATE • STD PGM</t>
  </si>
  <si>
    <t>SCHOOLS PRIVATE·BID</t>
  </si>
  <si>
    <t>SCRAP HANDLING</t>
  </si>
  <si>
    <t>SNOW REMOVAL</t>
  </si>
  <si>
    <t>STATE CONTRACT</t>
  </si>
  <si>
    <t>STATE GOVERNMENT • BID</t>
  </si>
  <si>
    <t>STATE GOVERNMENT • STD PGM</t>
  </si>
  <si>
    <t>STREET -HIGHWAY CONSTRUCTION MAINTENANCE</t>
  </si>
  <si>
    <t>TIMBER HARVESTING</t>
  </si>
  <si>
    <t>TOWING/ TRANSPORTATION</t>
  </si>
  <si>
    <t>UTILITY COMPANY CO - BID</t>
  </si>
  <si>
    <t>UTILITY COMPANY· STD PGM</t>
  </si>
  <si>
    <t>VA • SDVOSB/VOSB</t>
  </si>
  <si>
    <t>JACKSONVILLE</t>
  </si>
  <si>
    <t>904-914-8878</t>
  </si>
  <si>
    <t>10628 GENERAL AVE.</t>
  </si>
  <si>
    <t>JACKSONVILLE, FL 32220</t>
  </si>
  <si>
    <t>CRYSTAL TRACTOR &amp; EQUIPMENT - JACKSONVILLE</t>
  </si>
  <si>
    <t>Sales, purchase, rentals, leases, use, consumption, repair, and storage including replacement parts and accessories of self- propelled, power-drawn, or power-driven farm equipment, including power farm equipment used in the storage of raw products on a farm. In order for the exemption to apply, the power farm equipment must be used exclusively on a farm or in a forest in the agricultural production of crops or products as produced by agricultural industries included in Section (s.) 570.02(1), F.S. Boats and motors used exclusively for aquaculture purposes are defined in this exemption.</t>
  </si>
  <si>
    <t>Second Accounting Cost Adjustment Description</t>
  </si>
  <si>
    <t>DELAYED PAYMENT DATE</t>
  </si>
  <si>
    <r>
      <t xml:space="preserve"> CAIRO, GA   </t>
    </r>
    <r>
      <rPr>
        <sz val="10"/>
        <color theme="1"/>
        <rFont val="Arial"/>
        <family val="2"/>
      </rPr>
      <t>|</t>
    </r>
    <r>
      <rPr>
        <b/>
        <sz val="10"/>
        <color theme="1"/>
        <rFont val="Arial"/>
        <family val="2"/>
      </rPr>
      <t xml:space="preserve">   CHIEFLAND,FL.  |  DELAND, FL.    </t>
    </r>
  </si>
  <si>
    <t>HASTINGS, FL   |  HOMOSASSA, FL   |    JACKSONVILLE, FL   |   LECANTO, FL</t>
  </si>
  <si>
    <t>LEESBURG, FL. |   LIVE OAK, FL.  |   MADISON, FL</t>
  </si>
  <si>
    <t>MIAMI, FL.  |    PALATKA, FL.  |   PANAMA CITY, FL  |  OCALA, FL</t>
  </si>
  <si>
    <t>SPRING HILL, FL.  |   STARKE, FL.  |   TALLAHASSEE, FL</t>
  </si>
  <si>
    <r>
      <t xml:space="preserve"> CAIRO, GA   </t>
    </r>
    <r>
      <rPr>
        <sz val="13"/>
        <color theme="1"/>
        <rFont val="Arial"/>
        <family val="2"/>
      </rPr>
      <t>|</t>
    </r>
    <r>
      <rPr>
        <b/>
        <sz val="13"/>
        <color theme="1"/>
        <rFont val="Arial"/>
        <family val="2"/>
      </rPr>
      <t xml:space="preserve">   CHIEFLAND,FL.  |  DELAND, FL.    </t>
    </r>
  </si>
  <si>
    <t xml:space="preserve"> CAIRO, GA   |   CHIEFLAND,FL.  |  DELAND, FL.    </t>
  </si>
  <si>
    <t>SELLING PRICE, NET</t>
  </si>
  <si>
    <t>DELAYED PAYMENT AGREEMENT</t>
  </si>
  <si>
    <t>DATE PAYMENT IS DUE IN FULL</t>
  </si>
  <si>
    <t>CUSTOMER ACKNOWLEDGES THAT IT HAS AGREED TO PAY THE TOTAL DUE FROM CUSTOMER ON OR BEFORE THE DATE PAYMENT IS DUE IN FULL AND THAT CRYSTAL TRACTOR AND AFFILIATES RETAIN A FIRST LIEN AND SECURITY INTEREST IN ALL EQUIPMENT DELIVERED HEREUNDER UNITL PAYMENT IN FULL IS RECEIEVD BY THE SELLER.</t>
  </si>
  <si>
    <t>MIAMI</t>
  </si>
  <si>
    <t>DADE</t>
  </si>
  <si>
    <t>MIAMI, FL</t>
  </si>
  <si>
    <t>CRYSTAL TRACTOR &amp; EQUIPMENT - SOUTH FLORIDA</t>
  </si>
  <si>
    <r>
      <t xml:space="preserve"> CAIRO, GA   </t>
    </r>
    <r>
      <rPr>
        <sz val="11"/>
        <color theme="1"/>
        <rFont val="Arial"/>
        <family val="2"/>
      </rPr>
      <t>|</t>
    </r>
    <r>
      <rPr>
        <b/>
        <sz val="11"/>
        <color theme="1"/>
        <rFont val="Arial"/>
        <family val="2"/>
      </rPr>
      <t xml:space="preserve">   CHIEFLAND,FL.  |  DELAND, FL.    </t>
    </r>
  </si>
  <si>
    <t>TOTAL DUE FROM CUSTOMER, plus Kubota Insurance, if purchased as shown below</t>
  </si>
  <si>
    <t>NO Product Sales</t>
  </si>
  <si>
    <t>Without Products</t>
  </si>
  <si>
    <t>Include Kubota Insurance on Invoice</t>
  </si>
  <si>
    <t>Include Kubota Insurance on Refer to Finance</t>
  </si>
  <si>
    <t>Yes if Kubota or Land Pride, Elect No as override</t>
  </si>
  <si>
    <t>Yes if selling Kubota Insurance on Invoice, If selected during Preinvoice</t>
  </si>
  <si>
    <t>Kubota Insurance on Menu</t>
  </si>
  <si>
    <t>Include Kubota Insurance On Quote</t>
  </si>
  <si>
    <t>Decline Kubota Insurance</t>
  </si>
  <si>
    <t>Declination Wording</t>
  </si>
  <si>
    <t>Menu Kubota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</si>
</sst>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quot;#,##0.00_);\(&quot;$&quot;#,##0.00\)"/>
    <numFmt numFmtId="8" formatCode="&quot;$&quot;#,##0.00_);[Red]\(&quot;$&quot;#,##0.00\)"/>
    <numFmt numFmtId="44" formatCode="_(&quot;$&quot;* #,##0.00_);_(&quot;$&quot;* \(#,##0.00\);_(&quot;$&quot;* &quot;-&quot;??_);_(@_)"/>
    <numFmt numFmtId="43" formatCode="_(* #,##0.00_);_(* \(#,##0.00\);_(* &quot;-&quot;??_);_(@_)"/>
    <numFmt numFmtId="164" formatCode="[$-409]mmmm\ d\,\ yyyy;@"/>
    <numFmt numFmtId="165" formatCode="[$-409]dd\-mmm\-yy;@"/>
    <numFmt numFmtId="166" formatCode="_(* #,##0_);_(* \(#,##0\);_(* &quot;-&quot;??_);_(@_)"/>
    <numFmt numFmtId="167" formatCode="0.000%"/>
    <numFmt numFmtId="168" formatCode="_(* #,##0.00000_);_(* \(#,##0.00000\);_(* &quot;-&quot;??_);_(@_)"/>
    <numFmt numFmtId="169" formatCode="[&lt;=9999999]###\-####;\(###\)\ ###\-####"/>
    <numFmt numFmtId="170" formatCode="&quot;$&quot;#,##0.00"/>
    <numFmt numFmtId="171" formatCode="##\ &quot;Months&quot;"/>
    <numFmt numFmtId="172" formatCode="0.0000000000000000%"/>
    <numFmt numFmtId="173" formatCode="[$-F400]h:mm:ss\ AM/PM"/>
    <numFmt numFmtId="174" formatCode="\-"/>
    <numFmt numFmtId="175" formatCode="0.0000%"/>
    <numFmt numFmtId="176" formatCode="0.000"/>
    <numFmt numFmtId="177" formatCode="00"/>
  </numFmts>
  <fonts count="57" x14ac:knownFonts="1">
    <font>
      <sz val="12"/>
      <color theme="1"/>
      <name val="Aptos Narrow"/>
      <family val="2"/>
      <scheme val="minor"/>
    </font>
    <font>
      <sz val="14"/>
      <color theme="1"/>
      <name val="Arial"/>
      <family val="2"/>
    </font>
    <font>
      <sz val="18"/>
      <color theme="1"/>
      <name val="Arial"/>
      <family val="2"/>
    </font>
    <font>
      <sz val="13"/>
      <color theme="1"/>
      <name val="Arial"/>
      <family val="2"/>
    </font>
    <font>
      <sz val="16"/>
      <color theme="1"/>
      <name val="Arial"/>
      <family val="2"/>
    </font>
    <font>
      <sz val="22"/>
      <color theme="1"/>
      <name val="Arial"/>
      <family val="2"/>
    </font>
    <font>
      <sz val="24"/>
      <color theme="1"/>
      <name val="Arial"/>
      <family val="2"/>
    </font>
    <font>
      <sz val="10"/>
      <color theme="1"/>
      <name val="Arial"/>
      <family val="2"/>
    </font>
    <font>
      <sz val="12"/>
      <color theme="1"/>
      <name val="Arial"/>
      <family val="2"/>
    </font>
    <font>
      <b/>
      <sz val="20"/>
      <color theme="1"/>
      <name val="Arial"/>
      <family val="2"/>
    </font>
    <font>
      <b/>
      <sz val="26"/>
      <color theme="1"/>
      <name val="Arial"/>
      <family val="2"/>
    </font>
    <font>
      <sz val="11"/>
      <color theme="1"/>
      <name val="Aptos Narrow"/>
      <family val="2"/>
      <scheme val="minor"/>
    </font>
    <font>
      <u/>
      <sz val="12"/>
      <color theme="10"/>
      <name val="Aptos Narrow"/>
      <family val="2"/>
      <scheme val="minor"/>
    </font>
    <font>
      <b/>
      <sz val="14"/>
      <color theme="1"/>
      <name val="Arial"/>
      <family val="2"/>
    </font>
    <font>
      <b/>
      <sz val="18"/>
      <color theme="1"/>
      <name val="Arial"/>
      <family val="2"/>
    </font>
    <font>
      <sz val="14"/>
      <color rgb="FF000000"/>
      <name val="Arial"/>
      <family val="2"/>
    </font>
    <font>
      <sz val="14"/>
      <color rgb="FF000000"/>
      <name val="Aptos Narrow"/>
      <family val="2"/>
      <scheme val="minor"/>
    </font>
    <font>
      <sz val="14"/>
      <color theme="1"/>
      <name val="Aptos Narrow"/>
      <family val="2"/>
      <scheme val="minor"/>
    </font>
    <font>
      <b/>
      <sz val="14"/>
      <color theme="0"/>
      <name val="Arial"/>
      <family val="2"/>
    </font>
    <font>
      <b/>
      <sz val="10"/>
      <color theme="1"/>
      <name val="Arial"/>
      <family val="2"/>
    </font>
    <font>
      <sz val="36"/>
      <color theme="0"/>
      <name val="Arial"/>
      <family val="2"/>
    </font>
    <font>
      <sz val="20"/>
      <color theme="2" tint="-9.9978637043366805E-2"/>
      <name val="Arial"/>
      <family val="2"/>
    </font>
    <font>
      <b/>
      <sz val="11"/>
      <color theme="1"/>
      <name val="Arial"/>
      <family val="2"/>
    </font>
    <font>
      <sz val="16"/>
      <color rgb="FF000000"/>
      <name val="Arial"/>
      <family val="2"/>
    </font>
    <font>
      <b/>
      <sz val="22"/>
      <color theme="1"/>
      <name val="Arial"/>
      <family val="2"/>
    </font>
    <font>
      <b/>
      <sz val="24"/>
      <color theme="1"/>
      <name val="Arial"/>
      <family val="2"/>
    </font>
    <font>
      <b/>
      <sz val="16"/>
      <color theme="1"/>
      <name val="Arial"/>
      <family val="2"/>
    </font>
    <font>
      <sz val="16"/>
      <color theme="1"/>
      <name val="Aptos Narrow"/>
      <family val="2"/>
      <scheme val="minor"/>
    </font>
    <font>
      <b/>
      <sz val="15"/>
      <color theme="1"/>
      <name val="Arial"/>
      <family val="2"/>
    </font>
    <font>
      <b/>
      <sz val="12"/>
      <color theme="1"/>
      <name val="Arial"/>
      <family val="2"/>
    </font>
    <font>
      <sz val="11"/>
      <color rgb="FF000000"/>
      <name val="Arial"/>
      <family val="2"/>
    </font>
    <font>
      <sz val="13"/>
      <color rgb="FF000000"/>
      <name val="Arial"/>
      <family val="2"/>
    </font>
    <font>
      <sz val="16"/>
      <color rgb="FF000000"/>
      <name val="Aptos Narrow"/>
      <family val="2"/>
      <scheme val="minor"/>
    </font>
    <font>
      <b/>
      <sz val="16"/>
      <color theme="1"/>
      <name val="Aptos Narrow"/>
      <family val="2"/>
      <scheme val="minor"/>
    </font>
    <font>
      <sz val="16"/>
      <color rgb="FF000000"/>
      <name val="Times New Roman"/>
      <family val="1"/>
    </font>
    <font>
      <b/>
      <sz val="22"/>
      <color theme="1"/>
      <name val="Aptos Narrow"/>
      <family val="2"/>
      <scheme val="minor"/>
    </font>
    <font>
      <b/>
      <sz val="20"/>
      <color rgb="FF333333"/>
      <name val="Arial"/>
      <family val="2"/>
    </font>
    <font>
      <sz val="20"/>
      <color rgb="FF333333"/>
      <name val="Arial"/>
      <family val="2"/>
    </font>
    <font>
      <sz val="10"/>
      <name val="Arial"/>
      <family val="2"/>
    </font>
    <font>
      <b/>
      <sz val="14"/>
      <name val="Arial"/>
      <family val="2"/>
    </font>
    <font>
      <sz val="12"/>
      <color rgb="FFFF0000"/>
      <name val="Arial"/>
      <family val="2"/>
    </font>
    <font>
      <sz val="12"/>
      <name val="Times New Roman"/>
      <family val="1"/>
    </font>
    <font>
      <sz val="12"/>
      <color theme="1"/>
      <name val="Times New Roman"/>
      <family val="1"/>
    </font>
    <font>
      <sz val="10"/>
      <color rgb="FF000000"/>
      <name val="Times New Roman"/>
      <family val="1"/>
    </font>
    <font>
      <sz val="11"/>
      <color rgb="FF000000"/>
      <name val="Times New Roman"/>
      <family val="1"/>
    </font>
    <font>
      <sz val="11"/>
      <color theme="1"/>
      <name val="Times New Roman"/>
      <family val="1"/>
    </font>
    <font>
      <sz val="10"/>
      <name val="Times New Roman"/>
      <family val="1"/>
    </font>
    <font>
      <sz val="10"/>
      <color rgb="FF0562C1"/>
      <name val="Times New Roman"/>
      <family val="1"/>
    </font>
    <font>
      <u/>
      <sz val="10"/>
      <color theme="10"/>
      <name val="Arial"/>
      <family val="2"/>
    </font>
    <font>
      <sz val="11"/>
      <name val="Calibri"/>
      <family val="2"/>
    </font>
    <font>
      <b/>
      <sz val="12"/>
      <color rgb="FF000000"/>
      <name val="Times New Roman"/>
      <family val="1"/>
    </font>
    <font>
      <sz val="12"/>
      <color rgb="FF333333"/>
      <name val="Times New Roman"/>
      <family val="1"/>
    </font>
    <font>
      <sz val="12"/>
      <color rgb="FF000000"/>
      <name val="Times New Roman"/>
      <family val="1"/>
    </font>
    <font>
      <sz val="12"/>
      <color theme="1"/>
      <name val="Aptos Narrow"/>
      <family val="2"/>
      <scheme val="minor"/>
    </font>
    <font>
      <b/>
      <sz val="12"/>
      <color theme="1"/>
      <name val="Arial"/>
      <family val="2"/>
    </font>
    <font>
      <b/>
      <sz val="13"/>
      <color theme="1"/>
      <name val="Arial"/>
      <family val="2"/>
    </font>
    <font>
      <sz val="11"/>
      <color theme="1"/>
      <name val="Arial"/>
      <family val="2"/>
    </font>
  </fonts>
  <fills count="30">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6" tint="0.79995117038483843"/>
        <bgColor indexed="64"/>
      </patternFill>
    </fill>
    <fill>
      <patternFill patternType="solid">
        <fgColor theme="3" tint="0.89996032593768116"/>
        <bgColor indexed="64"/>
      </patternFill>
    </fill>
    <fill>
      <patternFill patternType="solid">
        <fgColor theme="4" tint="0.79995117038483843"/>
        <bgColor indexed="64"/>
      </patternFill>
    </fill>
    <fill>
      <patternFill patternType="solid">
        <fgColor theme="9" tint="0.59999389629810485"/>
        <bgColor indexed="64"/>
      </patternFill>
    </fill>
    <fill>
      <patternFill patternType="solid">
        <fgColor rgb="FF7030A0"/>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4" tint="0.39994506668294322"/>
        <bgColor indexed="64"/>
      </patternFill>
    </fill>
    <fill>
      <patternFill patternType="solid">
        <fgColor rgb="FFFFFF00"/>
        <bgColor rgb="FF000000"/>
      </patternFill>
    </fill>
    <fill>
      <patternFill patternType="solid">
        <fgColor theme="8" tint="0.39997558519241921"/>
        <bgColor indexed="64"/>
      </patternFill>
    </fill>
    <fill>
      <patternFill patternType="solid">
        <fgColor theme="4"/>
        <bgColor theme="4"/>
      </patternFill>
    </fill>
    <fill>
      <patternFill patternType="solid">
        <fgColor theme="4" tint="0.79995117038483843"/>
        <bgColor theme="4" tint="0.79995117038483843"/>
      </patternFill>
    </fill>
    <fill>
      <patternFill patternType="solid">
        <fgColor theme="8" tint="0.39994506668294322"/>
        <bgColor indexed="64"/>
      </patternFill>
    </fill>
    <fill>
      <patternFill patternType="solid">
        <fgColor rgb="FF00B0F0"/>
        <bgColor indexed="64"/>
      </patternFill>
    </fill>
    <fill>
      <patternFill patternType="solid">
        <fgColor theme="8"/>
        <bgColor indexed="64"/>
      </patternFill>
    </fill>
    <fill>
      <patternFill patternType="solid">
        <fgColor theme="1"/>
        <bgColor indexed="64"/>
      </patternFill>
    </fill>
    <fill>
      <patternFill patternType="solid">
        <fgColor theme="2"/>
        <bgColor indexed="64"/>
      </patternFill>
    </fill>
    <fill>
      <patternFill patternType="solid">
        <fgColor theme="0" tint="-4.9989318521683403E-2"/>
        <bgColor indexed="64"/>
      </patternFill>
    </fill>
    <fill>
      <patternFill patternType="solid">
        <fgColor theme="7" tint="0.79995117038483843"/>
        <bgColor indexed="64"/>
      </patternFill>
    </fill>
    <fill>
      <patternFill patternType="solid">
        <fgColor rgb="FF156082"/>
        <bgColor indexed="64"/>
      </patternFill>
    </fill>
    <fill>
      <patternFill patternType="solid">
        <fgColor theme="4"/>
        <bgColor indexed="64"/>
      </patternFill>
    </fill>
    <fill>
      <patternFill patternType="solid">
        <fgColor theme="9" tint="-0.249977111117893"/>
        <bgColor indexed="64"/>
      </patternFill>
    </fill>
    <fill>
      <patternFill patternType="solid">
        <fgColor theme="5"/>
        <bgColor indexed="64"/>
      </patternFill>
    </fill>
    <fill>
      <patternFill patternType="solid">
        <fgColor theme="2" tint="-0.249977111117893"/>
        <bgColor indexed="64"/>
      </patternFill>
    </fill>
    <fill>
      <patternFill patternType="solid">
        <fgColor rgb="FFB5E6A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theme="4" tint="0.39994506668294322"/>
      </right>
      <top style="thin">
        <color theme="4" tint="0.39994506668294322"/>
      </top>
      <bottom/>
      <diagonal/>
    </border>
    <border>
      <left/>
      <right/>
      <top style="thin">
        <color theme="4" tint="0.39994506668294322"/>
      </top>
      <bottom/>
      <diagonal/>
    </border>
    <border>
      <left style="thin">
        <color theme="4" tint="0.39994506668294322"/>
      </left>
      <right/>
      <top/>
      <bottom style="thin">
        <color theme="4" tint="0.39994506668294322"/>
      </bottom>
      <diagonal/>
    </border>
    <border>
      <left/>
      <right/>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bottom style="double">
        <color theme="0"/>
      </bottom>
      <diagonal/>
    </border>
    <border>
      <left/>
      <right/>
      <top style="double">
        <color theme="0"/>
      </top>
      <bottom style="double">
        <color theme="0"/>
      </bottom>
      <diagonal/>
    </border>
    <border>
      <left/>
      <right style="double">
        <color theme="0"/>
      </right>
      <top style="double">
        <color theme="0"/>
      </top>
      <bottom style="double">
        <color theme="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top/>
      <bottom/>
      <diagonal/>
    </border>
    <border>
      <left/>
      <right/>
      <top style="thin">
        <color indexed="64"/>
      </top>
      <bottom style="medium">
        <color indexed="64"/>
      </bottom>
      <diagonal/>
    </border>
    <border>
      <left/>
      <right/>
      <top style="thin">
        <color indexed="64"/>
      </top>
      <bottom style="double">
        <color indexed="64"/>
      </bottom>
      <diagonal/>
    </border>
    <border>
      <left style="medium">
        <color rgb="FFECF0F1"/>
      </left>
      <right style="medium">
        <color rgb="FFECF0F1"/>
      </right>
      <top style="medium">
        <color rgb="FFECF0F1"/>
      </top>
      <bottom style="medium">
        <color rgb="FFECF0F1"/>
      </bottom>
      <diagonal/>
    </border>
  </borders>
  <cellStyleXfs count="11">
    <xf numFmtId="0" fontId="0" fillId="0" borderId="0"/>
    <xf numFmtId="0" fontId="11" fillId="0" borderId="0"/>
    <xf numFmtId="44" fontId="53" fillId="0" borderId="0" applyFont="0" applyFill="0" applyBorder="0" applyAlignment="0" applyProtection="0"/>
    <xf numFmtId="0" fontId="12" fillId="0" borderId="0" applyNumberFormat="0" applyFill="0" applyBorder="0" applyAlignment="0" applyProtection="0"/>
    <xf numFmtId="43" fontId="53" fillId="0" borderId="0" applyFont="0" applyFill="0" applyBorder="0" applyAlignment="0" applyProtection="0"/>
    <xf numFmtId="9" fontId="53" fillId="0" borderId="0" applyFont="0" applyFill="0" applyBorder="0" applyAlignment="0" applyProtection="0"/>
    <xf numFmtId="0" fontId="49" fillId="0" borderId="0"/>
    <xf numFmtId="0" fontId="43" fillId="0" borderId="0"/>
    <xf numFmtId="0" fontId="38" fillId="0" borderId="0"/>
    <xf numFmtId="0" fontId="48" fillId="0" borderId="0" applyNumberFormat="0" applyFill="0" applyBorder="0" applyAlignment="0" applyProtection="0"/>
    <xf numFmtId="9" fontId="11" fillId="0" borderId="0" applyFont="0" applyFill="0" applyBorder="0" applyAlignment="0" applyProtection="0"/>
  </cellStyleXfs>
  <cellXfs count="1152">
    <xf numFmtId="0" fontId="0" fillId="0" borderId="0" xfId="0"/>
    <xf numFmtId="0" fontId="1" fillId="0" borderId="0" xfId="0" applyFont="1"/>
    <xf numFmtId="0" fontId="2" fillId="0" borderId="0" xfId="0" applyFont="1"/>
    <xf numFmtId="0" fontId="1" fillId="2" borderId="0" xfId="0" applyFont="1" applyFill="1"/>
    <xf numFmtId="0" fontId="1" fillId="0" borderId="0" xfId="0" applyFont="1" applyAlignment="1">
      <alignment wrapText="1"/>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applyAlignment="1">
      <alignment vertical="top"/>
    </xf>
    <xf numFmtId="0" fontId="1" fillId="0" borderId="0" xfId="0" applyFont="1" applyAlignment="1">
      <alignment vertical="top"/>
    </xf>
    <xf numFmtId="0" fontId="9" fillId="0" borderId="0" xfId="0" applyFont="1" applyAlignment="1">
      <alignment horizontal="center" vertical="center"/>
    </xf>
    <xf numFmtId="0" fontId="10" fillId="0" borderId="0" xfId="0" applyFont="1" applyAlignment="1">
      <alignment wrapText="1"/>
    </xf>
    <xf numFmtId="0" fontId="8" fillId="0" borderId="0" xfId="0" applyFont="1" applyAlignment="1">
      <alignment wrapText="1"/>
    </xf>
    <xf numFmtId="0" fontId="11" fillId="0" borderId="0" xfId="1" applyAlignment="1">
      <alignment wrapText="1"/>
    </xf>
    <xf numFmtId="0" fontId="8" fillId="0" borderId="0" xfId="0" applyFont="1"/>
    <xf numFmtId="0" fontId="8" fillId="3" borderId="0" xfId="0" applyFont="1" applyFill="1"/>
    <xf numFmtId="0" fontId="8" fillId="4" borderId="1" xfId="0" applyFont="1" applyFill="1" applyBorder="1" applyProtection="1">
      <protection locked="0"/>
    </xf>
    <xf numFmtId="0" fontId="1" fillId="0" borderId="0" xfId="0" applyFont="1" applyAlignment="1">
      <alignment horizontal="left" wrapText="1"/>
    </xf>
    <xf numFmtId="0" fontId="1" fillId="4" borderId="2" xfId="0" applyFont="1" applyFill="1" applyBorder="1" applyAlignment="1" applyProtection="1">
      <alignment horizontal="left" wrapText="1"/>
      <protection locked="0"/>
    </xf>
    <xf numFmtId="0" fontId="8" fillId="0" borderId="0" xfId="0" applyFont="1" applyAlignment="1">
      <alignment horizontal="center"/>
    </xf>
    <xf numFmtId="49" fontId="8" fillId="0" borderId="0" xfId="0" applyNumberFormat="1" applyFont="1"/>
    <xf numFmtId="44" fontId="1" fillId="0" borderId="0" xfId="2" applyFont="1" applyProtection="1"/>
    <xf numFmtId="0" fontId="1" fillId="0" borderId="0" xfId="0" applyFont="1" applyAlignment="1">
      <alignment horizontal="left" vertical="top" wrapText="1"/>
    </xf>
    <xf numFmtId="0" fontId="1" fillId="4" borderId="0" xfId="0" applyFont="1" applyFill="1" applyAlignment="1" applyProtection="1">
      <alignment horizontal="left" vertical="top" wrapText="1"/>
      <protection locked="0"/>
    </xf>
    <xf numFmtId="0" fontId="1" fillId="5" borderId="1" xfId="0" applyFont="1" applyFill="1" applyBorder="1" applyAlignment="1" applyProtection="1">
      <alignment horizontal="right"/>
      <protection locked="0"/>
    </xf>
    <xf numFmtId="14" fontId="1" fillId="5" borderId="1" xfId="0" applyNumberFormat="1" applyFont="1" applyFill="1" applyBorder="1" applyAlignment="1" applyProtection="1">
      <alignment horizontal="right"/>
      <protection locked="0"/>
    </xf>
    <xf numFmtId="44" fontId="8" fillId="0" borderId="0" xfId="2" applyFont="1" applyProtection="1"/>
    <xf numFmtId="44" fontId="2" fillId="0" borderId="0" xfId="2" applyFont="1" applyProtection="1"/>
    <xf numFmtId="0" fontId="2" fillId="0" borderId="0" xfId="0" applyFont="1" applyAlignment="1">
      <alignment wrapText="1"/>
    </xf>
    <xf numFmtId="44" fontId="2" fillId="0" borderId="0" xfId="2" applyFont="1"/>
    <xf numFmtId="0" fontId="2" fillId="0" borderId="0" xfId="0" applyFont="1" applyAlignment="1">
      <alignment horizontal="left" vertical="top" wrapText="1"/>
    </xf>
    <xf numFmtId="0" fontId="1" fillId="0" borderId="0" xfId="0" applyFont="1" applyAlignment="1">
      <alignment horizontal="right"/>
    </xf>
    <xf numFmtId="0" fontId="1" fillId="3" borderId="0" xfId="0" applyFont="1" applyFill="1"/>
    <xf numFmtId="0" fontId="1" fillId="4" borderId="0" xfId="0" applyFont="1" applyFill="1"/>
    <xf numFmtId="0" fontId="1" fillId="5" borderId="0" xfId="0" applyFont="1" applyFill="1" applyAlignment="1" applyProtection="1">
      <alignment horizontal="right"/>
      <protection locked="0"/>
    </xf>
    <xf numFmtId="0" fontId="1" fillId="0" borderId="0" xfId="0" applyFont="1" applyAlignment="1">
      <alignment horizontal="left"/>
    </xf>
    <xf numFmtId="0" fontId="1" fillId="0" borderId="0" xfId="0" applyFont="1" applyAlignment="1">
      <alignment horizontal="center"/>
    </xf>
    <xf numFmtId="0" fontId="1" fillId="3" borderId="1" xfId="0" applyFont="1" applyFill="1" applyBorder="1" applyAlignment="1">
      <alignment horizontal="right"/>
    </xf>
    <xf numFmtId="164" fontId="1" fillId="3" borderId="1" xfId="0" applyNumberFormat="1" applyFont="1" applyFill="1" applyBorder="1" applyAlignment="1">
      <alignment horizontal="right"/>
    </xf>
    <xf numFmtId="44" fontId="1" fillId="0" borderId="0" xfId="2" applyFont="1" applyAlignment="1" applyProtection="1">
      <alignment wrapText="1"/>
    </xf>
    <xf numFmtId="44" fontId="1" fillId="0" borderId="0" xfId="2" applyFont="1" applyFill="1" applyBorder="1" applyProtection="1"/>
    <xf numFmtId="44" fontId="1" fillId="0" borderId="0" xfId="0" applyNumberFormat="1" applyFont="1" applyAlignment="1">
      <alignment horizontal="left"/>
    </xf>
    <xf numFmtId="0" fontId="0" fillId="4" borderId="1" xfId="0" applyFill="1" applyBorder="1"/>
    <xf numFmtId="0" fontId="1" fillId="6" borderId="1" xfId="0" applyFont="1" applyFill="1" applyBorder="1"/>
    <xf numFmtId="44" fontId="1" fillId="6" borderId="1" xfId="0" applyNumberFormat="1" applyFont="1" applyFill="1" applyBorder="1"/>
    <xf numFmtId="44" fontId="1" fillId="5" borderId="1" xfId="2" applyFont="1" applyFill="1" applyBorder="1" applyProtection="1">
      <protection locked="0"/>
    </xf>
    <xf numFmtId="0" fontId="1" fillId="4" borderId="1" xfId="0" applyFont="1" applyFill="1" applyBorder="1" applyProtection="1">
      <protection locked="0"/>
    </xf>
    <xf numFmtId="0" fontId="1" fillId="7" borderId="1" xfId="0" applyFont="1" applyFill="1" applyBorder="1"/>
    <xf numFmtId="44" fontId="1" fillId="0" borderId="0" xfId="0" applyNumberFormat="1" applyFont="1"/>
    <xf numFmtId="44" fontId="1" fillId="2" borderId="0" xfId="0" applyNumberFormat="1" applyFont="1" applyFill="1"/>
    <xf numFmtId="0" fontId="1" fillId="5" borderId="1" xfId="0" applyFont="1" applyFill="1" applyBorder="1" applyProtection="1">
      <protection locked="0"/>
    </xf>
    <xf numFmtId="0" fontId="1" fillId="0" borderId="6" xfId="0" applyFont="1" applyBorder="1"/>
    <xf numFmtId="0" fontId="1" fillId="0" borderId="7" xfId="0" applyFont="1" applyBorder="1"/>
    <xf numFmtId="44" fontId="1" fillId="0" borderId="0" xfId="2" applyFont="1" applyBorder="1" applyProtection="1"/>
    <xf numFmtId="44" fontId="1" fillId="4" borderId="1" xfId="2" applyFont="1" applyFill="1" applyBorder="1" applyProtection="1">
      <protection locked="0"/>
    </xf>
    <xf numFmtId="165" fontId="1" fillId="4" borderId="1" xfId="0" applyNumberFormat="1" applyFont="1" applyFill="1" applyBorder="1" applyProtection="1">
      <protection locked="0"/>
    </xf>
    <xf numFmtId="44" fontId="1" fillId="4" borderId="1" xfId="2" applyFont="1" applyFill="1" applyBorder="1" applyAlignment="1" applyProtection="1">
      <alignment horizontal="right"/>
      <protection locked="0"/>
    </xf>
    <xf numFmtId="0" fontId="1" fillId="8" borderId="1" xfId="0" applyFont="1" applyFill="1" applyBorder="1" applyProtection="1">
      <protection locked="0"/>
    </xf>
    <xf numFmtId="0" fontId="1" fillId="9" borderId="1" xfId="0" applyFont="1" applyFill="1" applyBorder="1" applyProtection="1">
      <protection locked="0"/>
    </xf>
    <xf numFmtId="166" fontId="1" fillId="3" borderId="1" xfId="4" applyNumberFormat="1" applyFont="1" applyFill="1" applyBorder="1" applyAlignment="1" applyProtection="1">
      <alignment horizontal="right"/>
      <protection locked="0"/>
    </xf>
    <xf numFmtId="0" fontId="1" fillId="10" borderId="0" xfId="0" applyFont="1" applyFill="1"/>
    <xf numFmtId="44" fontId="1" fillId="0" borderId="0" xfId="0" applyNumberFormat="1" applyFont="1" applyAlignment="1">
      <alignment horizontal="right"/>
    </xf>
    <xf numFmtId="0" fontId="1" fillId="0" borderId="0" xfId="0" applyFont="1" applyAlignment="1">
      <alignment horizontal="right" vertical="top" wrapText="1"/>
    </xf>
    <xf numFmtId="44" fontId="1" fillId="0" borderId="0" xfId="2" applyFont="1" applyAlignment="1" applyProtection="1">
      <alignment horizontal="left" vertical="top" wrapText="1"/>
    </xf>
    <xf numFmtId="0" fontId="8" fillId="0" borderId="0" xfId="0" applyFont="1" applyAlignment="1">
      <alignment horizontal="left"/>
    </xf>
    <xf numFmtId="0" fontId="8" fillId="0" borderId="0" xfId="0" applyFont="1" applyAlignment="1">
      <alignment horizontal="right"/>
    </xf>
    <xf numFmtId="0" fontId="1" fillId="0" borderId="0" xfId="0" applyFont="1" applyAlignment="1">
      <alignment horizontal="right" wrapText="1"/>
    </xf>
    <xf numFmtId="0" fontId="8" fillId="0" borderId="10" xfId="0" applyFont="1" applyBorder="1"/>
    <xf numFmtId="0" fontId="8" fillId="0" borderId="11" xfId="0" applyFont="1" applyBorder="1"/>
    <xf numFmtId="9" fontId="1" fillId="4" borderId="1" xfId="5" applyFont="1" applyFill="1" applyBorder="1" applyProtection="1">
      <protection locked="0"/>
    </xf>
    <xf numFmtId="0" fontId="1" fillId="5" borderId="1" xfId="0" applyFont="1" applyFill="1" applyBorder="1" applyAlignment="1" applyProtection="1">
      <alignment horizontal="right" wrapText="1"/>
      <protection locked="0"/>
    </xf>
    <xf numFmtId="0" fontId="8" fillId="0" borderId="10" xfId="0" applyFont="1" applyBorder="1" applyAlignment="1">
      <alignment wrapText="1"/>
    </xf>
    <xf numFmtId="166" fontId="8" fillId="4" borderId="12" xfId="4" applyNumberFormat="1" applyFont="1" applyFill="1" applyBorder="1" applyProtection="1">
      <protection locked="0"/>
    </xf>
    <xf numFmtId="9" fontId="1" fillId="0" borderId="1" xfId="5" applyFont="1" applyFill="1" applyBorder="1" applyProtection="1"/>
    <xf numFmtId="167" fontId="8" fillId="4" borderId="12" xfId="5" applyNumberFormat="1" applyFont="1" applyFill="1" applyBorder="1" applyProtection="1">
      <protection locked="0"/>
    </xf>
    <xf numFmtId="164" fontId="1" fillId="4" borderId="1" xfId="0" applyNumberFormat="1" applyFont="1" applyFill="1" applyBorder="1" applyAlignment="1" applyProtection="1">
      <alignment horizontal="right"/>
      <protection locked="0"/>
    </xf>
    <xf numFmtId="9" fontId="1" fillId="0" borderId="0" xfId="5" applyFont="1" applyFill="1" applyBorder="1" applyProtection="1"/>
    <xf numFmtId="44" fontId="8" fillId="0" borderId="11" xfId="2" applyFont="1" applyFill="1" applyBorder="1" applyProtection="1"/>
    <xf numFmtId="0" fontId="1" fillId="4" borderId="1" xfId="0" applyFont="1" applyFill="1" applyBorder="1" applyAlignment="1" applyProtection="1">
      <alignment horizontal="right"/>
      <protection locked="0"/>
    </xf>
    <xf numFmtId="8" fontId="8" fillId="0" borderId="11" xfId="0" applyNumberFormat="1" applyFont="1" applyBorder="1"/>
    <xf numFmtId="44" fontId="8" fillId="0" borderId="0" xfId="2" applyFont="1" applyAlignment="1" applyProtection="1">
      <alignment horizontal="right"/>
    </xf>
    <xf numFmtId="14" fontId="8" fillId="3" borderId="1" xfId="0" applyNumberFormat="1" applyFont="1" applyFill="1" applyBorder="1"/>
    <xf numFmtId="0" fontId="8" fillId="10" borderId="0" xfId="0" applyFont="1" applyFill="1"/>
    <xf numFmtId="0" fontId="8" fillId="11" borderId="0" xfId="0" applyFont="1" applyFill="1"/>
    <xf numFmtId="0" fontId="1" fillId="8" borderId="1" xfId="0" applyFont="1" applyFill="1" applyBorder="1" applyAlignment="1" applyProtection="1">
      <alignment horizontal="right" wrapText="1"/>
      <protection locked="0"/>
    </xf>
    <xf numFmtId="0" fontId="8" fillId="4" borderId="0" xfId="0" applyFont="1" applyFill="1"/>
    <xf numFmtId="0" fontId="1" fillId="0" borderId="0" xfId="0" applyFont="1" applyAlignment="1">
      <alignment horizontal="left" indent="1"/>
    </xf>
    <xf numFmtId="0" fontId="8" fillId="0" borderId="0" xfId="0" applyFont="1" applyAlignment="1">
      <alignment horizontal="left" indent="1"/>
    </xf>
    <xf numFmtId="168" fontId="1" fillId="0" borderId="0" xfId="4" applyNumberFormat="1" applyFont="1" applyAlignment="1" applyProtection="1">
      <alignment horizontal="right" wrapText="1"/>
    </xf>
    <xf numFmtId="0" fontId="8" fillId="12" borderId="0" xfId="0" applyFont="1" applyFill="1"/>
    <xf numFmtId="44" fontId="15" fillId="13" borderId="1" xfId="2" applyFont="1" applyFill="1" applyBorder="1" applyAlignment="1" applyProtection="1">
      <alignment horizontal="right"/>
      <protection locked="0"/>
    </xf>
    <xf numFmtId="44" fontId="8" fillId="0" borderId="0" xfId="0" applyNumberFormat="1" applyFont="1" applyAlignment="1">
      <alignment horizontal="right"/>
    </xf>
    <xf numFmtId="168" fontId="1" fillId="5" borderId="1" xfId="4" applyNumberFormat="1" applyFont="1" applyFill="1" applyBorder="1" applyProtection="1">
      <protection locked="0"/>
    </xf>
    <xf numFmtId="0" fontId="8" fillId="0" borderId="0" xfId="0" quotePrefix="1" applyFont="1"/>
    <xf numFmtId="44" fontId="16" fillId="4" borderId="1" xfId="2" applyFont="1" applyFill="1" applyBorder="1" applyAlignment="1" applyProtection="1">
      <alignment horizontal="right"/>
      <protection locked="0"/>
    </xf>
    <xf numFmtId="0" fontId="17" fillId="4" borderId="1" xfId="0" applyFont="1" applyFill="1" applyBorder="1" applyProtection="1">
      <protection locked="0"/>
    </xf>
    <xf numFmtId="44" fontId="8" fillId="12" borderId="1" xfId="2" applyFont="1" applyFill="1" applyBorder="1"/>
    <xf numFmtId="44" fontId="8" fillId="12" borderId="1" xfId="2" applyFont="1" applyFill="1" applyBorder="1" applyProtection="1">
      <protection locked="0"/>
    </xf>
    <xf numFmtId="0" fontId="8" fillId="12" borderId="1" xfId="0" applyFont="1" applyFill="1" applyBorder="1"/>
    <xf numFmtId="0" fontId="8" fillId="4" borderId="1" xfId="0" applyFont="1" applyFill="1" applyBorder="1"/>
    <xf numFmtId="0" fontId="8" fillId="14" borderId="1" xfId="0" applyFont="1" applyFill="1" applyBorder="1"/>
    <xf numFmtId="44" fontId="0" fillId="0" borderId="0" xfId="0" applyNumberFormat="1"/>
    <xf numFmtId="0" fontId="1" fillId="0" borderId="0" xfId="0" applyFont="1" applyAlignment="1">
      <alignment horizontal="right" indent="1"/>
    </xf>
    <xf numFmtId="49" fontId="8" fillId="0" borderId="0" xfId="2" applyNumberFormat="1" applyFont="1" applyProtection="1"/>
    <xf numFmtId="0" fontId="8" fillId="14" borderId="0" xfId="0" applyFont="1" applyFill="1"/>
    <xf numFmtId="44" fontId="8" fillId="0" borderId="0" xfId="0" applyNumberFormat="1" applyFont="1"/>
    <xf numFmtId="168" fontId="1" fillId="0" borderId="0" xfId="4" applyNumberFormat="1" applyFont="1" applyProtection="1"/>
    <xf numFmtId="44" fontId="8" fillId="0" borderId="0" xfId="2" applyFont="1" applyAlignment="1" applyProtection="1">
      <alignment horizontal="right" wrapText="1"/>
    </xf>
    <xf numFmtId="44" fontId="8" fillId="0" borderId="14" xfId="2" applyFont="1" applyBorder="1" applyProtection="1"/>
    <xf numFmtId="49" fontId="8" fillId="0" borderId="0" xfId="2" applyNumberFormat="1" applyFont="1" applyAlignment="1" applyProtection="1">
      <alignment horizontal="right"/>
    </xf>
    <xf numFmtId="166" fontId="8" fillId="0" borderId="0" xfId="4" applyNumberFormat="1" applyFont="1" applyAlignment="1" applyProtection="1">
      <alignment horizontal="right"/>
    </xf>
    <xf numFmtId="0" fontId="8" fillId="0" borderId="16" xfId="0" applyFont="1" applyBorder="1"/>
    <xf numFmtId="0" fontId="8" fillId="0" borderId="14" xfId="0" applyFont="1" applyBorder="1"/>
    <xf numFmtId="44" fontId="15" fillId="13" borderId="2" xfId="2" applyFont="1" applyFill="1" applyBorder="1" applyAlignment="1" applyProtection="1">
      <alignment horizontal="right"/>
      <protection locked="0"/>
    </xf>
    <xf numFmtId="44" fontId="1" fillId="0" borderId="0" xfId="2" applyFont="1" applyAlignment="1" applyProtection="1">
      <alignment horizontal="right"/>
    </xf>
    <xf numFmtId="44" fontId="8" fillId="0" borderId="0" xfId="2" applyFont="1" applyAlignment="1" applyProtection="1">
      <alignment wrapText="1"/>
    </xf>
    <xf numFmtId="44" fontId="8" fillId="0" borderId="0" xfId="2" applyFont="1" applyBorder="1" applyProtection="1"/>
    <xf numFmtId="0" fontId="8" fillId="4" borderId="1" xfId="2" applyNumberFormat="1" applyFont="1" applyFill="1" applyBorder="1" applyProtection="1">
      <protection locked="0"/>
    </xf>
    <xf numFmtId="44" fontId="8" fillId="4" borderId="1" xfId="2" applyFont="1" applyFill="1" applyBorder="1" applyProtection="1">
      <protection locked="0"/>
    </xf>
    <xf numFmtId="44" fontId="9" fillId="0" borderId="0" xfId="2" applyFont="1" applyAlignment="1" applyProtection="1">
      <alignment horizontal="center" vertical="top"/>
    </xf>
    <xf numFmtId="0" fontId="8" fillId="0" borderId="0" xfId="0" applyFont="1" applyAlignment="1">
      <alignment horizontal="right" wrapText="1"/>
    </xf>
    <xf numFmtId="10" fontId="8" fillId="0" borderId="0" xfId="5" applyNumberFormat="1" applyFont="1"/>
    <xf numFmtId="0" fontId="8" fillId="2" borderId="0" xfId="0" applyFont="1" applyFill="1" applyAlignment="1">
      <alignment horizontal="right" wrapText="1"/>
    </xf>
    <xf numFmtId="0" fontId="8" fillId="2" borderId="0" xfId="0" applyFont="1" applyFill="1" applyAlignment="1">
      <alignment horizontal="right"/>
    </xf>
    <xf numFmtId="0" fontId="8" fillId="4" borderId="0" xfId="0" applyFont="1" applyFill="1" applyProtection="1">
      <protection locked="0"/>
    </xf>
    <xf numFmtId="44" fontId="1" fillId="0" borderId="0" xfId="2" applyFont="1" applyFill="1" applyAlignment="1" applyProtection="1">
      <alignment wrapText="1"/>
    </xf>
    <xf numFmtId="0" fontId="18" fillId="15" borderId="0" xfId="0" applyFont="1" applyFill="1" applyAlignment="1">
      <alignment horizontal="right" wrapText="1"/>
    </xf>
    <xf numFmtId="0" fontId="18" fillId="15" borderId="17" xfId="0" applyFont="1" applyFill="1" applyBorder="1" applyAlignment="1">
      <alignment horizontal="right" wrapText="1"/>
    </xf>
    <xf numFmtId="10" fontId="13" fillId="0" borderId="0" xfId="5" applyNumberFormat="1" applyFont="1" applyAlignment="1">
      <alignment horizontal="right" wrapText="1"/>
    </xf>
    <xf numFmtId="0" fontId="13" fillId="0" borderId="0" xfId="0" applyFont="1" applyAlignment="1">
      <alignment horizontal="right" wrapText="1"/>
    </xf>
    <xf numFmtId="0" fontId="13" fillId="0" borderId="18" xfId="0" applyFont="1" applyBorder="1" applyAlignment="1">
      <alignment horizontal="right" wrapText="1"/>
    </xf>
    <xf numFmtId="0" fontId="1" fillId="2" borderId="0" xfId="0" applyFont="1" applyFill="1" applyAlignment="1">
      <alignment horizontal="right" wrapText="1"/>
    </xf>
    <xf numFmtId="0" fontId="8" fillId="2" borderId="1" xfId="0" applyFont="1" applyFill="1" applyBorder="1" applyAlignment="1" applyProtection="1">
      <alignment horizontal="center" vertical="center" wrapText="1"/>
      <protection locked="0"/>
    </xf>
    <xf numFmtId="44" fontId="1" fillId="5" borderId="1" xfId="2" applyFont="1" applyFill="1" applyBorder="1" applyAlignment="1" applyProtection="1">
      <alignment wrapText="1"/>
      <protection locked="0"/>
    </xf>
    <xf numFmtId="44" fontId="1" fillId="0" borderId="0" xfId="2" applyFont="1" applyFill="1" applyBorder="1" applyAlignment="1" applyProtection="1">
      <alignment wrapText="1"/>
    </xf>
    <xf numFmtId="44" fontId="1" fillId="6" borderId="1" xfId="2" applyFont="1" applyFill="1" applyBorder="1" applyAlignment="1" applyProtection="1">
      <alignment horizontal="right" wrapText="1"/>
      <protection locked="0"/>
    </xf>
    <xf numFmtId="44" fontId="1" fillId="6" borderId="1" xfId="2" applyFont="1" applyFill="1" applyBorder="1" applyAlignment="1" applyProtection="1">
      <alignment wrapText="1"/>
      <protection locked="0"/>
    </xf>
    <xf numFmtId="0" fontId="8" fillId="4" borderId="1" xfId="0" applyFont="1" applyFill="1" applyBorder="1" applyAlignment="1" applyProtection="1">
      <alignment horizontal="right" wrapText="1"/>
      <protection locked="0"/>
    </xf>
    <xf numFmtId="0" fontId="1" fillId="0" borderId="18" xfId="0" applyFont="1" applyBorder="1"/>
    <xf numFmtId="44" fontId="1" fillId="16" borderId="17" xfId="0" applyNumberFormat="1" applyFont="1" applyFill="1" applyBorder="1"/>
    <xf numFmtId="44" fontId="1" fillId="0" borderId="0" xfId="2" applyFont="1"/>
    <xf numFmtId="0" fontId="8" fillId="2" borderId="1" xfId="0" applyFont="1" applyFill="1" applyBorder="1" applyAlignment="1" applyProtection="1">
      <alignment horizontal="right" wrapText="1"/>
      <protection locked="0"/>
    </xf>
    <xf numFmtId="44" fontId="8" fillId="2" borderId="0" xfId="0" applyNumberFormat="1" applyFont="1" applyFill="1" applyAlignment="1">
      <alignment horizontal="right"/>
    </xf>
    <xf numFmtId="0" fontId="1" fillId="2" borderId="0" xfId="0" applyFont="1" applyFill="1" applyAlignment="1">
      <alignment horizontal="right"/>
    </xf>
    <xf numFmtId="44" fontId="1" fillId="6" borderId="1" xfId="2" applyFont="1" applyFill="1" applyBorder="1" applyAlignment="1" applyProtection="1">
      <alignment horizontal="right"/>
      <protection locked="0"/>
    </xf>
    <xf numFmtId="44" fontId="1" fillId="6" borderId="1" xfId="2" applyFont="1" applyFill="1" applyBorder="1" applyProtection="1">
      <protection locked="0"/>
    </xf>
    <xf numFmtId="44" fontId="1" fillId="0" borderId="17" xfId="0" applyNumberFormat="1" applyFont="1" applyBorder="1"/>
    <xf numFmtId="0" fontId="1" fillId="16" borderId="18" xfId="0" applyFont="1" applyFill="1" applyBorder="1"/>
    <xf numFmtId="0" fontId="8" fillId="4" borderId="1" xfId="0" applyFont="1" applyFill="1" applyBorder="1" applyAlignment="1" applyProtection="1">
      <alignment horizontal="right"/>
      <protection locked="0"/>
    </xf>
    <xf numFmtId="0" fontId="8" fillId="16" borderId="19" xfId="0" applyFont="1" applyFill="1" applyBorder="1"/>
    <xf numFmtId="0" fontId="1" fillId="16" borderId="20" xfId="0" applyFont="1" applyFill="1" applyBorder="1"/>
    <xf numFmtId="0" fontId="8" fillId="16" borderId="20" xfId="0" applyFont="1" applyFill="1" applyBorder="1"/>
    <xf numFmtId="0" fontId="8" fillId="16" borderId="21" xfId="0" applyFont="1" applyFill="1" applyBorder="1"/>
    <xf numFmtId="44" fontId="8" fillId="2" borderId="0" xfId="2" applyFont="1" applyFill="1" applyAlignment="1" applyProtection="1">
      <alignment horizontal="right"/>
    </xf>
    <xf numFmtId="0" fontId="8" fillId="16" borderId="0" xfId="0" applyFont="1" applyFill="1"/>
    <xf numFmtId="0" fontId="1" fillId="16" borderId="0" xfId="0" applyFont="1" applyFill="1"/>
    <xf numFmtId="167" fontId="8" fillId="4" borderId="1" xfId="5" applyNumberFormat="1" applyFont="1" applyFill="1" applyBorder="1" applyProtection="1">
      <protection locked="0"/>
    </xf>
    <xf numFmtId="167" fontId="8" fillId="0" borderId="0" xfId="5" applyNumberFormat="1" applyFont="1" applyFill="1" applyBorder="1" applyProtection="1"/>
    <xf numFmtId="0" fontId="8" fillId="4" borderId="2" xfId="0" applyFont="1" applyFill="1" applyBorder="1" applyProtection="1">
      <protection locked="0"/>
    </xf>
    <xf numFmtId="10" fontId="8" fillId="4" borderId="22" xfId="5" applyNumberFormat="1" applyFont="1" applyFill="1" applyBorder="1" applyProtection="1">
      <protection locked="0"/>
    </xf>
    <xf numFmtId="10" fontId="8" fillId="0" borderId="0" xfId="5" applyNumberFormat="1" applyFont="1" applyFill="1" applyBorder="1" applyProtection="1"/>
    <xf numFmtId="10" fontId="8" fillId="4" borderId="1" xfId="5" applyNumberFormat="1" applyFont="1" applyFill="1" applyBorder="1" applyProtection="1">
      <protection locked="0"/>
    </xf>
    <xf numFmtId="44" fontId="8" fillId="0" borderId="0" xfId="2" applyFont="1" applyFill="1" applyBorder="1" applyProtection="1"/>
    <xf numFmtId="44" fontId="8" fillId="17" borderId="1" xfId="2" applyFont="1" applyFill="1" applyBorder="1" applyProtection="1">
      <protection locked="0"/>
    </xf>
    <xf numFmtId="0" fontId="8" fillId="17" borderId="1" xfId="2" applyNumberFormat="1" applyFont="1" applyFill="1" applyBorder="1" applyProtection="1">
      <protection locked="0"/>
    </xf>
    <xf numFmtId="0" fontId="8" fillId="18" borderId="1" xfId="0" applyFont="1" applyFill="1" applyBorder="1"/>
    <xf numFmtId="0" fontId="8" fillId="19" borderId="0" xfId="0" applyFont="1" applyFill="1"/>
    <xf numFmtId="44" fontId="8" fillId="0" borderId="0" xfId="2" applyFont="1"/>
    <xf numFmtId="166" fontId="8" fillId="0" borderId="0" xfId="4" applyNumberFormat="1" applyFont="1"/>
    <xf numFmtId="10" fontId="8" fillId="0" borderId="0" xfId="5" applyNumberFormat="1" applyFont="1" applyFill="1"/>
    <xf numFmtId="1" fontId="8" fillId="4" borderId="1" xfId="0" applyNumberFormat="1" applyFont="1" applyFill="1" applyBorder="1" applyProtection="1">
      <protection locked="0"/>
    </xf>
    <xf numFmtId="166" fontId="8" fillId="0" borderId="0" xfId="4" applyNumberFormat="1" applyFont="1" applyFill="1" applyBorder="1" applyProtection="1"/>
    <xf numFmtId="167" fontId="8" fillId="0" borderId="0" xfId="5" applyNumberFormat="1" applyFont="1" applyProtection="1"/>
    <xf numFmtId="1" fontId="8" fillId="0" borderId="0" xfId="0" applyNumberFormat="1" applyFont="1"/>
    <xf numFmtId="167" fontId="8" fillId="0" borderId="0" xfId="0" applyNumberFormat="1" applyFont="1"/>
    <xf numFmtId="167" fontId="8" fillId="0" borderId="0" xfId="5" applyNumberFormat="1" applyFont="1" applyFill="1"/>
    <xf numFmtId="9" fontId="8" fillId="0" borderId="0" xfId="5" applyFont="1"/>
    <xf numFmtId="7" fontId="8" fillId="0" borderId="0" xfId="0" applyNumberFormat="1" applyFont="1"/>
    <xf numFmtId="0" fontId="19" fillId="0" borderId="0" xfId="0" applyFont="1" applyAlignment="1">
      <alignment horizontal="center"/>
    </xf>
    <xf numFmtId="0" fontId="7" fillId="0" borderId="11" xfId="0" applyFont="1" applyBorder="1"/>
    <xf numFmtId="0" fontId="20" fillId="20" borderId="0" xfId="0" applyFont="1" applyFill="1" applyAlignment="1">
      <alignment horizontal="center" vertical="center"/>
    </xf>
    <xf numFmtId="0" fontId="20" fillId="20" borderId="11" xfId="0" applyFont="1" applyFill="1" applyBorder="1" applyAlignment="1">
      <alignment horizontal="center" vertical="center"/>
    </xf>
    <xf numFmtId="0" fontId="21" fillId="20" borderId="10" xfId="0" applyFont="1" applyFill="1" applyBorder="1" applyAlignment="1">
      <alignment horizontal="center"/>
    </xf>
    <xf numFmtId="0" fontId="21" fillId="20" borderId="0" xfId="0" applyFont="1" applyFill="1" applyAlignment="1">
      <alignment horizontal="center"/>
    </xf>
    <xf numFmtId="0" fontId="21" fillId="20" borderId="11" xfId="0" applyFont="1" applyFill="1" applyBorder="1" applyAlignment="1">
      <alignment horizontal="center"/>
    </xf>
    <xf numFmtId="0" fontId="7" fillId="0" borderId="11" xfId="0" applyFont="1" applyBorder="1" applyAlignment="1">
      <alignment horizontal="center"/>
    </xf>
    <xf numFmtId="0" fontId="7" fillId="0" borderId="11" xfId="0" applyFont="1" applyBorder="1" applyAlignment="1">
      <alignment horizontal="right"/>
    </xf>
    <xf numFmtId="0" fontId="3" fillId="0" borderId="10" xfId="0" applyFont="1" applyBorder="1"/>
    <xf numFmtId="0" fontId="3" fillId="0" borderId="0" xfId="0" applyFont="1" applyAlignment="1">
      <alignment horizontal="center"/>
    </xf>
    <xf numFmtId="164" fontId="3" fillId="0" borderId="0" xfId="0" applyNumberFormat="1" applyFont="1" applyAlignment="1">
      <alignment horizontal="left"/>
    </xf>
    <xf numFmtId="164" fontId="3" fillId="0" borderId="8" xfId="0" applyNumberFormat="1" applyFont="1" applyBorder="1" applyAlignment="1">
      <alignment horizontal="left"/>
    </xf>
    <xf numFmtId="0" fontId="3" fillId="0" borderId="8" xfId="0" applyFont="1" applyBorder="1" applyAlignment="1">
      <alignment horizontal="left"/>
    </xf>
    <xf numFmtId="0" fontId="3" fillId="0" borderId="8" xfId="0" applyFont="1" applyBorder="1"/>
    <xf numFmtId="7" fontId="3" fillId="0" borderId="8" xfId="0" applyNumberFormat="1" applyFont="1" applyBorder="1"/>
    <xf numFmtId="0" fontId="3" fillId="0" borderId="9" xfId="0" applyFont="1" applyBorder="1"/>
    <xf numFmtId="0" fontId="3" fillId="0" borderId="0" xfId="0" applyFont="1" applyAlignment="1">
      <alignment horizontal="left"/>
    </xf>
    <xf numFmtId="169" fontId="3" fillId="0" borderId="0" xfId="0" applyNumberFormat="1" applyFont="1" applyAlignment="1">
      <alignment horizontal="left"/>
    </xf>
    <xf numFmtId="0" fontId="3" fillId="0" borderId="11" xfId="0" applyFont="1" applyBorder="1" applyAlignment="1">
      <alignment horizontal="left"/>
    </xf>
    <xf numFmtId="7" fontId="3" fillId="0" borderId="0" xfId="0" applyNumberFormat="1" applyFont="1" applyAlignment="1">
      <alignment horizontal="left"/>
    </xf>
    <xf numFmtId="169" fontId="3" fillId="0" borderId="11" xfId="0" applyNumberFormat="1" applyFont="1" applyBorder="1" applyAlignment="1">
      <alignment horizontal="left"/>
    </xf>
    <xf numFmtId="0" fontId="4" fillId="0" borderId="10" xfId="0" applyFont="1" applyBorder="1"/>
    <xf numFmtId="0" fontId="4" fillId="0" borderId="0" xfId="0" applyFont="1" applyAlignment="1">
      <alignment horizontal="left"/>
    </xf>
    <xf numFmtId="7" fontId="4" fillId="0" borderId="0" xfId="0" applyNumberFormat="1" applyFont="1" applyAlignment="1">
      <alignment horizontal="left"/>
    </xf>
    <xf numFmtId="169" fontId="4" fillId="0" borderId="0" xfId="0" applyNumberFormat="1" applyFont="1" applyAlignment="1">
      <alignment horizontal="left"/>
    </xf>
    <xf numFmtId="169" fontId="4" fillId="0" borderId="11" xfId="0" applyNumberFormat="1" applyFont="1" applyBorder="1" applyAlignment="1">
      <alignment horizontal="left"/>
    </xf>
    <xf numFmtId="0" fontId="8" fillId="0" borderId="0" xfId="0" applyFont="1" applyAlignment="1">
      <alignment horizontal="left" vertical="top" wrapText="1"/>
    </xf>
    <xf numFmtId="0" fontId="4" fillId="21" borderId="7" xfId="0" applyFont="1" applyFill="1" applyBorder="1"/>
    <xf numFmtId="0" fontId="4" fillId="21" borderId="8" xfId="0" applyFont="1" applyFill="1" applyBorder="1"/>
    <xf numFmtId="0" fontId="4" fillId="21" borderId="13" xfId="0" applyFont="1" applyFill="1" applyBorder="1"/>
    <xf numFmtId="0" fontId="23" fillId="21" borderId="14" xfId="0" applyFont="1" applyFill="1" applyBorder="1"/>
    <xf numFmtId="0" fontId="4" fillId="21" borderId="14" xfId="0" applyFont="1" applyFill="1" applyBorder="1"/>
    <xf numFmtId="0" fontId="4" fillId="21" borderId="14" xfId="0" applyFont="1" applyFill="1" applyBorder="1" applyAlignment="1">
      <alignment horizontal="right"/>
    </xf>
    <xf numFmtId="0" fontId="4" fillId="0" borderId="7" xfId="0" applyFont="1" applyBorder="1"/>
    <xf numFmtId="0" fontId="4" fillId="0" borderId="8" xfId="0" applyFont="1" applyBorder="1"/>
    <xf numFmtId="0" fontId="4" fillId="0" borderId="8" xfId="0" applyFont="1" applyBorder="1" applyAlignment="1">
      <alignment horizontal="left" wrapText="1"/>
    </xf>
    <xf numFmtId="170" fontId="4" fillId="0" borderId="8" xfId="0" applyNumberFormat="1" applyFont="1" applyBorder="1"/>
    <xf numFmtId="7" fontId="4" fillId="0" borderId="8" xfId="0" applyNumberFormat="1" applyFont="1" applyBorder="1"/>
    <xf numFmtId="170" fontId="4" fillId="0" borderId="9" xfId="0" applyNumberFormat="1" applyFont="1" applyBorder="1"/>
    <xf numFmtId="0" fontId="4" fillId="0" borderId="0" xfId="0" applyFont="1" applyAlignment="1">
      <alignment horizontal="left" wrapText="1"/>
    </xf>
    <xf numFmtId="7" fontId="4" fillId="0" borderId="0" xfId="0" applyNumberFormat="1" applyFont="1"/>
    <xf numFmtId="0" fontId="4" fillId="0" borderId="11" xfId="0" applyFont="1" applyBorder="1"/>
    <xf numFmtId="0" fontId="4" fillId="0" borderId="0" xfId="0" applyFont="1" applyAlignment="1">
      <alignment horizontal="left" vertical="top" wrapText="1"/>
    </xf>
    <xf numFmtId="7" fontId="4" fillId="0" borderId="0" xfId="0" applyNumberFormat="1" applyFont="1" applyAlignment="1">
      <alignment horizontal="left" vertical="top" wrapText="1"/>
    </xf>
    <xf numFmtId="170" fontId="4" fillId="0" borderId="0" xfId="0" applyNumberFormat="1" applyFont="1"/>
    <xf numFmtId="170" fontId="4" fillId="0" borderId="11" xfId="0" applyNumberFormat="1" applyFont="1" applyBorder="1"/>
    <xf numFmtId="44" fontId="4" fillId="0" borderId="0" xfId="0" applyNumberFormat="1" applyFont="1" applyAlignment="1">
      <alignment horizontal="left" vertical="top" wrapText="1"/>
    </xf>
    <xf numFmtId="0" fontId="0" fillId="0" borderId="10" xfId="0" applyBorder="1"/>
    <xf numFmtId="0" fontId="4" fillId="0" borderId="11" xfId="0" applyFont="1" applyBorder="1" applyAlignment="1">
      <alignment horizontal="left" vertical="top" wrapText="1"/>
    </xf>
    <xf numFmtId="0" fontId="0" fillId="0" borderId="13" xfId="0" applyBorder="1"/>
    <xf numFmtId="0" fontId="4" fillId="0" borderId="14" xfId="0" applyFont="1" applyBorder="1"/>
    <xf numFmtId="170" fontId="4" fillId="0" borderId="14" xfId="0" applyNumberFormat="1" applyFont="1" applyBorder="1"/>
    <xf numFmtId="7" fontId="4" fillId="0" borderId="14" xfId="0" applyNumberFormat="1" applyFont="1" applyBorder="1"/>
    <xf numFmtId="170" fontId="4" fillId="0" borderId="15" xfId="0" applyNumberFormat="1" applyFont="1" applyBorder="1"/>
    <xf numFmtId="0" fontId="4" fillId="0" borderId="13" xfId="0" applyFont="1" applyBorder="1"/>
    <xf numFmtId="0" fontId="4" fillId="0" borderId="15" xfId="0" applyFont="1" applyBorder="1"/>
    <xf numFmtId="7" fontId="4" fillId="21" borderId="14" xfId="0" applyNumberFormat="1" applyFont="1" applyFill="1" applyBorder="1" applyAlignment="1">
      <alignment horizontal="right" wrapText="1"/>
    </xf>
    <xf numFmtId="0" fontId="4" fillId="21" borderId="15" xfId="0" applyFont="1" applyFill="1" applyBorder="1" applyAlignment="1">
      <alignment horizontal="right"/>
    </xf>
    <xf numFmtId="0" fontId="4" fillId="0" borderId="8" xfId="0" applyFont="1" applyBorder="1" applyAlignment="1">
      <alignment wrapText="1"/>
    </xf>
    <xf numFmtId="0" fontId="4" fillId="0" borderId="0" xfId="0" applyFont="1" applyAlignment="1">
      <alignment wrapText="1"/>
    </xf>
    <xf numFmtId="0" fontId="4" fillId="0" borderId="14" xfId="0" applyFont="1" applyBorder="1" applyAlignment="1">
      <alignment wrapText="1"/>
    </xf>
    <xf numFmtId="0" fontId="24" fillId="0" borderId="24" xfId="0" applyFont="1" applyBorder="1" applyAlignment="1">
      <alignment horizontal="center"/>
    </xf>
    <xf numFmtId="0" fontId="5" fillId="0" borderId="25" xfId="0" applyFont="1" applyBorder="1"/>
    <xf numFmtId="0" fontId="25" fillId="0" borderId="7" xfId="0" applyFont="1" applyBorder="1" applyAlignment="1">
      <alignment horizontal="center"/>
    </xf>
    <xf numFmtId="0" fontId="25" fillId="0" borderId="9" xfId="0" applyFont="1" applyBorder="1" applyAlignment="1">
      <alignment horizontal="center"/>
    </xf>
    <xf numFmtId="0" fontId="24" fillId="0" borderId="10" xfId="0" applyFont="1" applyBorder="1" applyAlignment="1">
      <alignment horizontal="center"/>
    </xf>
    <xf numFmtId="0" fontId="24" fillId="0" borderId="11" xfId="0" applyFont="1" applyBorder="1" applyAlignment="1">
      <alignment horizontal="center"/>
    </xf>
    <xf numFmtId="0" fontId="25" fillId="0" borderId="6" xfId="0" applyFont="1" applyBorder="1" applyAlignment="1">
      <alignment horizontal="center"/>
    </xf>
    <xf numFmtId="0" fontId="25" fillId="0" borderId="26" xfId="0" applyFont="1" applyBorder="1" applyAlignment="1">
      <alignment horizontal="center"/>
    </xf>
    <xf numFmtId="0" fontId="25" fillId="0" borderId="10" xfId="0" applyFont="1" applyBorder="1" applyAlignment="1">
      <alignment horizontal="center"/>
    </xf>
    <xf numFmtId="0" fontId="25" fillId="0" borderId="0" xfId="0" applyFont="1" applyAlignment="1">
      <alignment horizontal="center"/>
    </xf>
    <xf numFmtId="0" fontId="25" fillId="0" borderId="11" xfId="0" applyFont="1" applyBorder="1" applyAlignment="1">
      <alignment horizontal="center"/>
    </xf>
    <xf numFmtId="44" fontId="24" fillId="0" borderId="13" xfId="2" applyFont="1" applyBorder="1" applyAlignment="1">
      <alignment horizontal="center"/>
    </xf>
    <xf numFmtId="44" fontId="24" fillId="0" borderId="14" xfId="2" applyFont="1" applyBorder="1" applyAlignment="1">
      <alignment horizontal="center"/>
    </xf>
    <xf numFmtId="44" fontId="24" fillId="0" borderId="15" xfId="2" applyFont="1" applyBorder="1" applyAlignment="1">
      <alignment horizontal="center"/>
    </xf>
    <xf numFmtId="0" fontId="24" fillId="0" borderId="13" xfId="0" applyFont="1" applyBorder="1" applyAlignment="1">
      <alignment horizontal="center"/>
    </xf>
    <xf numFmtId="0" fontId="24" fillId="0" borderId="14" xfId="0" applyFont="1" applyBorder="1" applyAlignment="1">
      <alignment horizontal="center"/>
    </xf>
    <xf numFmtId="0" fontId="24" fillId="0" borderId="15" xfId="0" applyFont="1" applyBorder="1" applyAlignment="1">
      <alignment horizontal="center"/>
    </xf>
    <xf numFmtId="7" fontId="24" fillId="0" borderId="14" xfId="0" applyNumberFormat="1" applyFont="1" applyBorder="1" applyAlignment="1">
      <alignment horizontal="center"/>
    </xf>
    <xf numFmtId="0" fontId="8" fillId="0" borderId="15" xfId="0" applyFont="1" applyBorder="1" applyAlignment="1">
      <alignment horizontal="center"/>
    </xf>
    <xf numFmtId="0" fontId="26" fillId="0" borderId="23" xfId="0" applyFont="1" applyBorder="1"/>
    <xf numFmtId="10" fontId="26" fillId="0" borderId="25" xfId="5" applyNumberFormat="1" applyFont="1" applyBorder="1" applyAlignment="1"/>
    <xf numFmtId="0" fontId="4" fillId="0" borderId="8" xfId="0" applyFont="1" applyBorder="1" applyAlignment="1">
      <alignment horizontal="left" vertical="top" wrapText="1"/>
    </xf>
    <xf numFmtId="0" fontId="26" fillId="0" borderId="0" xfId="0" applyFont="1" applyAlignment="1">
      <alignment wrapText="1"/>
    </xf>
    <xf numFmtId="0" fontId="26" fillId="0" borderId="0" xfId="0" applyFont="1"/>
    <xf numFmtId="170" fontId="26" fillId="0" borderId="0" xfId="5" applyNumberFormat="1" applyFont="1" applyBorder="1" applyAlignment="1">
      <alignment horizontal="center" vertical="center"/>
    </xf>
    <xf numFmtId="10" fontId="26" fillId="0" borderId="0" xfId="5" applyNumberFormat="1" applyFont="1" applyBorder="1" applyAlignment="1"/>
    <xf numFmtId="7" fontId="26" fillId="0" borderId="0" xfId="5" applyNumberFormat="1" applyFont="1" applyBorder="1" applyAlignment="1">
      <alignment horizontal="center" vertical="center"/>
    </xf>
    <xf numFmtId="0" fontId="14" fillId="0" borderId="0" xfId="0" applyFont="1"/>
    <xf numFmtId="0" fontId="4" fillId="0" borderId="0" xfId="0" applyFont="1" applyAlignment="1">
      <alignment horizontal="right"/>
    </xf>
    <xf numFmtId="0" fontId="4" fillId="0" borderId="0" xfId="0" applyFont="1" applyAlignment="1">
      <alignment horizontal="center"/>
    </xf>
    <xf numFmtId="164" fontId="4" fillId="0" borderId="0" xfId="0" applyNumberFormat="1" applyFont="1" applyAlignment="1">
      <alignment horizontal="left"/>
    </xf>
    <xf numFmtId="0" fontId="27" fillId="0" borderId="0" xfId="0" applyFont="1" applyAlignment="1">
      <alignment horizontal="left"/>
    </xf>
    <xf numFmtId="0" fontId="27" fillId="0" borderId="0" xfId="0" applyFont="1"/>
    <xf numFmtId="7" fontId="27" fillId="0" borderId="0" xfId="0" applyNumberFormat="1" applyFont="1"/>
    <xf numFmtId="0" fontId="4" fillId="0" borderId="10" xfId="0" applyFont="1" applyBorder="1" applyAlignment="1">
      <alignment horizontal="left" wrapText="1"/>
    </xf>
    <xf numFmtId="7" fontId="4" fillId="0" borderId="11" xfId="2" applyNumberFormat="1" applyFont="1" applyBorder="1" applyAlignment="1">
      <alignment horizontal="right"/>
    </xf>
    <xf numFmtId="7" fontId="4" fillId="0" borderId="0" xfId="0" applyNumberFormat="1" applyFont="1" applyAlignment="1">
      <alignment vertical="top" wrapText="1"/>
    </xf>
    <xf numFmtId="7" fontId="4" fillId="0" borderId="8" xfId="0" applyNumberFormat="1" applyFont="1" applyBorder="1" applyAlignment="1">
      <alignment horizontal="left" vertical="top" wrapText="1"/>
    </xf>
    <xf numFmtId="7" fontId="4" fillId="0" borderId="27" xfId="2" applyNumberFormat="1" applyFont="1" applyBorder="1"/>
    <xf numFmtId="7" fontId="4" fillId="0" borderId="11" xfId="2" quotePrefix="1" applyNumberFormat="1" applyFont="1" applyFill="1" applyBorder="1" applyAlignment="1">
      <alignment horizontal="right"/>
    </xf>
    <xf numFmtId="7" fontId="4" fillId="0" borderId="11" xfId="2" applyNumberFormat="1" applyFont="1" applyBorder="1"/>
    <xf numFmtId="44" fontId="4" fillId="0" borderId="0" xfId="0" applyNumberFormat="1" applyFont="1"/>
    <xf numFmtId="7" fontId="4" fillId="0" borderId="11" xfId="2" applyNumberFormat="1" applyFont="1" applyFill="1" applyBorder="1" applyAlignment="1">
      <alignment horizontal="right"/>
    </xf>
    <xf numFmtId="170" fontId="4" fillId="0" borderId="11" xfId="2" applyNumberFormat="1" applyFont="1" applyBorder="1"/>
    <xf numFmtId="0" fontId="4" fillId="0" borderId="0" xfId="0" applyFont="1" applyAlignment="1">
      <alignment vertical="top" wrapText="1"/>
    </xf>
    <xf numFmtId="7" fontId="4" fillId="0" borderId="11" xfId="2" applyNumberFormat="1" applyFont="1" applyFill="1" applyBorder="1"/>
    <xf numFmtId="170" fontId="4" fillId="0" borderId="11" xfId="2" applyNumberFormat="1" applyFont="1" applyFill="1" applyBorder="1"/>
    <xf numFmtId="7" fontId="4" fillId="0" borderId="11" xfId="0" applyNumberFormat="1" applyFont="1" applyBorder="1"/>
    <xf numFmtId="0" fontId="4" fillId="0" borderId="10" xfId="0" applyFont="1" applyBorder="1" applyAlignment="1">
      <alignment wrapText="1"/>
    </xf>
    <xf numFmtId="7" fontId="4" fillId="0" borderId="10" xfId="0" applyNumberFormat="1" applyFont="1" applyBorder="1" applyAlignment="1">
      <alignment horizontal="left" vertical="top" wrapText="1"/>
    </xf>
    <xf numFmtId="7" fontId="4" fillId="0" borderId="10" xfId="0" applyNumberFormat="1" applyFont="1" applyBorder="1" applyAlignment="1">
      <alignment vertical="top"/>
    </xf>
    <xf numFmtId="7" fontId="4" fillId="0" borderId="0" xfId="0" applyNumberFormat="1" applyFont="1" applyAlignment="1">
      <alignment vertical="top"/>
    </xf>
    <xf numFmtId="7" fontId="4" fillId="0" borderId="28" xfId="2" applyNumberFormat="1" applyFont="1" applyBorder="1" applyAlignment="1">
      <alignment horizontal="right"/>
    </xf>
    <xf numFmtId="7" fontId="4" fillId="0" borderId="0" xfId="0" applyNumberFormat="1" applyFont="1" applyAlignment="1">
      <alignment horizontal="left" wrapText="1"/>
    </xf>
    <xf numFmtId="0" fontId="26" fillId="0" borderId="10" xfId="0" applyFont="1" applyBorder="1"/>
    <xf numFmtId="44" fontId="26" fillId="0" borderId="0" xfId="2" applyFont="1" applyBorder="1"/>
    <xf numFmtId="7" fontId="4" fillId="0" borderId="26" xfId="2" applyNumberFormat="1" applyFont="1" applyBorder="1"/>
    <xf numFmtId="7" fontId="4" fillId="0" borderId="0" xfId="0" applyNumberFormat="1" applyFont="1" applyAlignment="1">
      <alignment horizontal="left" vertical="center" wrapText="1"/>
    </xf>
    <xf numFmtId="7" fontId="4" fillId="0" borderId="29" xfId="2" applyNumberFormat="1" applyFont="1" applyBorder="1"/>
    <xf numFmtId="44" fontId="4" fillId="0" borderId="15" xfId="2" applyFont="1" applyBorder="1"/>
    <xf numFmtId="0" fontId="4" fillId="0" borderId="14" xfId="0" applyFont="1" applyBorder="1" applyAlignment="1">
      <alignment horizontal="left" vertical="center" wrapText="1"/>
    </xf>
    <xf numFmtId="0" fontId="4" fillId="0" borderId="13" xfId="0" applyFont="1" applyBorder="1" applyAlignment="1">
      <alignment horizontal="left" vertical="center" wrapText="1"/>
    </xf>
    <xf numFmtId="7" fontId="4" fillId="0" borderId="14" xfId="0" applyNumberFormat="1" applyFont="1" applyBorder="1" applyAlignment="1">
      <alignment horizontal="left" vertical="top" wrapText="1"/>
    </xf>
    <xf numFmtId="44" fontId="4" fillId="0" borderId="14" xfId="2" applyFont="1" applyBorder="1"/>
    <xf numFmtId="7" fontId="2" fillId="0" borderId="0" xfId="0" applyNumberFormat="1" applyFont="1" applyAlignment="1">
      <alignment horizontal="left" vertical="top" wrapText="1"/>
    </xf>
    <xf numFmtId="7" fontId="8" fillId="0" borderId="0" xfId="5" applyNumberFormat="1" applyFont="1"/>
    <xf numFmtId="7" fontId="8" fillId="0" borderId="0" xfId="0" applyNumberFormat="1" applyFont="1" applyAlignment="1">
      <alignment horizontal="left" vertical="top" wrapText="1"/>
    </xf>
    <xf numFmtId="0" fontId="8" fillId="0" borderId="7" xfId="0" applyFont="1" applyBorder="1"/>
    <xf numFmtId="0" fontId="26" fillId="0" borderId="8" xfId="0" applyFont="1" applyBorder="1" applyAlignment="1">
      <alignment horizontal="center"/>
    </xf>
    <xf numFmtId="7" fontId="26" fillId="0" borderId="8" xfId="0" applyNumberFormat="1" applyFont="1" applyBorder="1" applyAlignment="1">
      <alignment horizontal="center"/>
    </xf>
    <xf numFmtId="0" fontId="4" fillId="0" borderId="9" xfId="0" applyFont="1" applyBorder="1" applyAlignment="1">
      <alignment horizontal="right"/>
    </xf>
    <xf numFmtId="0" fontId="13" fillId="0" borderId="0" xfId="0" applyFont="1" applyAlignment="1">
      <alignment horizontal="center"/>
    </xf>
    <xf numFmtId="7" fontId="13" fillId="0" borderId="0" xfId="0" applyNumberFormat="1" applyFont="1" applyAlignment="1">
      <alignment horizontal="center"/>
    </xf>
    <xf numFmtId="0" fontId="13" fillId="0" borderId="11" xfId="0" applyFont="1" applyBorder="1" applyAlignment="1">
      <alignment horizontal="center"/>
    </xf>
    <xf numFmtId="0" fontId="8" fillId="0" borderId="13" xfId="0" applyFont="1" applyBorder="1"/>
    <xf numFmtId="0" fontId="13" fillId="0" borderId="14" xfId="0" applyFont="1" applyBorder="1" applyAlignment="1">
      <alignment horizontal="center"/>
    </xf>
    <xf numFmtId="7" fontId="13" fillId="0" borderId="14" xfId="0" applyNumberFormat="1" applyFont="1" applyBorder="1" applyAlignment="1">
      <alignment horizontal="center"/>
    </xf>
    <xf numFmtId="0" fontId="13" fillId="0" borderId="15" xfId="0" applyFont="1" applyBorder="1" applyAlignment="1">
      <alignment horizontal="center"/>
    </xf>
    <xf numFmtId="164" fontId="8" fillId="0" borderId="0" xfId="0" applyNumberFormat="1" applyFont="1" applyAlignment="1">
      <alignment horizontal="left"/>
    </xf>
    <xf numFmtId="0" fontId="4" fillId="0" borderId="11" xfId="0" applyFont="1" applyBorder="1" applyAlignment="1">
      <alignment horizontal="left"/>
    </xf>
    <xf numFmtId="0" fontId="4" fillId="0" borderId="0" xfId="0" applyFont="1" applyAlignment="1">
      <alignment vertical="top"/>
    </xf>
    <xf numFmtId="0" fontId="4" fillId="22" borderId="8" xfId="0" applyFont="1" applyFill="1" applyBorder="1"/>
    <xf numFmtId="0" fontId="23" fillId="22" borderId="14" xfId="0" applyFont="1" applyFill="1" applyBorder="1"/>
    <xf numFmtId="0" fontId="4" fillId="22" borderId="14" xfId="0" applyFont="1" applyFill="1" applyBorder="1"/>
    <xf numFmtId="0" fontId="4" fillId="22" borderId="14" xfId="0" applyFont="1" applyFill="1" applyBorder="1" applyAlignment="1">
      <alignment horizontal="right"/>
    </xf>
    <xf numFmtId="49" fontId="4" fillId="0" borderId="0" xfId="0" applyNumberFormat="1" applyFont="1" applyAlignment="1">
      <alignment horizontal="left" vertical="top"/>
    </xf>
    <xf numFmtId="0" fontId="4" fillId="0" borderId="0" xfId="0" applyFont="1" applyAlignment="1">
      <alignment horizontal="left" vertical="top"/>
    </xf>
    <xf numFmtId="44" fontId="4" fillId="0" borderId="0" xfId="0" applyNumberFormat="1" applyFont="1" applyAlignment="1">
      <alignment horizontal="left" vertical="top"/>
    </xf>
    <xf numFmtId="7" fontId="4" fillId="0" borderId="0" xfId="0" applyNumberFormat="1" applyFont="1" applyAlignment="1">
      <alignment horizontal="left" vertical="top"/>
    </xf>
    <xf numFmtId="0" fontId="4" fillId="22" borderId="7" xfId="0" applyFont="1" applyFill="1" applyBorder="1"/>
    <xf numFmtId="7" fontId="4" fillId="22" borderId="8" xfId="0" applyNumberFormat="1" applyFont="1" applyFill="1" applyBorder="1" applyAlignment="1">
      <alignment horizontal="right" vertical="top" wrapText="1"/>
    </xf>
    <xf numFmtId="0" fontId="4" fillId="22" borderId="9" xfId="0" applyFont="1" applyFill="1" applyBorder="1" applyAlignment="1">
      <alignment horizontal="right" vertical="top" wrapText="1"/>
    </xf>
    <xf numFmtId="0" fontId="4" fillId="22" borderId="10" xfId="0" applyFont="1" applyFill="1" applyBorder="1"/>
    <xf numFmtId="0" fontId="4" fillId="22" borderId="0" xfId="0" applyFont="1" applyFill="1" applyAlignment="1">
      <alignment horizontal="right"/>
    </xf>
    <xf numFmtId="0" fontId="4" fillId="22" borderId="0" xfId="0" applyFont="1" applyFill="1"/>
    <xf numFmtId="49" fontId="4" fillId="22" borderId="0" xfId="0" applyNumberFormat="1" applyFont="1" applyFill="1" applyAlignment="1">
      <alignment horizontal="left"/>
    </xf>
    <xf numFmtId="49" fontId="4" fillId="22" borderId="0" xfId="0" applyNumberFormat="1" applyFont="1" applyFill="1" applyAlignment="1">
      <alignment horizontal="center"/>
    </xf>
    <xf numFmtId="0" fontId="4" fillId="22" borderId="13" xfId="0" applyFont="1" applyFill="1" applyBorder="1"/>
    <xf numFmtId="49" fontId="4" fillId="22" borderId="14" xfId="0" applyNumberFormat="1" applyFont="1" applyFill="1" applyBorder="1" applyAlignment="1">
      <alignment horizontal="center"/>
    </xf>
    <xf numFmtId="49" fontId="4" fillId="22" borderId="14" xfId="0" applyNumberFormat="1" applyFont="1" applyFill="1" applyBorder="1" applyAlignment="1">
      <alignment horizontal="left"/>
    </xf>
    <xf numFmtId="7" fontId="0" fillId="0" borderId="0" xfId="0" applyNumberFormat="1"/>
    <xf numFmtId="0" fontId="4" fillId="0" borderId="8" xfId="0" applyFont="1" applyBorder="1" applyAlignment="1">
      <alignment horizontal="right" wrapText="1"/>
    </xf>
    <xf numFmtId="0" fontId="4" fillId="0" borderId="8" xfId="0" applyFont="1" applyBorder="1" applyAlignment="1">
      <alignment horizontal="right"/>
    </xf>
    <xf numFmtId="0" fontId="26" fillId="0" borderId="9" xfId="0" applyFont="1" applyBorder="1" applyAlignment="1">
      <alignment horizontal="right" wrapText="1" indent="1"/>
    </xf>
    <xf numFmtId="167" fontId="4" fillId="4" borderId="1" xfId="5" applyNumberFormat="1" applyFont="1" applyFill="1" applyBorder="1" applyProtection="1">
      <protection locked="0"/>
    </xf>
    <xf numFmtId="167" fontId="26" fillId="0" borderId="11" xfId="5" applyNumberFormat="1" applyFont="1" applyBorder="1" applyProtection="1"/>
    <xf numFmtId="0" fontId="4" fillId="4" borderId="1" xfId="0" applyFont="1" applyFill="1" applyBorder="1" applyProtection="1">
      <protection locked="0"/>
    </xf>
    <xf numFmtId="43" fontId="26" fillId="0" borderId="11" xfId="4" applyFont="1" applyBorder="1" applyProtection="1"/>
    <xf numFmtId="44" fontId="4" fillId="4" borderId="1" xfId="2" applyFont="1" applyFill="1" applyBorder="1" applyProtection="1">
      <protection locked="0"/>
    </xf>
    <xf numFmtId="44" fontId="26" fillId="0" borderId="11" xfId="2" applyFont="1" applyBorder="1" applyProtection="1"/>
    <xf numFmtId="8" fontId="4" fillId="0" borderId="0" xfId="0" applyNumberFormat="1" applyFont="1"/>
    <xf numFmtId="0" fontId="4" fillId="23" borderId="30" xfId="0" applyFont="1" applyFill="1" applyBorder="1" applyAlignment="1" applyProtection="1">
      <alignment horizontal="right"/>
      <protection locked="0"/>
    </xf>
    <xf numFmtId="0" fontId="4" fillId="0" borderId="9" xfId="0" applyFont="1" applyBorder="1"/>
    <xf numFmtId="0" fontId="4" fillId="0" borderId="11" xfId="0" applyFont="1" applyBorder="1" applyAlignment="1">
      <alignment horizontal="right"/>
    </xf>
    <xf numFmtId="0" fontId="4" fillId="0" borderId="10" xfId="0" applyFont="1" applyBorder="1" applyAlignment="1">
      <alignment horizontal="right"/>
    </xf>
    <xf numFmtId="44" fontId="4" fillId="0" borderId="0" xfId="2" applyFont="1" applyBorder="1" applyProtection="1"/>
    <xf numFmtId="44" fontId="4" fillId="0" borderId="11" xfId="2" applyFont="1" applyBorder="1" applyProtection="1"/>
    <xf numFmtId="0" fontId="4" fillId="0" borderId="10" xfId="0" applyFont="1" applyBorder="1" applyAlignment="1">
      <alignment horizontal="right" wrapText="1"/>
    </xf>
    <xf numFmtId="0" fontId="4" fillId="0" borderId="10" xfId="0" applyFont="1" applyBorder="1" applyAlignment="1">
      <alignment horizontal="left" vertical="top" wrapText="1"/>
    </xf>
    <xf numFmtId="0" fontId="4" fillId="4" borderId="1" xfId="0" applyFont="1" applyFill="1" applyBorder="1" applyAlignment="1" applyProtection="1">
      <alignment horizontal="right" wrapText="1"/>
      <protection locked="0"/>
    </xf>
    <xf numFmtId="0" fontId="4" fillId="0" borderId="13" xfId="0" applyFont="1" applyBorder="1" applyAlignment="1">
      <alignment horizontal="right"/>
    </xf>
    <xf numFmtId="8" fontId="4" fillId="0" borderId="14" xfId="0" applyNumberFormat="1" applyFont="1" applyBorder="1"/>
    <xf numFmtId="8" fontId="4" fillId="0" borderId="15" xfId="0" applyNumberFormat="1" applyFont="1" applyBorder="1"/>
    <xf numFmtId="44" fontId="4" fillId="0" borderId="0" xfId="2" applyFont="1" applyProtection="1"/>
    <xf numFmtId="172" fontId="4" fillId="0" borderId="0" xfId="0" applyNumberFormat="1" applyFont="1"/>
    <xf numFmtId="0" fontId="4" fillId="21" borderId="10" xfId="0" applyFont="1" applyFill="1" applyBorder="1"/>
    <xf numFmtId="0" fontId="4" fillId="21" borderId="0" xfId="0" applyFont="1" applyFill="1"/>
    <xf numFmtId="7" fontId="4" fillId="21" borderId="0" xfId="0" applyNumberFormat="1" applyFont="1" applyFill="1" applyAlignment="1">
      <alignment horizontal="right" wrapText="1"/>
    </xf>
    <xf numFmtId="0" fontId="4" fillId="21" borderId="11" xfId="0" applyFont="1" applyFill="1" applyBorder="1"/>
    <xf numFmtId="0" fontId="24" fillId="0" borderId="7" xfId="0" applyFont="1" applyBorder="1" applyAlignment="1">
      <alignment horizontal="center"/>
    </xf>
    <xf numFmtId="0" fontId="24" fillId="0" borderId="9" xfId="0" applyFont="1" applyBorder="1" applyAlignment="1">
      <alignment horizontal="center"/>
    </xf>
    <xf numFmtId="0" fontId="26" fillId="0" borderId="24" xfId="0" applyFont="1" applyBorder="1"/>
    <xf numFmtId="0" fontId="4" fillId="0" borderId="24" xfId="0" applyFont="1" applyBorder="1"/>
    <xf numFmtId="10" fontId="24" fillId="0" borderId="24" xfId="0" applyNumberFormat="1" applyFont="1" applyBorder="1" applyAlignment="1">
      <alignment horizontal="center"/>
    </xf>
    <xf numFmtId="8" fontId="24" fillId="0" borderId="24" xfId="0" applyNumberFormat="1" applyFont="1" applyBorder="1" applyAlignment="1">
      <alignment horizontal="center"/>
    </xf>
    <xf numFmtId="7" fontId="24" fillId="0" borderId="24" xfId="0" applyNumberFormat="1" applyFont="1" applyBorder="1" applyAlignment="1">
      <alignment horizontal="center"/>
    </xf>
    <xf numFmtId="8" fontId="24" fillId="0" borderId="25" xfId="0" applyNumberFormat="1" applyFont="1" applyBorder="1" applyAlignment="1">
      <alignment horizontal="center"/>
    </xf>
    <xf numFmtId="0" fontId="4" fillId="0" borderId="14" xfId="0" applyFont="1" applyBorder="1" applyAlignment="1">
      <alignment horizontal="left"/>
    </xf>
    <xf numFmtId="0" fontId="4" fillId="0" borderId="7" xfId="0" applyFont="1" applyBorder="1" applyAlignment="1">
      <alignment horizontal="left" wrapText="1"/>
    </xf>
    <xf numFmtId="7" fontId="4" fillId="0" borderId="9" xfId="2" applyNumberFormat="1" applyFont="1" applyBorder="1" applyAlignment="1">
      <alignment horizontal="right"/>
    </xf>
    <xf numFmtId="0" fontId="4" fillId="0" borderId="8" xfId="0" applyFont="1" applyBorder="1" applyAlignment="1">
      <alignment vertical="top" wrapText="1"/>
    </xf>
    <xf numFmtId="170" fontId="4" fillId="0" borderId="11" xfId="0" applyNumberFormat="1" applyFont="1" applyBorder="1" applyAlignment="1">
      <alignment wrapText="1"/>
    </xf>
    <xf numFmtId="0" fontId="4" fillId="0" borderId="10" xfId="0" applyFont="1" applyBorder="1" applyAlignment="1">
      <alignment vertical="top"/>
    </xf>
    <xf numFmtId="44" fontId="4" fillId="0" borderId="0" xfId="2" applyFont="1" applyBorder="1"/>
    <xf numFmtId="7" fontId="4" fillId="0" borderId="28" xfId="2" applyNumberFormat="1" applyFont="1" applyBorder="1"/>
    <xf numFmtId="0" fontId="4" fillId="0" borderId="0" xfId="0" applyFont="1" applyAlignment="1">
      <alignment horizontal="left" vertical="center" wrapText="1"/>
    </xf>
    <xf numFmtId="0" fontId="26" fillId="0" borderId="13" xfId="0" applyFont="1" applyBorder="1"/>
    <xf numFmtId="0" fontId="26" fillId="0" borderId="14" xfId="0" applyFont="1" applyBorder="1"/>
    <xf numFmtId="44" fontId="26" fillId="0" borderId="14" xfId="2" applyFont="1" applyBorder="1"/>
    <xf numFmtId="0" fontId="8" fillId="0" borderId="8" xfId="0" applyFont="1" applyBorder="1"/>
    <xf numFmtId="0" fontId="26" fillId="0" borderId="9" xfId="0" applyFont="1" applyBorder="1" applyAlignment="1">
      <alignment horizontal="center"/>
    </xf>
    <xf numFmtId="0" fontId="26" fillId="0" borderId="0" xfId="0" applyFont="1" applyAlignment="1">
      <alignment horizontal="center"/>
    </xf>
    <xf numFmtId="0" fontId="8" fillId="0" borderId="11" xfId="0" applyFont="1" applyBorder="1" applyAlignment="1">
      <alignment horizontal="center"/>
    </xf>
    <xf numFmtId="0" fontId="8" fillId="0" borderId="11" xfId="0" applyFont="1" applyBorder="1" applyAlignment="1">
      <alignment horizontal="right"/>
    </xf>
    <xf numFmtId="164" fontId="8" fillId="0" borderId="8" xfId="0" applyNumberFormat="1" applyFont="1" applyBorder="1" applyAlignment="1">
      <alignment horizontal="left"/>
    </xf>
    <xf numFmtId="0" fontId="8" fillId="0" borderId="8" xfId="0" applyFont="1" applyBorder="1" applyAlignment="1">
      <alignment horizontal="left"/>
    </xf>
    <xf numFmtId="7" fontId="8" fillId="0" borderId="14" xfId="0" applyNumberFormat="1" applyFont="1" applyBorder="1"/>
    <xf numFmtId="0" fontId="8" fillId="0" borderId="15" xfId="0" applyFont="1" applyBorder="1"/>
    <xf numFmtId="7" fontId="4" fillId="21" borderId="8" xfId="0" applyNumberFormat="1" applyFont="1" applyFill="1" applyBorder="1" applyAlignment="1">
      <alignment horizontal="right" wrapText="1"/>
    </xf>
    <xf numFmtId="0" fontId="4" fillId="21" borderId="9" xfId="0" applyFont="1" applyFill="1" applyBorder="1"/>
    <xf numFmtId="44" fontId="4" fillId="0" borderId="7" xfId="2" applyFont="1" applyBorder="1" applyAlignment="1">
      <alignment wrapText="1"/>
    </xf>
    <xf numFmtId="0" fontId="4" fillId="0" borderId="9" xfId="0" applyFont="1" applyBorder="1" applyAlignment="1">
      <alignment horizontal="left" vertical="top" wrapText="1"/>
    </xf>
    <xf numFmtId="7" fontId="4" fillId="0" borderId="7" xfId="0" applyNumberFormat="1" applyFont="1" applyBorder="1" applyAlignment="1">
      <alignment horizontal="left" vertical="top" wrapText="1"/>
    </xf>
    <xf numFmtId="0" fontId="26" fillId="0" borderId="0" xfId="0" applyFont="1" applyAlignment="1">
      <alignment horizontal="right" wrapText="1"/>
    </xf>
    <xf numFmtId="7" fontId="26" fillId="0" borderId="0" xfId="0" applyNumberFormat="1" applyFont="1" applyAlignment="1">
      <alignment horizontal="right" wrapText="1"/>
    </xf>
    <xf numFmtId="7" fontId="26" fillId="0" borderId="11" xfId="2" applyNumberFormat="1" applyFont="1" applyBorder="1" applyAlignment="1">
      <alignment horizontal="right"/>
    </xf>
    <xf numFmtId="7" fontId="4" fillId="0" borderId="0" xfId="2" applyNumberFormat="1" applyFont="1" applyBorder="1" applyAlignment="1">
      <alignment horizontal="right"/>
    </xf>
    <xf numFmtId="7" fontId="4" fillId="0" borderId="0" xfId="0" applyNumberFormat="1" applyFont="1" applyAlignment="1">
      <alignment horizontal="right"/>
    </xf>
    <xf numFmtId="0" fontId="26" fillId="0" borderId="14" xfId="0" applyFont="1" applyBorder="1" applyAlignment="1">
      <alignment horizontal="right" wrapText="1"/>
    </xf>
    <xf numFmtId="7" fontId="26" fillId="0" borderId="15" xfId="2" applyNumberFormat="1" applyFont="1" applyBorder="1" applyAlignment="1">
      <alignment horizontal="right"/>
    </xf>
    <xf numFmtId="7" fontId="26" fillId="0" borderId="10" xfId="0" applyNumberFormat="1" applyFont="1" applyBorder="1" applyAlignment="1">
      <alignment horizontal="right" wrapText="1"/>
    </xf>
    <xf numFmtId="7" fontId="26" fillId="0" borderId="15" xfId="0" applyNumberFormat="1" applyFont="1" applyBorder="1" applyAlignment="1">
      <alignment horizontal="right" wrapText="1"/>
    </xf>
    <xf numFmtId="7" fontId="26" fillId="0" borderId="13" xfId="0" applyNumberFormat="1" applyFont="1" applyBorder="1" applyAlignment="1">
      <alignment horizontal="right" wrapText="1"/>
    </xf>
    <xf numFmtId="7" fontId="26" fillId="0" borderId="15" xfId="0" applyNumberFormat="1" applyFont="1" applyBorder="1" applyAlignment="1">
      <alignment wrapText="1"/>
    </xf>
    <xf numFmtId="0" fontId="4" fillId="0" borderId="0" xfId="0" applyFont="1" applyAlignment="1">
      <alignment horizontal="right" wrapText="1"/>
    </xf>
    <xf numFmtId="7" fontId="4" fillId="0" borderId="10" xfId="0" applyNumberFormat="1" applyFont="1" applyBorder="1" applyAlignment="1">
      <alignment horizontal="right" wrapText="1"/>
    </xf>
    <xf numFmtId="7" fontId="4" fillId="0" borderId="10" xfId="0" applyNumberFormat="1" applyFont="1" applyBorder="1" applyAlignment="1">
      <alignment horizontal="right"/>
    </xf>
    <xf numFmtId="7" fontId="4" fillId="0" borderId="10" xfId="0" applyNumberFormat="1" applyFont="1" applyBorder="1" applyAlignment="1">
      <alignment wrapText="1"/>
    </xf>
    <xf numFmtId="7" fontId="4" fillId="0" borderId="11" xfId="0" applyNumberFormat="1" applyFont="1" applyBorder="1" applyAlignment="1">
      <alignment vertical="top" wrapText="1"/>
    </xf>
    <xf numFmtId="7" fontId="26" fillId="0" borderId="0" xfId="2" applyNumberFormat="1" applyFont="1" applyBorder="1" applyAlignment="1">
      <alignment horizontal="right"/>
    </xf>
    <xf numFmtId="7" fontId="4" fillId="0" borderId="11" xfId="0" applyNumberFormat="1" applyFont="1" applyBorder="1" applyAlignment="1">
      <alignment horizontal="right"/>
    </xf>
    <xf numFmtId="170" fontId="4" fillId="0" borderId="11" xfId="2" applyNumberFormat="1" applyFont="1" applyBorder="1" applyAlignment="1">
      <alignment horizontal="right"/>
    </xf>
    <xf numFmtId="170" fontId="4" fillId="0" borderId="11" xfId="0" applyNumberFormat="1" applyFont="1" applyBorder="1" applyAlignment="1">
      <alignment horizontal="right"/>
    </xf>
    <xf numFmtId="170" fontId="4" fillId="0" borderId="15" xfId="0" applyNumberFormat="1" applyFont="1" applyBorder="1" applyAlignment="1">
      <alignment horizontal="right"/>
    </xf>
    <xf numFmtId="7" fontId="4" fillId="0" borderId="15" xfId="2" applyNumberFormat="1" applyFont="1" applyBorder="1" applyAlignment="1">
      <alignment horizontal="right"/>
    </xf>
    <xf numFmtId="7" fontId="4" fillId="0" borderId="0" xfId="0" applyNumberFormat="1" applyFont="1" applyAlignment="1">
      <alignment horizontal="right" wrapText="1"/>
    </xf>
    <xf numFmtId="7" fontId="4" fillId="0" borderId="15" xfId="0" applyNumberFormat="1" applyFont="1" applyBorder="1" applyAlignment="1">
      <alignment vertical="top" wrapText="1"/>
    </xf>
    <xf numFmtId="7" fontId="26" fillId="0" borderId="14" xfId="0" applyNumberFormat="1" applyFont="1" applyBorder="1" applyAlignment="1">
      <alignment horizontal="right" wrapText="1"/>
    </xf>
    <xf numFmtId="7" fontId="26" fillId="0" borderId="14" xfId="2" applyNumberFormat="1" applyFont="1" applyBorder="1" applyAlignment="1">
      <alignment horizontal="right"/>
    </xf>
    <xf numFmtId="7" fontId="4" fillId="0" borderId="14" xfId="0" applyNumberFormat="1" applyFont="1" applyBorder="1" applyAlignment="1">
      <alignment horizontal="right"/>
    </xf>
    <xf numFmtId="7" fontId="26" fillId="0" borderId="15" xfId="0" applyNumberFormat="1" applyFont="1" applyBorder="1" applyAlignment="1">
      <alignment horizontal="right"/>
    </xf>
    <xf numFmtId="0" fontId="8" fillId="0" borderId="31" xfId="0" applyFont="1" applyBorder="1"/>
    <xf numFmtId="9" fontId="8" fillId="0" borderId="31" xfId="5" applyFont="1" applyBorder="1"/>
    <xf numFmtId="7" fontId="8" fillId="0" borderId="31" xfId="5" applyNumberFormat="1" applyFont="1" applyBorder="1"/>
    <xf numFmtId="0" fontId="8" fillId="0" borderId="0" xfId="0" applyFont="1" applyAlignment="1">
      <alignment vertical="top" wrapText="1"/>
    </xf>
    <xf numFmtId="9" fontId="7" fillId="0" borderId="0" xfId="5" applyFont="1"/>
    <xf numFmtId="7" fontId="7" fillId="0" borderId="0" xfId="5" applyNumberFormat="1" applyFont="1"/>
    <xf numFmtId="0" fontId="4" fillId="0" borderId="0" xfId="0" applyFont="1" applyAlignment="1">
      <alignment horizontal="center" vertical="top" wrapText="1"/>
    </xf>
    <xf numFmtId="0" fontId="20" fillId="20" borderId="10" xfId="0" applyFont="1" applyFill="1" applyBorder="1" applyAlignment="1">
      <alignment horizontal="center" vertical="center"/>
    </xf>
    <xf numFmtId="0" fontId="26" fillId="0" borderId="11" xfId="0" applyFont="1" applyBorder="1" applyAlignment="1">
      <alignment horizontal="center"/>
    </xf>
    <xf numFmtId="0" fontId="29" fillId="0" borderId="0" xfId="0" applyFont="1" applyAlignment="1">
      <alignment horizontal="center"/>
    </xf>
    <xf numFmtId="173" fontId="4" fillId="0" borderId="0" xfId="0" applyNumberFormat="1" applyFont="1" applyAlignment="1">
      <alignment horizontal="left"/>
    </xf>
    <xf numFmtId="0" fontId="4" fillId="0" borderId="7" xfId="0" applyFont="1" applyBorder="1" applyAlignment="1">
      <alignment horizontal="left" vertical="top" wrapText="1"/>
    </xf>
    <xf numFmtId="0" fontId="4" fillId="0" borderId="11" xfId="0" applyFont="1" applyBorder="1" applyAlignment="1">
      <alignment vertical="top"/>
    </xf>
    <xf numFmtId="49" fontId="4" fillId="0" borderId="0" xfId="0" applyNumberFormat="1" applyFont="1"/>
    <xf numFmtId="9" fontId="4" fillId="0" borderId="0" xfId="5" applyFont="1"/>
    <xf numFmtId="0" fontId="4" fillId="0" borderId="31" xfId="0" applyFont="1" applyBorder="1"/>
    <xf numFmtId="9" fontId="4" fillId="0" borderId="31" xfId="5" applyFont="1" applyBorder="1"/>
    <xf numFmtId="0" fontId="1" fillId="0" borderId="0" xfId="0" applyFont="1" applyAlignment="1">
      <alignment horizontal="center" vertical="center"/>
    </xf>
    <xf numFmtId="0" fontId="1" fillId="0" borderId="11" xfId="0" applyFont="1" applyBorder="1" applyAlignment="1">
      <alignment horizontal="center" vertical="center"/>
    </xf>
    <xf numFmtId="0" fontId="8" fillId="0" borderId="14" xfId="0" applyFont="1" applyBorder="1" applyAlignment="1">
      <alignment horizontal="center"/>
    </xf>
    <xf numFmtId="164" fontId="8" fillId="0" borderId="14" xfId="0" applyNumberFormat="1" applyFont="1" applyBorder="1" applyAlignment="1">
      <alignment horizontal="left"/>
    </xf>
    <xf numFmtId="164" fontId="8" fillId="0" borderId="15" xfId="0" applyNumberFormat="1" applyFont="1" applyBorder="1" applyAlignment="1">
      <alignment horizontal="left"/>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8" fillId="0" borderId="14" xfId="0" applyFont="1" applyBorder="1" applyAlignment="1">
      <alignment horizontal="left"/>
    </xf>
    <xf numFmtId="164" fontId="8" fillId="0" borderId="0" xfId="0" applyNumberFormat="1" applyFont="1"/>
    <xf numFmtId="173" fontId="8" fillId="0" borderId="0" xfId="0" applyNumberFormat="1" applyFont="1" applyAlignment="1">
      <alignment horizontal="left"/>
    </xf>
    <xf numFmtId="0" fontId="26" fillId="0" borderId="0" xfId="0" applyFont="1" applyAlignment="1">
      <alignment horizontal="right"/>
    </xf>
    <xf numFmtId="164" fontId="4" fillId="0" borderId="0" xfId="0" applyNumberFormat="1" applyFont="1"/>
    <xf numFmtId="0" fontId="8" fillId="0" borderId="10" xfId="0" applyFont="1" applyBorder="1" applyAlignment="1">
      <alignment vertical="top"/>
    </xf>
    <xf numFmtId="0" fontId="8" fillId="0" borderId="11" xfId="0" applyFont="1" applyBorder="1" applyAlignment="1">
      <alignment vertical="top"/>
    </xf>
    <xf numFmtId="0" fontId="30" fillId="0" borderId="10" xfId="0" applyFont="1" applyBorder="1" applyAlignment="1">
      <alignment horizontal="left" vertical="top"/>
    </xf>
    <xf numFmtId="164" fontId="4" fillId="0" borderId="0" xfId="0" applyNumberFormat="1" applyFont="1" applyAlignment="1">
      <alignment horizontal="right"/>
    </xf>
    <xf numFmtId="169" fontId="4" fillId="0" borderId="0" xfId="0" applyNumberFormat="1" applyFont="1"/>
    <xf numFmtId="0" fontId="9" fillId="21" borderId="9" xfId="0" applyFont="1" applyFill="1" applyBorder="1" applyAlignment="1">
      <alignment horizontal="center" vertical="center"/>
    </xf>
    <xf numFmtId="0" fontId="9" fillId="21" borderId="15" xfId="0" applyFont="1" applyFill="1" applyBorder="1" applyAlignment="1">
      <alignment horizontal="center" vertical="center"/>
    </xf>
    <xf numFmtId="0" fontId="4" fillId="0" borderId="25" xfId="0" applyFont="1" applyBorder="1" applyAlignment="1">
      <alignment horizontal="center" vertical="center"/>
    </xf>
    <xf numFmtId="44" fontId="4" fillId="0" borderId="8" xfId="0" applyNumberFormat="1" applyFont="1" applyBorder="1"/>
    <xf numFmtId="44" fontId="4" fillId="0" borderId="9" xfId="0" applyNumberFormat="1" applyFont="1" applyBorder="1"/>
    <xf numFmtId="44" fontId="4" fillId="0" borderId="11" xfId="0" applyNumberFormat="1" applyFont="1" applyBorder="1"/>
    <xf numFmtId="44" fontId="4" fillId="0" borderId="0" xfId="2" applyFont="1" applyBorder="1" applyAlignment="1" applyProtection="1">
      <alignment horizontal="right"/>
    </xf>
    <xf numFmtId="44" fontId="4" fillId="0" borderId="11" xfId="2" applyFont="1" applyBorder="1" applyAlignment="1" applyProtection="1">
      <alignment horizontal="right"/>
    </xf>
    <xf numFmtId="44" fontId="4" fillId="0" borderId="0" xfId="0" applyNumberFormat="1" applyFont="1" applyAlignment="1">
      <alignment vertical="top" wrapText="1"/>
    </xf>
    <xf numFmtId="0" fontId="13" fillId="0" borderId="0" xfId="0" applyFont="1" applyAlignment="1">
      <alignment vertical="center"/>
    </xf>
    <xf numFmtId="0" fontId="13" fillId="0" borderId="32" xfId="0" applyFont="1" applyBorder="1" applyAlignment="1">
      <alignment vertical="center"/>
    </xf>
    <xf numFmtId="0" fontId="8" fillId="0" borderId="0" xfId="0" applyFont="1" applyAlignment="1">
      <alignment horizontal="left" vertical="center"/>
    </xf>
    <xf numFmtId="0" fontId="9" fillId="0" borderId="0" xfId="0" applyFont="1" applyAlignment="1">
      <alignment horizontal="center" vertical="center" wrapText="1"/>
    </xf>
    <xf numFmtId="0" fontId="18" fillId="25" borderId="34" xfId="0" applyFont="1" applyFill="1" applyBorder="1" applyAlignment="1">
      <alignment vertical="center"/>
    </xf>
    <xf numFmtId="0" fontId="18" fillId="26" borderId="34" xfId="0" applyFont="1" applyFill="1" applyBorder="1" applyAlignment="1">
      <alignment vertical="center"/>
    </xf>
    <xf numFmtId="0" fontId="18" fillId="27" borderId="34" xfId="0" applyFont="1" applyFill="1" applyBorder="1" applyAlignment="1">
      <alignment vertical="center"/>
    </xf>
    <xf numFmtId="0" fontId="13" fillId="28" borderId="34" xfId="0" applyFont="1" applyFill="1" applyBorder="1" applyAlignment="1">
      <alignment vertical="center"/>
    </xf>
    <xf numFmtId="0" fontId="10" fillId="0" borderId="0" xfId="0" applyFont="1" applyAlignment="1">
      <alignment horizontal="center" wrapText="1"/>
    </xf>
    <xf numFmtId="0" fontId="8" fillId="0" borderId="0" xfId="0" applyFont="1" applyAlignment="1">
      <alignment horizontal="center" vertical="center" wrapText="1"/>
    </xf>
    <xf numFmtId="0" fontId="8" fillId="0" borderId="0" xfId="0" applyFont="1" applyAlignment="1">
      <alignment horizontal="left" wrapText="1"/>
    </xf>
    <xf numFmtId="0" fontId="8" fillId="0" borderId="10" xfId="0" applyFont="1" applyBorder="1" applyAlignment="1">
      <alignment horizontal="left" wrapText="1"/>
    </xf>
    <xf numFmtId="44" fontId="8" fillId="0" borderId="11" xfId="2" applyFont="1" applyBorder="1" applyAlignment="1" applyProtection="1">
      <alignment horizontal="left" wrapText="1"/>
    </xf>
    <xf numFmtId="44" fontId="8" fillId="0" borderId="9" xfId="2" applyFont="1" applyBorder="1" applyAlignment="1" applyProtection="1">
      <alignment horizontal="left" wrapText="1"/>
    </xf>
    <xf numFmtId="0" fontId="8" fillId="0" borderId="13" xfId="0" applyFont="1" applyBorder="1" applyAlignment="1">
      <alignment horizontal="left"/>
    </xf>
    <xf numFmtId="44" fontId="8" fillId="0" borderId="15" xfId="2" applyFont="1" applyBorder="1" applyAlignment="1" applyProtection="1">
      <alignment horizontal="left"/>
    </xf>
    <xf numFmtId="0" fontId="3" fillId="0" borderId="35" xfId="0" applyFont="1" applyBorder="1" applyAlignment="1">
      <alignment horizontal="left"/>
    </xf>
    <xf numFmtId="44" fontId="31" fillId="0" borderId="35" xfId="0" applyNumberFormat="1" applyFont="1" applyBorder="1" applyAlignment="1">
      <alignment horizontal="left"/>
    </xf>
    <xf numFmtId="44" fontId="3" fillId="0" borderId="11" xfId="2" applyFont="1" applyBorder="1" applyAlignment="1" applyProtection="1">
      <alignment horizontal="left"/>
    </xf>
    <xf numFmtId="44" fontId="3" fillId="0" borderId="0" xfId="2" applyFont="1" applyBorder="1" applyAlignment="1" applyProtection="1">
      <alignment horizontal="left"/>
    </xf>
    <xf numFmtId="0" fontId="3" fillId="0" borderId="36" xfId="0" applyFont="1" applyBorder="1" applyAlignment="1">
      <alignment horizontal="left"/>
    </xf>
    <xf numFmtId="44" fontId="3" fillId="0" borderId="36" xfId="2" applyFont="1" applyBorder="1" applyAlignment="1" applyProtection="1">
      <alignment horizontal="left"/>
    </xf>
    <xf numFmtId="0" fontId="3" fillId="0" borderId="37" xfId="0" applyFont="1" applyBorder="1" applyAlignment="1">
      <alignment horizontal="left"/>
    </xf>
    <xf numFmtId="44" fontId="3" fillId="0" borderId="37" xfId="2" applyFont="1" applyBorder="1" applyAlignment="1" applyProtection="1">
      <alignment horizontal="left"/>
    </xf>
    <xf numFmtId="0" fontId="3" fillId="0" borderId="13" xfId="0" applyFont="1" applyBorder="1" applyAlignment="1">
      <alignment horizontal="left"/>
    </xf>
    <xf numFmtId="44" fontId="3" fillId="0" borderId="15" xfId="2" applyFont="1" applyBorder="1" applyAlignment="1" applyProtection="1">
      <alignment horizontal="left"/>
    </xf>
    <xf numFmtId="169" fontId="4" fillId="0" borderId="14" xfId="0" applyNumberFormat="1" applyFont="1" applyBorder="1"/>
    <xf numFmtId="174" fontId="13" fillId="8" borderId="33" xfId="0" applyNumberFormat="1" applyFont="1" applyFill="1" applyBorder="1" applyAlignment="1">
      <alignment horizontal="left" vertical="center"/>
    </xf>
    <xf numFmtId="174" fontId="13" fillId="28" borderId="33" xfId="0" applyNumberFormat="1" applyFont="1" applyFill="1" applyBorder="1" applyAlignment="1">
      <alignment horizontal="left" vertical="center"/>
    </xf>
    <xf numFmtId="0" fontId="13" fillId="0" borderId="0" xfId="0" applyFont="1" applyAlignment="1">
      <alignment horizontal="center" vertical="center" wrapText="1"/>
    </xf>
    <xf numFmtId="0" fontId="3" fillId="0" borderId="10" xfId="0" applyFont="1" applyBorder="1" applyAlignment="1">
      <alignment horizontal="left" wrapText="1"/>
    </xf>
    <xf numFmtId="44" fontId="3" fillId="0" borderId="11" xfId="2" applyFont="1" applyBorder="1" applyAlignment="1" applyProtection="1">
      <alignment horizontal="left" wrapText="1"/>
    </xf>
    <xf numFmtId="44" fontId="4" fillId="0" borderId="0" xfId="2" applyFont="1" applyFill="1" applyAlignment="1">
      <alignment wrapText="1"/>
    </xf>
    <xf numFmtId="44" fontId="4" fillId="0" borderId="0" xfId="2" applyFont="1" applyFill="1" applyBorder="1" applyAlignment="1">
      <alignment horizontal="left" wrapText="1"/>
    </xf>
    <xf numFmtId="44" fontId="4" fillId="0" borderId="0" xfId="2" applyFont="1" applyFill="1" applyBorder="1" applyAlignment="1">
      <alignment wrapText="1"/>
    </xf>
    <xf numFmtId="44" fontId="4" fillId="0" borderId="0" xfId="2" applyFont="1" applyFill="1" applyBorder="1" applyAlignment="1">
      <alignment horizontal="right" wrapText="1"/>
    </xf>
    <xf numFmtId="0" fontId="4" fillId="0" borderId="7" xfId="0" applyFont="1" applyBorder="1" applyAlignment="1">
      <alignment wrapText="1"/>
    </xf>
    <xf numFmtId="44" fontId="4" fillId="0" borderId="8" xfId="2" applyFont="1" applyFill="1" applyBorder="1" applyAlignment="1">
      <alignment wrapText="1"/>
    </xf>
    <xf numFmtId="44" fontId="4" fillId="0" borderId="8" xfId="2" applyFont="1" applyFill="1" applyBorder="1" applyAlignment="1">
      <alignment horizontal="right" wrapText="1"/>
    </xf>
    <xf numFmtId="0" fontId="4" fillId="0" borderId="9" xfId="0" applyFont="1" applyBorder="1" applyAlignment="1">
      <alignment horizontal="right" wrapText="1"/>
    </xf>
    <xf numFmtId="0" fontId="4" fillId="0" borderId="38" xfId="0" applyFont="1" applyBorder="1" applyAlignment="1">
      <alignment wrapText="1"/>
    </xf>
    <xf numFmtId="0" fontId="4" fillId="0" borderId="39" xfId="0" applyFont="1" applyBorder="1" applyAlignment="1">
      <alignment wrapText="1"/>
    </xf>
    <xf numFmtId="7" fontId="4" fillId="0" borderId="39" xfId="2" applyNumberFormat="1" applyFont="1" applyFill="1" applyBorder="1" applyAlignment="1">
      <alignment wrapText="1"/>
    </xf>
    <xf numFmtId="7" fontId="4" fillId="0" borderId="39" xfId="2" applyNumberFormat="1" applyFont="1" applyFill="1" applyBorder="1" applyAlignment="1">
      <alignment horizontal="center" wrapText="1"/>
    </xf>
    <xf numFmtId="7" fontId="4" fillId="0" borderId="39" xfId="2" applyNumberFormat="1" applyFont="1" applyFill="1" applyBorder="1" applyAlignment="1">
      <alignment horizontal="right" wrapText="1"/>
    </xf>
    <xf numFmtId="7" fontId="23" fillId="0" borderId="39" xfId="2" applyNumberFormat="1" applyFont="1" applyFill="1" applyBorder="1" applyAlignment="1" applyProtection="1">
      <alignment horizontal="right" wrapText="1"/>
      <protection locked="0"/>
    </xf>
    <xf numFmtId="7" fontId="4" fillId="0" borderId="39" xfId="0" applyNumberFormat="1" applyFont="1" applyBorder="1" applyAlignment="1">
      <alignment wrapText="1"/>
    </xf>
    <xf numFmtId="7" fontId="4" fillId="0" borderId="40" xfId="0" applyNumberFormat="1" applyFont="1" applyBorder="1" applyAlignment="1">
      <alignment wrapText="1"/>
    </xf>
    <xf numFmtId="7" fontId="4" fillId="0" borderId="0" xfId="2" applyNumberFormat="1" applyFont="1" applyFill="1" applyBorder="1" applyAlignment="1">
      <alignment wrapText="1"/>
    </xf>
    <xf numFmtId="7" fontId="4" fillId="0" borderId="0" xfId="2" applyNumberFormat="1" applyFont="1" applyFill="1" applyBorder="1" applyAlignment="1">
      <alignment horizontal="right" wrapText="1"/>
    </xf>
    <xf numFmtId="7" fontId="23" fillId="0" borderId="0" xfId="2" applyNumberFormat="1" applyFont="1" applyFill="1" applyBorder="1" applyAlignment="1" applyProtection="1">
      <alignment horizontal="right" wrapText="1"/>
      <protection locked="0"/>
    </xf>
    <xf numFmtId="7" fontId="4" fillId="0" borderId="0" xfId="0" applyNumberFormat="1" applyFont="1" applyAlignment="1">
      <alignment wrapText="1"/>
    </xf>
    <xf numFmtId="7" fontId="4" fillId="0" borderId="11" xfId="0" applyNumberFormat="1" applyFont="1" applyBorder="1" applyAlignment="1">
      <alignment wrapText="1"/>
    </xf>
    <xf numFmtId="0" fontId="4" fillId="0" borderId="41" xfId="0" applyFont="1" applyBorder="1" applyAlignment="1">
      <alignment wrapText="1"/>
    </xf>
    <xf numFmtId="0" fontId="4" fillId="0" borderId="31" xfId="0" applyFont="1" applyBorder="1" applyAlignment="1">
      <alignment wrapText="1"/>
    </xf>
    <xf numFmtId="7" fontId="4" fillId="0" borderId="31" xfId="2" applyNumberFormat="1" applyFont="1" applyFill="1" applyBorder="1" applyAlignment="1">
      <alignment wrapText="1"/>
    </xf>
    <xf numFmtId="7" fontId="4" fillId="0" borderId="31" xfId="2" applyNumberFormat="1" applyFont="1" applyFill="1" applyBorder="1" applyAlignment="1">
      <alignment horizontal="right" wrapText="1"/>
    </xf>
    <xf numFmtId="7" fontId="23" fillId="0" borderId="31" xfId="2" applyNumberFormat="1" applyFont="1" applyFill="1" applyBorder="1" applyAlignment="1" applyProtection="1">
      <alignment horizontal="right" wrapText="1"/>
      <protection locked="0"/>
    </xf>
    <xf numFmtId="7" fontId="4" fillId="0" borderId="31" xfId="0" applyNumberFormat="1" applyFont="1" applyBorder="1" applyAlignment="1">
      <alignment wrapText="1"/>
    </xf>
    <xf numFmtId="7" fontId="4" fillId="0" borderId="28" xfId="0" applyNumberFormat="1" applyFont="1" applyBorder="1" applyAlignment="1">
      <alignment wrapText="1"/>
    </xf>
    <xf numFmtId="7" fontId="4" fillId="0" borderId="0" xfId="2" applyNumberFormat="1" applyFont="1" applyFill="1" applyBorder="1" applyAlignment="1">
      <alignment horizontal="center" wrapText="1"/>
    </xf>
    <xf numFmtId="44" fontId="4" fillId="0" borderId="0" xfId="0" applyNumberFormat="1" applyFont="1" applyAlignment="1">
      <alignment wrapText="1"/>
    </xf>
    <xf numFmtId="0" fontId="4" fillId="0" borderId="41" xfId="0" applyFont="1" applyBorder="1" applyAlignment="1">
      <alignment horizontal="left" wrapText="1"/>
    </xf>
    <xf numFmtId="0" fontId="4" fillId="0" borderId="31" xfId="0" applyFont="1" applyBorder="1" applyAlignment="1">
      <alignment horizontal="left" wrapText="1"/>
    </xf>
    <xf numFmtId="0" fontId="4" fillId="0" borderId="38" xfId="0" applyFont="1" applyBorder="1" applyAlignment="1">
      <alignment horizontal="left" wrapText="1"/>
    </xf>
    <xf numFmtId="0" fontId="4" fillId="0" borderId="39" xfId="0" applyFont="1" applyBorder="1" applyAlignment="1">
      <alignment horizontal="left" wrapText="1"/>
    </xf>
    <xf numFmtId="0" fontId="4" fillId="0" borderId="13" xfId="0" applyFont="1" applyBorder="1" applyAlignment="1">
      <alignment horizontal="left" wrapText="1"/>
    </xf>
    <xf numFmtId="0" fontId="4" fillId="0" borderId="14" xfId="0" applyFont="1" applyBorder="1" applyAlignment="1">
      <alignment horizontal="left" wrapText="1"/>
    </xf>
    <xf numFmtId="7" fontId="4" fillId="0" borderId="14" xfId="2" applyNumberFormat="1" applyFont="1" applyFill="1" applyBorder="1" applyAlignment="1">
      <alignment wrapText="1"/>
    </xf>
    <xf numFmtId="7" fontId="4" fillId="0" borderId="14" xfId="2" applyNumberFormat="1" applyFont="1" applyFill="1" applyBorder="1" applyAlignment="1">
      <alignment horizontal="right" wrapText="1"/>
    </xf>
    <xf numFmtId="7" fontId="23" fillId="0" borderId="14" xfId="2" applyNumberFormat="1" applyFont="1" applyFill="1" applyBorder="1" applyAlignment="1" applyProtection="1">
      <alignment horizontal="right" wrapText="1"/>
      <protection locked="0"/>
    </xf>
    <xf numFmtId="7" fontId="4" fillId="0" borderId="14" xfId="0" applyNumberFormat="1" applyFont="1" applyBorder="1" applyAlignment="1">
      <alignment wrapText="1"/>
    </xf>
    <xf numFmtId="7" fontId="4" fillId="0" borderId="15" xfId="0" applyNumberFormat="1" applyFont="1" applyBorder="1" applyAlignment="1">
      <alignment wrapText="1"/>
    </xf>
    <xf numFmtId="39" fontId="4" fillId="0" borderId="0" xfId="2" applyNumberFormat="1" applyFont="1" applyFill="1" applyBorder="1" applyAlignment="1">
      <alignment wrapText="1"/>
    </xf>
    <xf numFmtId="39" fontId="4" fillId="0" borderId="0" xfId="2" applyNumberFormat="1" applyFont="1" applyFill="1" applyBorder="1" applyAlignment="1">
      <alignment horizontal="right" wrapText="1"/>
    </xf>
    <xf numFmtId="39" fontId="23" fillId="0" borderId="0" xfId="2" applyNumberFormat="1" applyFont="1" applyFill="1" applyBorder="1" applyAlignment="1" applyProtection="1">
      <alignment horizontal="right" wrapText="1"/>
      <protection locked="0"/>
    </xf>
    <xf numFmtId="39" fontId="4" fillId="0" borderId="0" xfId="0" applyNumberFormat="1" applyFont="1" applyAlignment="1">
      <alignment wrapText="1"/>
    </xf>
    <xf numFmtId="170" fontId="4" fillId="0" borderId="0" xfId="2" applyNumberFormat="1" applyFont="1" applyFill="1" applyBorder="1" applyAlignment="1">
      <alignment horizontal="right" wrapText="1"/>
    </xf>
    <xf numFmtId="170" fontId="23" fillId="0" borderId="0" xfId="2" applyNumberFormat="1" applyFont="1" applyFill="1" applyBorder="1" applyAlignment="1" applyProtection="1">
      <alignment horizontal="right" wrapText="1"/>
      <protection locked="0"/>
    </xf>
    <xf numFmtId="170" fontId="4" fillId="0" borderId="0" xfId="0" applyNumberFormat="1" applyFont="1" applyAlignment="1">
      <alignment wrapText="1"/>
    </xf>
    <xf numFmtId="170" fontId="4" fillId="0" borderId="8" xfId="2" applyNumberFormat="1" applyFont="1" applyFill="1" applyBorder="1" applyAlignment="1">
      <alignment horizontal="right" wrapText="1"/>
    </xf>
    <xf numFmtId="170" fontId="23" fillId="0" borderId="8" xfId="2" applyNumberFormat="1" applyFont="1" applyFill="1" applyBorder="1" applyAlignment="1" applyProtection="1">
      <alignment horizontal="right" wrapText="1"/>
      <protection locked="0"/>
    </xf>
    <xf numFmtId="170" fontId="4" fillId="0" borderId="8" xfId="0" applyNumberFormat="1" applyFont="1" applyBorder="1" applyAlignment="1">
      <alignment wrapText="1"/>
    </xf>
    <xf numFmtId="170" fontId="4" fillId="0" borderId="9" xfId="0" applyNumberFormat="1" applyFont="1" applyBorder="1" applyAlignment="1">
      <alignment wrapText="1"/>
    </xf>
    <xf numFmtId="7" fontId="4" fillId="0" borderId="11" xfId="0" applyNumberFormat="1" applyFont="1" applyBorder="1" applyAlignment="1">
      <alignment horizontal="right" wrapText="1"/>
    </xf>
    <xf numFmtId="170" fontId="4" fillId="0" borderId="0" xfId="2" applyNumberFormat="1" applyFont="1" applyFill="1" applyBorder="1" applyAlignment="1">
      <alignment wrapText="1"/>
    </xf>
    <xf numFmtId="170" fontId="4" fillId="0" borderId="8" xfId="2" applyNumberFormat="1" applyFont="1" applyFill="1" applyBorder="1" applyAlignment="1">
      <alignment wrapText="1"/>
    </xf>
    <xf numFmtId="44" fontId="4" fillId="0" borderId="10" xfId="2" applyFont="1" applyFill="1" applyBorder="1" applyAlignment="1">
      <alignment horizontal="right" wrapText="1"/>
    </xf>
    <xf numFmtId="0" fontId="4" fillId="0" borderId="42" xfId="0" applyFont="1" applyBorder="1" applyAlignment="1">
      <alignment wrapText="1"/>
    </xf>
    <xf numFmtId="0" fontId="23" fillId="0" borderId="10" xfId="2" applyNumberFormat="1" applyFont="1" applyFill="1" applyBorder="1" applyAlignment="1" applyProtection="1">
      <alignment horizontal="right" wrapText="1"/>
      <protection locked="0"/>
    </xf>
    <xf numFmtId="0" fontId="23" fillId="0" borderId="13" xfId="2" applyNumberFormat="1" applyFont="1" applyFill="1" applyBorder="1" applyAlignment="1" applyProtection="1">
      <alignment horizontal="right" wrapText="1"/>
      <protection locked="0"/>
    </xf>
    <xf numFmtId="170" fontId="4" fillId="0" borderId="14" xfId="2" applyNumberFormat="1" applyFont="1" applyFill="1" applyBorder="1" applyAlignment="1">
      <alignment wrapText="1"/>
    </xf>
    <xf numFmtId="0" fontId="23" fillId="0" borderId="0" xfId="2" applyNumberFormat="1" applyFont="1" applyFill="1" applyBorder="1" applyAlignment="1" applyProtection="1">
      <alignment horizontal="right" wrapText="1"/>
      <protection locked="0"/>
    </xf>
    <xf numFmtId="14" fontId="4" fillId="0" borderId="0" xfId="0" applyNumberFormat="1" applyFont="1" applyAlignment="1">
      <alignment wrapText="1"/>
    </xf>
    <xf numFmtId="7" fontId="4" fillId="0" borderId="0" xfId="2" applyNumberFormat="1" applyFont="1" applyBorder="1" applyAlignment="1">
      <alignment horizontal="right" wrapText="1"/>
    </xf>
    <xf numFmtId="44" fontId="4" fillId="0" borderId="13" xfId="2" applyFont="1" applyFill="1" applyBorder="1" applyAlignment="1">
      <alignment horizontal="right" wrapText="1"/>
    </xf>
    <xf numFmtId="14" fontId="4" fillId="0" borderId="14" xfId="0" applyNumberFormat="1" applyFont="1" applyBorder="1" applyAlignment="1">
      <alignment wrapText="1"/>
    </xf>
    <xf numFmtId="170" fontId="23" fillId="0" borderId="14" xfId="2" applyNumberFormat="1" applyFont="1" applyFill="1" applyBorder="1" applyAlignment="1" applyProtection="1">
      <alignment horizontal="right" wrapText="1"/>
      <protection locked="0"/>
    </xf>
    <xf numFmtId="44" fontId="4" fillId="0" borderId="14" xfId="2" applyFont="1" applyFill="1" applyBorder="1" applyAlignment="1">
      <alignment wrapText="1"/>
    </xf>
    <xf numFmtId="7" fontId="4" fillId="0" borderId="14" xfId="2" applyNumberFormat="1" applyFont="1" applyBorder="1" applyAlignment="1">
      <alignment horizontal="right" wrapText="1"/>
    </xf>
    <xf numFmtId="170" fontId="4" fillId="0" borderId="14" xfId="0" applyNumberFormat="1" applyFont="1" applyBorder="1" applyAlignment="1">
      <alignment wrapText="1"/>
    </xf>
    <xf numFmtId="170" fontId="4" fillId="0" borderId="15" xfId="0" applyNumberFormat="1" applyFont="1" applyBorder="1" applyAlignment="1">
      <alignment wrapText="1"/>
    </xf>
    <xf numFmtId="170" fontId="4" fillId="0" borderId="0" xfId="0" applyNumberFormat="1" applyFont="1" applyAlignment="1">
      <alignment horizontal="right" wrapText="1"/>
    </xf>
    <xf numFmtId="7" fontId="4" fillId="0" borderId="0" xfId="2" applyNumberFormat="1" applyFont="1" applyFill="1" applyBorder="1" applyAlignment="1" applyProtection="1">
      <alignment wrapText="1"/>
      <protection locked="0"/>
    </xf>
    <xf numFmtId="170" fontId="4" fillId="0" borderId="0" xfId="2" applyNumberFormat="1" applyFont="1" applyFill="1" applyBorder="1" applyAlignment="1" applyProtection="1">
      <alignment wrapText="1"/>
      <protection locked="0"/>
    </xf>
    <xf numFmtId="0" fontId="4" fillId="0" borderId="13" xfId="0" applyFont="1" applyBorder="1" applyAlignment="1">
      <alignment wrapText="1"/>
    </xf>
    <xf numFmtId="0" fontId="4" fillId="0" borderId="14" xfId="0" applyFont="1" applyBorder="1" applyAlignment="1">
      <alignment horizontal="right" wrapText="1"/>
    </xf>
    <xf numFmtId="7" fontId="4" fillId="0" borderId="14" xfId="2" applyNumberFormat="1" applyFont="1" applyFill="1" applyBorder="1" applyAlignment="1" applyProtection="1">
      <alignment wrapText="1"/>
      <protection locked="0"/>
    </xf>
    <xf numFmtId="170" fontId="4" fillId="0" borderId="14" xfId="2" applyNumberFormat="1" applyFont="1" applyFill="1" applyBorder="1" applyAlignment="1" applyProtection="1">
      <alignment wrapText="1"/>
      <protection locked="0"/>
    </xf>
    <xf numFmtId="170" fontId="4" fillId="0" borderId="0" xfId="2" applyNumberFormat="1" applyFont="1" applyFill="1" applyAlignment="1">
      <alignment wrapText="1"/>
    </xf>
    <xf numFmtId="7" fontId="4" fillId="0" borderId="43" xfId="0" applyNumberFormat="1" applyFont="1" applyBorder="1" applyAlignment="1">
      <alignment wrapText="1"/>
    </xf>
    <xf numFmtId="44" fontId="4" fillId="0" borderId="43" xfId="0" applyNumberFormat="1" applyFont="1" applyBorder="1" applyAlignment="1">
      <alignment wrapText="1"/>
    </xf>
    <xf numFmtId="170" fontId="4" fillId="0" borderId="8" xfId="0" applyNumberFormat="1" applyFont="1" applyBorder="1" applyAlignment="1">
      <alignment horizontal="right" wrapText="1"/>
    </xf>
    <xf numFmtId="44" fontId="4" fillId="0" borderId="10" xfId="2" applyFont="1" applyFill="1" applyBorder="1" applyAlignment="1">
      <alignment horizontal="left" wrapText="1"/>
    </xf>
    <xf numFmtId="7" fontId="4" fillId="0" borderId="0" xfId="2" applyNumberFormat="1" applyFont="1" applyFill="1" applyAlignment="1">
      <alignment wrapText="1"/>
    </xf>
    <xf numFmtId="7" fontId="4" fillId="0" borderId="0" xfId="2" applyNumberFormat="1" applyFont="1" applyFill="1" applyAlignment="1">
      <alignment horizontal="right" wrapText="1"/>
    </xf>
    <xf numFmtId="0" fontId="4" fillId="0" borderId="0" xfId="2" applyNumberFormat="1" applyFont="1" applyFill="1" applyAlignment="1">
      <alignment wrapText="1"/>
    </xf>
    <xf numFmtId="7" fontId="4" fillId="0" borderId="44" xfId="0" applyNumberFormat="1" applyFont="1" applyBorder="1" applyAlignment="1">
      <alignment wrapText="1"/>
    </xf>
    <xf numFmtId="0" fontId="4" fillId="0" borderId="42" xfId="0" applyFont="1" applyBorder="1" applyAlignment="1">
      <alignment horizontal="left" vertical="top" wrapText="1"/>
    </xf>
    <xf numFmtId="7" fontId="4" fillId="0" borderId="8" xfId="2" applyNumberFormat="1" applyFont="1" applyFill="1" applyBorder="1" applyAlignment="1">
      <alignment wrapText="1"/>
    </xf>
    <xf numFmtId="7" fontId="4" fillId="0" borderId="8" xfId="0" applyNumberFormat="1" applyFont="1" applyBorder="1" applyAlignment="1">
      <alignment wrapText="1"/>
    </xf>
    <xf numFmtId="7" fontId="4" fillId="0" borderId="9" xfId="0" applyNumberFormat="1" applyFont="1" applyBorder="1" applyAlignment="1">
      <alignment wrapText="1"/>
    </xf>
    <xf numFmtId="49" fontId="4" fillId="0" borderId="10" xfId="0" applyNumberFormat="1" applyFont="1" applyBorder="1" applyAlignment="1">
      <alignment horizontal="left" vertical="top" wrapText="1"/>
    </xf>
    <xf numFmtId="49" fontId="4" fillId="0" borderId="13" xfId="0" applyNumberFormat="1" applyFont="1" applyBorder="1" applyAlignment="1">
      <alignment horizontal="left" vertical="top" wrapText="1"/>
    </xf>
    <xf numFmtId="49" fontId="4" fillId="0" borderId="0" xfId="0" applyNumberFormat="1" applyFont="1" applyAlignment="1">
      <alignment horizontal="left" vertical="top" wrapText="1"/>
    </xf>
    <xf numFmtId="164" fontId="4" fillId="0" borderId="0" xfId="0" applyNumberFormat="1" applyFont="1" applyAlignment="1">
      <alignment wrapText="1"/>
    </xf>
    <xf numFmtId="0" fontId="4" fillId="0" borderId="0" xfId="2" applyNumberFormat="1" applyFont="1" applyFill="1" applyBorder="1" applyAlignment="1">
      <alignment wrapText="1"/>
    </xf>
    <xf numFmtId="9" fontId="4" fillId="0" borderId="0" xfId="0" applyNumberFormat="1" applyFont="1" applyAlignment="1">
      <alignment wrapText="1"/>
    </xf>
    <xf numFmtId="0" fontId="4" fillId="0" borderId="0" xfId="2" applyNumberFormat="1" applyFont="1" applyFill="1" applyBorder="1" applyAlignment="1">
      <alignment horizontal="left" wrapText="1"/>
    </xf>
    <xf numFmtId="9" fontId="4" fillId="0" borderId="0" xfId="5" applyFont="1" applyAlignment="1">
      <alignment wrapText="1"/>
    </xf>
    <xf numFmtId="7" fontId="4" fillId="0" borderId="7" xfId="0" applyNumberFormat="1" applyFont="1" applyBorder="1" applyAlignment="1">
      <alignment horizontal="right" wrapText="1"/>
    </xf>
    <xf numFmtId="7" fontId="4" fillId="0" borderId="8" xfId="0" applyNumberFormat="1" applyFont="1" applyBorder="1" applyAlignment="1">
      <alignment horizontal="right"/>
    </xf>
    <xf numFmtId="7" fontId="4" fillId="0" borderId="7" xfId="0" applyNumberFormat="1" applyFont="1" applyBorder="1" applyAlignment="1">
      <alignment horizontal="right"/>
    </xf>
    <xf numFmtId="7" fontId="4" fillId="0" borderId="7" xfId="0" applyNumberFormat="1" applyFont="1" applyBorder="1" applyAlignment="1">
      <alignment wrapText="1"/>
    </xf>
    <xf numFmtId="7" fontId="4" fillId="0" borderId="9" xfId="0" applyNumberFormat="1" applyFont="1" applyBorder="1" applyAlignment="1">
      <alignment vertical="top" wrapText="1"/>
    </xf>
    <xf numFmtId="7" fontId="0" fillId="0" borderId="11" xfId="0" applyNumberFormat="1" applyBorder="1"/>
    <xf numFmtId="44" fontId="0" fillId="0" borderId="0" xfId="2" applyFont="1" applyAlignment="1" applyProtection="1">
      <alignment horizontal="right"/>
    </xf>
    <xf numFmtId="0" fontId="17" fillId="0" borderId="0" xfId="0" applyFont="1"/>
    <xf numFmtId="44" fontId="0" fillId="0" borderId="0" xfId="2" applyFont="1" applyProtection="1"/>
    <xf numFmtId="0" fontId="0" fillId="0" borderId="0" xfId="0" applyAlignment="1">
      <alignment horizontal="right"/>
    </xf>
    <xf numFmtId="44" fontId="16" fillId="13" borderId="1" xfId="2" applyFont="1" applyFill="1" applyBorder="1" applyAlignment="1" applyProtection="1">
      <alignment horizontal="right"/>
      <protection locked="0"/>
    </xf>
    <xf numFmtId="44" fontId="0" fillId="0" borderId="0" xfId="2" applyFont="1" applyAlignment="1" applyProtection="1">
      <alignment horizontal="right" wrapText="1"/>
    </xf>
    <xf numFmtId="0" fontId="0" fillId="0" borderId="0" xfId="0" applyAlignment="1">
      <alignment horizontal="left" wrapText="1"/>
    </xf>
    <xf numFmtId="167" fontId="0" fillId="6" borderId="0" xfId="5" applyNumberFormat="1" applyFont="1" applyFill="1" applyBorder="1" applyAlignment="1">
      <alignment horizontal="right"/>
    </xf>
    <xf numFmtId="8" fontId="0" fillId="6" borderId="0" xfId="0" applyNumberFormat="1" applyFill="1" applyAlignment="1">
      <alignment horizontal="right"/>
    </xf>
    <xf numFmtId="10" fontId="0" fillId="6" borderId="1" xfId="5" applyNumberFormat="1" applyFont="1" applyFill="1" applyBorder="1"/>
    <xf numFmtId="10" fontId="0" fillId="0" borderId="0" xfId="5" applyNumberFormat="1" applyFont="1" applyProtection="1"/>
    <xf numFmtId="0" fontId="17" fillId="0" borderId="0" xfId="0" applyFont="1" applyAlignment="1">
      <alignment horizontal="right"/>
    </xf>
    <xf numFmtId="0" fontId="17" fillId="5" borderId="1" xfId="0" applyFont="1" applyFill="1" applyBorder="1" applyAlignment="1" applyProtection="1">
      <alignment horizontal="right"/>
      <protection locked="0"/>
    </xf>
    <xf numFmtId="0" fontId="27" fillId="0" borderId="0" xfId="0" applyFont="1" applyAlignment="1">
      <alignment horizontal="right"/>
    </xf>
    <xf numFmtId="164" fontId="27" fillId="0" borderId="0" xfId="0" applyNumberFormat="1" applyFont="1" applyAlignment="1">
      <alignment horizontal="right"/>
    </xf>
    <xf numFmtId="9" fontId="32" fillId="6" borderId="0" xfId="0" applyNumberFormat="1" applyFont="1" applyFill="1" applyAlignment="1">
      <alignment horizontal="right"/>
    </xf>
    <xf numFmtId="0" fontId="27" fillId="6" borderId="0" xfId="0" applyFont="1" applyFill="1" applyAlignment="1">
      <alignment horizontal="right"/>
    </xf>
    <xf numFmtId="44" fontId="27" fillId="6" borderId="0" xfId="2" applyFont="1" applyFill="1" applyBorder="1" applyAlignment="1">
      <alignment horizontal="right"/>
    </xf>
    <xf numFmtId="166" fontId="27" fillId="6" borderId="0" xfId="4" applyNumberFormat="1" applyFont="1" applyFill="1" applyBorder="1" applyAlignment="1">
      <alignment horizontal="right"/>
    </xf>
    <xf numFmtId="44" fontId="27" fillId="6" borderId="0" xfId="2" applyFont="1" applyFill="1" applyBorder="1" applyAlignment="1">
      <alignment horizontal="right" wrapText="1"/>
    </xf>
    <xf numFmtId="44" fontId="27" fillId="6" borderId="0" xfId="0" applyNumberFormat="1" applyFont="1" applyFill="1" applyAlignment="1">
      <alignment horizontal="right"/>
    </xf>
    <xf numFmtId="44" fontId="27" fillId="3" borderId="0" xfId="0" applyNumberFormat="1" applyFont="1" applyFill="1" applyAlignment="1">
      <alignment horizontal="right"/>
    </xf>
    <xf numFmtId="44" fontId="27" fillId="0" borderId="0" xfId="0" applyNumberFormat="1" applyFont="1"/>
    <xf numFmtId="44" fontId="27" fillId="0" borderId="0" xfId="2" applyFont="1" applyFill="1" applyBorder="1" applyAlignment="1">
      <alignment horizontal="right"/>
    </xf>
    <xf numFmtId="0" fontId="27" fillId="0" borderId="0" xfId="0" applyFont="1" applyAlignment="1">
      <alignment horizontal="left" vertical="top" wrapText="1"/>
    </xf>
    <xf numFmtId="10" fontId="27" fillId="6" borderId="0" xfId="5" applyNumberFormat="1" applyFont="1" applyFill="1" applyBorder="1" applyAlignment="1">
      <alignment horizontal="right"/>
    </xf>
    <xf numFmtId="44" fontId="27" fillId="4" borderId="0" xfId="2" applyFont="1" applyFill="1" applyBorder="1" applyAlignment="1">
      <alignment horizontal="right"/>
    </xf>
    <xf numFmtId="0" fontId="27" fillId="6" borderId="0" xfId="0" applyFont="1" applyFill="1" applyAlignment="1">
      <alignment horizontal="right" wrapText="1"/>
    </xf>
    <xf numFmtId="0" fontId="27" fillId="0" borderId="0" xfId="0" applyFont="1" applyAlignment="1">
      <alignment horizontal="left" wrapText="1"/>
    </xf>
    <xf numFmtId="44" fontId="27" fillId="10" borderId="0" xfId="2" applyFont="1" applyFill="1" applyBorder="1" applyAlignment="1">
      <alignment horizontal="right"/>
    </xf>
    <xf numFmtId="44" fontId="27" fillId="6" borderId="0" xfId="0" applyNumberFormat="1" applyFont="1" applyFill="1" applyAlignment="1">
      <alignment horizontal="right" wrapText="1"/>
    </xf>
    <xf numFmtId="44" fontId="27" fillId="10" borderId="0" xfId="0" applyNumberFormat="1" applyFont="1" applyFill="1" applyAlignment="1">
      <alignment horizontal="right" wrapText="1"/>
    </xf>
    <xf numFmtId="167" fontId="27" fillId="6" borderId="0" xfId="5" applyNumberFormat="1" applyFont="1" applyFill="1" applyBorder="1" applyAlignment="1">
      <alignment horizontal="right"/>
    </xf>
    <xf numFmtId="0" fontId="27" fillId="0" borderId="0" xfId="0" applyFont="1" applyAlignment="1">
      <alignment horizontal="left" vertical="top"/>
    </xf>
    <xf numFmtId="0" fontId="33" fillId="0" borderId="0" xfId="0" applyFont="1"/>
    <xf numFmtId="8" fontId="27" fillId="6" borderId="0" xfId="0" applyNumberFormat="1" applyFont="1" applyFill="1" applyAlignment="1">
      <alignment horizontal="right"/>
    </xf>
    <xf numFmtId="8" fontId="27" fillId="10" borderId="0" xfId="0" applyNumberFormat="1" applyFont="1" applyFill="1" applyAlignment="1">
      <alignment horizontal="right"/>
    </xf>
    <xf numFmtId="49" fontId="27" fillId="6" borderId="0" xfId="0" applyNumberFormat="1" applyFont="1" applyFill="1" applyAlignment="1">
      <alignment horizontal="right"/>
    </xf>
    <xf numFmtId="44" fontId="27" fillId="0" borderId="0" xfId="2" applyFont="1" applyBorder="1"/>
    <xf numFmtId="44" fontId="27" fillId="0" borderId="0" xfId="0" applyNumberFormat="1" applyFont="1" applyAlignment="1">
      <alignment horizontal="right"/>
    </xf>
    <xf numFmtId="0" fontId="34" fillId="0" borderId="0" xfId="0" applyFont="1" applyAlignment="1">
      <alignment horizontal="right" vertical="top" wrapText="1"/>
    </xf>
    <xf numFmtId="0" fontId="34" fillId="0" borderId="0" xfId="0" applyFont="1" applyAlignment="1">
      <alignment horizontal="left" vertical="top"/>
    </xf>
    <xf numFmtId="0" fontId="27" fillId="0" borderId="0" xfId="0" applyFont="1" applyAlignment="1">
      <alignment horizontal="right" wrapText="1"/>
    </xf>
    <xf numFmtId="8" fontId="27" fillId="0" borderId="0" xfId="0" applyNumberFormat="1" applyFont="1" applyAlignment="1">
      <alignment horizontal="right"/>
    </xf>
    <xf numFmtId="8" fontId="27" fillId="0" borderId="0" xfId="0" applyNumberFormat="1" applyFont="1"/>
    <xf numFmtId="175" fontId="27" fillId="0" borderId="0" xfId="5" applyNumberFormat="1" applyFont="1"/>
    <xf numFmtId="44" fontId="27" fillId="0" borderId="0" xfId="2" applyFont="1" applyFill="1"/>
    <xf numFmtId="8" fontId="27" fillId="0" borderId="0" xfId="0" applyNumberFormat="1" applyFont="1" applyAlignment="1">
      <alignment horizontal="center" wrapText="1"/>
    </xf>
    <xf numFmtId="0" fontId="35" fillId="0" borderId="0" xfId="0" applyFont="1" applyAlignment="1">
      <alignment horizontal="left" vertical="center"/>
    </xf>
    <xf numFmtId="44" fontId="35" fillId="0" borderId="0" xfId="2" applyFont="1" applyBorder="1" applyAlignment="1">
      <alignment horizontal="center" vertical="center"/>
    </xf>
    <xf numFmtId="14" fontId="0" fillId="0" borderId="0" xfId="0" applyNumberFormat="1"/>
    <xf numFmtId="0" fontId="36" fillId="0" borderId="0" xfId="0" applyFont="1"/>
    <xf numFmtId="0" fontId="37" fillId="0" borderId="0" xfId="0" applyFont="1"/>
    <xf numFmtId="0" fontId="38" fillId="0" borderId="0" xfId="6" applyFont="1"/>
    <xf numFmtId="10" fontId="38" fillId="0" borderId="0" xfId="5" applyNumberFormat="1" applyFont="1" applyAlignment="1">
      <alignment horizontal="left"/>
    </xf>
    <xf numFmtId="0" fontId="38" fillId="0" borderId="1" xfId="6" applyFont="1" applyBorder="1" applyAlignment="1">
      <alignment horizontal="center" vertical="center" wrapText="1"/>
    </xf>
    <xf numFmtId="10" fontId="38" fillId="0" borderId="1" xfId="5" applyNumberFormat="1" applyFont="1" applyBorder="1" applyAlignment="1">
      <alignment horizontal="left" vertical="center" wrapText="1"/>
    </xf>
    <xf numFmtId="0" fontId="38" fillId="0" borderId="1" xfId="6" applyFont="1" applyBorder="1"/>
    <xf numFmtId="10" fontId="38" fillId="0" borderId="1" xfId="5" applyNumberFormat="1" applyFont="1" applyBorder="1" applyAlignment="1">
      <alignment horizontal="left"/>
    </xf>
    <xf numFmtId="49" fontId="41" fillId="0" borderId="0" xfId="1" applyNumberFormat="1" applyFont="1"/>
    <xf numFmtId="176" fontId="41" fillId="0" borderId="0" xfId="5" applyNumberFormat="1" applyFont="1" applyFill="1"/>
    <xf numFmtId="0" fontId="42" fillId="0" borderId="0" xfId="1" applyFont="1"/>
    <xf numFmtId="176" fontId="41" fillId="0" borderId="45" xfId="5" applyNumberFormat="1" applyFont="1" applyFill="1" applyBorder="1" applyAlignment="1">
      <alignment vertical="top" wrapText="1"/>
    </xf>
    <xf numFmtId="0" fontId="11" fillId="0" borderId="0" xfId="1"/>
    <xf numFmtId="177" fontId="11" fillId="0" borderId="0" xfId="1" applyNumberFormat="1"/>
    <xf numFmtId="0" fontId="11" fillId="0" borderId="0" xfId="1" applyAlignment="1">
      <alignment horizontal="right"/>
    </xf>
    <xf numFmtId="0" fontId="11" fillId="0" borderId="0" xfId="1" applyAlignment="1">
      <alignment horizontal="left"/>
    </xf>
    <xf numFmtId="177" fontId="11" fillId="0" borderId="0" xfId="1" applyNumberFormat="1" applyAlignment="1">
      <alignment wrapText="1"/>
    </xf>
    <xf numFmtId="0" fontId="11" fillId="0" borderId="0" xfId="1" applyAlignment="1">
      <alignment horizontal="right" wrapText="1"/>
    </xf>
    <xf numFmtId="0" fontId="11" fillId="0" borderId="0" xfId="1" applyAlignment="1">
      <alignment horizontal="left" wrapText="1"/>
    </xf>
    <xf numFmtId="177" fontId="11" fillId="0" borderId="0" xfId="1" quotePrefix="1" applyNumberFormat="1"/>
    <xf numFmtId="44" fontId="11" fillId="0" borderId="1" xfId="2" applyFont="1" applyBorder="1"/>
    <xf numFmtId="166" fontId="11" fillId="0" borderId="1" xfId="4" applyNumberFormat="1" applyFont="1" applyBorder="1"/>
    <xf numFmtId="10" fontId="11" fillId="0" borderId="1" xfId="5" applyNumberFormat="1" applyFont="1" applyBorder="1"/>
    <xf numFmtId="10" fontId="11" fillId="0" borderId="1" xfId="5" applyNumberFormat="1" applyFont="1" applyBorder="1" applyAlignment="1">
      <alignment horizontal="left"/>
    </xf>
    <xf numFmtId="177" fontId="11" fillId="0" borderId="0" xfId="1" applyNumberFormat="1" applyAlignment="1">
      <alignment horizontal="left"/>
    </xf>
    <xf numFmtId="49" fontId="11" fillId="0" borderId="0" xfId="1" applyNumberFormat="1"/>
    <xf numFmtId="0" fontId="8" fillId="0" borderId="0" xfId="1" applyFont="1"/>
    <xf numFmtId="0" fontId="43" fillId="0" borderId="0" xfId="7" applyAlignment="1">
      <alignment horizontal="left" vertical="top" wrapText="1"/>
    </xf>
    <xf numFmtId="0" fontId="43" fillId="0" borderId="0" xfId="7" applyAlignment="1">
      <alignment horizontal="left" vertical="top"/>
    </xf>
    <xf numFmtId="0" fontId="44" fillId="0" borderId="0" xfId="7" applyFont="1" applyAlignment="1">
      <alignment horizontal="left" vertical="top" wrapText="1"/>
    </xf>
    <xf numFmtId="0" fontId="45" fillId="0" borderId="0" xfId="0" applyFont="1" applyAlignment="1">
      <alignment horizontal="left" vertical="top" wrapText="1"/>
    </xf>
    <xf numFmtId="0" fontId="44" fillId="0" borderId="0" xfId="0" applyFont="1" applyAlignment="1">
      <alignment vertical="center" wrapText="1"/>
    </xf>
    <xf numFmtId="0" fontId="8" fillId="0" borderId="0" xfId="7" applyFont="1" applyAlignment="1">
      <alignment horizontal="left" vertical="top"/>
    </xf>
    <xf numFmtId="0" fontId="38" fillId="0" borderId="0" xfId="8"/>
    <xf numFmtId="0" fontId="46" fillId="0" borderId="0" xfId="8" applyFont="1" applyAlignment="1">
      <alignment wrapText="1"/>
    </xf>
    <xf numFmtId="0" fontId="47" fillId="0" borderId="0" xfId="8" applyFont="1" applyAlignment="1">
      <alignment wrapText="1"/>
    </xf>
    <xf numFmtId="0" fontId="48" fillId="0" borderId="0" xfId="9" applyAlignment="1">
      <alignment wrapText="1"/>
    </xf>
    <xf numFmtId="0" fontId="8" fillId="0" borderId="0" xfId="8" applyFont="1"/>
    <xf numFmtId="0" fontId="11" fillId="2" borderId="0" xfId="0" applyFont="1" applyFill="1"/>
    <xf numFmtId="167" fontId="8" fillId="4" borderId="0" xfId="5" applyNumberFormat="1" applyFont="1" applyFill="1" applyBorder="1" applyProtection="1"/>
    <xf numFmtId="167" fontId="8" fillId="4" borderId="1" xfId="5" applyNumberFormat="1" applyFont="1" applyFill="1" applyBorder="1"/>
    <xf numFmtId="44" fontId="4" fillId="0" borderId="0" xfId="2" applyFont="1" applyBorder="1" applyAlignment="1" applyProtection="1"/>
    <xf numFmtId="0" fontId="3" fillId="0" borderId="11" xfId="0" applyFont="1" applyBorder="1"/>
    <xf numFmtId="0" fontId="8" fillId="3" borderId="1" xfId="0" applyFont="1" applyFill="1" applyBorder="1"/>
    <xf numFmtId="164" fontId="8" fillId="3" borderId="0" xfId="0" applyNumberFormat="1" applyFont="1" applyFill="1"/>
    <xf numFmtId="0" fontId="55" fillId="0" borderId="0" xfId="0" applyFont="1" applyAlignment="1">
      <alignment horizontal="center"/>
    </xf>
    <xf numFmtId="0" fontId="1" fillId="0" borderId="14" xfId="0" applyFont="1" applyBorder="1" applyAlignment="1">
      <alignment horizontal="center"/>
    </xf>
    <xf numFmtId="164" fontId="8" fillId="0" borderId="14" xfId="0" applyNumberFormat="1" applyFont="1" applyBorder="1" applyAlignment="1">
      <alignment horizontal="center"/>
    </xf>
    <xf numFmtId="0" fontId="29" fillId="0" borderId="11" xfId="0" applyFont="1" applyBorder="1"/>
    <xf numFmtId="0" fontId="29" fillId="0" borderId="0" xfId="0" applyFont="1"/>
    <xf numFmtId="0" fontId="4" fillId="0" borderId="14" xfId="0" applyFont="1" applyBorder="1" applyAlignment="1">
      <alignment horizontal="left" vertical="top" wrapText="1"/>
    </xf>
    <xf numFmtId="44" fontId="4" fillId="0" borderId="14" xfId="2" applyFont="1" applyBorder="1" applyProtection="1"/>
    <xf numFmtId="44" fontId="4" fillId="0" borderId="15" xfId="2" applyFont="1" applyBorder="1" applyProtection="1"/>
    <xf numFmtId="44" fontId="4" fillId="0" borderId="8" xfId="2" applyFont="1" applyBorder="1" applyAlignment="1" applyProtection="1"/>
    <xf numFmtId="0" fontId="4" fillId="0" borderId="8" xfId="0" applyFont="1" applyBorder="1" applyAlignment="1">
      <alignment horizontal="left" vertical="center" wrapText="1"/>
    </xf>
    <xf numFmtId="44" fontId="4" fillId="0" borderId="8" xfId="2" applyFont="1" applyBorder="1" applyProtection="1"/>
    <xf numFmtId="44" fontId="4" fillId="0" borderId="9" xfId="2" applyFont="1" applyBorder="1" applyProtection="1"/>
    <xf numFmtId="0" fontId="8" fillId="0" borderId="0" xfId="0" applyFont="1" applyAlignment="1">
      <alignment horizontal="center"/>
    </xf>
    <xf numFmtId="49" fontId="8" fillId="4" borderId="3" xfId="0" applyNumberFormat="1" applyFont="1" applyFill="1" applyBorder="1"/>
    <xf numFmtId="49" fontId="8" fillId="4" borderId="4" xfId="0" applyNumberFormat="1" applyFont="1" applyFill="1" applyBorder="1"/>
    <xf numFmtId="49" fontId="8" fillId="4" borderId="5" xfId="0" applyNumberFormat="1" applyFont="1" applyFill="1" applyBorder="1"/>
    <xf numFmtId="49" fontId="12" fillId="3" borderId="1" xfId="3" applyNumberFormat="1" applyFill="1" applyBorder="1" applyAlignment="1" applyProtection="1">
      <alignment wrapText="1"/>
      <protection locked="0"/>
    </xf>
    <xf numFmtId="49" fontId="1" fillId="3" borderId="1" xfId="0" applyNumberFormat="1" applyFont="1" applyFill="1" applyBorder="1" applyAlignment="1" applyProtection="1">
      <alignment wrapText="1"/>
      <protection locked="0"/>
    </xf>
    <xf numFmtId="0" fontId="1" fillId="4" borderId="1" xfId="0" applyFont="1" applyFill="1" applyBorder="1" applyAlignment="1" applyProtection="1">
      <alignment wrapText="1"/>
      <protection locked="0"/>
    </xf>
    <xf numFmtId="49" fontId="1" fillId="4" borderId="1" xfId="0" applyNumberFormat="1" applyFont="1" applyFill="1" applyBorder="1" applyProtection="1">
      <protection locked="0"/>
    </xf>
    <xf numFmtId="0" fontId="1" fillId="4" borderId="3" xfId="0" applyFont="1" applyFill="1" applyBorder="1" applyProtection="1">
      <protection locked="0"/>
    </xf>
    <xf numFmtId="0" fontId="1" fillId="4" borderId="4" xfId="0" applyFont="1" applyFill="1" applyBorder="1" applyProtection="1">
      <protection locked="0"/>
    </xf>
    <xf numFmtId="0" fontId="1" fillId="4" borderId="5" xfId="0" applyFont="1" applyFill="1" applyBorder="1" applyProtection="1">
      <protection locked="0"/>
    </xf>
    <xf numFmtId="49" fontId="1" fillId="4" borderId="3" xfId="0" applyNumberFormat="1" applyFont="1" applyFill="1" applyBorder="1" applyProtection="1">
      <protection locked="0"/>
    </xf>
    <xf numFmtId="49" fontId="1" fillId="4" borderId="4" xfId="0" applyNumberFormat="1" applyFont="1" applyFill="1" applyBorder="1" applyProtection="1">
      <protection locked="0"/>
    </xf>
    <xf numFmtId="49" fontId="1" fillId="4" borderId="5" xfId="0" applyNumberFormat="1" applyFont="1" applyFill="1" applyBorder="1" applyProtection="1">
      <protection locked="0"/>
    </xf>
    <xf numFmtId="0" fontId="2" fillId="0" borderId="0" xfId="0" applyFont="1" applyAlignment="1">
      <alignment horizontal="left" vertical="top" wrapText="1"/>
    </xf>
    <xf numFmtId="44" fontId="1" fillId="5" borderId="3" xfId="2" applyFont="1" applyFill="1" applyBorder="1" applyAlignment="1" applyProtection="1">
      <protection locked="0"/>
    </xf>
    <xf numFmtId="44" fontId="1" fillId="5" borderId="4" xfId="2" applyFont="1" applyFill="1" applyBorder="1" applyAlignment="1" applyProtection="1">
      <protection locked="0"/>
    </xf>
    <xf numFmtId="44" fontId="1" fillId="5" borderId="5" xfId="2" applyFont="1" applyFill="1" applyBorder="1" applyAlignment="1" applyProtection="1">
      <protection locked="0"/>
    </xf>
    <xf numFmtId="0" fontId="1" fillId="4" borderId="1" xfId="0" applyFont="1" applyFill="1" applyBorder="1" applyProtection="1">
      <protection locked="0"/>
    </xf>
    <xf numFmtId="0" fontId="1" fillId="0" borderId="0" xfId="0" applyFont="1"/>
    <xf numFmtId="0" fontId="1" fillId="5" borderId="1" xfId="0" applyFont="1" applyFill="1" applyBorder="1" applyAlignment="1" applyProtection="1">
      <alignment horizontal="left"/>
      <protection locked="0"/>
    </xf>
    <xf numFmtId="0" fontId="1" fillId="5" borderId="3" xfId="0" applyFont="1" applyFill="1" applyBorder="1" applyAlignment="1" applyProtection="1">
      <alignment horizontal="left"/>
      <protection locked="0"/>
    </xf>
    <xf numFmtId="0" fontId="1" fillId="5" borderId="4" xfId="0" applyFont="1" applyFill="1" applyBorder="1" applyAlignment="1" applyProtection="1">
      <alignment horizontal="left"/>
      <protection locked="0"/>
    </xf>
    <xf numFmtId="0" fontId="1" fillId="5" borderId="5" xfId="0" applyFont="1" applyFill="1" applyBorder="1" applyAlignment="1" applyProtection="1">
      <alignment horizontal="left"/>
      <protection locked="0"/>
    </xf>
    <xf numFmtId="44" fontId="9" fillId="0" borderId="0" xfId="2" applyFont="1" applyAlignment="1" applyProtection="1">
      <alignment horizontal="center" vertical="top"/>
    </xf>
    <xf numFmtId="49" fontId="1" fillId="4" borderId="3" xfId="2" applyNumberFormat="1" applyFont="1" applyFill="1" applyBorder="1" applyAlignment="1" applyProtection="1">
      <protection locked="0"/>
    </xf>
    <xf numFmtId="49" fontId="1" fillId="4" borderId="4" xfId="2" applyNumberFormat="1" applyFont="1" applyFill="1" applyBorder="1" applyAlignment="1" applyProtection="1">
      <protection locked="0"/>
    </xf>
    <xf numFmtId="49" fontId="1" fillId="4" borderId="5" xfId="2" applyNumberFormat="1" applyFont="1" applyFill="1" applyBorder="1" applyAlignment="1" applyProtection="1">
      <protection locked="0"/>
    </xf>
    <xf numFmtId="0" fontId="8" fillId="0" borderId="0" xfId="0" applyFont="1" applyAlignment="1">
      <alignment horizontal="left"/>
    </xf>
    <xf numFmtId="0" fontId="8" fillId="0" borderId="0" xfId="0" applyFont="1"/>
    <xf numFmtId="0" fontId="13" fillId="0" borderId="7" xfId="0" applyFont="1" applyBorder="1"/>
    <xf numFmtId="0" fontId="13" fillId="0" borderId="8" xfId="0" applyFont="1" applyBorder="1"/>
    <xf numFmtId="0" fontId="13" fillId="0" borderId="9" xfId="0" applyFont="1" applyBorder="1"/>
    <xf numFmtId="44" fontId="14" fillId="0" borderId="7" xfId="2" applyFont="1" applyBorder="1" applyAlignment="1" applyProtection="1">
      <alignment horizontal="center" vertical="top" wrapText="1"/>
    </xf>
    <xf numFmtId="44" fontId="14" fillId="0" borderId="8" xfId="2" applyFont="1" applyBorder="1" applyAlignment="1" applyProtection="1">
      <alignment horizontal="center" vertical="top" wrapText="1"/>
    </xf>
    <xf numFmtId="44" fontId="14" fillId="0" borderId="9" xfId="2" applyFont="1" applyBorder="1" applyAlignment="1" applyProtection="1">
      <alignment horizontal="center" vertical="top" wrapText="1"/>
    </xf>
    <xf numFmtId="44" fontId="14" fillId="0" borderId="10" xfId="2" applyFont="1" applyBorder="1" applyAlignment="1" applyProtection="1">
      <alignment horizontal="center" vertical="top" wrapText="1"/>
    </xf>
    <xf numFmtId="44" fontId="14" fillId="0" borderId="0" xfId="2" applyFont="1" applyBorder="1" applyAlignment="1" applyProtection="1">
      <alignment horizontal="center" vertical="top" wrapText="1"/>
    </xf>
    <xf numFmtId="44" fontId="14" fillId="0" borderId="11" xfId="2" applyFont="1" applyBorder="1" applyAlignment="1" applyProtection="1">
      <alignment horizontal="center" vertical="top" wrapText="1"/>
    </xf>
    <xf numFmtId="44" fontId="14" fillId="0" borderId="13" xfId="2" applyFont="1" applyBorder="1" applyAlignment="1" applyProtection="1">
      <alignment horizontal="center" vertical="top" wrapText="1"/>
    </xf>
    <xf numFmtId="44" fontId="14" fillId="0" borderId="14" xfId="2" applyFont="1" applyBorder="1" applyAlignment="1" applyProtection="1">
      <alignment horizontal="center" vertical="top" wrapText="1"/>
    </xf>
    <xf numFmtId="44" fontId="14" fillId="0" borderId="15" xfId="2" applyFont="1" applyBorder="1" applyAlignment="1" applyProtection="1">
      <alignment horizontal="center" vertical="top" wrapText="1"/>
    </xf>
    <xf numFmtId="0" fontId="8" fillId="4" borderId="1" xfId="0" applyFont="1" applyFill="1" applyBorder="1" applyAlignment="1" applyProtection="1">
      <alignment horizontal="left"/>
      <protection locked="0"/>
    </xf>
    <xf numFmtId="0" fontId="8" fillId="4" borderId="3" xfId="0" applyFont="1" applyFill="1" applyBorder="1" applyAlignment="1" applyProtection="1">
      <alignment horizontal="left"/>
      <protection locked="0"/>
    </xf>
    <xf numFmtId="0" fontId="8" fillId="4" borderId="4" xfId="0" applyFont="1" applyFill="1" applyBorder="1" applyAlignment="1" applyProtection="1">
      <alignment horizontal="left"/>
      <protection locked="0"/>
    </xf>
    <xf numFmtId="0" fontId="8" fillId="4" borderId="5" xfId="0" applyFont="1" applyFill="1" applyBorder="1" applyAlignment="1" applyProtection="1">
      <alignment horizontal="left"/>
      <protection locked="0"/>
    </xf>
    <xf numFmtId="0" fontId="19" fillId="0" borderId="14" xfId="0" applyFont="1" applyBorder="1" applyAlignment="1">
      <alignment horizontal="center"/>
    </xf>
    <xf numFmtId="0" fontId="19" fillId="0" borderId="15" xfId="0" applyFont="1" applyBorder="1" applyAlignment="1">
      <alignment horizontal="center"/>
    </xf>
    <xf numFmtId="0" fontId="22" fillId="0" borderId="14" xfId="0" applyFont="1" applyBorder="1" applyAlignment="1">
      <alignment horizontal="center"/>
    </xf>
    <xf numFmtId="0" fontId="22" fillId="0" borderId="15" xfId="0" applyFont="1" applyBorder="1" applyAlignment="1">
      <alignment horizontal="center"/>
    </xf>
    <xf numFmtId="0" fontId="19" fillId="0" borderId="13" xfId="0" applyFont="1" applyBorder="1" applyAlignment="1">
      <alignment horizontal="center"/>
    </xf>
    <xf numFmtId="0" fontId="3" fillId="0" borderId="0" xfId="0" applyFont="1" applyAlignment="1">
      <alignment horizontal="left"/>
    </xf>
    <xf numFmtId="0" fontId="3" fillId="0" borderId="11" xfId="0" applyFont="1" applyBorder="1" applyAlignment="1">
      <alignment horizontal="left"/>
    </xf>
    <xf numFmtId="0" fontId="3" fillId="0" borderId="0" xfId="0" applyFont="1" applyAlignment="1">
      <alignment vertical="top"/>
    </xf>
    <xf numFmtId="0" fontId="8" fillId="0" borderId="10" xfId="0" applyFont="1" applyBorder="1" applyAlignment="1">
      <alignment horizontal="left" vertical="top" wrapText="1"/>
    </xf>
    <xf numFmtId="0" fontId="8" fillId="0" borderId="0" xfId="0" applyFont="1" applyAlignment="1">
      <alignment horizontal="left" vertical="top" wrapText="1"/>
    </xf>
    <xf numFmtId="0" fontId="8" fillId="0" borderId="11" xfId="0" applyFont="1" applyBorder="1" applyAlignment="1">
      <alignment horizontal="left" vertical="top" wrapText="1"/>
    </xf>
    <xf numFmtId="7" fontId="4" fillId="21" borderId="8" xfId="0" applyNumberFormat="1" applyFont="1" applyFill="1" applyBorder="1" applyAlignment="1">
      <alignment horizontal="right"/>
    </xf>
    <xf numFmtId="7" fontId="4" fillId="21" borderId="14" xfId="0" applyNumberFormat="1" applyFont="1" applyFill="1" applyBorder="1" applyAlignment="1">
      <alignment horizontal="right"/>
    </xf>
    <xf numFmtId="0" fontId="4" fillId="21" borderId="8" xfId="0" applyFont="1" applyFill="1" applyBorder="1" applyAlignment="1">
      <alignment horizontal="right" wrapText="1"/>
    </xf>
    <xf numFmtId="0" fontId="4" fillId="21" borderId="14" xfId="0" applyFont="1" applyFill="1" applyBorder="1" applyAlignment="1">
      <alignment horizontal="right" wrapText="1"/>
    </xf>
    <xf numFmtId="0" fontId="4" fillId="21" borderId="9" xfId="0" applyFont="1" applyFill="1" applyBorder="1" applyAlignment="1">
      <alignment horizontal="right" wrapText="1"/>
    </xf>
    <xf numFmtId="0" fontId="4" fillId="21" borderId="15" xfId="0" applyFont="1" applyFill="1" applyBorder="1" applyAlignment="1">
      <alignment horizontal="right" wrapText="1"/>
    </xf>
    <xf numFmtId="0" fontId="4" fillId="0" borderId="8" xfId="0" applyFont="1" applyBorder="1" applyAlignment="1">
      <alignment horizontal="left" wrapText="1"/>
    </xf>
    <xf numFmtId="0" fontId="4" fillId="0" borderId="0" xfId="0" applyFont="1" applyAlignment="1">
      <alignment horizontal="left" wrapText="1"/>
    </xf>
    <xf numFmtId="0" fontId="4" fillId="0" borderId="0" xfId="0" applyFont="1"/>
    <xf numFmtId="0" fontId="4" fillId="0" borderId="0" xfId="0" applyFont="1" applyAlignment="1">
      <alignment horizontal="left" vertical="top" wrapText="1"/>
    </xf>
    <xf numFmtId="0" fontId="20" fillId="20" borderId="8" xfId="0" applyFont="1" applyFill="1" applyBorder="1" applyAlignment="1">
      <alignment horizontal="center" vertical="center"/>
    </xf>
    <xf numFmtId="0" fontId="20" fillId="20" borderId="9" xfId="0" applyFont="1" applyFill="1" applyBorder="1" applyAlignment="1">
      <alignment horizontal="center" vertical="center"/>
    </xf>
    <xf numFmtId="0" fontId="20" fillId="20" borderId="0" xfId="0" applyFont="1" applyFill="1" applyAlignment="1">
      <alignment horizontal="center" vertical="center"/>
    </xf>
    <xf numFmtId="0" fontId="20" fillId="20" borderId="11" xfId="0" applyFont="1" applyFill="1" applyBorder="1" applyAlignment="1">
      <alignment horizontal="center" vertical="center"/>
    </xf>
    <xf numFmtId="0" fontId="19" fillId="0" borderId="8" xfId="0" applyFont="1" applyBorder="1" applyAlignment="1">
      <alignment horizontal="center"/>
    </xf>
    <xf numFmtId="0" fontId="19" fillId="0" borderId="9" xfId="0" applyFont="1" applyBorder="1" applyAlignment="1">
      <alignment horizontal="center"/>
    </xf>
    <xf numFmtId="0" fontId="19" fillId="0" borderId="10" xfId="0" applyFont="1" applyBorder="1" applyAlignment="1">
      <alignment horizontal="center"/>
    </xf>
    <xf numFmtId="0" fontId="19" fillId="0" borderId="0" xfId="0" applyFont="1" applyAlignment="1">
      <alignment horizontal="center"/>
    </xf>
    <xf numFmtId="0" fontId="19" fillId="0" borderId="11" xfId="0" applyFont="1" applyBorder="1" applyAlignment="1">
      <alignment horizontal="center"/>
    </xf>
    <xf numFmtId="164" fontId="3" fillId="0" borderId="0" xfId="0" applyNumberFormat="1" applyFont="1" applyAlignment="1">
      <alignment horizontal="left"/>
    </xf>
    <xf numFmtId="164" fontId="3" fillId="0" borderId="11" xfId="0" applyNumberFormat="1" applyFont="1" applyBorder="1" applyAlignment="1">
      <alignment horizontal="left"/>
    </xf>
    <xf numFmtId="0" fontId="3" fillId="0" borderId="0" xfId="0" applyFont="1" applyAlignment="1">
      <alignment horizontal="left" wrapText="1"/>
    </xf>
    <xf numFmtId="0" fontId="3" fillId="0" borderId="0" xfId="0" applyFont="1"/>
    <xf numFmtId="7" fontId="3" fillId="0" borderId="0" xfId="0" applyNumberFormat="1" applyFont="1" applyAlignment="1">
      <alignment horizontal="left"/>
    </xf>
    <xf numFmtId="7" fontId="3" fillId="0" borderId="11" xfId="0" applyNumberFormat="1" applyFont="1" applyBorder="1" applyAlignment="1">
      <alignment horizontal="left"/>
    </xf>
    <xf numFmtId="0" fontId="21" fillId="20" borderId="10" xfId="0" applyFont="1" applyFill="1" applyBorder="1" applyAlignment="1">
      <alignment horizontal="center"/>
    </xf>
    <xf numFmtId="0" fontId="21" fillId="20" borderId="0" xfId="0" applyFont="1" applyFill="1" applyAlignment="1">
      <alignment horizontal="center"/>
    </xf>
    <xf numFmtId="0" fontId="21" fillId="20" borderId="11" xfId="0" applyFont="1" applyFill="1" applyBorder="1" applyAlignment="1">
      <alignment horizontal="center"/>
    </xf>
    <xf numFmtId="0" fontId="19" fillId="0" borderId="7" xfId="0" applyFont="1" applyBorder="1" applyAlignment="1">
      <alignment horizontal="center"/>
    </xf>
    <xf numFmtId="44" fontId="4" fillId="0" borderId="0" xfId="0" applyNumberFormat="1" applyFont="1" applyAlignment="1">
      <alignment horizontal="left" vertical="top" wrapText="1"/>
    </xf>
    <xf numFmtId="0" fontId="4" fillId="0" borderId="11" xfId="0" applyFont="1" applyBorder="1" applyAlignment="1">
      <alignment horizontal="left" vertical="top" wrapText="1"/>
    </xf>
    <xf numFmtId="0" fontId="24" fillId="0" borderId="23" xfId="0" applyFont="1" applyBorder="1" applyAlignment="1">
      <alignment horizontal="center"/>
    </xf>
    <xf numFmtId="0" fontId="24" fillId="0" borderId="24" xfId="0" applyFont="1" applyBorder="1" applyAlignment="1">
      <alignment horizontal="center"/>
    </xf>
    <xf numFmtId="171" fontId="25" fillId="0" borderId="8" xfId="0" applyNumberFormat="1" applyFont="1" applyBorder="1" applyAlignment="1">
      <alignment horizontal="center"/>
    </xf>
    <xf numFmtId="171" fontId="25" fillId="0" borderId="7" xfId="0" applyNumberFormat="1" applyFont="1" applyBorder="1" applyAlignment="1">
      <alignment horizontal="center"/>
    </xf>
    <xf numFmtId="171" fontId="25" fillId="0" borderId="9" xfId="0" applyNumberFormat="1" applyFont="1" applyBorder="1" applyAlignment="1">
      <alignment horizontal="center"/>
    </xf>
    <xf numFmtId="0" fontId="25" fillId="0" borderId="7" xfId="0" applyFont="1" applyBorder="1" applyAlignment="1">
      <alignment horizontal="center"/>
    </xf>
    <xf numFmtId="0" fontId="25" fillId="0" borderId="8" xfId="0" applyFont="1" applyBorder="1" applyAlignment="1">
      <alignment horizontal="center"/>
    </xf>
    <xf numFmtId="0" fontId="25" fillId="0" borderId="9" xfId="0" applyFont="1" applyBorder="1" applyAlignment="1">
      <alignment horizontal="center"/>
    </xf>
    <xf numFmtId="0" fontId="24" fillId="0" borderId="10" xfId="0" applyFont="1" applyBorder="1" applyAlignment="1">
      <alignment horizontal="center"/>
    </xf>
    <xf numFmtId="0" fontId="24" fillId="0" borderId="0" xfId="0" applyFont="1" applyAlignment="1">
      <alignment horizontal="center"/>
    </xf>
    <xf numFmtId="0" fontId="24" fillId="0" borderId="11" xfId="0" applyFont="1" applyBorder="1" applyAlignment="1">
      <alignment horizontal="center"/>
    </xf>
    <xf numFmtId="44" fontId="24" fillId="0" borderId="10" xfId="2" applyFont="1" applyBorder="1" applyAlignment="1">
      <alignment horizontal="center"/>
    </xf>
    <xf numFmtId="44" fontId="24" fillId="0" borderId="0" xfId="2" applyFont="1" applyBorder="1" applyAlignment="1">
      <alignment horizontal="center"/>
    </xf>
    <xf numFmtId="44" fontId="24" fillId="0" borderId="11" xfId="2" applyFont="1" applyBorder="1" applyAlignment="1">
      <alignment horizontal="center"/>
    </xf>
    <xf numFmtId="8" fontId="25" fillId="0" borderId="6" xfId="0" applyNumberFormat="1" applyFont="1" applyBorder="1" applyAlignment="1">
      <alignment horizontal="center"/>
    </xf>
    <xf numFmtId="8" fontId="25" fillId="0" borderId="4" xfId="0" applyNumberFormat="1" applyFont="1" applyBorder="1" applyAlignment="1">
      <alignment horizontal="center"/>
    </xf>
    <xf numFmtId="8" fontId="25" fillId="0" borderId="26" xfId="0" applyNumberFormat="1" applyFont="1" applyBorder="1" applyAlignment="1">
      <alignment horizontal="center"/>
    </xf>
    <xf numFmtId="44" fontId="25" fillId="0" borderId="6" xfId="0" applyNumberFormat="1" applyFont="1" applyBorder="1" applyAlignment="1">
      <alignment horizontal="center"/>
    </xf>
    <xf numFmtId="44" fontId="25" fillId="0" borderId="4" xfId="0" applyNumberFormat="1" applyFont="1" applyBorder="1" applyAlignment="1">
      <alignment horizontal="center"/>
    </xf>
    <xf numFmtId="44" fontId="25" fillId="0" borderId="26" xfId="0" applyNumberFormat="1" applyFont="1" applyBorder="1" applyAlignment="1">
      <alignment horizontal="center"/>
    </xf>
    <xf numFmtId="0" fontId="25" fillId="0" borderId="0" xfId="0" applyFont="1" applyAlignment="1">
      <alignment horizontal="center"/>
    </xf>
    <xf numFmtId="0" fontId="25" fillId="0" borderId="10" xfId="0" applyFont="1" applyBorder="1" applyAlignment="1">
      <alignment horizontal="center"/>
    </xf>
    <xf numFmtId="0" fontId="25" fillId="0" borderId="11" xfId="0" applyFont="1" applyBorder="1" applyAlignment="1">
      <alignment horizontal="center"/>
    </xf>
    <xf numFmtId="0" fontId="25" fillId="0" borderId="4" xfId="0" applyFont="1" applyBorder="1" applyAlignment="1">
      <alignment horizontal="center"/>
    </xf>
    <xf numFmtId="0" fontId="25" fillId="0" borderId="26" xfId="0" applyFont="1" applyBorder="1" applyAlignment="1">
      <alignment horizontal="center"/>
    </xf>
    <xf numFmtId="170" fontId="26" fillId="0" borderId="24" xfId="5" applyNumberFormat="1" applyFont="1" applyBorder="1" applyAlignment="1">
      <alignment horizontal="center" vertical="center"/>
    </xf>
    <xf numFmtId="0" fontId="26" fillId="0" borderId="13" xfId="0" applyFont="1" applyBorder="1" applyAlignment="1">
      <alignment horizontal="left" wrapText="1"/>
    </xf>
    <xf numFmtId="0" fontId="26" fillId="0" borderId="14" xfId="0" applyFont="1" applyBorder="1" applyAlignment="1">
      <alignment horizontal="left" wrapText="1"/>
    </xf>
    <xf numFmtId="170" fontId="26" fillId="0" borderId="14" xfId="5" applyNumberFormat="1" applyFont="1" applyBorder="1" applyAlignment="1">
      <alignment horizontal="center" vertical="center"/>
    </xf>
    <xf numFmtId="170" fontId="26" fillId="0" borderId="15" xfId="5" applyNumberFormat="1" applyFont="1" applyBorder="1" applyAlignment="1">
      <alignment horizontal="center" vertical="center"/>
    </xf>
    <xf numFmtId="170" fontId="26" fillId="0" borderId="23" xfId="5" applyNumberFormat="1" applyFont="1" applyBorder="1" applyAlignment="1">
      <alignment horizontal="center" vertical="center"/>
    </xf>
    <xf numFmtId="170" fontId="26" fillId="0" borderId="25" xfId="5" applyNumberFormat="1" applyFont="1" applyBorder="1" applyAlignment="1">
      <alignment horizontal="center" vertical="center"/>
    </xf>
    <xf numFmtId="0" fontId="4" fillId="0" borderId="8" xfId="0" applyFont="1" applyBorder="1" applyAlignment="1">
      <alignment horizontal="left" vertical="top" wrapText="1"/>
    </xf>
    <xf numFmtId="0" fontId="4" fillId="0" borderId="0" xfId="0" applyFont="1" applyAlignment="1">
      <alignment horizontal="center"/>
    </xf>
    <xf numFmtId="0" fontId="4" fillId="0" borderId="0" xfId="0" applyFont="1" applyAlignment="1">
      <alignment horizontal="left"/>
    </xf>
    <xf numFmtId="164" fontId="4" fillId="0" borderId="0" xfId="0" applyNumberFormat="1" applyFont="1" applyAlignment="1">
      <alignment horizontal="left"/>
    </xf>
    <xf numFmtId="0" fontId="4" fillId="0" borderId="10" xfId="0" applyFont="1" applyBorder="1" applyAlignment="1">
      <alignment vertical="top" wrapText="1"/>
    </xf>
    <xf numFmtId="0" fontId="4" fillId="0" borderId="0" xfId="0" applyFont="1" applyAlignment="1">
      <alignment vertical="top" wrapText="1"/>
    </xf>
    <xf numFmtId="7" fontId="4" fillId="0" borderId="10" xfId="0" applyNumberFormat="1" applyFont="1" applyBorder="1" applyAlignment="1">
      <alignment vertical="top" wrapText="1"/>
    </xf>
    <xf numFmtId="7" fontId="4" fillId="0" borderId="0" xfId="0" applyNumberFormat="1" applyFont="1" applyAlignment="1">
      <alignment vertical="top" wrapText="1"/>
    </xf>
    <xf numFmtId="7" fontId="4" fillId="0" borderId="10" xfId="0" applyNumberFormat="1" applyFont="1" applyBorder="1" applyAlignment="1">
      <alignment horizontal="left" vertical="top" wrapText="1"/>
    </xf>
    <xf numFmtId="7" fontId="4" fillId="0" borderId="0" xfId="0" applyNumberFormat="1" applyFont="1" applyAlignment="1">
      <alignment horizontal="left" vertical="top" wrapText="1"/>
    </xf>
    <xf numFmtId="0" fontId="4" fillId="0" borderId="10" xfId="0" applyFont="1" applyBorder="1" applyAlignment="1">
      <alignment wrapText="1"/>
    </xf>
    <xf numFmtId="0" fontId="4" fillId="0" borderId="0" xfId="0" applyFont="1" applyAlignment="1">
      <alignment wrapText="1"/>
    </xf>
    <xf numFmtId="0" fontId="27" fillId="0" borderId="14" xfId="0" applyFont="1" applyBorder="1" applyAlignment="1">
      <alignment horizontal="left"/>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7" fontId="4" fillId="0" borderId="7" xfId="0" applyNumberFormat="1" applyFont="1" applyBorder="1" applyAlignment="1">
      <alignment vertical="top" wrapText="1"/>
    </xf>
    <xf numFmtId="7" fontId="4" fillId="0" borderId="8" xfId="0" applyNumberFormat="1" applyFont="1" applyBorder="1" applyAlignment="1">
      <alignment vertical="top" wrapText="1"/>
    </xf>
    <xf numFmtId="0" fontId="4" fillId="0" borderId="10" xfId="0" applyFont="1" applyBorder="1" applyAlignment="1">
      <alignment horizontal="left" wrapText="1"/>
    </xf>
    <xf numFmtId="0" fontId="4" fillId="0" borderId="10" xfId="0" applyFont="1" applyBorder="1"/>
    <xf numFmtId="0" fontId="1" fillId="0" borderId="0" xfId="0" applyFont="1" applyAlignment="1">
      <alignment horizontal="left" vertical="top" wrapText="1"/>
    </xf>
    <xf numFmtId="7" fontId="4" fillId="0" borderId="10" xfId="0" applyNumberFormat="1" applyFont="1" applyBorder="1" applyAlignment="1">
      <alignment horizontal="left" wrapText="1"/>
    </xf>
    <xf numFmtId="7" fontId="4" fillId="0" borderId="0" xfId="0" applyNumberFormat="1" applyFont="1" applyAlignment="1">
      <alignment horizontal="left" wrapText="1"/>
    </xf>
    <xf numFmtId="170" fontId="2" fillId="0" borderId="23" xfId="0" applyNumberFormat="1" applyFont="1" applyBorder="1"/>
    <xf numFmtId="170" fontId="2" fillId="0" borderId="25" xfId="0" applyNumberFormat="1" applyFont="1" applyBorder="1"/>
    <xf numFmtId="44" fontId="2" fillId="0" borderId="23" xfId="2" quotePrefix="1" applyFont="1" applyFill="1" applyBorder="1" applyAlignment="1">
      <alignment horizontal="right"/>
    </xf>
    <xf numFmtId="44" fontId="2" fillId="0" borderId="24" xfId="2" quotePrefix="1" applyFont="1" applyFill="1" applyBorder="1" applyAlignment="1">
      <alignment horizontal="right"/>
    </xf>
    <xf numFmtId="7" fontId="4" fillId="0" borderId="10" xfId="0" applyNumberFormat="1" applyFont="1" applyBorder="1"/>
    <xf numFmtId="7" fontId="4" fillId="0" borderId="0" xfId="0" applyNumberFormat="1" applyFont="1"/>
    <xf numFmtId="49" fontId="4" fillId="0" borderId="0" xfId="0" applyNumberFormat="1" applyFont="1" applyAlignment="1">
      <alignment horizontal="left" vertical="top"/>
    </xf>
    <xf numFmtId="44" fontId="4" fillId="0" borderId="0" xfId="0" applyNumberFormat="1" applyFont="1" applyAlignment="1">
      <alignment horizontal="left" vertical="top"/>
    </xf>
    <xf numFmtId="0" fontId="4" fillId="0" borderId="0" xfId="0" applyFont="1" applyAlignment="1">
      <alignment horizontal="left" vertical="top"/>
    </xf>
    <xf numFmtId="49" fontId="4" fillId="0" borderId="14" xfId="0" applyNumberFormat="1" applyFont="1" applyBorder="1" applyAlignment="1">
      <alignment horizontal="left" vertical="top"/>
    </xf>
    <xf numFmtId="44" fontId="4" fillId="0" borderId="14" xfId="0" applyNumberFormat="1" applyFont="1" applyBorder="1" applyAlignment="1">
      <alignment horizontal="left" vertical="top"/>
    </xf>
    <xf numFmtId="49" fontId="26" fillId="22" borderId="8" xfId="0" applyNumberFormat="1" applyFont="1" applyFill="1" applyBorder="1" applyAlignment="1">
      <alignment horizontal="center"/>
    </xf>
    <xf numFmtId="7" fontId="4" fillId="22" borderId="0" xfId="0" applyNumberFormat="1" applyFont="1" applyFill="1" applyAlignment="1">
      <alignment horizontal="right" vertical="top" wrapText="1"/>
    </xf>
    <xf numFmtId="7" fontId="4" fillId="22" borderId="14" xfId="0" applyNumberFormat="1" applyFont="1" applyFill="1" applyBorder="1" applyAlignment="1">
      <alignment horizontal="right" vertical="top" wrapText="1"/>
    </xf>
    <xf numFmtId="49" fontId="4" fillId="22" borderId="0" xfId="0" applyNumberFormat="1" applyFont="1" applyFill="1" applyAlignment="1">
      <alignment horizontal="right" vertical="top" wrapText="1"/>
    </xf>
    <xf numFmtId="49" fontId="4" fillId="22" borderId="14" xfId="0" applyNumberFormat="1" applyFont="1" applyFill="1" applyBorder="1" applyAlignment="1">
      <alignment horizontal="right" vertical="top" wrapText="1"/>
    </xf>
    <xf numFmtId="0" fontId="4" fillId="22" borderId="11" xfId="0" applyFont="1" applyFill="1" applyBorder="1" applyAlignment="1">
      <alignment horizontal="right" vertical="top" wrapText="1"/>
    </xf>
    <xf numFmtId="0" fontId="4" fillId="22" borderId="15" xfId="0" applyFont="1" applyFill="1" applyBorder="1" applyAlignment="1">
      <alignment horizontal="right" vertical="top" wrapText="1"/>
    </xf>
    <xf numFmtId="0" fontId="26" fillId="0" borderId="8" xfId="0" applyFont="1" applyBorder="1" applyAlignment="1">
      <alignment horizontal="center"/>
    </xf>
    <xf numFmtId="0" fontId="13" fillId="0" borderId="0" xfId="0" applyFont="1" applyAlignment="1">
      <alignment horizontal="center"/>
    </xf>
    <xf numFmtId="0" fontId="13" fillId="0" borderId="14" xfId="0" applyFont="1" applyBorder="1" applyAlignment="1">
      <alignment horizontal="center"/>
    </xf>
    <xf numFmtId="7" fontId="4" fillId="0" borderId="8" xfId="0" applyNumberFormat="1" applyFont="1" applyBorder="1" applyAlignment="1">
      <alignment horizontal="left"/>
    </xf>
    <xf numFmtId="7" fontId="4" fillId="0" borderId="9" xfId="0" applyNumberFormat="1" applyFont="1" applyBorder="1" applyAlignment="1">
      <alignment horizontal="left"/>
    </xf>
    <xf numFmtId="0" fontId="4" fillId="0" borderId="11" xfId="0" applyFont="1" applyBorder="1" applyAlignment="1">
      <alignment horizontal="left"/>
    </xf>
    <xf numFmtId="164" fontId="4" fillId="0" borderId="11" xfId="0" applyNumberFormat="1" applyFont="1" applyBorder="1" applyAlignment="1">
      <alignment horizontal="left"/>
    </xf>
    <xf numFmtId="0" fontId="4" fillId="0" borderId="0" xfId="0" applyFont="1" applyAlignment="1">
      <alignment vertical="top"/>
    </xf>
    <xf numFmtId="169" fontId="4" fillId="0" borderId="0" xfId="0" applyNumberFormat="1" applyFont="1" applyAlignment="1">
      <alignment horizontal="left"/>
    </xf>
    <xf numFmtId="169" fontId="4" fillId="0" borderId="11" xfId="0" applyNumberFormat="1" applyFont="1" applyBorder="1" applyAlignment="1">
      <alignment horizontal="left"/>
    </xf>
    <xf numFmtId="0" fontId="4" fillId="22" borderId="8" xfId="0" applyFont="1" applyFill="1" applyBorder="1" applyAlignment="1">
      <alignment horizontal="right" wrapText="1"/>
    </xf>
    <xf numFmtId="0" fontId="4" fillId="22" borderId="14" xfId="0" applyFont="1" applyFill="1" applyBorder="1" applyAlignment="1">
      <alignment horizontal="right" wrapText="1"/>
    </xf>
    <xf numFmtId="7" fontId="4" fillId="22" borderId="8" xfId="0" applyNumberFormat="1" applyFont="1" applyFill="1" applyBorder="1" applyAlignment="1">
      <alignment horizontal="right"/>
    </xf>
    <xf numFmtId="7" fontId="4" fillId="22" borderId="14" xfId="0" applyNumberFormat="1" applyFont="1" applyFill="1" applyBorder="1" applyAlignment="1">
      <alignment horizontal="right"/>
    </xf>
    <xf numFmtId="0" fontId="4" fillId="22" borderId="9" xfId="0" applyFont="1" applyFill="1" applyBorder="1" applyAlignment="1">
      <alignment horizontal="right" wrapText="1"/>
    </xf>
    <xf numFmtId="0" fontId="4" fillId="22" borderId="15" xfId="0" applyFont="1" applyFill="1" applyBorder="1" applyAlignment="1">
      <alignment horizontal="right" wrapText="1"/>
    </xf>
    <xf numFmtId="0" fontId="4" fillId="0" borderId="14" xfId="0" applyFont="1" applyBorder="1" applyAlignment="1">
      <alignment horizontal="left"/>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7" xfId="0" applyFont="1" applyBorder="1" applyAlignment="1">
      <alignment horizontal="left" wrapText="1"/>
    </xf>
    <xf numFmtId="0" fontId="4" fillId="0" borderId="10" xfId="0" applyFont="1" applyBorder="1" applyAlignment="1">
      <alignment horizontal="left" vertical="top" wrapText="1"/>
    </xf>
    <xf numFmtId="0" fontId="4" fillId="0" borderId="10" xfId="0" applyFont="1" applyBorder="1" applyAlignment="1">
      <alignment vertical="top"/>
    </xf>
    <xf numFmtId="44" fontId="4" fillId="0" borderId="10" xfId="0" applyNumberFormat="1" applyFont="1" applyBorder="1" applyAlignment="1">
      <alignment horizontal="left" wrapText="1"/>
    </xf>
    <xf numFmtId="44" fontId="4" fillId="0" borderId="0" xfId="0" applyNumberFormat="1" applyFont="1" applyAlignment="1">
      <alignment horizontal="left" wrapText="1"/>
    </xf>
    <xf numFmtId="44" fontId="2" fillId="0" borderId="13" xfId="2" quotePrefix="1" applyFont="1" applyFill="1" applyBorder="1" applyAlignment="1">
      <alignment horizontal="right"/>
    </xf>
    <xf numFmtId="44" fontId="2" fillId="0" borderId="14" xfId="2" quotePrefix="1" applyFont="1" applyFill="1" applyBorder="1" applyAlignment="1">
      <alignment horizontal="right"/>
    </xf>
    <xf numFmtId="170" fontId="2" fillId="0" borderId="13" xfId="0" applyNumberFormat="1" applyFont="1" applyBorder="1"/>
    <xf numFmtId="170" fontId="2" fillId="0" borderId="15" xfId="0" applyNumberFormat="1" applyFont="1" applyBorder="1"/>
    <xf numFmtId="0" fontId="24" fillId="0" borderId="25" xfId="0" applyFont="1" applyBorder="1" applyAlignment="1">
      <alignment horizontal="center"/>
    </xf>
    <xf numFmtId="0" fontId="24" fillId="0" borderId="7" xfId="0" applyFont="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171" fontId="24" fillId="0" borderId="0" xfId="0" applyNumberFormat="1" applyFont="1" applyAlignment="1">
      <alignment horizontal="center"/>
    </xf>
    <xf numFmtId="171" fontId="24" fillId="0" borderId="11" xfId="0" applyNumberFormat="1" applyFont="1" applyBorder="1" applyAlignment="1">
      <alignment horizontal="center"/>
    </xf>
    <xf numFmtId="171" fontId="24" fillId="0" borderId="8" xfId="0" applyNumberFormat="1" applyFont="1" applyBorder="1" applyAlignment="1">
      <alignment horizontal="center"/>
    </xf>
    <xf numFmtId="171" fontId="24" fillId="0" borderId="7" xfId="0" applyNumberFormat="1" applyFont="1" applyBorder="1" applyAlignment="1">
      <alignment horizontal="center"/>
    </xf>
    <xf numFmtId="171" fontId="24" fillId="0" borderId="9" xfId="0" applyNumberFormat="1" applyFont="1" applyBorder="1" applyAlignment="1">
      <alignment horizontal="center"/>
    </xf>
    <xf numFmtId="167" fontId="24" fillId="0" borderId="10" xfId="0" applyNumberFormat="1" applyFont="1" applyBorder="1" applyAlignment="1">
      <alignment horizontal="center"/>
    </xf>
    <xf numFmtId="167" fontId="24" fillId="0" borderId="0" xfId="0" applyNumberFormat="1" applyFont="1" applyAlignment="1">
      <alignment horizontal="center"/>
    </xf>
    <xf numFmtId="167" fontId="24" fillId="0" borderId="11" xfId="0" applyNumberFormat="1" applyFont="1" applyBorder="1" applyAlignment="1">
      <alignment horizontal="center"/>
    </xf>
    <xf numFmtId="8" fontId="24" fillId="0" borderId="0" xfId="0" applyNumberFormat="1" applyFont="1" applyAlignment="1">
      <alignment horizontal="center"/>
    </xf>
    <xf numFmtId="8" fontId="24" fillId="0" borderId="11" xfId="0" applyNumberFormat="1" applyFont="1" applyBorder="1" applyAlignment="1">
      <alignment horizontal="center"/>
    </xf>
    <xf numFmtId="170" fontId="24" fillId="0" borderId="10" xfId="0" applyNumberFormat="1" applyFont="1" applyBorder="1" applyAlignment="1">
      <alignment horizontal="center"/>
    </xf>
    <xf numFmtId="170" fontId="24" fillId="0" borderId="0" xfId="0" applyNumberFormat="1" applyFont="1" applyAlignment="1">
      <alignment horizontal="center"/>
    </xf>
    <xf numFmtId="170" fontId="24" fillId="0" borderId="11" xfId="0" applyNumberFormat="1" applyFont="1" applyBorder="1" applyAlignment="1">
      <alignment horizontal="center"/>
    </xf>
    <xf numFmtId="1" fontId="24" fillId="0" borderId="0" xfId="4" applyNumberFormat="1" applyFont="1" applyBorder="1" applyAlignment="1">
      <alignment horizontal="center"/>
    </xf>
    <xf numFmtId="44" fontId="26" fillId="0" borderId="23" xfId="0" applyNumberFormat="1" applyFont="1" applyBorder="1" applyAlignment="1">
      <alignment horizontal="left" wrapText="1"/>
    </xf>
    <xf numFmtId="0" fontId="26" fillId="0" borderId="24" xfId="0" applyFont="1" applyBorder="1" applyAlignment="1">
      <alignment horizontal="left" wrapText="1"/>
    </xf>
    <xf numFmtId="170" fontId="24" fillId="0" borderId="24" xfId="5" applyNumberFormat="1" applyFont="1" applyFill="1" applyBorder="1" applyAlignment="1">
      <alignment horizontal="center" vertical="center"/>
    </xf>
    <xf numFmtId="0" fontId="3" fillId="0" borderId="8" xfId="0" applyFont="1" applyBorder="1" applyAlignment="1">
      <alignment horizontal="left"/>
    </xf>
    <xf numFmtId="0" fontId="3" fillId="0" borderId="9" xfId="0" applyFont="1" applyBorder="1" applyAlignment="1">
      <alignment horizontal="left"/>
    </xf>
    <xf numFmtId="0" fontId="55" fillId="0" borderId="10" xfId="0" applyFont="1" applyBorder="1" applyAlignment="1">
      <alignment horizontal="center"/>
    </xf>
    <xf numFmtId="0" fontId="55" fillId="0" borderId="0" xfId="0" applyFont="1" applyAlignment="1">
      <alignment horizontal="center"/>
    </xf>
    <xf numFmtId="0" fontId="55" fillId="0" borderId="11" xfId="0" applyFont="1" applyBorder="1" applyAlignment="1">
      <alignment horizontal="center"/>
    </xf>
    <xf numFmtId="0" fontId="13" fillId="0" borderId="15" xfId="0" applyFont="1" applyBorder="1" applyAlignment="1">
      <alignment horizontal="center"/>
    </xf>
    <xf numFmtId="0" fontId="4" fillId="0" borderId="8" xfId="0" applyFont="1" applyBorder="1" applyAlignment="1">
      <alignment horizontal="left"/>
    </xf>
    <xf numFmtId="0" fontId="4" fillId="0" borderId="9" xfId="0" applyFont="1" applyBorder="1" applyAlignment="1">
      <alignment horizontal="left"/>
    </xf>
    <xf numFmtId="0" fontId="55" fillId="0" borderId="13" xfId="0" applyFont="1" applyBorder="1" applyAlignment="1">
      <alignment horizontal="center"/>
    </xf>
    <xf numFmtId="0" fontId="55" fillId="0" borderId="14" xfId="0" applyFont="1" applyBorder="1" applyAlignment="1">
      <alignment horizontal="center"/>
    </xf>
    <xf numFmtId="0" fontId="55" fillId="0" borderId="15" xfId="0" applyFont="1" applyBorder="1" applyAlignment="1">
      <alignment horizontal="center"/>
    </xf>
    <xf numFmtId="0" fontId="26" fillId="0" borderId="9" xfId="0" applyFont="1" applyBorder="1" applyAlignment="1">
      <alignment horizontal="center"/>
    </xf>
    <xf numFmtId="0" fontId="26" fillId="0" borderId="0" xfId="0" applyFont="1" applyAlignment="1">
      <alignment horizontal="center"/>
    </xf>
    <xf numFmtId="0" fontId="13" fillId="0" borderId="11" xfId="0" applyFont="1" applyBorder="1" applyAlignment="1">
      <alignment horizontal="center"/>
    </xf>
    <xf numFmtId="0" fontId="55" fillId="0" borderId="7" xfId="0" applyFont="1" applyBorder="1" applyAlignment="1">
      <alignment horizontal="center"/>
    </xf>
    <xf numFmtId="0" fontId="55" fillId="0" borderId="8" xfId="0" applyFont="1" applyBorder="1" applyAlignment="1">
      <alignment horizontal="center"/>
    </xf>
    <xf numFmtId="0" fontId="55" fillId="0" borderId="9" xfId="0" applyFont="1" applyBorder="1" applyAlignment="1">
      <alignment horizontal="center"/>
    </xf>
    <xf numFmtId="0" fontId="6" fillId="21" borderId="7" xfId="0" applyFont="1" applyFill="1" applyBorder="1" applyAlignment="1">
      <alignment horizontal="center" wrapText="1"/>
    </xf>
    <xf numFmtId="0" fontId="6" fillId="21" borderId="8" xfId="0" applyFont="1" applyFill="1" applyBorder="1" applyAlignment="1">
      <alignment horizontal="center" wrapText="1"/>
    </xf>
    <xf numFmtId="0" fontId="6" fillId="21" borderId="9" xfId="0" applyFont="1" applyFill="1" applyBorder="1" applyAlignment="1">
      <alignment horizontal="center" wrapText="1"/>
    </xf>
    <xf numFmtId="0" fontId="6" fillId="21" borderId="13" xfId="0" applyFont="1" applyFill="1" applyBorder="1" applyAlignment="1">
      <alignment horizontal="center" wrapText="1"/>
    </xf>
    <xf numFmtId="0" fontId="6" fillId="21" borderId="14" xfId="0" applyFont="1" applyFill="1" applyBorder="1" applyAlignment="1">
      <alignment horizontal="center" wrapText="1"/>
    </xf>
    <xf numFmtId="0" fontId="6" fillId="21" borderId="15" xfId="0" applyFont="1" applyFill="1" applyBorder="1" applyAlignment="1">
      <alignment horizontal="center" wrapText="1"/>
    </xf>
    <xf numFmtId="0" fontId="26" fillId="21" borderId="23" xfId="0" applyFont="1" applyFill="1" applyBorder="1" applyAlignment="1">
      <alignment horizontal="center"/>
    </xf>
    <xf numFmtId="0" fontId="26" fillId="21" borderId="24" xfId="0" applyFont="1" applyFill="1" applyBorder="1" applyAlignment="1">
      <alignment horizontal="center"/>
    </xf>
    <xf numFmtId="0" fontId="26" fillId="21" borderId="25" xfId="0" applyFont="1" applyFill="1" applyBorder="1" applyAlignment="1">
      <alignment horizontal="center"/>
    </xf>
    <xf numFmtId="0" fontId="26" fillId="0" borderId="10" xfId="0" applyFont="1" applyBorder="1" applyAlignment="1">
      <alignment horizontal="right" wrapText="1"/>
    </xf>
    <xf numFmtId="0" fontId="26" fillId="0" borderId="0" xfId="0" applyFont="1" applyAlignment="1">
      <alignment horizontal="right" wrapText="1"/>
    </xf>
    <xf numFmtId="0" fontId="26" fillId="0" borderId="13" xfId="0" applyFont="1" applyBorder="1" applyAlignment="1">
      <alignment horizontal="right" wrapText="1"/>
    </xf>
    <xf numFmtId="0" fontId="26" fillId="0" borderId="14" xfId="0" applyFont="1" applyBorder="1" applyAlignment="1">
      <alignment horizontal="right" wrapText="1"/>
    </xf>
    <xf numFmtId="0" fontId="4" fillId="0" borderId="10" xfId="0" applyFont="1" applyBorder="1" applyAlignment="1">
      <alignment horizontal="right" wrapText="1"/>
    </xf>
    <xf numFmtId="0" fontId="4" fillId="0" borderId="0" xfId="0" applyFont="1" applyAlignment="1">
      <alignment horizontal="right" wrapText="1"/>
    </xf>
    <xf numFmtId="7" fontId="4" fillId="0" borderId="11" xfId="0" applyNumberFormat="1" applyFont="1" applyBorder="1" applyAlignment="1">
      <alignment horizontal="right" wrapText="1"/>
    </xf>
    <xf numFmtId="7" fontId="4" fillId="0" borderId="11" xfId="0" applyNumberFormat="1" applyFont="1" applyBorder="1" applyAlignment="1">
      <alignment horizontal="right"/>
    </xf>
    <xf numFmtId="7" fontId="26" fillId="0" borderId="10" xfId="0" applyNumberFormat="1" applyFont="1" applyBorder="1" applyAlignment="1">
      <alignment horizontal="left" wrapText="1"/>
    </xf>
    <xf numFmtId="7" fontId="26" fillId="0" borderId="0" xfId="0" applyNumberFormat="1" applyFont="1" applyAlignment="1">
      <alignment horizontal="left" wrapText="1"/>
    </xf>
    <xf numFmtId="7" fontId="26" fillId="0" borderId="11" xfId="0" applyNumberFormat="1" applyFont="1" applyBorder="1" applyAlignment="1">
      <alignment horizontal="left" wrapText="1"/>
    </xf>
    <xf numFmtId="0" fontId="1" fillId="0" borderId="8" xfId="0" applyFont="1" applyBorder="1" applyAlignment="1">
      <alignment horizontal="left" vertical="top" wrapText="1"/>
    </xf>
    <xf numFmtId="0" fontId="0" fillId="0" borderId="0" xfId="0" applyAlignment="1">
      <alignment horizontal="left" vertical="top" wrapText="1"/>
    </xf>
    <xf numFmtId="0" fontId="29" fillId="0" borderId="10" xfId="0" applyFont="1" applyBorder="1" applyAlignment="1">
      <alignment horizontal="center"/>
    </xf>
    <xf numFmtId="0" fontId="29" fillId="0" borderId="0" xfId="0" applyFont="1" applyAlignment="1">
      <alignment horizontal="center"/>
    </xf>
    <xf numFmtId="0" fontId="29" fillId="0" borderId="11" xfId="0" applyFont="1" applyBorder="1" applyAlignment="1">
      <alignment horizontal="center"/>
    </xf>
    <xf numFmtId="0" fontId="22" fillId="0" borderId="10" xfId="0" applyFont="1" applyBorder="1" applyAlignment="1">
      <alignment horizontal="center"/>
    </xf>
    <xf numFmtId="0" fontId="22" fillId="0" borderId="0" xfId="0" applyFont="1" applyAlignment="1">
      <alignment horizontal="center"/>
    </xf>
    <xf numFmtId="0" fontId="22" fillId="0" borderId="11" xfId="0" applyFont="1" applyBorder="1" applyAlignment="1">
      <alignment horizontal="center"/>
    </xf>
    <xf numFmtId="0" fontId="22" fillId="0" borderId="13" xfId="0" applyFont="1" applyBorder="1" applyAlignment="1">
      <alignment horizontal="center"/>
    </xf>
    <xf numFmtId="0" fontId="4" fillId="21" borderId="7" xfId="0" applyFont="1" applyFill="1" applyBorder="1" applyAlignment="1">
      <alignment horizontal="center" wrapText="1"/>
    </xf>
    <xf numFmtId="0" fontId="4" fillId="21" borderId="8" xfId="0" applyFont="1" applyFill="1" applyBorder="1" applyAlignment="1">
      <alignment horizontal="center" wrapText="1"/>
    </xf>
    <xf numFmtId="0" fontId="4" fillId="21" borderId="9" xfId="0" applyFont="1" applyFill="1" applyBorder="1" applyAlignment="1">
      <alignment horizontal="center" wrapText="1"/>
    </xf>
    <xf numFmtId="0" fontId="4" fillId="21" borderId="10" xfId="0" applyFont="1" applyFill="1" applyBorder="1" applyAlignment="1">
      <alignment horizontal="center" wrapText="1"/>
    </xf>
    <xf numFmtId="0" fontId="4" fillId="21" borderId="0" xfId="0" applyFont="1" applyFill="1" applyAlignment="1">
      <alignment horizontal="center" wrapText="1"/>
    </xf>
    <xf numFmtId="0" fontId="4" fillId="21" borderId="11" xfId="0" applyFont="1" applyFill="1" applyBorder="1" applyAlignment="1">
      <alignment horizontal="center" wrapText="1"/>
    </xf>
    <xf numFmtId="0" fontId="4" fillId="21" borderId="13" xfId="0" applyFont="1" applyFill="1" applyBorder="1" applyAlignment="1">
      <alignment horizontal="center" wrapText="1"/>
    </xf>
    <xf numFmtId="0" fontId="4" fillId="21" borderId="14" xfId="0" applyFont="1" applyFill="1" applyBorder="1" applyAlignment="1">
      <alignment horizontal="center" wrapText="1"/>
    </xf>
    <xf numFmtId="0" fontId="4" fillId="21" borderId="15" xfId="0" applyFont="1" applyFill="1" applyBorder="1" applyAlignment="1">
      <alignment horizontal="center" wrapText="1"/>
    </xf>
    <xf numFmtId="0" fontId="20" fillId="20" borderId="7" xfId="0" applyFont="1" applyFill="1" applyBorder="1" applyAlignment="1">
      <alignment horizontal="center" vertical="center"/>
    </xf>
    <xf numFmtId="0" fontId="20" fillId="20" borderId="10" xfId="0" applyFont="1" applyFill="1" applyBorder="1" applyAlignment="1">
      <alignment horizontal="center" vertical="center"/>
    </xf>
    <xf numFmtId="0" fontId="28" fillId="0" borderId="8" xfId="0" applyFont="1" applyBorder="1" applyAlignment="1">
      <alignment horizontal="center"/>
    </xf>
    <xf numFmtId="0" fontId="28" fillId="0" borderId="9" xfId="0" applyFont="1" applyBorder="1" applyAlignment="1">
      <alignment horizontal="center"/>
    </xf>
    <xf numFmtId="0" fontId="13" fillId="0" borderId="13" xfId="0" applyFont="1" applyBorder="1" applyAlignment="1">
      <alignment horizontal="center"/>
    </xf>
    <xf numFmtId="0" fontId="22" fillId="0" borderId="7" xfId="0" applyFont="1" applyBorder="1" applyAlignment="1">
      <alignment horizontal="center"/>
    </xf>
    <xf numFmtId="0" fontId="22" fillId="0" borderId="8" xfId="0" applyFont="1" applyBorder="1" applyAlignment="1">
      <alignment horizontal="center"/>
    </xf>
    <xf numFmtId="0" fontId="22" fillId="0" borderId="9" xfId="0" applyFont="1" applyBorder="1" applyAlignment="1">
      <alignment horizontal="center"/>
    </xf>
    <xf numFmtId="0" fontId="4" fillId="0" borderId="7" xfId="0" applyFont="1" applyBorder="1" applyAlignment="1">
      <alignment horizontal="left" vertical="top" wrapText="1"/>
    </xf>
    <xf numFmtId="0" fontId="4" fillId="0" borderId="9" xfId="0" applyFont="1" applyBorder="1" applyAlignment="1">
      <alignment horizontal="left" vertical="top" wrapText="1"/>
    </xf>
    <xf numFmtId="0" fontId="23" fillId="0" borderId="10" xfId="0" applyFont="1" applyBorder="1" applyAlignment="1">
      <alignment horizontal="left" vertical="top"/>
    </xf>
    <xf numFmtId="0" fontId="23" fillId="0" borderId="0" xfId="0" applyFont="1" applyAlignment="1">
      <alignment horizontal="left" vertical="top"/>
    </xf>
    <xf numFmtId="0" fontId="6" fillId="21" borderId="10" xfId="0" applyFont="1" applyFill="1" applyBorder="1" applyAlignment="1">
      <alignment horizontal="center" wrapText="1"/>
    </xf>
    <xf numFmtId="0" fontId="6" fillId="21" borderId="0" xfId="0" applyFont="1" applyFill="1" applyAlignment="1">
      <alignment horizontal="center" wrapText="1"/>
    </xf>
    <xf numFmtId="0" fontId="6" fillId="21" borderId="11" xfId="0" applyFont="1" applyFill="1" applyBorder="1" applyAlignment="1">
      <alignment horizontal="center" wrapText="1"/>
    </xf>
    <xf numFmtId="0" fontId="13" fillId="0" borderId="0" xfId="0" applyFont="1" applyAlignment="1">
      <alignment horizontal="center" vertical="center"/>
    </xf>
    <xf numFmtId="0" fontId="13" fillId="0" borderId="11" xfId="0" applyFont="1" applyBorder="1" applyAlignment="1">
      <alignment horizontal="center" vertical="center"/>
    </xf>
    <xf numFmtId="0" fontId="54" fillId="0" borderId="0" xfId="0" applyFont="1" applyAlignment="1">
      <alignment horizontal="center"/>
    </xf>
    <xf numFmtId="0" fontId="54" fillId="0" borderId="11" xfId="0" applyFont="1" applyBorder="1" applyAlignment="1">
      <alignment horizontal="center"/>
    </xf>
    <xf numFmtId="0" fontId="1" fillId="0" borderId="14" xfId="0" applyFont="1" applyBorder="1" applyAlignment="1">
      <alignment horizontal="center"/>
    </xf>
    <xf numFmtId="173" fontId="4" fillId="0" borderId="0" xfId="0" applyNumberFormat="1" applyFont="1" applyAlignment="1">
      <alignment horizontal="left"/>
    </xf>
    <xf numFmtId="0" fontId="8" fillId="0" borderId="10" xfId="0" applyFont="1" applyBorder="1" applyAlignment="1">
      <alignment horizontal="center"/>
    </xf>
    <xf numFmtId="0" fontId="8" fillId="0" borderId="11" xfId="0" applyFont="1" applyBorder="1" applyAlignment="1">
      <alignment horizontal="center"/>
    </xf>
    <xf numFmtId="0" fontId="29" fillId="0" borderId="7" xfId="0" applyFont="1" applyBorder="1" applyAlignment="1">
      <alignment horizontal="center"/>
    </xf>
    <xf numFmtId="0" fontId="29" fillId="0" borderId="8" xfId="0" applyFont="1" applyBorder="1" applyAlignment="1">
      <alignment horizontal="center"/>
    </xf>
    <xf numFmtId="0" fontId="29" fillId="0" borderId="9" xfId="0" applyFont="1" applyBorder="1" applyAlignment="1">
      <alignment horizontal="center"/>
    </xf>
    <xf numFmtId="0" fontId="10" fillId="0" borderId="23" xfId="0" applyFont="1" applyBorder="1" applyAlignment="1">
      <alignment horizontal="center" wrapText="1"/>
    </xf>
    <xf numFmtId="0" fontId="10" fillId="0" borderId="25" xfId="0" applyFont="1" applyBorder="1" applyAlignment="1">
      <alignment horizontal="center" wrapText="1"/>
    </xf>
    <xf numFmtId="0" fontId="10" fillId="0" borderId="24" xfId="0" applyFont="1" applyBorder="1" applyAlignment="1">
      <alignment horizont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174" fontId="18" fillId="24" borderId="33" xfId="0" applyNumberFormat="1" applyFont="1" applyFill="1" applyBorder="1" applyAlignment="1">
      <alignment horizontal="left" vertical="center"/>
    </xf>
    <xf numFmtId="44" fontId="8" fillId="0" borderId="8" xfId="2" applyFont="1" applyBorder="1" applyAlignment="1" applyProtection="1">
      <alignment horizontal="left" wrapText="1"/>
    </xf>
    <xf numFmtId="44" fontId="8" fillId="0" borderId="9" xfId="2" applyFont="1" applyBorder="1" applyAlignment="1" applyProtection="1">
      <alignment horizontal="left" wrapText="1"/>
    </xf>
    <xf numFmtId="44" fontId="8" fillId="0" borderId="0" xfId="2" applyFont="1" applyBorder="1" applyAlignment="1" applyProtection="1">
      <alignment horizontal="left" wrapText="1"/>
    </xf>
    <xf numFmtId="44" fontId="8" fillId="0" borderId="11" xfId="2" applyFont="1" applyBorder="1" applyAlignment="1" applyProtection="1">
      <alignment horizontal="left" wrapText="1"/>
    </xf>
    <xf numFmtId="0" fontId="8" fillId="0" borderId="10" xfId="0" applyFont="1" applyBorder="1" applyAlignment="1">
      <alignment horizontal="left" wrapText="1"/>
    </xf>
    <xf numFmtId="0" fontId="8" fillId="0" borderId="0" xfId="0" applyFont="1" applyAlignment="1">
      <alignment horizontal="left" wrapText="1"/>
    </xf>
    <xf numFmtId="0" fontId="8" fillId="0" borderId="7" xfId="0" applyFont="1" applyBorder="1" applyAlignment="1">
      <alignment horizontal="left" wrapText="1"/>
    </xf>
    <xf numFmtId="0" fontId="8" fillId="0" borderId="8" xfId="0" applyFont="1" applyBorder="1" applyAlignment="1">
      <alignment horizontal="left" wrapText="1"/>
    </xf>
    <xf numFmtId="0" fontId="3" fillId="0" borderId="7" xfId="0" applyFont="1" applyBorder="1"/>
    <xf numFmtId="0" fontId="3" fillId="0" borderId="9" xfId="0" applyFont="1" applyBorder="1"/>
    <xf numFmtId="44" fontId="3" fillId="0" borderId="7" xfId="2" applyFont="1" applyBorder="1" applyAlignment="1" applyProtection="1"/>
    <xf numFmtId="44" fontId="3" fillId="0" borderId="8" xfId="2" applyFont="1" applyBorder="1" applyAlignment="1" applyProtection="1"/>
    <xf numFmtId="44" fontId="3" fillId="0" borderId="9" xfId="2" applyFont="1" applyBorder="1" applyAlignment="1" applyProtection="1"/>
    <xf numFmtId="0" fontId="3" fillId="0" borderId="7" xfId="0" applyFont="1" applyBorder="1" applyAlignment="1">
      <alignment horizontal="left"/>
    </xf>
    <xf numFmtId="44" fontId="3" fillId="0" borderId="7" xfId="2" applyFont="1" applyBorder="1" applyAlignment="1" applyProtection="1">
      <alignment horizontal="left"/>
    </xf>
    <xf numFmtId="44" fontId="3" fillId="0" borderId="9" xfId="2" applyFont="1" applyBorder="1" applyAlignment="1" applyProtection="1">
      <alignment horizontal="left"/>
    </xf>
    <xf numFmtId="0" fontId="8" fillId="0" borderId="10" xfId="0" applyFont="1" applyBorder="1" applyAlignment="1">
      <alignment horizontal="left"/>
    </xf>
    <xf numFmtId="44" fontId="8" fillId="0" borderId="0" xfId="2" applyFont="1" applyBorder="1" applyAlignment="1" applyProtection="1">
      <alignment horizontal="left"/>
    </xf>
    <xf numFmtId="44" fontId="8" fillId="0" borderId="11" xfId="2" applyFont="1" applyBorder="1" applyAlignment="1" applyProtection="1">
      <alignment horizontal="left"/>
    </xf>
    <xf numFmtId="0" fontId="8" fillId="0" borderId="13" xfId="0" applyFont="1" applyBorder="1" applyAlignment="1">
      <alignment horizontal="left"/>
    </xf>
    <xf numFmtId="0" fontId="8" fillId="0" borderId="14" xfId="0" applyFont="1" applyBorder="1" applyAlignment="1">
      <alignment horizontal="left"/>
    </xf>
    <xf numFmtId="44" fontId="3" fillId="0" borderId="10" xfId="2" applyFont="1" applyBorder="1" applyAlignment="1" applyProtection="1">
      <alignment horizontal="left"/>
    </xf>
    <xf numFmtId="44" fontId="3" fillId="0" borderId="11" xfId="2" applyFont="1" applyBorder="1" applyAlignment="1" applyProtection="1">
      <alignment horizontal="left"/>
    </xf>
    <xf numFmtId="44" fontId="8" fillId="0" borderId="14" xfId="2" applyFont="1" applyBorder="1" applyAlignment="1" applyProtection="1">
      <alignment horizontal="left"/>
    </xf>
    <xf numFmtId="44" fontId="8" fillId="0" borderId="15" xfId="2" applyFont="1" applyBorder="1" applyAlignment="1" applyProtection="1">
      <alignment horizontal="left"/>
    </xf>
    <xf numFmtId="0" fontId="4" fillId="0" borderId="0" xfId="0" applyFont="1" applyAlignment="1">
      <alignment horizontal="left" vertical="center" wrapText="1"/>
    </xf>
    <xf numFmtId="0" fontId="7" fillId="0" borderId="0" xfId="0" applyFont="1"/>
    <xf numFmtId="44" fontId="3" fillId="0" borderId="10" xfId="2" applyFont="1" applyBorder="1" applyAlignment="1" applyProtection="1"/>
    <xf numFmtId="44" fontId="3" fillId="0" borderId="0" xfId="2" applyFont="1" applyBorder="1" applyAlignment="1" applyProtection="1"/>
    <xf numFmtId="44" fontId="3" fillId="0" borderId="11" xfId="2" applyFont="1" applyBorder="1" applyAlignment="1" applyProtection="1"/>
    <xf numFmtId="0" fontId="3" fillId="0" borderId="10" xfId="0" applyFont="1" applyBorder="1"/>
    <xf numFmtId="0" fontId="3" fillId="0" borderId="11" xfId="0" applyFont="1" applyBorder="1"/>
    <xf numFmtId="0" fontId="3" fillId="0" borderId="10" xfId="0" applyFont="1" applyBorder="1" applyAlignment="1">
      <alignment horizontal="left"/>
    </xf>
    <xf numFmtId="0" fontId="8" fillId="0" borderId="14" xfId="0" applyFont="1" applyBorder="1"/>
    <xf numFmtId="0" fontId="3" fillId="0" borderId="13" xfId="0" applyFont="1" applyBorder="1"/>
    <xf numFmtId="0" fontId="3" fillId="0" borderId="15" xfId="0" applyFont="1" applyBorder="1"/>
    <xf numFmtId="44" fontId="3" fillId="0" borderId="13" xfId="2" applyFont="1" applyBorder="1" applyAlignment="1" applyProtection="1">
      <alignment horizontal="left"/>
    </xf>
    <xf numFmtId="44" fontId="3" fillId="0" borderId="15" xfId="2" applyFont="1" applyBorder="1" applyAlignment="1" applyProtection="1">
      <alignment horizontal="left"/>
    </xf>
    <xf numFmtId="0" fontId="3" fillId="0" borderId="13" xfId="0" applyFont="1" applyBorder="1" applyAlignment="1">
      <alignment horizontal="left"/>
    </xf>
    <xf numFmtId="0" fontId="3" fillId="0" borderId="15" xfId="0" applyFont="1" applyBorder="1" applyAlignment="1">
      <alignment horizontal="left"/>
    </xf>
    <xf numFmtId="0" fontId="3" fillId="0" borderId="14" xfId="0" applyFont="1" applyBorder="1" applyAlignment="1">
      <alignment horizontal="left"/>
    </xf>
    <xf numFmtId="44" fontId="3" fillId="0" borderId="13" xfId="2" applyFont="1" applyBorder="1" applyAlignment="1" applyProtection="1"/>
    <xf numFmtId="44" fontId="3" fillId="0" borderId="14" xfId="2" applyFont="1" applyBorder="1" applyAlignment="1" applyProtection="1"/>
    <xf numFmtId="44" fontId="3" fillId="0" borderId="15" xfId="2" applyFont="1" applyBorder="1" applyAlignment="1" applyProtection="1"/>
    <xf numFmtId="0" fontId="13" fillId="0" borderId="32" xfId="0" applyFont="1" applyBorder="1" applyAlignment="1">
      <alignment horizontal="left" vertical="center"/>
    </xf>
    <xf numFmtId="44" fontId="4" fillId="0" borderId="0" xfId="2" applyFont="1" applyFill="1" applyBorder="1" applyAlignment="1" applyProtection="1"/>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170" fontId="4" fillId="0" borderId="13" xfId="0" applyNumberFormat="1" applyFont="1" applyBorder="1" applyAlignment="1">
      <alignment horizontal="center"/>
    </xf>
    <xf numFmtId="170" fontId="4" fillId="0" borderId="14" xfId="0" applyNumberFormat="1" applyFont="1" applyBorder="1" applyAlignment="1">
      <alignment horizontal="center"/>
    </xf>
    <xf numFmtId="170" fontId="4" fillId="0" borderId="15" xfId="0" applyNumberFormat="1" applyFont="1" applyBorder="1" applyAlignment="1">
      <alignment horizontal="center"/>
    </xf>
    <xf numFmtId="44" fontId="4" fillId="0" borderId="0" xfId="0" applyNumberFormat="1" applyFont="1" applyAlignment="1">
      <alignment vertical="top" wrapText="1"/>
    </xf>
    <xf numFmtId="44" fontId="4" fillId="0" borderId="0" xfId="2" applyFont="1" applyBorder="1" applyAlignment="1" applyProtection="1"/>
    <xf numFmtId="0" fontId="13" fillId="0" borderId="10" xfId="0" applyFont="1" applyBorder="1" applyAlignment="1">
      <alignment horizontal="center"/>
    </xf>
    <xf numFmtId="0" fontId="9" fillId="21" borderId="7" xfId="0" applyFont="1" applyFill="1" applyBorder="1" applyAlignment="1">
      <alignment horizontal="center" vertical="center"/>
    </xf>
    <xf numFmtId="0" fontId="9" fillId="21" borderId="8" xfId="0" applyFont="1" applyFill="1" applyBorder="1" applyAlignment="1">
      <alignment horizontal="center" vertical="center"/>
    </xf>
    <xf numFmtId="0" fontId="9" fillId="21" borderId="13" xfId="0" applyFont="1" applyFill="1" applyBorder="1" applyAlignment="1">
      <alignment horizontal="center" vertical="center"/>
    </xf>
    <xf numFmtId="0" fontId="9" fillId="21" borderId="14" xfId="0" applyFont="1" applyFill="1" applyBorder="1" applyAlignment="1">
      <alignment horizontal="center" vertical="center"/>
    </xf>
    <xf numFmtId="0" fontId="8" fillId="0" borderId="10" xfId="0" applyFont="1" applyBorder="1"/>
    <xf numFmtId="0" fontId="8" fillId="0" borderId="11" xfId="0" applyFont="1" applyBorder="1"/>
    <xf numFmtId="0" fontId="29" fillId="0" borderId="13" xfId="0" applyFont="1" applyBorder="1" applyAlignment="1">
      <alignment horizontal="center"/>
    </xf>
    <xf numFmtId="0" fontId="29" fillId="0" borderId="14" xfId="0" applyFont="1" applyBorder="1" applyAlignment="1">
      <alignment horizontal="center"/>
    </xf>
    <xf numFmtId="0" fontId="29" fillId="0" borderId="15" xfId="0" applyFont="1" applyBorder="1" applyAlignment="1">
      <alignment horizontal="center"/>
    </xf>
    <xf numFmtId="0" fontId="26" fillId="0" borderId="7" xfId="0" applyFont="1" applyBorder="1" applyAlignment="1">
      <alignment horizontal="center"/>
    </xf>
    <xf numFmtId="22" fontId="4" fillId="0" borderId="0" xfId="0" applyNumberFormat="1" applyFont="1"/>
    <xf numFmtId="171" fontId="4" fillId="0" borderId="7" xfId="0" applyNumberFormat="1" applyFont="1" applyBorder="1" applyAlignment="1">
      <alignment horizontal="center" vertical="center"/>
    </xf>
    <xf numFmtId="171" fontId="4" fillId="0" borderId="8" xfId="0" applyNumberFormat="1" applyFont="1" applyBorder="1" applyAlignment="1">
      <alignment horizontal="center" vertical="center"/>
    </xf>
    <xf numFmtId="171" fontId="4" fillId="0" borderId="9" xfId="0" applyNumberFormat="1" applyFont="1" applyBorder="1" applyAlignment="1">
      <alignment horizontal="center" vertical="center"/>
    </xf>
    <xf numFmtId="171" fontId="4" fillId="0" borderId="7" xfId="0" applyNumberFormat="1" applyFont="1" applyBorder="1" applyAlignment="1">
      <alignment horizontal="center"/>
    </xf>
    <xf numFmtId="171" fontId="4" fillId="0" borderId="8" xfId="0" applyNumberFormat="1" applyFont="1" applyBorder="1" applyAlignment="1">
      <alignment horizontal="center"/>
    </xf>
    <xf numFmtId="171" fontId="4" fillId="0" borderId="9" xfId="0" applyNumberFormat="1" applyFont="1" applyBorder="1" applyAlignment="1">
      <alignment horizontal="center"/>
    </xf>
    <xf numFmtId="10" fontId="4" fillId="0" borderId="13" xfId="0" applyNumberFormat="1" applyFont="1" applyBorder="1" applyAlignment="1">
      <alignment horizontal="center"/>
    </xf>
    <xf numFmtId="10" fontId="4" fillId="0" borderId="14" xfId="0" applyNumberFormat="1" applyFont="1" applyBorder="1" applyAlignment="1">
      <alignment horizontal="center"/>
    </xf>
    <xf numFmtId="10" fontId="4" fillId="0" borderId="15" xfId="0" applyNumberFormat="1" applyFont="1" applyBorder="1" applyAlignment="1">
      <alignment horizontal="center"/>
    </xf>
    <xf numFmtId="0" fontId="4" fillId="0" borderId="13" xfId="4" applyNumberFormat="1" applyFont="1" applyFill="1" applyBorder="1" applyAlignment="1" applyProtection="1">
      <alignment horizontal="center" vertical="center"/>
    </xf>
    <xf numFmtId="0" fontId="4" fillId="0" borderId="14" xfId="4" applyNumberFormat="1" applyFont="1" applyFill="1" applyBorder="1" applyAlignment="1" applyProtection="1">
      <alignment horizontal="center" vertical="center"/>
    </xf>
    <xf numFmtId="0" fontId="4" fillId="0" borderId="15" xfId="4" applyNumberFormat="1" applyFont="1" applyFill="1" applyBorder="1" applyAlignment="1" applyProtection="1">
      <alignment horizontal="center" vertical="center"/>
    </xf>
    <xf numFmtId="8" fontId="4" fillId="0" borderId="13" xfId="0" applyNumberFormat="1" applyFont="1" applyBorder="1" applyAlignment="1">
      <alignment horizontal="center"/>
    </xf>
    <xf numFmtId="8" fontId="4" fillId="0" borderId="14" xfId="0" applyNumberFormat="1" applyFont="1" applyBorder="1" applyAlignment="1">
      <alignment horizontal="center"/>
    </xf>
    <xf numFmtId="8" fontId="4" fillId="0" borderId="15" xfId="0" applyNumberFormat="1" applyFont="1" applyBorder="1" applyAlignment="1">
      <alignment horizontal="center"/>
    </xf>
    <xf numFmtId="44" fontId="4" fillId="0" borderId="8" xfId="2" applyFont="1" applyBorder="1" applyAlignment="1" applyProtection="1">
      <alignment horizontal="right"/>
    </xf>
    <xf numFmtId="0" fontId="4" fillId="0" borderId="7" xfId="0" applyFont="1" applyBorder="1"/>
    <xf numFmtId="0" fontId="4" fillId="0" borderId="8" xfId="0" applyFont="1" applyBorder="1"/>
    <xf numFmtId="44" fontId="4" fillId="0" borderId="0" xfId="2" applyFont="1" applyFill="1" applyBorder="1" applyAlignment="1" applyProtection="1">
      <alignment horizontal="right"/>
    </xf>
    <xf numFmtId="174" fontId="13" fillId="29" borderId="33" xfId="0" applyNumberFormat="1" applyFont="1" applyFill="1" applyBorder="1" applyAlignment="1">
      <alignment horizontal="left" vertical="center"/>
    </xf>
    <xf numFmtId="0" fontId="13" fillId="0" borderId="0" xfId="0" applyFont="1" applyAlignment="1">
      <alignment horizontal="left" vertical="center"/>
    </xf>
    <xf numFmtId="0" fontId="4" fillId="0" borderId="14" xfId="0" applyFont="1" applyBorder="1"/>
    <xf numFmtId="0" fontId="26" fillId="0" borderId="7" xfId="0" applyFont="1" applyBorder="1" applyAlignment="1">
      <alignment horizontal="left" wrapText="1"/>
    </xf>
    <xf numFmtId="0" fontId="26" fillId="0" borderId="9" xfId="0" applyFont="1" applyBorder="1" applyAlignment="1">
      <alignment horizontal="left" wrapText="1"/>
    </xf>
    <xf numFmtId="0" fontId="8" fillId="0" borderId="0" xfId="0" applyFont="1" applyAlignment="1">
      <alignment horizontal="left" vertical="top"/>
    </xf>
    <xf numFmtId="0" fontId="9" fillId="21" borderId="9" xfId="0" applyFont="1" applyFill="1" applyBorder="1" applyAlignment="1">
      <alignment horizontal="center" vertical="center"/>
    </xf>
    <xf numFmtId="0" fontId="9" fillId="21" borderId="15" xfId="0" applyFont="1" applyFill="1" applyBorder="1" applyAlignment="1">
      <alignment horizontal="center" vertical="center"/>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3" xfId="0" applyFont="1" applyBorder="1"/>
    <xf numFmtId="44" fontId="4" fillId="0" borderId="14" xfId="2" applyFont="1" applyBorder="1" applyAlignment="1" applyProtection="1"/>
    <xf numFmtId="0" fontId="4" fillId="0" borderId="14" xfId="0" applyFont="1" applyBorder="1" applyAlignment="1">
      <alignment horizontal="left" vertical="center" wrapText="1"/>
    </xf>
    <xf numFmtId="7" fontId="4" fillId="0" borderId="0" xfId="0" applyNumberFormat="1" applyFont="1" applyAlignment="1">
      <alignment wrapText="1"/>
    </xf>
    <xf numFmtId="170" fontId="4" fillId="0" borderId="0" xfId="2" applyNumberFormat="1" applyFont="1" applyFill="1" applyBorder="1" applyAlignment="1">
      <alignment wrapText="1"/>
    </xf>
    <xf numFmtId="170" fontId="4" fillId="0" borderId="14" xfId="2" applyNumberFormat="1" applyFont="1" applyFill="1" applyBorder="1" applyAlignment="1">
      <alignment wrapText="1"/>
    </xf>
    <xf numFmtId="44" fontId="4" fillId="0" borderId="0" xfId="2" applyFont="1" applyFill="1" applyBorder="1" applyAlignment="1">
      <alignment horizontal="left" wrapText="1"/>
    </xf>
    <xf numFmtId="164" fontId="4" fillId="0" borderId="0" xfId="0" applyNumberFormat="1" applyFont="1" applyAlignment="1">
      <alignment horizontal="left" wrapText="1"/>
    </xf>
    <xf numFmtId="44" fontId="4" fillId="0" borderId="0" xfId="2" applyFont="1" applyFill="1" applyBorder="1" applyAlignment="1">
      <alignment wrapText="1"/>
    </xf>
    <xf numFmtId="7" fontId="4" fillId="0" borderId="0" xfId="2" applyNumberFormat="1" applyFont="1" applyFill="1" applyBorder="1" applyAlignment="1">
      <alignment wrapText="1"/>
    </xf>
    <xf numFmtId="44" fontId="4" fillId="0" borderId="14" xfId="2" applyFont="1" applyFill="1" applyBorder="1" applyAlignment="1">
      <alignment wrapText="1"/>
    </xf>
    <xf numFmtId="7" fontId="4" fillId="0" borderId="14" xfId="2" applyNumberFormat="1" applyFont="1" applyFill="1" applyBorder="1" applyAlignment="1">
      <alignment wrapText="1"/>
    </xf>
    <xf numFmtId="164" fontId="4" fillId="0" borderId="0" xfId="0" applyNumberFormat="1" applyFont="1" applyAlignment="1">
      <alignment horizontal="center" wrapText="1"/>
    </xf>
    <xf numFmtId="0" fontId="4" fillId="0" borderId="0" xfId="2" applyNumberFormat="1" applyFont="1" applyFill="1" applyBorder="1" applyAlignment="1">
      <alignment wrapText="1"/>
    </xf>
    <xf numFmtId="0" fontId="4" fillId="0" borderId="0" xfId="2" applyNumberFormat="1" applyFont="1" applyFill="1" applyBorder="1" applyAlignment="1">
      <alignment horizontal="left" wrapText="1"/>
    </xf>
    <xf numFmtId="44" fontId="4" fillId="0" borderId="10" xfId="2" applyFont="1" applyFill="1" applyBorder="1" applyAlignment="1">
      <alignment horizontal="left" wrapText="1"/>
    </xf>
    <xf numFmtId="0" fontId="4" fillId="0" borderId="13" xfId="0" applyFont="1" applyBorder="1" applyAlignment="1">
      <alignment horizontal="left" wrapText="1"/>
    </xf>
    <xf numFmtId="0" fontId="4" fillId="0" borderId="14" xfId="0" applyFont="1" applyBorder="1" applyAlignment="1">
      <alignment horizontal="left" wrapText="1"/>
    </xf>
    <xf numFmtId="7" fontId="4" fillId="0" borderId="11" xfId="0" applyNumberFormat="1" applyFont="1" applyBorder="1" applyAlignment="1">
      <alignment horizontal="right" vertical="top" wrapText="1"/>
    </xf>
    <xf numFmtId="7" fontId="4" fillId="0" borderId="0" xfId="2" applyNumberFormat="1" applyFont="1" applyBorder="1" applyAlignment="1">
      <alignment horizontal="right"/>
    </xf>
    <xf numFmtId="7" fontId="4" fillId="0" borderId="11" xfId="2" applyNumberFormat="1" applyFont="1" applyBorder="1" applyAlignment="1">
      <alignment horizontal="right"/>
    </xf>
    <xf numFmtId="7" fontId="4" fillId="0" borderId="0" xfId="0" applyNumberFormat="1" applyFont="1" applyAlignment="1">
      <alignment horizontal="right"/>
    </xf>
    <xf numFmtId="7" fontId="26" fillId="0" borderId="14" xfId="0" applyNumberFormat="1" applyFont="1" applyBorder="1" applyAlignment="1">
      <alignment horizontal="right" wrapText="1"/>
    </xf>
    <xf numFmtId="7" fontId="26" fillId="0" borderId="15" xfId="0" applyNumberFormat="1" applyFont="1" applyBorder="1" applyAlignment="1">
      <alignment horizontal="right" wrapText="1"/>
    </xf>
    <xf numFmtId="7" fontId="4" fillId="0" borderId="8" xfId="0" applyNumberFormat="1" applyFont="1" applyBorder="1"/>
    <xf numFmtId="7" fontId="4" fillId="0" borderId="9" xfId="0" applyNumberFormat="1" applyFont="1" applyBorder="1"/>
    <xf numFmtId="0" fontId="27" fillId="6" borderId="0" xfId="0" applyFont="1" applyFill="1"/>
    <xf numFmtId="0" fontId="27" fillId="6" borderId="0" xfId="0" applyFont="1" applyFill="1" applyAlignment="1" applyProtection="1">
      <alignment horizontal="left"/>
      <protection locked="0"/>
    </xf>
    <xf numFmtId="169" fontId="27" fillId="0" borderId="0" xfId="0" applyNumberFormat="1" applyFont="1" applyAlignment="1">
      <alignment horizontal="left"/>
    </xf>
    <xf numFmtId="0" fontId="27" fillId="6" borderId="1" xfId="0" applyFont="1" applyFill="1" applyBorder="1" applyAlignment="1">
      <alignment horizontal="left" vertical="top" wrapText="1"/>
    </xf>
    <xf numFmtId="0" fontId="33" fillId="0" borderId="0" xfId="0" applyFont="1" applyAlignment="1">
      <alignment horizontal="left"/>
    </xf>
    <xf numFmtId="0" fontId="27" fillId="6" borderId="39" xfId="0" applyFont="1" applyFill="1" applyBorder="1" applyAlignment="1">
      <alignment horizontal="left" vertical="top" wrapText="1"/>
    </xf>
    <xf numFmtId="0" fontId="40" fillId="0" borderId="1" xfId="6" applyFont="1" applyBorder="1" applyAlignment="1">
      <alignment wrapText="1"/>
    </xf>
    <xf numFmtId="0" fontId="39" fillId="0" borderId="1" xfId="6" applyFont="1" applyBorder="1" applyAlignment="1">
      <alignment horizontal="center" vertical="center" wrapText="1"/>
    </xf>
    <xf numFmtId="0" fontId="38" fillId="0" borderId="1" xfId="6" applyFont="1" applyBorder="1" applyAlignment="1">
      <alignment horizontal="center" vertical="center" wrapText="1"/>
    </xf>
    <xf numFmtId="10" fontId="38" fillId="0" borderId="1" xfId="5" applyNumberFormat="1" applyFont="1" applyBorder="1" applyAlignment="1">
      <alignment horizontal="left" vertical="center" wrapText="1"/>
    </xf>
    <xf numFmtId="0" fontId="33" fillId="0" borderId="0" xfId="0" applyFont="1" applyAlignment="1">
      <alignment horizontal="center"/>
    </xf>
  </cellXfs>
  <cellStyles count="11">
    <cellStyle name="Comma" xfId="4" builtinId="3"/>
    <cellStyle name="Currency" xfId="2" builtinId="4"/>
    <cellStyle name="Hyperlink" xfId="3" builtinId="8"/>
    <cellStyle name="Hyperlink 2" xfId="9" xr:uid="{00000000-0005-0000-0000-000009000000}"/>
    <cellStyle name="Normal" xfId="0" builtinId="0"/>
    <cellStyle name="Normal 2" xfId="6" xr:uid="{00000000-0005-0000-0000-000006000000}"/>
    <cellStyle name="Normal 3" xfId="1" xr:uid="{00000000-0005-0000-0000-000001000000}"/>
    <cellStyle name="Normal 4" xfId="7" xr:uid="{00000000-0005-0000-0000-000007000000}"/>
    <cellStyle name="Normal 5" xfId="8" xr:uid="{00000000-0005-0000-0000-000008000000}"/>
    <cellStyle name="Percent" xfId="5" builtinId="5"/>
    <cellStyle name="Percent 2" xfId="10" xr:uid="{00000000-0005-0000-0000-00000A000000}"/>
  </cellStyles>
  <dxfs count="68">
    <dxf>
      <fill>
        <patternFill patternType="none">
          <bgColor auto="1"/>
        </patternFill>
      </fill>
      <border>
        <left style="thin">
          <color theme="0"/>
        </left>
        <right style="thin">
          <color theme="0"/>
        </right>
        <top style="thin">
          <color theme="0"/>
        </top>
        <bottom style="thin">
          <color theme="0"/>
        </bottom>
        <vertical/>
        <horizontal/>
      </border>
    </dxf>
    <dxf>
      <fill>
        <patternFill>
          <bgColor rgb="FFADADAD"/>
        </patternFill>
      </fill>
      <border>
        <left style="thin">
          <color theme="0"/>
        </left>
        <right style="thin">
          <color theme="0"/>
        </right>
        <top style="thin">
          <color theme="0"/>
        </top>
        <bottom style="thin">
          <color theme="0"/>
        </bottom>
        <vertical/>
        <horizontal/>
      </border>
    </dxf>
    <dxf>
      <fill>
        <patternFill>
          <bgColor theme="0"/>
        </patternFill>
      </fill>
      <border>
        <left style="thin">
          <color theme="0"/>
        </left>
        <right style="thin">
          <color theme="0"/>
        </right>
        <top style="thin">
          <color theme="0"/>
        </top>
        <bottom style="thin">
          <color theme="0"/>
        </bottom>
        <vertical/>
        <horizontal/>
      </border>
    </dxf>
    <dxf>
      <fill>
        <patternFill>
          <bgColor rgb="FFB5E6A2"/>
        </patternFill>
      </fill>
      <border>
        <left style="thin">
          <color theme="0"/>
        </left>
        <right style="thin">
          <color theme="0"/>
        </right>
        <top style="thin">
          <color theme="0"/>
        </top>
        <bottom style="thin">
          <color theme="0"/>
        </bottom>
        <vertical/>
        <horizontal/>
      </border>
    </dxf>
    <dxf>
      <fill>
        <patternFill>
          <bgColor theme="0"/>
        </patternFill>
      </fill>
      <border>
        <left style="thin">
          <color theme="0"/>
        </left>
        <right style="thin">
          <color theme="0"/>
        </right>
        <top style="thin">
          <color theme="0"/>
        </top>
        <bottom style="thin">
          <color theme="0"/>
        </bottom>
        <vertical/>
        <horizontal/>
      </border>
    </dxf>
    <dxf>
      <fill>
        <patternFill>
          <bgColor rgb="FFB5E6A2"/>
        </patternFill>
      </fill>
      <border>
        <left style="thin">
          <color theme="0"/>
        </left>
        <right style="thin">
          <color theme="0"/>
        </right>
        <top style="thin">
          <color theme="0"/>
        </top>
        <bottom style="thin">
          <color theme="0"/>
        </bottom>
        <vertical/>
        <horizontal/>
      </border>
    </dxf>
    <dxf>
      <fill>
        <patternFill>
          <bgColor theme="0"/>
        </patternFill>
      </fill>
      <border>
        <left style="thin">
          <color theme="0"/>
        </left>
        <right style="thin">
          <color theme="0"/>
        </right>
        <top style="thin">
          <color theme="0"/>
        </top>
        <bottom style="thin">
          <color theme="0"/>
        </bottom>
        <vertical/>
        <horizontal/>
      </border>
    </dxf>
    <dxf>
      <fill>
        <patternFill>
          <bgColor rgb="FFB5E6A2"/>
        </patternFill>
      </fill>
      <border>
        <left style="thin">
          <color theme="0"/>
        </left>
        <right style="thin">
          <color theme="0"/>
        </right>
        <top style="thin">
          <color theme="0"/>
        </top>
        <bottom style="thin">
          <color theme="0"/>
        </bottom>
        <vertical/>
        <horizontal/>
      </border>
    </dxf>
    <dxf>
      <fill>
        <patternFill>
          <bgColor theme="0"/>
        </patternFill>
      </fill>
      <border>
        <left style="thin">
          <color theme="0"/>
        </left>
        <right style="thin">
          <color theme="0"/>
        </right>
        <top style="thin">
          <color theme="0"/>
        </top>
        <bottom style="thin">
          <color theme="0"/>
        </bottom>
        <vertical/>
        <horizontal/>
      </border>
    </dxf>
    <dxf>
      <fill>
        <patternFill>
          <bgColor rgb="FFB5E6A2"/>
        </patternFill>
      </fill>
      <border>
        <left style="thin">
          <color theme="0"/>
        </left>
        <right style="thin">
          <color theme="0"/>
        </right>
        <top style="thin">
          <color theme="0"/>
        </top>
        <bottom style="thin">
          <color theme="0"/>
        </bottom>
        <vertical/>
        <horizontal/>
      </border>
    </dxf>
    <dxf>
      <fill>
        <patternFill>
          <bgColor theme="0"/>
        </patternFill>
      </fill>
      <border>
        <left style="thin">
          <color theme="0"/>
        </left>
        <right style="thin">
          <color theme="0"/>
        </right>
        <top style="thin">
          <color theme="0"/>
        </top>
        <bottom style="thin">
          <color theme="0"/>
        </bottom>
        <vertical/>
        <horizontal/>
      </border>
    </dxf>
    <dxf>
      <fill>
        <patternFill>
          <bgColor rgb="FFADADAD"/>
        </patternFill>
      </fill>
      <border>
        <left style="thin">
          <color theme="0"/>
        </left>
        <right style="thin">
          <color theme="0"/>
        </right>
        <top style="thin">
          <color theme="0"/>
        </top>
        <bottom style="thin">
          <color theme="0"/>
        </bottom>
        <vertical/>
        <horizontal/>
      </border>
    </dxf>
    <dxf>
      <fill>
        <patternFill>
          <bgColor rgb="FFE97132"/>
        </patternFill>
      </fill>
      <border>
        <left style="thin">
          <color theme="0"/>
        </left>
        <right style="thin">
          <color theme="0"/>
        </right>
        <top style="thin">
          <color theme="0"/>
        </top>
        <bottom style="thin">
          <color theme="0"/>
        </bottom>
        <vertical/>
        <horizontal/>
      </border>
    </dxf>
    <dxf>
      <fill>
        <patternFill>
          <bgColor theme="0"/>
        </patternFill>
      </fill>
      <border>
        <left style="thin">
          <color theme="0"/>
        </left>
        <right style="thin">
          <color theme="0"/>
        </right>
        <top style="thin">
          <color theme="0"/>
        </top>
        <bottom style="thin">
          <color theme="0"/>
        </bottom>
        <vertical/>
        <horizontal/>
      </border>
    </dxf>
    <dxf>
      <fill>
        <patternFill>
          <bgColor rgb="FF3C7D22"/>
        </patternFill>
      </fill>
      <border>
        <left style="thin">
          <color theme="0"/>
        </left>
        <right style="thin">
          <color theme="0"/>
        </right>
        <top style="thin">
          <color theme="0"/>
        </top>
        <bottom style="thin">
          <color theme="0"/>
        </bottom>
        <vertical/>
        <horizontal/>
      </border>
    </dxf>
    <dxf>
      <fill>
        <patternFill>
          <bgColor rgb="FF3C7D22"/>
        </patternFill>
      </fill>
      <border>
        <left style="thin">
          <color theme="0"/>
        </left>
        <right style="thin">
          <color theme="0"/>
        </right>
        <top style="thin">
          <color theme="0"/>
        </top>
        <bottom style="thin">
          <color theme="0"/>
        </bottom>
        <vertical/>
        <horizontal/>
      </border>
    </dxf>
    <dxf>
      <fill>
        <patternFill>
          <bgColor theme="0"/>
        </patternFill>
      </fill>
      <border>
        <left style="thin">
          <color theme="0"/>
        </left>
        <right style="thin">
          <color theme="0"/>
        </right>
        <top style="thin">
          <color theme="0"/>
        </top>
        <bottom style="thin">
          <color theme="0"/>
        </bottom>
        <vertical/>
        <horizontal/>
      </border>
    </dxf>
    <dxf>
      <fill>
        <patternFill>
          <bgColor rgb="FF3C7D22"/>
        </patternFill>
      </fill>
      <border>
        <left style="thin">
          <color theme="0"/>
        </left>
        <right style="thin">
          <color theme="0"/>
        </right>
        <top style="thin">
          <color theme="0"/>
        </top>
        <bottom style="thin">
          <color theme="0"/>
        </bottom>
        <vertical/>
        <horizontal/>
      </border>
    </dxf>
    <dxf>
      <fill>
        <patternFill>
          <bgColor theme="0"/>
        </patternFill>
      </fill>
      <border>
        <left style="thin">
          <color theme="0"/>
        </left>
        <right style="thin">
          <color theme="0"/>
        </right>
        <top style="thin">
          <color theme="0"/>
        </top>
        <bottom style="thin">
          <color theme="0"/>
        </bottom>
        <vertical/>
        <horizontal/>
      </border>
    </dxf>
    <dxf>
      <fill>
        <patternFill>
          <bgColor rgb="FF156082"/>
        </patternFill>
      </fill>
      <border>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4"/>
        <color theme="1"/>
        <name val="Aptos Narrow"/>
        <family val="2"/>
        <scheme val="minor"/>
      </font>
      <border diagonalUp="0" diagonalDown="0">
        <left/>
        <right/>
        <top/>
        <bottom/>
      </border>
    </dxf>
    <dxf>
      <font>
        <b val="0"/>
        <i val="0"/>
        <strike val="0"/>
        <condense val="0"/>
        <extend val="0"/>
        <outline val="0"/>
        <shadow val="0"/>
        <u val="none"/>
        <vertAlign val="baseline"/>
        <sz val="14"/>
        <color theme="1"/>
        <name val="Arial"/>
        <family val="2"/>
        <scheme val="none"/>
      </font>
      <protection locked="1" hidden="0"/>
    </dxf>
    <dxf>
      <font>
        <b val="0"/>
        <i val="0"/>
        <strike val="0"/>
        <condense val="0"/>
        <extend val="0"/>
        <outline val="0"/>
        <shadow val="0"/>
        <u val="none"/>
        <vertAlign val="baseline"/>
        <sz val="14"/>
        <color theme="1"/>
        <name val="Aptos Narrow"/>
        <family val="2"/>
        <scheme val="minor"/>
      </font>
      <border diagonalUp="0" diagonalDown="0">
        <left/>
        <right/>
        <top/>
        <bottom/>
      </border>
    </dxf>
    <dxf>
      <font>
        <b val="0"/>
        <i val="0"/>
        <strike val="0"/>
        <condense val="0"/>
        <extend val="0"/>
        <outline val="0"/>
        <shadow val="0"/>
        <u val="none"/>
        <vertAlign val="baseline"/>
        <sz val="14"/>
        <color theme="1"/>
        <name val="Arial"/>
        <family val="2"/>
        <scheme val="none"/>
      </font>
      <numFmt numFmtId="0" formatCode="General"/>
      <border diagonalUp="0" diagonalDown="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fill>
        <patternFill patternType="solid">
          <fgColor theme="4" tint="0.79995117038483843"/>
          <bgColor theme="4" tint="0.79995117038483843"/>
        </patternFill>
      </fill>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border diagonalUp="0" diagonalDown="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fill>
        <patternFill patternType="solid">
          <fgColor theme="4" tint="0.79995117038483843"/>
          <bgColor theme="4" tint="0.79995117038483843"/>
        </patternFill>
      </fill>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border diagonalUp="0" diagonalDown="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fill>
        <patternFill patternType="solid">
          <fgColor theme="4" tint="0.79995117038483843"/>
          <bgColor theme="4" tint="0.79995117038483843"/>
        </patternFill>
      </fill>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border diagonalUp="0" diagonalDown="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fill>
        <patternFill patternType="solid">
          <fgColor theme="4" tint="0.79995117038483843"/>
          <bgColor theme="4" tint="0.79995117038483843"/>
        </patternFill>
      </fill>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border diagonalUp="0" diagonalDown="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fill>
        <patternFill patternType="solid">
          <fgColor theme="4" tint="0.79995117038483843"/>
          <bgColor theme="4" tint="0.79995117038483843"/>
        </patternFill>
      </fill>
      <border diagonalUp="0" diagonalDown="0" outline="0">
        <left/>
        <right/>
        <top style="thin">
          <color theme="4" tint="0.39994506668294322"/>
        </top>
        <bottom/>
      </border>
      <protection locked="1" hidden="0"/>
    </dxf>
    <dxf>
      <font>
        <b val="0"/>
        <i val="0"/>
        <strike val="0"/>
        <condense val="0"/>
        <extend val="0"/>
        <outline val="0"/>
        <shadow val="0"/>
        <u val="none"/>
        <vertAlign val="baseline"/>
        <sz val="14"/>
        <color theme="1"/>
        <name val="Aptos Narrow"/>
        <family val="2"/>
        <scheme val="minor"/>
      </font>
      <border diagonalUp="0" diagonalDown="0" outline="0">
        <left/>
        <right/>
        <top/>
        <bottom/>
      </border>
    </dxf>
    <dxf>
      <font>
        <b val="0"/>
        <i val="0"/>
        <strike val="0"/>
        <condense val="0"/>
        <extend val="0"/>
        <outline val="0"/>
        <shadow val="0"/>
        <u val="none"/>
        <vertAlign val="baseline"/>
        <sz val="14"/>
        <color theme="1"/>
        <name val="Arial"/>
        <family val="2"/>
        <scheme val="none"/>
      </font>
      <numFmt numFmtId="0" formatCode="General"/>
      <border diagonalUp="0" diagonalDown="0">
        <left/>
        <right/>
        <top style="thin">
          <color theme="4" tint="0.39994506668294322"/>
        </top>
        <bottom/>
      </border>
      <protection locked="1" hidden="0"/>
    </dxf>
    <dxf>
      <font>
        <strike val="0"/>
        <outline val="0"/>
        <shadow val="0"/>
        <u val="none"/>
        <vertAlign val="baseline"/>
        <name val="Arial"/>
        <family val="2"/>
        <scheme val="none"/>
      </font>
      <protection locked="1" hidden="0"/>
    </dxf>
    <dxf>
      <border outline="0">
        <left style="thin">
          <color theme="4" tint="0.39994506668294322"/>
        </left>
        <top style="thin">
          <color theme="4" tint="0.39994506668294322"/>
        </top>
        <bottom style="thin">
          <color theme="4" tint="0.39994506668294322"/>
        </bottom>
      </border>
    </dxf>
    <dxf>
      <font>
        <b val="0"/>
        <i val="0"/>
        <strike val="0"/>
        <condense val="0"/>
        <extend val="0"/>
        <outline val="0"/>
        <shadow val="0"/>
        <u val="none"/>
        <vertAlign val="baseline"/>
        <sz val="14"/>
        <color theme="1"/>
        <name val="Arial"/>
        <family val="2"/>
        <scheme val="none"/>
      </font>
      <protection locked="1" hidden="0"/>
    </dxf>
    <dxf>
      <font>
        <b/>
        <i val="0"/>
        <strike val="0"/>
        <condense val="0"/>
        <extend val="0"/>
        <outline val="0"/>
        <shadow val="0"/>
        <u val="none"/>
        <vertAlign val="baseline"/>
        <sz val="14"/>
        <color theme="0"/>
        <name val="Arial"/>
        <family val="2"/>
        <scheme val="none"/>
      </font>
      <fill>
        <patternFill patternType="solid">
          <fgColor theme="4"/>
          <bgColor theme="4"/>
        </patternFill>
      </fill>
      <alignment horizontal="right" vertical="bottom" textRotation="0" wrapText="1" indent="0" justifyLastLine="0" shrinkToFit="0" readingOrder="0"/>
      <protection locked="1" hidden="0"/>
    </dxf>
  </dxfs>
  <tableStyles count="0" defaultTableStyle="TableStyleMedium2" defaultPivotStyle="PivotStyleLight16"/>
  <colors>
    <mruColors>
      <color rgb="FFADADAD"/>
      <color rgb="FFE97132"/>
      <color rgb="FF3C7D22"/>
      <color rgb="FF156082"/>
      <color rgb="FFB5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6723380" cy="0"/>
    <xdr:sp macro="" textlink="">
      <xdr:nvSpPr>
        <xdr:cNvPr id="2" name="Shape 2">
          <a:extLst>
            <a:ext uri="{FF2B5EF4-FFF2-40B4-BE49-F238E27FC236}">
              <a16:creationId xmlns:a16="http://schemas.microsoft.com/office/drawing/2014/main" id="{00000000-0008-0000-1D00-000002000000}"/>
            </a:ext>
          </a:extLst>
        </xdr:cNvPr>
        <xdr:cNvSpPr/>
      </xdr:nvSpPr>
      <xdr:spPr>
        <a:xfrm>
          <a:off x="1651000" y="0"/>
          <a:ext cx="6723380" cy="0"/>
        </a:xfrm>
        <a:custGeom>
          <a:avLst/>
          <a:gdLst/>
          <a:ahLst/>
          <a:cxnLst/>
          <a:rect l="0" t="0" r="0" b="0"/>
          <a:pathLst>
            <a:path w="6723380">
              <a:moveTo>
                <a:pt x="0" y="0"/>
              </a:moveTo>
              <a:lnTo>
                <a:pt x="6723176" y="0"/>
              </a:lnTo>
            </a:path>
          </a:pathLst>
        </a:custGeom>
        <a:ln w="4445">
          <a:solidFill>
            <a:srgbClr val="000000"/>
          </a:solidFill>
        </a:ln>
      </xdr:spPr>
    </xdr:sp>
    <xdr:clientData/>
  </xdr:oneCellAnchor>
  <xdr:oneCellAnchor>
    <xdr:from>
      <xdr:col>1</xdr:col>
      <xdr:colOff>0</xdr:colOff>
      <xdr:row>0</xdr:row>
      <xdr:rowOff>0</xdr:rowOff>
    </xdr:from>
    <xdr:ext cx="6723380" cy="0"/>
    <xdr:sp macro="" textlink="">
      <xdr:nvSpPr>
        <xdr:cNvPr id="3" name="Shape 3">
          <a:extLst>
            <a:ext uri="{FF2B5EF4-FFF2-40B4-BE49-F238E27FC236}">
              <a16:creationId xmlns:a16="http://schemas.microsoft.com/office/drawing/2014/main" id="{00000000-0008-0000-1D00-000003000000}"/>
            </a:ext>
          </a:extLst>
        </xdr:cNvPr>
        <xdr:cNvSpPr/>
      </xdr:nvSpPr>
      <xdr:spPr>
        <a:xfrm>
          <a:off x="1651000" y="0"/>
          <a:ext cx="6723380" cy="0"/>
        </a:xfrm>
        <a:custGeom>
          <a:avLst/>
          <a:gdLst/>
          <a:ahLst/>
          <a:cxnLst/>
          <a:rect l="0" t="0" r="0" b="0"/>
          <a:pathLst>
            <a:path w="6723380">
              <a:moveTo>
                <a:pt x="0" y="0"/>
              </a:moveTo>
              <a:lnTo>
                <a:pt x="6723176" y="0"/>
              </a:lnTo>
            </a:path>
          </a:pathLst>
        </a:custGeom>
        <a:ln w="4445">
          <a:solidFill>
            <a:srgbClr val="000000"/>
          </a:solidFill>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165100</xdr:rowOff>
    </xdr:from>
    <xdr:to>
      <xdr:col>0</xdr:col>
      <xdr:colOff>304800</xdr:colOff>
      <xdr:row>5</xdr:row>
      <xdr:rowOff>63500</xdr:rowOff>
    </xdr:to>
    <xdr:sp macro="" textlink="">
      <xdr:nvSpPr>
        <xdr:cNvPr id="2" name="&lt;76ED0A54-6636-4AEC-838E-892FACA40374&gt;" descr="Image 7-24-24 at 3.47 PM (2).jpg">
          <a:extLst>
            <a:ext uri="{FF2B5EF4-FFF2-40B4-BE49-F238E27FC236}">
              <a16:creationId xmlns:a16="http://schemas.microsoft.com/office/drawing/2014/main" id="{00000000-0008-0000-1F00-000002000000}"/>
            </a:ext>
          </a:extLst>
        </xdr:cNvPr>
        <xdr:cNvSpPr>
          <a:spLocks noChangeAspect="1" noChangeArrowheads="1"/>
        </xdr:cNvSpPr>
      </xdr:nvSpPr>
      <xdr:spPr bwMode="auto">
        <a:xfrm>
          <a:off x="0" y="774700"/>
          <a:ext cx="304800" cy="304800"/>
        </a:xfrm>
        <a:prstGeom prst="rect">
          <a:avLst/>
        </a:prstGeom>
        <a:noFill/>
      </xdr:spPr>
    </xdr:sp>
    <xdr:clientData/>
  </xdr:twoCellAnchor>
  <xdr:oneCellAnchor>
    <xdr:from>
      <xdr:col>0</xdr:col>
      <xdr:colOff>0</xdr:colOff>
      <xdr:row>48</xdr:row>
      <xdr:rowOff>165100</xdr:rowOff>
    </xdr:from>
    <xdr:ext cx="304800" cy="304800"/>
    <xdr:sp macro="" textlink="">
      <xdr:nvSpPr>
        <xdr:cNvPr id="3" name="&lt;76ED0A54-6636-4AEC-838E-892FACA40374&gt;" descr="Image 7-24-24 at 3.47 PM (2).jpg">
          <a:extLst>
            <a:ext uri="{FF2B5EF4-FFF2-40B4-BE49-F238E27FC236}">
              <a16:creationId xmlns:a16="http://schemas.microsoft.com/office/drawing/2014/main" id="{00000000-0008-0000-1F00-000003000000}"/>
            </a:ext>
          </a:extLst>
        </xdr:cNvPr>
        <xdr:cNvSpPr>
          <a:spLocks noChangeAspect="1" noChangeArrowheads="1"/>
        </xdr:cNvSpPr>
      </xdr:nvSpPr>
      <xdr:spPr bwMode="auto">
        <a:xfrm>
          <a:off x="0" y="9918700"/>
          <a:ext cx="304800" cy="304800"/>
        </a:xfrm>
        <a:prstGeom prst="rect">
          <a:avLst/>
        </a:prstGeom>
        <a:noFill/>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nuData" displayName="MenuData" ref="AA3:AV13" headerRowDxfId="67" dataDxfId="66" totalsRowDxfId="64" tableBorderDxfId="65">
  <autoFilter ref="AA3:AV1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sortState xmlns:xlrd2="http://schemas.microsoft.com/office/spreadsheetml/2017/richdata2" ref="AA4:AT13">
    <sortCondition ref="AA3:AA13"/>
  </sortState>
  <tableColumns count="22">
    <tableColumn id="1" xr3:uid="{00000000-0010-0000-0000-000001000000}" name="Platinum Plan" totalsRowLabel="Total" dataDxfId="63" totalsRowDxfId="62">
      <calculatedColumnFormula>IF(I4&gt;0,IF($BD4&lt;&gt;"no",IF(C4&lt;&gt;0,UPPER(_xlfn.CONCAT(E4," ",C4)),""),""),"")</calculatedColumnFormula>
    </tableColumn>
    <tableColumn id="2" xr3:uid="{00000000-0010-0000-0000-000002000000}" name="Platinum Selling Price without Tax" dataDxfId="61" totalsRowDxfId="60">
      <calculatedColumnFormula>IF($R4&lt;&gt;"no",IF(I4&lt;&gt;0,$I4,0),0)</calculatedColumnFormula>
    </tableColumn>
    <tableColumn id="3" xr3:uid="{00000000-0010-0000-0000-000003000000}" name="Platinum Price with Tax" dataDxfId="59" totalsRowDxfId="58">
      <calculatedColumnFormula>IF($R4&lt;&gt;"no",IF($AX4&lt;&gt;0,$AX4,0),0)</calculatedColumnFormula>
    </tableColumn>
    <tableColumn id="4" xr3:uid="{00000000-0010-0000-0000-000004000000}" name="Platinum Cost" dataDxfId="57" totalsRowDxfId="56">
      <calculatedColumnFormula>IF($R4&lt;&gt;"no",IF($AY4&lt;&gt;0,$AY4,0),0)</calculatedColumnFormula>
    </tableColumn>
    <tableColumn id="5" xr3:uid="{00000000-0010-0000-0000-000005000000}" name="Gold Plan" dataDxfId="55" totalsRowDxfId="54">
      <calculatedColumnFormula>IF(I4&gt;0,IF($BF4&lt;&gt;"no",IF(C4&lt;&gt;0,UPPER(_xlfn.CONCAT(E4," ",C4)),""),""),"")</calculatedColumnFormula>
    </tableColumn>
    <tableColumn id="6" xr3:uid="{00000000-0010-0000-0000-000006000000}" name="Gold Plan Price" dataDxfId="53" totalsRowDxfId="52">
      <calculatedColumnFormula>IF($T4&lt;&gt;"no",IF(I4&lt;&gt;0,I4,0),0)</calculatedColumnFormula>
    </tableColumn>
    <tableColumn id="7" xr3:uid="{00000000-0010-0000-0000-000007000000}" name="Gold Price with Tax" dataDxfId="51" totalsRowDxfId="50">
      <calculatedColumnFormula>IF($T4&lt;&gt;"no",IF($AX4&lt;&gt;0,$AX4,0),0)</calculatedColumnFormula>
    </tableColumn>
    <tableColumn id="8" xr3:uid="{00000000-0010-0000-0000-000008000000}" name="GoldCost" dataDxfId="49" totalsRowDxfId="48">
      <calculatedColumnFormula>IF($T4&lt;&gt;"no",IF($AY4&lt;&gt;0,$AY4,0),0)</calculatedColumnFormula>
    </tableColumn>
    <tableColumn id="9" xr3:uid="{00000000-0010-0000-0000-000009000000}" name="Silver Plan" dataDxfId="47" totalsRowDxfId="46">
      <calculatedColumnFormula>IF(I4&gt;0,IF($BH4&lt;&gt;"no",IF(C4&lt;&gt;0,UPPER(_xlfn.CONCAT(E4," ",C4)),""),""),"")</calculatedColumnFormula>
    </tableColumn>
    <tableColumn id="10" xr3:uid="{00000000-0010-0000-0000-00000A000000}" name="SILVER PLAN PRICE" dataDxfId="45" totalsRowDxfId="44">
      <calculatedColumnFormula>IF($V4&lt;&gt;"no",IF($I4&lt;&gt;0,$I4,0),0)</calculatedColumnFormula>
    </tableColumn>
    <tableColumn id="11" xr3:uid="{00000000-0010-0000-0000-00000B000000}" name="Silver Price with tax" dataDxfId="43" totalsRowDxfId="42">
      <calculatedColumnFormula>IF($V4&lt;&gt;"no",IF($AX4&lt;&gt;0,$AX4,0),0)</calculatedColumnFormula>
    </tableColumn>
    <tableColumn id="12" xr3:uid="{00000000-0010-0000-0000-00000C000000}" name="Silver Cost" dataDxfId="41" totalsRowDxfId="40">
      <calculatedColumnFormula>IF($V4&lt;&gt;"no",IF($AY4&lt;&gt;0,$AY4,0),0)</calculatedColumnFormula>
    </tableColumn>
    <tableColumn id="13" xr3:uid="{00000000-0010-0000-0000-00000D000000}" name="Bronze Plan" dataDxfId="39" totalsRowDxfId="38">
      <calculatedColumnFormula>IF(I4&gt;0,IF($BJ4&lt;&gt;"no",IF(C4&lt;&gt;0,UPPER(_xlfn.CONCAT(E4," ",C4)),""),""),"")</calculatedColumnFormula>
    </tableColumn>
    <tableColumn id="14" xr3:uid="{00000000-0010-0000-0000-00000E000000}" name="Bronze Plan Price" dataDxfId="37" totalsRowDxfId="36">
      <calculatedColumnFormula>IF($X4&lt;&gt;"no",IF($I4&lt;&gt;0,$I4,0),0)</calculatedColumnFormula>
    </tableColumn>
    <tableColumn id="15" xr3:uid="{00000000-0010-0000-0000-00000F000000}" name="Bronze Price with tax" dataDxfId="35" totalsRowDxfId="34">
      <calculatedColumnFormula>IF($X4&lt;&gt;"no",IF($AX4&lt;&gt;0,$AX4,0),0)</calculatedColumnFormula>
    </tableColumn>
    <tableColumn id="16" xr3:uid="{00000000-0010-0000-0000-000010000000}" name="Bronze Cost" dataDxfId="33" totalsRowDxfId="32">
      <calculatedColumnFormula>IF($X4&lt;&gt;"no",IF($AY4&lt;&gt;0,$AY4,0),0)</calculatedColumnFormula>
    </tableColumn>
    <tableColumn id="17" xr3:uid="{00000000-0010-0000-0000-000011000000}" name="Customer Accepted Protection Options" dataDxfId="31" totalsRowDxfId="30">
      <calculatedColumnFormula>IF(I4&gt;0,IF($N4&lt;&gt;"no",IF(C4&lt;&gt;0,UPPER(_xlfn.CONCAT(E4," ",C4)),""),""),"")</calculatedColumnFormula>
    </tableColumn>
    <tableColumn id="18" xr3:uid="{00000000-0010-0000-0000-000012000000}" name="Customer Accepted Price" dataDxfId="29" totalsRowDxfId="28">
      <calculatedColumnFormula>IF(N4&lt;&gt;"no",IF($I4&lt;&gt;0,$I4,0),0)</calculatedColumnFormula>
    </tableColumn>
    <tableColumn id="19" xr3:uid="{00000000-0010-0000-0000-000013000000}" name="Accepted Price with tax" dataDxfId="27" totalsRowDxfId="26">
      <calculatedColumnFormula>IF(N4&lt;&gt;"no",IF($AX4&lt;&gt;0,$AX4,0),0)</calculatedColumnFormula>
    </tableColumn>
    <tableColumn id="20" xr3:uid="{00000000-0010-0000-0000-000014000000}" name="Accepted Cost" totalsRowFunction="sum" dataDxfId="25" totalsRowDxfId="24">
      <calculatedColumnFormula>IF($N4&lt;&gt;"no",IF($AY4&lt;&gt;0,$AY4,0),0)</calculatedColumnFormula>
    </tableColumn>
    <tableColumn id="21" xr3:uid="{00000000-0010-0000-0000-000015000000}" name="Customer Declined Protection Options" dataDxfId="23" totalsRowDxfId="22">
      <calculatedColumnFormula>IF(I4&gt;0,IF($N4="no",IF(C4&lt;&gt;0,UPPER(_xlfn.CONCAT(E4," ",C4)),""),""),"")</calculatedColumnFormula>
    </tableColumn>
    <tableColumn id="22" xr3:uid="{00000000-0010-0000-0000-000016000000}" name="Customer Decline Price" dataDxfId="21" totalsRow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12700" cmpd="sng" algn="ctr">
          <a:solidFill>
            <a:schemeClr val="phClr"/>
          </a:solidFill>
          <a:prstDash val="solid"/>
          <a:miter lim="800000"/>
        </a:ln>
        <a:ln w="19050" cmpd="sng" algn="ctr">
          <a:solidFill>
            <a:schemeClr val="phClr"/>
          </a:solidFill>
          <a:prstDash val="solid"/>
          <a:miter lim="800000"/>
        </a:ln>
        <a:ln w="2540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mailto:franciner@terracefinance.com"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M33"/>
  <sheetViews>
    <sheetView zoomScale="95" zoomScaleNormal="95" workbookViewId="0">
      <selection activeCell="H10" sqref="H10"/>
    </sheetView>
  </sheetViews>
  <sheetFormatPr baseColWidth="10" defaultColWidth="10.5" defaultRowHeight="16" x14ac:dyDescent="0.2"/>
  <cols>
    <col min="1" max="1" width="29.5" style="16" customWidth="1"/>
    <col min="2" max="2" width="2.5" style="16" customWidth="1"/>
    <col min="3" max="3" width="30.5" style="16" customWidth="1"/>
    <col min="4" max="5" width="10.5" style="16"/>
    <col min="6" max="6" width="2.5" style="16" customWidth="1"/>
    <col min="7" max="8" width="10.5" style="16"/>
    <col min="9" max="9" width="21" style="16" customWidth="1"/>
    <col min="10" max="11" width="10.5" style="16"/>
    <col min="12" max="15" width="10.5" style="16" customWidth="1"/>
    <col min="16" max="16" width="12.5" style="16" customWidth="1"/>
    <col min="17" max="18" width="10.5" style="16" customWidth="1"/>
    <col min="19" max="16384" width="10.5" style="16"/>
  </cols>
  <sheetData>
    <row r="2" spans="1:39" x14ac:dyDescent="0.2">
      <c r="A2" s="16" t="s">
        <v>0</v>
      </c>
      <c r="C2" s="17" t="s">
        <v>1</v>
      </c>
    </row>
    <row r="4" spans="1:39" x14ac:dyDescent="0.2">
      <c r="A4" s="16" t="s">
        <v>2</v>
      </c>
      <c r="C4"/>
      <c r="D4" s="16" t="s">
        <v>3</v>
      </c>
    </row>
    <row r="5" spans="1:39" ht="34" x14ac:dyDescent="0.2">
      <c r="A5" s="14" t="s">
        <v>4</v>
      </c>
      <c r="C5" s="18"/>
      <c r="D5" s="16" t="s">
        <v>5</v>
      </c>
    </row>
    <row r="7" spans="1:39" x14ac:dyDescent="0.2">
      <c r="A7" s="16" t="s">
        <v>6</v>
      </c>
      <c r="C7" s="16" t="str">
        <f>IF(AND(C4="",C5=""),"No Search Entered",IFERROR(VLOOKUP(C4,'Customer List'!A:C,3,FALSE),IFERROR(VLOOKUP(C5,'Customer List'!B:C,2,FALSE),"Not Found Enter Manually")))</f>
        <v>No Search Entered</v>
      </c>
      <c r="I7" s="16" t="s">
        <v>7</v>
      </c>
    </row>
    <row r="9" spans="1:39" ht="19" customHeight="1" x14ac:dyDescent="0.2">
      <c r="A9" s="19" t="s">
        <v>8</v>
      </c>
      <c r="B9" s="19"/>
      <c r="C9" s="20"/>
      <c r="D9" s="19"/>
      <c r="E9" s="19"/>
      <c r="F9" s="19"/>
      <c r="H9" s="19"/>
      <c r="I9" s="720" t="str">
        <f t="shared" ref="I9" si="0">IF(C9&lt;&gt;0,C9,"")</f>
        <v/>
      </c>
      <c r="J9" s="720"/>
      <c r="K9" s="720"/>
      <c r="M9" s="22" t="str">
        <f>IF(C9="","")</f>
        <v/>
      </c>
      <c r="P9" s="1"/>
      <c r="Q9" s="21"/>
      <c r="R9" s="720"/>
      <c r="S9" s="720"/>
      <c r="T9" s="720"/>
    </row>
    <row r="10" spans="1:39" s="1" customFormat="1" ht="18" x14ac:dyDescent="0.2">
      <c r="A10" s="1" t="s">
        <v>9</v>
      </c>
      <c r="C10" s="727"/>
      <c r="D10" s="727"/>
      <c r="E10" s="727"/>
      <c r="G10" s="16"/>
      <c r="H10" s="16"/>
      <c r="I10" s="720" t="str">
        <f t="shared" ref="I10:I18" si="1">IF(C10&lt;&gt;0,C10,"")</f>
        <v/>
      </c>
      <c r="J10" s="720"/>
      <c r="K10" s="720"/>
      <c r="M10" s="16" t="str">
        <f t="shared" ref="M10:M18" si="2">IF(C10="","",C10)</f>
        <v/>
      </c>
      <c r="Q10" s="21"/>
      <c r="R10" s="720"/>
      <c r="S10" s="720"/>
      <c r="T10" s="720"/>
      <c r="AG10" s="23"/>
      <c r="AJ10" s="16"/>
      <c r="AK10" s="16"/>
      <c r="AL10" s="16"/>
      <c r="AM10" s="16"/>
    </row>
    <row r="11" spans="1:39" s="1" customFormat="1" ht="18" x14ac:dyDescent="0.2">
      <c r="A11" s="1" t="s">
        <v>10</v>
      </c>
      <c r="C11" s="727"/>
      <c r="D11" s="727"/>
      <c r="E11" s="727"/>
      <c r="G11" s="16"/>
      <c r="H11" s="16"/>
      <c r="I11" s="720" t="str">
        <f t="shared" si="1"/>
        <v/>
      </c>
      <c r="J11" s="720"/>
      <c r="K11" s="720"/>
      <c r="M11" s="16" t="str">
        <f t="shared" si="2"/>
        <v/>
      </c>
      <c r="Q11" s="21"/>
      <c r="R11" s="720"/>
      <c r="S11" s="720"/>
      <c r="T11" s="720"/>
      <c r="AG11" s="23"/>
      <c r="AJ11" s="16"/>
      <c r="AK11" s="16"/>
      <c r="AL11" s="16"/>
      <c r="AM11" s="16"/>
    </row>
    <row r="12" spans="1:39" s="1" customFormat="1" ht="18" x14ac:dyDescent="0.2">
      <c r="A12" s="1" t="s">
        <v>11</v>
      </c>
      <c r="C12" s="727"/>
      <c r="D12" s="727"/>
      <c r="E12" s="727"/>
      <c r="G12" s="16"/>
      <c r="H12" s="16"/>
      <c r="I12" s="720" t="str">
        <f t="shared" si="1"/>
        <v/>
      </c>
      <c r="J12" s="720"/>
      <c r="K12" s="720"/>
      <c r="M12" s="16" t="str">
        <f t="shared" si="2"/>
        <v/>
      </c>
      <c r="Q12" s="21"/>
      <c r="R12" s="720"/>
      <c r="S12" s="720"/>
      <c r="T12" s="720"/>
      <c r="AG12" s="23"/>
      <c r="AJ12" s="16"/>
      <c r="AK12" s="16"/>
      <c r="AL12" s="16"/>
      <c r="AM12" s="16"/>
    </row>
    <row r="13" spans="1:39" s="1" customFormat="1" ht="18" x14ac:dyDescent="0.2">
      <c r="A13" s="1" t="s">
        <v>12</v>
      </c>
      <c r="C13" s="727"/>
      <c r="D13" s="727"/>
      <c r="E13" s="727"/>
      <c r="G13" s="16"/>
      <c r="H13" s="16"/>
      <c r="I13" s="720" t="str">
        <f t="shared" si="1"/>
        <v/>
      </c>
      <c r="J13" s="720"/>
      <c r="K13" s="720"/>
      <c r="M13" s="16" t="str">
        <f t="shared" si="2"/>
        <v/>
      </c>
      <c r="Q13" s="21"/>
      <c r="R13" s="720"/>
      <c r="S13" s="720"/>
      <c r="T13" s="720"/>
      <c r="AG13" s="23"/>
      <c r="AJ13" s="16"/>
      <c r="AK13" s="16"/>
      <c r="AL13" s="16"/>
      <c r="AM13" s="16"/>
    </row>
    <row r="14" spans="1:39" s="1" customFormat="1" ht="18" x14ac:dyDescent="0.2">
      <c r="A14" s="1" t="s">
        <v>13</v>
      </c>
      <c r="C14" s="731"/>
      <c r="D14" s="732"/>
      <c r="E14" s="733"/>
      <c r="G14" s="16"/>
      <c r="H14" s="16"/>
      <c r="I14" s="720" t="str">
        <f t="shared" si="1"/>
        <v/>
      </c>
      <c r="J14" s="720"/>
      <c r="K14" s="720"/>
      <c r="M14" s="16" t="str">
        <f t="shared" si="2"/>
        <v/>
      </c>
      <c r="Q14" s="21"/>
      <c r="R14" s="720"/>
      <c r="S14" s="720"/>
      <c r="T14" s="720"/>
      <c r="AG14" s="23"/>
      <c r="AJ14" s="16"/>
      <c r="AK14" s="16"/>
      <c r="AL14" s="16"/>
      <c r="AM14" s="16"/>
    </row>
    <row r="15" spans="1:39" s="1" customFormat="1" ht="18" x14ac:dyDescent="0.2">
      <c r="A15" s="1" t="s">
        <v>14</v>
      </c>
      <c r="C15" s="727"/>
      <c r="D15" s="727"/>
      <c r="E15" s="727"/>
      <c r="G15" s="16"/>
      <c r="H15" s="16"/>
      <c r="I15" s="720" t="str">
        <f t="shared" si="1"/>
        <v/>
      </c>
      <c r="J15" s="720"/>
      <c r="K15" s="720"/>
      <c r="M15" s="16" t="str">
        <f t="shared" si="2"/>
        <v/>
      </c>
      <c r="Q15" s="21"/>
      <c r="R15" s="720"/>
      <c r="S15" s="720"/>
      <c r="T15" s="720"/>
      <c r="AG15" s="23"/>
      <c r="AJ15" s="16"/>
      <c r="AK15" s="16"/>
      <c r="AL15" s="16"/>
      <c r="AM15" s="16"/>
    </row>
    <row r="16" spans="1:39" s="1" customFormat="1" ht="18" x14ac:dyDescent="0.2">
      <c r="A16" s="1" t="s">
        <v>15</v>
      </c>
      <c r="C16" s="727"/>
      <c r="D16" s="727"/>
      <c r="E16" s="727"/>
      <c r="G16" s="16"/>
      <c r="H16" s="16"/>
      <c r="I16" s="720" t="str">
        <f t="shared" si="1"/>
        <v/>
      </c>
      <c r="J16" s="720"/>
      <c r="K16" s="720"/>
      <c r="M16" s="16" t="str">
        <f t="shared" si="2"/>
        <v/>
      </c>
      <c r="Q16" s="21"/>
      <c r="R16" s="720"/>
      <c r="S16" s="720"/>
      <c r="T16" s="720"/>
      <c r="AG16" s="23"/>
      <c r="AJ16" s="16"/>
      <c r="AK16" s="16"/>
      <c r="AL16" s="16"/>
      <c r="AM16" s="16"/>
    </row>
    <row r="17" spans="1:39" s="1" customFormat="1" ht="18" x14ac:dyDescent="0.2">
      <c r="A17" s="1" t="s">
        <v>16</v>
      </c>
      <c r="C17" s="721"/>
      <c r="D17" s="722"/>
      <c r="E17" s="723"/>
      <c r="G17" s="16"/>
      <c r="H17" s="16"/>
      <c r="I17" s="720" t="str">
        <f t="shared" si="1"/>
        <v/>
      </c>
      <c r="J17" s="720"/>
      <c r="K17" s="720"/>
      <c r="M17" s="16" t="str">
        <f t="shared" si="2"/>
        <v/>
      </c>
      <c r="Q17" s="21"/>
      <c r="R17" s="720"/>
      <c r="S17" s="720"/>
      <c r="T17" s="720"/>
      <c r="AG17" s="23"/>
      <c r="AJ17" s="16"/>
      <c r="AK17" s="16"/>
      <c r="AL17" s="16"/>
      <c r="AM17" s="16"/>
    </row>
    <row r="18" spans="1:39" s="1" customFormat="1" ht="18" x14ac:dyDescent="0.2">
      <c r="A18" s="1" t="s">
        <v>17</v>
      </c>
      <c r="C18" s="728"/>
      <c r="D18" s="729"/>
      <c r="E18" s="730"/>
      <c r="G18" s="16"/>
      <c r="H18" s="16"/>
      <c r="I18" s="720" t="str">
        <f t="shared" si="1"/>
        <v/>
      </c>
      <c r="J18" s="720"/>
      <c r="K18" s="720"/>
      <c r="M18" s="16" t="str">
        <f t="shared" si="2"/>
        <v/>
      </c>
      <c r="Q18" s="21"/>
      <c r="R18" s="720"/>
      <c r="S18" s="720"/>
      <c r="T18" s="720"/>
      <c r="U18" s="23"/>
      <c r="AG18" s="23"/>
      <c r="AJ18" s="16"/>
      <c r="AK18" s="16"/>
      <c r="AL18" s="16"/>
      <c r="AM18" s="16"/>
    </row>
    <row r="19" spans="1:39" s="1" customFormat="1" ht="18" x14ac:dyDescent="0.2">
      <c r="A19" s="1" t="s">
        <v>18</v>
      </c>
      <c r="C19" s="721"/>
      <c r="D19" s="722"/>
      <c r="E19" s="723"/>
      <c r="G19" s="16"/>
      <c r="H19" s="16"/>
      <c r="I19" s="720" t="str">
        <f>IF(C19&lt;&gt;0,C19,"")</f>
        <v/>
      </c>
      <c r="J19" s="720"/>
      <c r="K19" s="720"/>
      <c r="M19" s="16" t="str">
        <f t="shared" ref="M19:M21" si="3">IF(C19="","",C19)</f>
        <v/>
      </c>
      <c r="AG19" s="23"/>
      <c r="AJ19" s="16"/>
      <c r="AK19" s="16"/>
      <c r="AL19" s="16"/>
      <c r="AM19" s="16"/>
    </row>
    <row r="20" spans="1:39" s="1" customFormat="1" ht="43" customHeight="1" x14ac:dyDescent="0.2">
      <c r="A20" s="24" t="s">
        <v>19</v>
      </c>
      <c r="B20" s="24"/>
      <c r="C20" s="721"/>
      <c r="D20" s="722"/>
      <c r="E20" s="723"/>
      <c r="F20" s="24"/>
      <c r="G20" s="16"/>
      <c r="H20" s="24"/>
      <c r="I20" s="720" t="str">
        <f>IF(C20&lt;&gt;0,C20,"")</f>
        <v/>
      </c>
      <c r="J20" s="720"/>
      <c r="K20" s="720"/>
      <c r="M20" s="16" t="str">
        <f t="shared" si="3"/>
        <v/>
      </c>
      <c r="S20" s="23"/>
      <c r="U20" s="23"/>
      <c r="AG20" s="23"/>
      <c r="AJ20" s="16"/>
      <c r="AK20" s="16"/>
      <c r="AL20" s="16"/>
      <c r="AM20" s="16"/>
    </row>
    <row r="21" spans="1:39" s="1" customFormat="1" ht="23.25" customHeight="1" x14ac:dyDescent="0.2">
      <c r="A21" s="4" t="s">
        <v>20</v>
      </c>
      <c r="B21" s="4"/>
      <c r="C21" s="724"/>
      <c r="D21" s="725"/>
      <c r="E21" s="725"/>
      <c r="F21" s="4"/>
      <c r="G21" s="16"/>
      <c r="H21" s="4"/>
      <c r="I21" s="720" t="str">
        <f t="shared" ref="I21:I28" si="4">IF(C21&lt;&gt;0,C21,"")</f>
        <v/>
      </c>
      <c r="J21" s="720"/>
      <c r="K21" s="720"/>
      <c r="L21" s="4"/>
      <c r="M21" s="16" t="str">
        <f t="shared" si="3"/>
        <v/>
      </c>
      <c r="S21" s="23"/>
      <c r="U21" s="23"/>
      <c r="AG21" s="23"/>
      <c r="AJ21" s="16"/>
      <c r="AK21" s="16"/>
      <c r="AL21" s="16"/>
      <c r="AM21" s="16"/>
    </row>
    <row r="22" spans="1:39" s="1" customFormat="1" ht="28" customHeight="1" x14ac:dyDescent="0.2">
      <c r="A22" s="4" t="s">
        <v>21</v>
      </c>
      <c r="B22" s="4"/>
      <c r="C22" s="726"/>
      <c r="D22" s="726"/>
      <c r="E22" s="726"/>
      <c r="F22" s="4"/>
      <c r="G22" s="16"/>
      <c r="H22" s="4"/>
      <c r="I22" s="720" t="str">
        <f t="shared" si="4"/>
        <v/>
      </c>
      <c r="J22" s="720"/>
      <c r="K22" s="720"/>
      <c r="L22" s="4"/>
      <c r="M22" s="16"/>
      <c r="Q22" s="21"/>
      <c r="R22" s="21"/>
      <c r="S22" s="21"/>
      <c r="U22" s="23"/>
      <c r="AG22" s="23"/>
      <c r="AJ22" s="16"/>
      <c r="AK22" s="16"/>
      <c r="AL22" s="16"/>
      <c r="AM22" s="16"/>
    </row>
    <row r="23" spans="1:39" s="1" customFormat="1" ht="26.25" customHeight="1" x14ac:dyDescent="0.2">
      <c r="A23" s="4" t="s">
        <v>22</v>
      </c>
      <c r="B23" s="4"/>
      <c r="C23" s="726"/>
      <c r="D23" s="726"/>
      <c r="E23" s="726"/>
      <c r="F23" s="4"/>
      <c r="G23" s="16"/>
      <c r="H23" s="4"/>
      <c r="I23" s="720" t="str">
        <f t="shared" si="4"/>
        <v/>
      </c>
      <c r="J23" s="720"/>
      <c r="K23" s="720"/>
      <c r="L23" s="4"/>
      <c r="M23" s="16">
        <f>IF(C23="",0,C23)</f>
        <v>0</v>
      </c>
      <c r="P23" s="1">
        <f>VALUE(Q23)</f>
        <v>0</v>
      </c>
      <c r="Q23" s="21">
        <f>IFERROR(VLOOKUP(C$7,'Customer List'!C:AB,14,FALSE),M23)</f>
        <v>0</v>
      </c>
      <c r="R23" s="21"/>
      <c r="S23" s="21"/>
      <c r="U23" s="23"/>
      <c r="AG23" s="23"/>
      <c r="AJ23" s="16"/>
      <c r="AK23" s="16"/>
      <c r="AL23" s="16"/>
      <c r="AM23" s="16"/>
    </row>
    <row r="24" spans="1:39" s="1" customFormat="1" ht="40" customHeight="1" x14ac:dyDescent="0.2">
      <c r="A24" s="4" t="s">
        <v>23</v>
      </c>
      <c r="B24" s="4"/>
      <c r="C24" s="726"/>
      <c r="D24" s="726"/>
      <c r="E24" s="726"/>
      <c r="F24" s="16"/>
      <c r="G24" s="16"/>
      <c r="H24" s="4"/>
      <c r="I24" s="720" t="str">
        <f t="shared" si="4"/>
        <v/>
      </c>
      <c r="J24" s="720"/>
      <c r="K24" s="720"/>
      <c r="M24" s="16">
        <f>IF(C24="",0,C24)</f>
        <v>0</v>
      </c>
      <c r="S24" s="23"/>
      <c r="U24" s="23"/>
      <c r="AG24" s="23"/>
      <c r="AJ24" s="16"/>
      <c r="AK24" s="16"/>
      <c r="AL24" s="16"/>
      <c r="AM24" s="16"/>
    </row>
    <row r="25" spans="1:39" ht="39" customHeight="1" x14ac:dyDescent="0.2">
      <c r="A25" s="24" t="s">
        <v>24</v>
      </c>
      <c r="B25" s="24"/>
      <c r="C25" s="25"/>
      <c r="D25" s="24"/>
      <c r="E25" s="24"/>
      <c r="F25" s="24"/>
      <c r="H25" s="24"/>
      <c r="I25" s="720" t="str">
        <f t="shared" si="4"/>
        <v/>
      </c>
      <c r="J25" s="720"/>
      <c r="K25" s="720"/>
      <c r="M25" s="22" t="str">
        <f>IF(C25="","")</f>
        <v/>
      </c>
    </row>
    <row r="26" spans="1:39" ht="38.25" customHeight="1" x14ac:dyDescent="0.2">
      <c r="A26" s="24" t="s">
        <v>25</v>
      </c>
      <c r="B26" s="24"/>
      <c r="C26" s="26"/>
      <c r="D26" s="24"/>
      <c r="E26" s="24"/>
      <c r="F26" s="24"/>
      <c r="G26" s="24"/>
      <c r="H26" s="24"/>
      <c r="I26" s="720" t="str">
        <f t="shared" si="4"/>
        <v/>
      </c>
      <c r="J26" s="720"/>
      <c r="K26" s="720"/>
    </row>
    <row r="27" spans="1:39" ht="48" customHeight="1" x14ac:dyDescent="0.2">
      <c r="A27" s="24" t="s">
        <v>26</v>
      </c>
      <c r="B27" s="24"/>
      <c r="C27" s="26"/>
      <c r="D27" s="24"/>
      <c r="E27" s="24"/>
      <c r="F27" s="24"/>
      <c r="G27" s="24"/>
      <c r="H27" s="24"/>
      <c r="I27" s="720" t="str">
        <f t="shared" si="4"/>
        <v/>
      </c>
      <c r="J27" s="720"/>
      <c r="K27" s="720"/>
    </row>
    <row r="28" spans="1:39" ht="40" customHeight="1" x14ac:dyDescent="0.2">
      <c r="A28" s="24" t="s">
        <v>27</v>
      </c>
      <c r="B28" s="24"/>
      <c r="C28" s="27"/>
      <c r="D28" s="24"/>
      <c r="E28" s="24"/>
      <c r="F28" s="24"/>
      <c r="G28" s="24"/>
      <c r="H28" s="24"/>
      <c r="I28" s="720" t="str">
        <f t="shared" si="4"/>
        <v/>
      </c>
      <c r="J28" s="720"/>
      <c r="K28" s="720"/>
    </row>
    <row r="32" spans="1:39" x14ac:dyDescent="0.2">
      <c r="A32" s="16" t="s">
        <v>28</v>
      </c>
      <c r="C32" s="16" t="s">
        <v>29</v>
      </c>
    </row>
    <row r="33" spans="1:3" x14ac:dyDescent="0.2">
      <c r="A33" s="16" t="s">
        <v>30</v>
      </c>
      <c r="C33" s="16" t="s">
        <v>31</v>
      </c>
    </row>
  </sheetData>
  <sheetProtection selectLockedCells="1"/>
  <mergeCells count="45">
    <mergeCell ref="I25:K25"/>
    <mergeCell ref="I26:K26"/>
    <mergeCell ref="I27:K27"/>
    <mergeCell ref="I28:K28"/>
    <mergeCell ref="I9:K9"/>
    <mergeCell ref="I10:K10"/>
    <mergeCell ref="I24:K24"/>
    <mergeCell ref="I14:K14"/>
    <mergeCell ref="I15:K15"/>
    <mergeCell ref="I16:K16"/>
    <mergeCell ref="I19:K19"/>
    <mergeCell ref="I20:K20"/>
    <mergeCell ref="I17:K17"/>
    <mergeCell ref="I18:K18"/>
    <mergeCell ref="I21:K21"/>
    <mergeCell ref="I22:K22"/>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I23:K23"/>
    <mergeCell ref="I11:K11"/>
    <mergeCell ref="I12:K12"/>
    <mergeCell ref="I13:K13"/>
    <mergeCell ref="R14:T14"/>
    <mergeCell ref="R15:T15"/>
    <mergeCell ref="R16:T16"/>
    <mergeCell ref="R17:T17"/>
    <mergeCell ref="R18:T18"/>
    <mergeCell ref="R9:T9"/>
    <mergeCell ref="R10:T10"/>
    <mergeCell ref="R11:T11"/>
    <mergeCell ref="R12:T12"/>
    <mergeCell ref="R13:T13"/>
  </mergeCells>
  <dataValidations count="4">
    <dataValidation type="date" allowBlank="1" showInputMessage="1" showErrorMessage="1" sqref="C28" xr:uid="{00000000-0002-0000-0000-000000000000}">
      <formula1>44927</formula1>
      <formula2>72686</formula2>
    </dataValidation>
    <dataValidation type="textLength" allowBlank="1" showInputMessage="1" showErrorMessage="1" sqref="C4" xr:uid="{00000000-0002-0000-0000-000001000000}">
      <formula1>0</formula1>
      <formula2>10</formula2>
    </dataValidation>
    <dataValidation type="textLength" allowBlank="1" showInputMessage="1" showErrorMessage="1" sqref="C5" xr:uid="{00000000-0002-0000-0000-000002000000}">
      <formula1>0</formula1>
      <formula2>20</formula2>
    </dataValidation>
    <dataValidation type="whole" allowBlank="1" showInputMessage="1" showErrorMessage="1" sqref="C22:E24" xr:uid="{00000000-0002-0000-0000-000003000000}">
      <formula1>0</formula1>
      <formula2>9999999999</formula2>
    </dataValidation>
  </dataValidations>
  <printOptions horizontalCentered="1"/>
  <pageMargins left="0.2" right="0.2" top="0.2" bottom="0.2" header="0.3" footer="0.3"/>
  <pageSetup scale="4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14"/>
  <sheetViews>
    <sheetView zoomScale="70" zoomScaleNormal="70" workbookViewId="0">
      <selection activeCell="A13" sqref="A13:F13"/>
    </sheetView>
  </sheetViews>
  <sheetFormatPr baseColWidth="10" defaultColWidth="25.33203125" defaultRowHeight="16" x14ac:dyDescent="0.2"/>
  <cols>
    <col min="1" max="9" width="25.33203125" style="16"/>
    <col min="10" max="10" width="25.33203125" style="28"/>
    <col min="11" max="16384" width="25.33203125" style="16"/>
  </cols>
  <sheetData>
    <row r="4" spans="1:10" s="2" customFormat="1" ht="23" x14ac:dyDescent="0.25">
      <c r="E4" s="2" t="s">
        <v>32</v>
      </c>
      <c r="F4" s="2" t="s">
        <v>33</v>
      </c>
      <c r="G4" s="2" t="s">
        <v>34</v>
      </c>
      <c r="H4" s="2" t="s">
        <v>35</v>
      </c>
      <c r="I4" s="2" t="s">
        <v>36</v>
      </c>
      <c r="J4" s="29"/>
    </row>
    <row r="5" spans="1:10" s="2" customFormat="1" ht="48" x14ac:dyDescent="0.25">
      <c r="A5" s="30" t="s">
        <v>37</v>
      </c>
      <c r="C5" s="18"/>
      <c r="E5" s="2" t="str">
        <f>IFERROR(VLOOKUP($C5,'Inventory Data'!$B$1:$I$9000,3,FALSE),"Not Found")</f>
        <v>Not Found</v>
      </c>
      <c r="F5" s="2" t="str">
        <f>IF($E5="Not Found","",IFERROR(VLOOKUP($C5,'Inventory Data'!$B$1:$I$9000,4,FALSE),"Not Found"))</f>
        <v/>
      </c>
      <c r="G5" s="2" t="str">
        <f>IF($E5="Not Found","",IFERROR(VLOOKUP($C5,'Inventory Data'!$B$1:$I$9000,5,FALSE),"Not Found"))</f>
        <v/>
      </c>
      <c r="H5" s="2" t="str">
        <f>IF($E5="Not Found","",IFERROR(VLOOKUP($C5,'Inventory Data'!$B$1:$I$9000,6,FALSE),"Not Found"))</f>
        <v/>
      </c>
      <c r="I5" s="2" t="str">
        <f>IF($E5="Not Found","",IFERROR(VLOOKUP($C5,'Inventory Data'!$B$1:$I$9000,7,FALSE),"Not Found"))</f>
        <v/>
      </c>
      <c r="J5" s="31"/>
    </row>
    <row r="6" spans="1:10" s="2" customFormat="1" ht="48" x14ac:dyDescent="0.25">
      <c r="A6" s="30" t="s">
        <v>37</v>
      </c>
      <c r="C6" s="18"/>
      <c r="E6" s="2" t="str">
        <f>IFERROR(VLOOKUP($C6,'Inventory Data'!$B$1:$I$9000,3,FALSE),"Not Found")</f>
        <v>Not Found</v>
      </c>
      <c r="F6" s="2" t="str">
        <f>IF($E6="Not Found","",IFERROR(VLOOKUP($C6,'Inventory Data'!$B$1:$I$9000,4,FALSE),"Not Found"))</f>
        <v/>
      </c>
      <c r="G6" s="2" t="str">
        <f>IF($E6="Not Found","",IFERROR(VLOOKUP($C6,'Inventory Data'!$B$1:$I$9000,5,FALSE),"Not Found"))</f>
        <v/>
      </c>
      <c r="H6" s="2" t="str">
        <f>IF($E6="Not Found","",IFERROR(VLOOKUP($C6,'Inventory Data'!$B$1:$I$9000,6,FALSE),"Not Found"))</f>
        <v/>
      </c>
      <c r="I6" s="2" t="str">
        <f>IF($E6="Not Found","",IFERROR(VLOOKUP($C6,'Inventory Data'!$B$1:$I$9000,7,FALSE),"Not Found"))</f>
        <v/>
      </c>
      <c r="J6" s="31"/>
    </row>
    <row r="7" spans="1:10" s="2" customFormat="1" ht="48" x14ac:dyDescent="0.25">
      <c r="A7" s="30" t="s">
        <v>37</v>
      </c>
      <c r="C7" s="18"/>
      <c r="E7" s="2" t="str">
        <f>IFERROR(VLOOKUP($C7,'Inventory Data'!$B$1:$I$9000,3,FALSE),"Not Found")</f>
        <v>Not Found</v>
      </c>
      <c r="F7" s="2" t="str">
        <f>IF($E7="Not Found","",IFERROR(VLOOKUP($C7,'Inventory Data'!$B$1:$I$9000,4,FALSE),"Not Found"))</f>
        <v/>
      </c>
      <c r="G7" s="2" t="str">
        <f>IF($E7="Not Found","",IFERROR(VLOOKUP($C7,'Inventory Data'!$B$1:$I$9000,5,FALSE),"Not Found"))</f>
        <v/>
      </c>
      <c r="H7" s="2" t="str">
        <f>IF($E7="Not Found","",IFERROR(VLOOKUP($C7,'Inventory Data'!$B$1:$I$9000,6,FALSE),"Not Found"))</f>
        <v/>
      </c>
      <c r="I7" s="2" t="str">
        <f>IF($E7="Not Found","",IFERROR(VLOOKUP($C7,'Inventory Data'!$B$1:$I$9000,7,FALSE),"Not Found"))</f>
        <v/>
      </c>
      <c r="J7" s="31"/>
    </row>
    <row r="8" spans="1:10" s="2" customFormat="1" ht="48" x14ac:dyDescent="0.25">
      <c r="A8" s="30" t="s">
        <v>37</v>
      </c>
      <c r="C8" s="18"/>
      <c r="E8" s="2" t="str">
        <f>IFERROR(VLOOKUP($C8,'Inventory Data'!$B$1:$I$9000,3,FALSE),"Not Found")</f>
        <v>Not Found</v>
      </c>
      <c r="F8" s="2" t="str">
        <f>IF($E8="Not Found","",IFERROR(VLOOKUP($C8,'Inventory Data'!$B$1:$I$9000,4,FALSE),"Not Found"))</f>
        <v/>
      </c>
      <c r="G8" s="2" t="str">
        <f>IF($E8="Not Found","",IFERROR(VLOOKUP($C8,'Inventory Data'!$B$1:$I$9000,5,FALSE),"Not Found"))</f>
        <v/>
      </c>
      <c r="H8" s="2" t="str">
        <f>IF($E8="Not Found","",IFERROR(VLOOKUP($C8,'Inventory Data'!$B$1:$I$9000,6,FALSE),"Not Found"))</f>
        <v/>
      </c>
      <c r="I8" s="2" t="str">
        <f>IF($E8="Not Found","",IFERROR(VLOOKUP($C8,'Inventory Data'!$B$1:$I$9000,7,FALSE),"Not Found"))</f>
        <v/>
      </c>
      <c r="J8" s="31"/>
    </row>
    <row r="9" spans="1:10" s="2" customFormat="1" ht="48" x14ac:dyDescent="0.25">
      <c r="A9" s="30" t="s">
        <v>37</v>
      </c>
      <c r="C9" s="18"/>
      <c r="E9" s="2" t="str">
        <f>IFERROR(VLOOKUP($C9,'Inventory Data'!$B$1:$I$9000,3,FALSE),"Not Found")</f>
        <v>Not Found</v>
      </c>
      <c r="F9" s="2" t="str">
        <f>IF($E9="Not Found","",IFERROR(VLOOKUP($C9,'Inventory Data'!$B$1:$I$9000,4,FALSE),"Not Found"))</f>
        <v/>
      </c>
      <c r="G9" s="2" t="str">
        <f>IF($E9="Not Found","",IFERROR(VLOOKUP($C9,'Inventory Data'!$B$1:$I$9000,5,FALSE),"Not Found"))</f>
        <v/>
      </c>
      <c r="H9" s="2" t="str">
        <f>IF($E9="Not Found","",IFERROR(VLOOKUP($C9,'Inventory Data'!$B$1:$I$9000,6,FALSE),"Not Found"))</f>
        <v/>
      </c>
      <c r="I9" s="2" t="str">
        <f>IF($E9="Not Found","",IFERROR(VLOOKUP($C9,'Inventory Data'!$B$1:$I$9000,7,FALSE),"Not Found"))</f>
        <v/>
      </c>
      <c r="J9" s="31"/>
    </row>
    <row r="10" spans="1:10" s="2" customFormat="1" ht="48" x14ac:dyDescent="0.25">
      <c r="A10" s="30" t="s">
        <v>37</v>
      </c>
      <c r="C10" s="18"/>
      <c r="E10" s="2" t="str">
        <f>IFERROR(VLOOKUP($C10,'Inventory Data'!$B$1:$I$9000,3,FALSE),"Not Found")</f>
        <v>Not Found</v>
      </c>
      <c r="F10" s="2" t="str">
        <f>IF($E10="Not Found","",IFERROR(VLOOKUP($C10,'Inventory Data'!$B$1:$I$9000,4,FALSE),"Not Found"))</f>
        <v/>
      </c>
      <c r="G10" s="2" t="str">
        <f>IF($E10="Not Found","",IFERROR(VLOOKUP($C10,'Inventory Data'!$B$1:$I$9000,5,FALSE),"Not Found"))</f>
        <v/>
      </c>
      <c r="H10" s="2" t="str">
        <f>IF($E10="Not Found","",IFERROR(VLOOKUP($C10,'Inventory Data'!$B$1:$I$9000,6,FALSE),"Not Found"))</f>
        <v/>
      </c>
      <c r="I10" s="2" t="str">
        <f>IF($E10="Not Found","",IFERROR(VLOOKUP($C10,'Inventory Data'!$B$1:$I$9000,7,FALSE),"Not Found"))</f>
        <v/>
      </c>
      <c r="J10" s="31" t="str">
        <f>IF($E10="Not Found","",IFERROR(VLOOKUP($C10,'Inventory Data'!$B$1:$I$9000,8,FALSE),"Not Found"))</f>
        <v/>
      </c>
    </row>
    <row r="13" spans="1:10" ht="23" x14ac:dyDescent="0.2">
      <c r="A13" s="734" t="s">
        <v>38</v>
      </c>
      <c r="B13" s="734"/>
      <c r="C13" s="734"/>
      <c r="D13" s="734"/>
      <c r="E13" s="734"/>
      <c r="F13" s="734"/>
    </row>
    <row r="14" spans="1:10" x14ac:dyDescent="0.2">
      <c r="A14" s="16" t="s">
        <v>39</v>
      </c>
    </row>
  </sheetData>
  <sheetProtection selectLockedCells="1"/>
  <mergeCells count="1">
    <mergeCell ref="A13:F13"/>
  </mergeCells>
  <dataValidations count="1">
    <dataValidation allowBlank="1" showInputMessage="1" showErrorMessage="1" prompt="Enter Stock Number_x000a_" sqref="C5:C10" xr:uid="{00000000-0002-0000-0100-000000000000}"/>
  </dataValidations>
  <pageMargins left="0" right="0" top="0" bottom="0"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15"/>
  <sheetViews>
    <sheetView topLeftCell="A7" zoomScale="55" zoomScaleNormal="55" workbookViewId="0">
      <selection activeCell="E55" sqref="E55"/>
    </sheetView>
  </sheetViews>
  <sheetFormatPr baseColWidth="10" defaultColWidth="10.5" defaultRowHeight="18" x14ac:dyDescent="0.2"/>
  <cols>
    <col min="1" max="1" width="20.5" style="1" customWidth="1"/>
    <col min="2" max="2" width="1.5" style="1" customWidth="1"/>
    <col min="3" max="3" width="26" style="1" customWidth="1"/>
    <col min="4" max="4" width="3.33203125" style="1" customWidth="1"/>
    <col min="5" max="5" width="24.33203125" style="1" customWidth="1"/>
    <col min="6" max="6" width="1.5" style="1" customWidth="1"/>
    <col min="7" max="7" width="21" style="33" customWidth="1"/>
    <col min="8" max="8" width="1.5" style="1" customWidth="1"/>
    <col min="9" max="9" width="25.5" style="23" customWidth="1"/>
    <col min="10" max="10" width="2.5" style="1" customWidth="1"/>
    <col min="11" max="11" width="25.5" style="1" customWidth="1"/>
    <col min="12" max="12" width="3.5" style="1" customWidth="1"/>
    <col min="13" max="13" width="25.5" style="1" customWidth="1"/>
    <col min="14" max="14" width="4.33203125" style="1" customWidth="1"/>
    <col min="15" max="15" width="15.5" style="1" customWidth="1"/>
    <col min="16" max="16" width="2.5" style="1" customWidth="1"/>
    <col min="17" max="17" width="11" style="1"/>
    <col min="18" max="18" width="2.33203125" style="1" customWidth="1"/>
    <col min="19" max="19" width="11" style="1"/>
    <col min="20" max="20" width="2" style="1" customWidth="1"/>
    <col min="21" max="21" width="27.5" style="23" customWidth="1"/>
    <col min="22" max="22" width="2.5" style="1" customWidth="1"/>
    <col min="23" max="23" width="24" style="1" customWidth="1"/>
    <col min="24" max="24" width="4" style="1" customWidth="1"/>
    <col min="25" max="25" width="24" style="1" customWidth="1"/>
    <col min="26" max="26" width="1.5" style="1" customWidth="1"/>
    <col min="27" max="27" width="27.5" style="1" customWidth="1"/>
    <col min="28" max="28" width="20" style="1" customWidth="1"/>
    <col min="29" max="29" width="13.5" style="1" customWidth="1"/>
    <col min="30" max="36" width="10.5" style="1"/>
    <col min="37" max="37" width="11.5" style="1" bestFit="1" customWidth="1"/>
    <col min="38" max="38" width="11" style="1" bestFit="1" customWidth="1"/>
    <col min="39" max="16384" width="10.5" style="1"/>
  </cols>
  <sheetData>
    <row r="1" spans="1:21" x14ac:dyDescent="0.2">
      <c r="G1" s="1"/>
    </row>
    <row r="2" spans="1:21" x14ac:dyDescent="0.2">
      <c r="A2" s="34" t="s">
        <v>40</v>
      </c>
      <c r="G2" s="1"/>
    </row>
    <row r="3" spans="1:21" x14ac:dyDescent="0.2">
      <c r="A3" s="35" t="s">
        <v>41</v>
      </c>
      <c r="G3" s="1"/>
    </row>
    <row r="6" spans="1:21" x14ac:dyDescent="0.2">
      <c r="A6" s="1" t="s">
        <v>42</v>
      </c>
      <c r="C6" s="36"/>
      <c r="I6" s="1"/>
    </row>
    <row r="7" spans="1:21" x14ac:dyDescent="0.2">
      <c r="E7" s="16"/>
      <c r="G7" s="1"/>
      <c r="I7" s="1"/>
      <c r="U7" s="1"/>
    </row>
    <row r="8" spans="1:21" x14ac:dyDescent="0.2">
      <c r="A8" s="37" t="s">
        <v>8</v>
      </c>
      <c r="C8" s="1" t="str">
        <f>+'Customer Input Screen'!I9</f>
        <v/>
      </c>
      <c r="E8" s="16"/>
      <c r="F8" s="38"/>
      <c r="I8" s="1"/>
    </row>
    <row r="9" spans="1:21" x14ac:dyDescent="0.2">
      <c r="A9" s="37" t="s">
        <v>43</v>
      </c>
      <c r="C9" s="1" t="str">
        <f>+'Customer Input Screen'!I10</f>
        <v/>
      </c>
      <c r="E9" s="16"/>
      <c r="F9" s="38"/>
      <c r="I9" s="1"/>
    </row>
    <row r="10" spans="1:21" x14ac:dyDescent="0.2">
      <c r="G10" s="1"/>
      <c r="I10" s="1"/>
      <c r="U10" s="1"/>
    </row>
    <row r="11" spans="1:21" x14ac:dyDescent="0.2">
      <c r="A11" s="1" t="s">
        <v>44</v>
      </c>
      <c r="C11" s="39"/>
      <c r="I11" s="1"/>
    </row>
    <row r="12" spans="1:21" x14ac:dyDescent="0.2">
      <c r="G12" s="1"/>
      <c r="I12" s="1"/>
      <c r="U12" s="1"/>
    </row>
    <row r="13" spans="1:21" x14ac:dyDescent="0.2">
      <c r="A13" s="1" t="s">
        <v>45</v>
      </c>
      <c r="C13" s="40"/>
      <c r="G13" s="1"/>
      <c r="I13" s="1"/>
      <c r="U13" s="1"/>
    </row>
    <row r="14" spans="1:21" x14ac:dyDescent="0.2">
      <c r="G14" s="1"/>
      <c r="I14" s="1"/>
      <c r="U14" s="1"/>
    </row>
    <row r="15" spans="1:21" x14ac:dyDescent="0.2">
      <c r="A15" s="1" t="s">
        <v>46</v>
      </c>
      <c r="C15" s="740"/>
      <c r="D15" s="740"/>
      <c r="E15" s="740"/>
      <c r="I15" s="1"/>
    </row>
    <row r="16" spans="1:21" x14ac:dyDescent="0.2">
      <c r="A16" s="1" t="s">
        <v>47</v>
      </c>
      <c r="C16" s="741"/>
      <c r="D16" s="742"/>
      <c r="E16" s="743"/>
      <c r="I16" s="1"/>
    </row>
    <row r="17" spans="1:43" ht="38" x14ac:dyDescent="0.2">
      <c r="I17" s="41" t="s">
        <v>48</v>
      </c>
      <c r="K17" s="41" t="s">
        <v>48</v>
      </c>
      <c r="M17" s="41" t="s">
        <v>48</v>
      </c>
      <c r="O17" s="739" t="s">
        <v>49</v>
      </c>
      <c r="P17" s="739"/>
      <c r="Q17" s="739"/>
      <c r="R17" s="739"/>
      <c r="S17" s="739"/>
      <c r="U17" s="23" t="s">
        <v>36</v>
      </c>
      <c r="W17" s="1" t="s">
        <v>50</v>
      </c>
    </row>
    <row r="18" spans="1:43" x14ac:dyDescent="0.2">
      <c r="A18" s="1" t="s">
        <v>51</v>
      </c>
      <c r="C18" s="1" t="s">
        <v>32</v>
      </c>
      <c r="E18" s="1" t="s">
        <v>52</v>
      </c>
      <c r="G18" s="33" t="s">
        <v>53</v>
      </c>
      <c r="O18" s="739"/>
      <c r="P18" s="739"/>
      <c r="Q18" s="739"/>
      <c r="R18" s="739"/>
      <c r="S18" s="739"/>
      <c r="U18" s="42"/>
      <c r="AG18" s="43"/>
    </row>
    <row r="19" spans="1:43" x14ac:dyDescent="0.2">
      <c r="A19" s="44"/>
      <c r="C19" s="45" t="str">
        <f>+Calculations!B6</f>
        <v/>
      </c>
      <c r="E19" s="45" t="str">
        <f>+Calculations!B7</f>
        <v/>
      </c>
      <c r="G19" s="46" t="str">
        <f>+Calculations!B8</f>
        <v/>
      </c>
      <c r="I19" s="47"/>
      <c r="K19" s="47"/>
      <c r="M19" s="47"/>
      <c r="O19" s="738"/>
      <c r="P19" s="738"/>
      <c r="Q19" s="738"/>
      <c r="R19" s="738"/>
      <c r="S19" s="738"/>
      <c r="U19" s="45" t="str">
        <f>Calculations!B618</f>
        <v/>
      </c>
      <c r="W19" s="49" t="str">
        <f>+Calculations!B656</f>
        <v/>
      </c>
      <c r="AC19" s="50"/>
      <c r="AH19" s="37"/>
    </row>
    <row r="20" spans="1:43" x14ac:dyDescent="0.2">
      <c r="A20" s="44"/>
      <c r="C20" s="45" t="str">
        <f>+Calculations!B18</f>
        <v/>
      </c>
      <c r="E20" s="45" t="str">
        <f>+Calculations!B19</f>
        <v/>
      </c>
      <c r="G20" s="46" t="str">
        <f>+Calculations!B20</f>
        <v/>
      </c>
      <c r="I20" s="47"/>
      <c r="K20" s="47"/>
      <c r="M20" s="47"/>
      <c r="O20" s="738"/>
      <c r="P20" s="738"/>
      <c r="Q20" s="738"/>
      <c r="R20" s="738"/>
      <c r="S20" s="738"/>
      <c r="U20" s="45" t="str">
        <f>Calculations!B619</f>
        <v/>
      </c>
      <c r="W20" s="49" t="str">
        <f>+Calculations!B657</f>
        <v/>
      </c>
      <c r="AC20" s="50"/>
      <c r="AI20" s="37"/>
      <c r="AJ20" s="37"/>
      <c r="AK20" s="37"/>
      <c r="AL20" s="37"/>
      <c r="AM20" s="37"/>
      <c r="AN20" s="37"/>
      <c r="AO20" s="37"/>
      <c r="AP20" s="37"/>
      <c r="AQ20" s="37"/>
    </row>
    <row r="21" spans="1:43" x14ac:dyDescent="0.2">
      <c r="A21" s="44"/>
      <c r="C21" s="45" t="str">
        <f>+Calculations!B30</f>
        <v/>
      </c>
      <c r="E21" s="45" t="str">
        <f>+Calculations!B31</f>
        <v/>
      </c>
      <c r="G21" s="46" t="str">
        <f>+Calculations!B32</f>
        <v/>
      </c>
      <c r="I21" s="47"/>
      <c r="K21" s="47"/>
      <c r="M21" s="47"/>
      <c r="O21" s="738"/>
      <c r="P21" s="738"/>
      <c r="Q21" s="738"/>
      <c r="R21" s="738"/>
      <c r="S21" s="738"/>
      <c r="U21" s="45" t="str">
        <f>Calculations!B620</f>
        <v/>
      </c>
      <c r="W21" s="49" t="str">
        <f>+Calculations!B658</f>
        <v/>
      </c>
      <c r="AC21" s="50"/>
    </row>
    <row r="22" spans="1:43" x14ac:dyDescent="0.2">
      <c r="A22" s="44"/>
      <c r="C22" s="45" t="str">
        <f>+Calculations!B42</f>
        <v/>
      </c>
      <c r="E22" s="45" t="str">
        <f>+Calculations!B43</f>
        <v/>
      </c>
      <c r="G22" s="46" t="str">
        <f>+Calculations!B44</f>
        <v/>
      </c>
      <c r="I22" s="47"/>
      <c r="K22" s="47"/>
      <c r="M22" s="47"/>
      <c r="O22" s="738"/>
      <c r="P22" s="738"/>
      <c r="Q22" s="738"/>
      <c r="R22" s="738"/>
      <c r="S22" s="738"/>
      <c r="U22" s="45" t="str">
        <f>Calculations!B621</f>
        <v/>
      </c>
      <c r="W22" s="49" t="str">
        <f>+Calculations!B659</f>
        <v/>
      </c>
      <c r="AC22" s="50"/>
    </row>
    <row r="23" spans="1:43" x14ac:dyDescent="0.2">
      <c r="A23" s="44"/>
      <c r="C23" s="45" t="str">
        <f>+Calculations!B54</f>
        <v/>
      </c>
      <c r="E23" s="45" t="str">
        <f>+Calculations!B55</f>
        <v/>
      </c>
      <c r="G23" s="46" t="str">
        <f>+Calculations!B56</f>
        <v/>
      </c>
      <c r="I23" s="47"/>
      <c r="K23" s="47"/>
      <c r="M23" s="47"/>
      <c r="O23" s="738"/>
      <c r="P23" s="738"/>
      <c r="Q23" s="738"/>
      <c r="R23" s="738"/>
      <c r="S23" s="738"/>
      <c r="U23" s="45" t="str">
        <f>Calculations!B622</f>
        <v/>
      </c>
      <c r="W23" s="49" t="str">
        <f>+Calculations!B660</f>
        <v/>
      </c>
      <c r="AC23" s="50"/>
    </row>
    <row r="24" spans="1:43" s="3" customFormat="1" x14ac:dyDescent="0.2">
      <c r="A24" s="44"/>
      <c r="C24" s="45" t="str">
        <f>+Calculations!B66</f>
        <v/>
      </c>
      <c r="E24" s="45" t="str">
        <f>+Calculations!B67</f>
        <v/>
      </c>
      <c r="G24" s="46" t="str">
        <f>+Calculations!B68</f>
        <v/>
      </c>
      <c r="I24" s="47"/>
      <c r="K24" s="47"/>
      <c r="M24" s="47"/>
      <c r="O24" s="738"/>
      <c r="P24" s="738"/>
      <c r="Q24" s="738"/>
      <c r="R24" s="738"/>
      <c r="S24" s="738"/>
      <c r="U24" s="45" t="str">
        <f>Calculations!B623</f>
        <v/>
      </c>
      <c r="W24" s="49" t="str">
        <f>+Calculations!B661</f>
        <v/>
      </c>
      <c r="AC24" s="51"/>
    </row>
    <row r="25" spans="1:43" s="3" customFormat="1" x14ac:dyDescent="0.2">
      <c r="A25" s="44"/>
      <c r="C25" s="45" t="str">
        <f>+Calculations!B78</f>
        <v/>
      </c>
      <c r="E25" s="45" t="str">
        <f>+Calculations!B79</f>
        <v/>
      </c>
      <c r="G25" s="46" t="str">
        <f>+Calculations!B80</f>
        <v/>
      </c>
      <c r="I25" s="47"/>
      <c r="K25" s="47"/>
      <c r="M25" s="47"/>
      <c r="O25" s="738"/>
      <c r="P25" s="738"/>
      <c r="Q25" s="738"/>
      <c r="R25" s="738"/>
      <c r="S25" s="738"/>
      <c r="U25" s="45" t="str">
        <f>Calculations!B624</f>
        <v/>
      </c>
      <c r="W25" s="49" t="str">
        <f>+Calculations!B662</f>
        <v/>
      </c>
      <c r="AC25" s="51"/>
    </row>
    <row r="26" spans="1:43" s="3" customFormat="1" x14ac:dyDescent="0.2">
      <c r="A26" s="44"/>
      <c r="C26" s="45" t="str">
        <f>+Calculations!B90</f>
        <v/>
      </c>
      <c r="E26" s="45" t="str">
        <f>+Calculations!B91</f>
        <v/>
      </c>
      <c r="G26" s="46" t="str">
        <f>+Calculations!B92</f>
        <v/>
      </c>
      <c r="I26" s="47"/>
      <c r="K26" s="47"/>
      <c r="M26" s="47"/>
      <c r="O26" s="738"/>
      <c r="P26" s="738"/>
      <c r="Q26" s="738"/>
      <c r="R26" s="738"/>
      <c r="S26" s="738"/>
      <c r="U26" s="45" t="str">
        <f>Calculations!B625</f>
        <v/>
      </c>
      <c r="W26" s="49" t="str">
        <f>+Calculations!B663</f>
        <v/>
      </c>
      <c r="AC26" s="51"/>
    </row>
    <row r="27" spans="1:43" s="3" customFormat="1" x14ac:dyDescent="0.2">
      <c r="A27" s="44"/>
      <c r="C27" s="45" t="str">
        <f>+Calculations!B102</f>
        <v/>
      </c>
      <c r="E27" s="45" t="str">
        <f>+Calculations!B103</f>
        <v/>
      </c>
      <c r="G27" s="46" t="str">
        <f>+Calculations!B104</f>
        <v/>
      </c>
      <c r="I27" s="47"/>
      <c r="K27" s="47"/>
      <c r="M27" s="47"/>
      <c r="O27" s="738"/>
      <c r="P27" s="738"/>
      <c r="Q27" s="738"/>
      <c r="R27" s="738"/>
      <c r="S27" s="738"/>
      <c r="U27" s="45" t="str">
        <f>Calculations!B626</f>
        <v/>
      </c>
      <c r="W27" s="49" t="str">
        <f>+Calculations!B664</f>
        <v/>
      </c>
      <c r="AC27" s="51"/>
    </row>
    <row r="28" spans="1:43" s="3" customFormat="1" x14ac:dyDescent="0.2">
      <c r="A28" s="44"/>
      <c r="C28" s="45" t="str">
        <f>+Calculations!B114</f>
        <v/>
      </c>
      <c r="E28" s="45" t="str">
        <f>+Calculations!B115</f>
        <v/>
      </c>
      <c r="G28" s="46" t="str">
        <f>+Calculations!B116</f>
        <v/>
      </c>
      <c r="I28" s="47"/>
      <c r="K28" s="47"/>
      <c r="M28" s="47"/>
      <c r="O28" s="738"/>
      <c r="P28" s="738"/>
      <c r="Q28" s="738"/>
      <c r="R28" s="738"/>
      <c r="S28" s="738"/>
      <c r="U28" s="45" t="str">
        <f>Calculations!B627</f>
        <v/>
      </c>
      <c r="W28" s="49" t="str">
        <f>+Calculations!B665</f>
        <v/>
      </c>
      <c r="AC28" s="51"/>
    </row>
    <row r="29" spans="1:43" x14ac:dyDescent="0.2">
      <c r="A29" s="1" t="s">
        <v>54</v>
      </c>
      <c r="I29" s="1"/>
      <c r="U29" s="1"/>
    </row>
    <row r="30" spans="1:43" x14ac:dyDescent="0.2">
      <c r="C30" s="1" t="s">
        <v>32</v>
      </c>
      <c r="E30" s="1" t="s">
        <v>52</v>
      </c>
      <c r="G30" s="1" t="s">
        <v>53</v>
      </c>
      <c r="I30" s="739" t="s">
        <v>55</v>
      </c>
      <c r="J30" s="739"/>
      <c r="K30" s="739"/>
      <c r="M30" s="1" t="s">
        <v>56</v>
      </c>
    </row>
    <row r="31" spans="1:43" x14ac:dyDescent="0.2">
      <c r="C31" s="52"/>
      <c r="E31" s="48"/>
      <c r="G31" s="48"/>
      <c r="I31" s="738"/>
      <c r="J31" s="738"/>
      <c r="K31" s="738"/>
      <c r="M31" s="738"/>
      <c r="N31" s="738"/>
      <c r="O31" s="738"/>
      <c r="AC31" s="50"/>
    </row>
    <row r="32" spans="1:43" x14ac:dyDescent="0.2">
      <c r="C32" s="52"/>
      <c r="E32" s="48"/>
      <c r="G32" s="48"/>
      <c r="I32" s="738"/>
      <c r="J32" s="738"/>
      <c r="K32" s="738"/>
      <c r="M32" s="738"/>
      <c r="N32" s="738"/>
      <c r="O32" s="738"/>
      <c r="AC32" s="50"/>
    </row>
    <row r="33" spans="1:29" x14ac:dyDescent="0.2">
      <c r="C33" s="52"/>
      <c r="E33" s="48"/>
      <c r="G33" s="48"/>
      <c r="I33" s="738"/>
      <c r="J33" s="738"/>
      <c r="K33" s="738"/>
      <c r="M33" s="738"/>
      <c r="N33" s="738"/>
      <c r="O33" s="738"/>
      <c r="AC33" s="50"/>
    </row>
    <row r="34" spans="1:29" x14ac:dyDescent="0.2">
      <c r="C34" s="52"/>
      <c r="E34" s="48"/>
      <c r="G34" s="48"/>
      <c r="I34" s="738"/>
      <c r="J34" s="738"/>
      <c r="K34" s="738"/>
      <c r="M34" s="738"/>
      <c r="N34" s="738"/>
      <c r="O34" s="738"/>
      <c r="AC34" s="50"/>
    </row>
    <row r="35" spans="1:29" x14ac:dyDescent="0.2">
      <c r="C35" s="52"/>
      <c r="E35" s="48"/>
      <c r="G35" s="48"/>
      <c r="I35" s="738"/>
      <c r="J35" s="738"/>
      <c r="K35" s="738"/>
      <c r="M35" s="738"/>
      <c r="N35" s="738"/>
      <c r="O35" s="738"/>
      <c r="AC35" s="50"/>
    </row>
    <row r="36" spans="1:29" x14ac:dyDescent="0.2">
      <c r="A36" s="53" t="s">
        <v>57</v>
      </c>
      <c r="I36" s="1"/>
      <c r="W36" s="23"/>
    </row>
    <row r="37" spans="1:29" x14ac:dyDescent="0.2">
      <c r="A37" s="1" t="s">
        <v>58</v>
      </c>
      <c r="C37" s="1" t="s">
        <v>32</v>
      </c>
      <c r="E37" s="1" t="s">
        <v>52</v>
      </c>
      <c r="I37" s="1" t="s">
        <v>59</v>
      </c>
      <c r="K37" s="739" t="s">
        <v>60</v>
      </c>
      <c r="L37" s="739"/>
      <c r="M37" s="739"/>
      <c r="O37" s="1" t="s">
        <v>61</v>
      </c>
      <c r="W37" s="41"/>
      <c r="Y37" s="4"/>
    </row>
    <row r="38" spans="1:29" x14ac:dyDescent="0.2">
      <c r="A38" s="48"/>
      <c r="C38" s="52"/>
      <c r="E38" s="48"/>
      <c r="G38" s="33" t="s">
        <v>62</v>
      </c>
      <c r="I38" s="48"/>
      <c r="K38" s="735"/>
      <c r="L38" s="736"/>
      <c r="M38" s="737"/>
      <c r="O38" s="48"/>
      <c r="AC38" s="50"/>
    </row>
    <row r="39" spans="1:29" x14ac:dyDescent="0.2">
      <c r="A39" s="48"/>
      <c r="C39" s="52"/>
      <c r="E39" s="48"/>
      <c r="G39" s="33" t="s">
        <v>62</v>
      </c>
      <c r="I39" s="48"/>
      <c r="K39" s="735"/>
      <c r="L39" s="736"/>
      <c r="M39" s="737"/>
      <c r="O39" s="48"/>
      <c r="AC39" s="50"/>
    </row>
    <row r="40" spans="1:29" x14ac:dyDescent="0.2">
      <c r="A40" s="48"/>
      <c r="C40" s="52"/>
      <c r="E40" s="48"/>
      <c r="G40" s="33" t="s">
        <v>62</v>
      </c>
      <c r="I40" s="48"/>
      <c r="K40" s="735"/>
      <c r="L40" s="736"/>
      <c r="M40" s="737"/>
      <c r="O40" s="48"/>
      <c r="AC40" s="50"/>
    </row>
    <row r="41" spans="1:29" x14ac:dyDescent="0.2">
      <c r="A41" s="48"/>
      <c r="C41" s="52"/>
      <c r="E41" s="48"/>
      <c r="G41" s="33" t="s">
        <v>62</v>
      </c>
      <c r="I41" s="48"/>
      <c r="K41" s="735"/>
      <c r="L41" s="736"/>
      <c r="M41" s="737"/>
      <c r="O41" s="48"/>
      <c r="AC41" s="50"/>
    </row>
    <row r="42" spans="1:29" ht="19" thickBot="1" x14ac:dyDescent="0.25">
      <c r="A42" s="48"/>
      <c r="C42" s="52"/>
      <c r="E42" s="48"/>
      <c r="G42" s="33" t="s">
        <v>62</v>
      </c>
      <c r="I42" s="48"/>
      <c r="K42" s="735"/>
      <c r="L42" s="736"/>
      <c r="M42" s="737"/>
      <c r="O42" s="48"/>
      <c r="AC42" s="50"/>
    </row>
    <row r="43" spans="1:29" x14ac:dyDescent="0.2">
      <c r="A43" s="54" t="s">
        <v>63</v>
      </c>
      <c r="I43" s="1"/>
      <c r="U43" s="1"/>
    </row>
    <row r="44" spans="1:29" x14ac:dyDescent="0.2">
      <c r="C44" s="1" t="s">
        <v>32</v>
      </c>
      <c r="E44" s="1" t="s">
        <v>52</v>
      </c>
      <c r="G44" s="1" t="s">
        <v>53</v>
      </c>
      <c r="I44" s="1" t="s">
        <v>64</v>
      </c>
      <c r="K44" s="1" t="s">
        <v>65</v>
      </c>
      <c r="L44" s="16"/>
      <c r="M44" s="55" t="s">
        <v>66</v>
      </c>
      <c r="O44" s="1" t="s">
        <v>67</v>
      </c>
      <c r="Q44" s="1" t="s">
        <v>68</v>
      </c>
      <c r="S44" s="1" t="s">
        <v>55</v>
      </c>
      <c r="U44" s="1"/>
    </row>
    <row r="45" spans="1:29" x14ac:dyDescent="0.2">
      <c r="C45" s="52"/>
      <c r="E45" s="48"/>
      <c r="G45" s="48"/>
      <c r="I45" s="56"/>
      <c r="K45" s="57"/>
      <c r="L45" s="16"/>
      <c r="M45" s="58"/>
      <c r="O45" s="48"/>
      <c r="Q45" s="59"/>
      <c r="S45" s="728"/>
      <c r="T45" s="729"/>
      <c r="U45" s="730"/>
      <c r="AC45" s="50"/>
    </row>
    <row r="46" spans="1:29" x14ac:dyDescent="0.2">
      <c r="C46" s="52"/>
      <c r="E46" s="48"/>
      <c r="G46" s="48"/>
      <c r="I46" s="56"/>
      <c r="K46" s="57"/>
      <c r="L46" s="16"/>
      <c r="M46" s="58"/>
      <c r="O46" s="48"/>
      <c r="Q46" s="59"/>
      <c r="S46" s="728"/>
      <c r="T46" s="729"/>
      <c r="U46" s="730"/>
      <c r="AC46" s="50"/>
    </row>
    <row r="47" spans="1:29" x14ac:dyDescent="0.2">
      <c r="C47" s="60"/>
      <c r="E47" s="60"/>
      <c r="G47" s="48"/>
      <c r="I47" s="56"/>
      <c r="K47" s="57"/>
      <c r="L47" s="16"/>
      <c r="M47" s="58"/>
      <c r="O47" s="48"/>
      <c r="Q47" s="59"/>
      <c r="S47" s="728"/>
      <c r="T47" s="729"/>
      <c r="U47" s="730"/>
      <c r="AC47" s="50"/>
    </row>
    <row r="48" spans="1:29" x14ac:dyDescent="0.2">
      <c r="C48" s="60"/>
      <c r="E48" s="60"/>
      <c r="G48" s="48"/>
      <c r="I48" s="56"/>
      <c r="K48" s="57"/>
      <c r="L48" s="16"/>
      <c r="M48" s="58"/>
      <c r="O48" s="48"/>
      <c r="Q48" s="59"/>
      <c r="S48" s="728"/>
      <c r="T48" s="729"/>
      <c r="U48" s="730"/>
      <c r="AC48" s="50"/>
    </row>
    <row r="49" spans="1:29" x14ac:dyDescent="0.2">
      <c r="C49" s="60"/>
      <c r="E49" s="60"/>
      <c r="G49" s="48"/>
      <c r="I49" s="56"/>
      <c r="K49" s="57"/>
      <c r="L49" s="16"/>
      <c r="M49" s="58"/>
      <c r="O49" s="48"/>
      <c r="Q49" s="59"/>
      <c r="S49" s="728"/>
      <c r="T49" s="729"/>
      <c r="U49" s="730"/>
      <c r="AC49" s="50"/>
    </row>
    <row r="50" spans="1:29" x14ac:dyDescent="0.2">
      <c r="C50" s="60"/>
      <c r="E50" s="60"/>
      <c r="G50" s="48"/>
      <c r="I50" s="56"/>
      <c r="K50" s="57"/>
      <c r="L50" s="16"/>
      <c r="M50" s="58"/>
      <c r="O50" s="48"/>
      <c r="Q50" s="59"/>
      <c r="S50" s="728"/>
      <c r="T50" s="729"/>
      <c r="U50" s="730"/>
      <c r="AC50" s="50"/>
    </row>
    <row r="52" spans="1:29" ht="38" x14ac:dyDescent="0.2">
      <c r="A52" s="24" t="s">
        <v>69</v>
      </c>
      <c r="C52" s="61"/>
      <c r="E52" s="1" t="s">
        <v>70</v>
      </c>
      <c r="G52" s="1"/>
      <c r="I52" s="1"/>
      <c r="U52" s="1"/>
    </row>
    <row r="53" spans="1:29" ht="38" x14ac:dyDescent="0.2">
      <c r="A53" s="24" t="s">
        <v>71</v>
      </c>
      <c r="C53" s="61"/>
      <c r="E53" s="1" t="s">
        <v>72</v>
      </c>
      <c r="G53" s="1"/>
      <c r="I53" s="1"/>
      <c r="U53" s="1"/>
    </row>
    <row r="54" spans="1:29" x14ac:dyDescent="0.2">
      <c r="G54" s="1"/>
      <c r="I54" s="1"/>
      <c r="U54" s="1"/>
    </row>
    <row r="55" spans="1:29" ht="18" customHeight="1" x14ac:dyDescent="0.2">
      <c r="A55" s="1" t="s">
        <v>73</v>
      </c>
      <c r="E55" s="62"/>
      <c r="G55" s="1"/>
      <c r="I55" s="1"/>
      <c r="U55" s="1"/>
    </row>
    <row r="60" spans="1:29" x14ac:dyDescent="0.2">
      <c r="G60" s="1"/>
      <c r="I60" s="1"/>
      <c r="U60" s="1"/>
    </row>
    <row r="72" spans="6:20" x14ac:dyDescent="0.2">
      <c r="G72" s="1"/>
      <c r="I72" s="1"/>
    </row>
    <row r="73" spans="6:20" x14ac:dyDescent="0.2">
      <c r="F73" s="24"/>
      <c r="G73" s="1"/>
      <c r="I73" s="1"/>
      <c r="M73" s="24"/>
      <c r="O73" s="24"/>
      <c r="Q73" s="24"/>
      <c r="R73" s="24"/>
      <c r="S73" s="24"/>
      <c r="T73" s="24"/>
    </row>
    <row r="74" spans="6:20" x14ac:dyDescent="0.2">
      <c r="G74" s="1"/>
      <c r="I74" s="1"/>
      <c r="M74" s="24"/>
      <c r="O74" s="24"/>
      <c r="Q74" s="24"/>
      <c r="R74" s="24"/>
      <c r="S74" s="24"/>
      <c r="T74" s="24"/>
    </row>
    <row r="75" spans="6:20" x14ac:dyDescent="0.2">
      <c r="I75" s="1"/>
      <c r="M75" s="24"/>
      <c r="O75" s="24"/>
      <c r="Q75" s="24"/>
      <c r="R75" s="24"/>
      <c r="S75" s="24"/>
      <c r="T75" s="24"/>
    </row>
    <row r="76" spans="6:20" x14ac:dyDescent="0.2">
      <c r="F76" s="24"/>
      <c r="G76" s="1"/>
      <c r="I76" s="1"/>
      <c r="M76" s="24"/>
      <c r="O76" s="24"/>
      <c r="Q76" s="24"/>
      <c r="R76" s="24"/>
      <c r="S76" s="24"/>
      <c r="T76" s="24"/>
    </row>
    <row r="77" spans="6:20" x14ac:dyDescent="0.2">
      <c r="F77" s="24"/>
      <c r="G77" s="1"/>
      <c r="I77" s="1"/>
      <c r="M77" s="24"/>
      <c r="O77" s="24"/>
      <c r="Q77" s="24"/>
      <c r="R77" s="24"/>
      <c r="S77" s="24"/>
      <c r="T77" s="24"/>
    </row>
    <row r="78" spans="6:20" x14ac:dyDescent="0.2">
      <c r="G78" s="1"/>
    </row>
    <row r="79" spans="6:20" x14ac:dyDescent="0.2">
      <c r="G79" s="1"/>
    </row>
    <row r="80" spans="6:20" x14ac:dyDescent="0.2">
      <c r="G80" s="1"/>
    </row>
    <row r="90" spans="1:23" x14ac:dyDescent="0.2">
      <c r="G90" s="63"/>
      <c r="W90" s="1" t="str">
        <f>IF('Finance Manager Input Sheet'!C10="warranty","Store County",IF('Finance Manager Input Sheet'!C10="Extended Service Plan","Store County",""))</f>
        <v/>
      </c>
    </row>
    <row r="95" spans="1:23" x14ac:dyDescent="0.2">
      <c r="A95" s="24"/>
      <c r="F95" s="24"/>
      <c r="G95" s="64"/>
      <c r="I95" s="65"/>
    </row>
    <row r="96" spans="1:23" x14ac:dyDescent="0.2">
      <c r="A96" s="24"/>
      <c r="F96" s="24"/>
      <c r="G96" s="64"/>
      <c r="I96" s="65"/>
    </row>
    <row r="97" spans="1:21" x14ac:dyDescent="0.2">
      <c r="A97" s="24"/>
      <c r="F97" s="24"/>
      <c r="G97" s="64"/>
      <c r="I97" s="65"/>
    </row>
    <row r="98" spans="1:21" x14ac:dyDescent="0.2">
      <c r="A98" s="24"/>
      <c r="F98" s="24"/>
      <c r="G98" s="64"/>
      <c r="I98" s="65"/>
    </row>
    <row r="99" spans="1:21" x14ac:dyDescent="0.2">
      <c r="I99" s="1"/>
      <c r="U99" s="1"/>
    </row>
    <row r="100" spans="1:21" x14ac:dyDescent="0.2">
      <c r="I100" s="1"/>
      <c r="U100" s="1"/>
    </row>
    <row r="101" spans="1:21" x14ac:dyDescent="0.2">
      <c r="I101" s="1"/>
      <c r="U101" s="1"/>
    </row>
    <row r="102" spans="1:21" x14ac:dyDescent="0.2">
      <c r="I102" s="1"/>
      <c r="U102" s="1"/>
    </row>
    <row r="103" spans="1:21" x14ac:dyDescent="0.2">
      <c r="I103" s="1"/>
      <c r="U103" s="1"/>
    </row>
    <row r="104" spans="1:21" x14ac:dyDescent="0.2">
      <c r="I104" s="1"/>
      <c r="U104" s="1"/>
    </row>
    <row r="105" spans="1:21" x14ac:dyDescent="0.2">
      <c r="I105" s="1"/>
      <c r="U105" s="1"/>
    </row>
    <row r="106" spans="1:21" x14ac:dyDescent="0.2">
      <c r="I106" s="1"/>
      <c r="U106" s="1"/>
    </row>
    <row r="107" spans="1:21" x14ac:dyDescent="0.2">
      <c r="I107" s="1"/>
      <c r="U107" s="1"/>
    </row>
    <row r="108" spans="1:21" x14ac:dyDescent="0.2">
      <c r="I108" s="1"/>
      <c r="U108" s="1"/>
    </row>
    <row r="109" spans="1:21" x14ac:dyDescent="0.2">
      <c r="I109" s="1"/>
      <c r="U109" s="1"/>
    </row>
    <row r="110" spans="1:21" x14ac:dyDescent="0.2">
      <c r="I110" s="1"/>
      <c r="U110" s="1"/>
    </row>
    <row r="111" spans="1:21" x14ac:dyDescent="0.2">
      <c r="I111" s="1"/>
      <c r="U111" s="1"/>
    </row>
    <row r="112" spans="1:21" x14ac:dyDescent="0.2">
      <c r="I112" s="1"/>
      <c r="U112" s="1"/>
    </row>
    <row r="113" spans="9:21" x14ac:dyDescent="0.2">
      <c r="I113" s="1"/>
      <c r="U113" s="1"/>
    </row>
    <row r="114" spans="9:21" x14ac:dyDescent="0.2">
      <c r="I114" s="1"/>
      <c r="U114" s="1"/>
    </row>
    <row r="115" spans="9:21" x14ac:dyDescent="0.2">
      <c r="I115" s="1"/>
      <c r="U115" s="1"/>
    </row>
  </sheetData>
  <sheetProtection selectLockedCells="1"/>
  <mergeCells count="37">
    <mergeCell ref="O23:S23"/>
    <mergeCell ref="C15:E15"/>
    <mergeCell ref="O17:S17"/>
    <mergeCell ref="I30:K30"/>
    <mergeCell ref="I31:K31"/>
    <mergeCell ref="O18:S18"/>
    <mergeCell ref="O19:S19"/>
    <mergeCell ref="O20:S20"/>
    <mergeCell ref="O21:S21"/>
    <mergeCell ref="O22:S22"/>
    <mergeCell ref="C16:E16"/>
    <mergeCell ref="O24:S24"/>
    <mergeCell ref="O25:S25"/>
    <mergeCell ref="O26:S26"/>
    <mergeCell ref="O27:S27"/>
    <mergeCell ref="O28:S28"/>
    <mergeCell ref="I32:K32"/>
    <mergeCell ref="M31:O31"/>
    <mergeCell ref="M32:O32"/>
    <mergeCell ref="I33:K33"/>
    <mergeCell ref="I34:K34"/>
    <mergeCell ref="M33:O33"/>
    <mergeCell ref="M34:O34"/>
    <mergeCell ref="I35:K35"/>
    <mergeCell ref="K38:M38"/>
    <mergeCell ref="K39:M39"/>
    <mergeCell ref="K40:M40"/>
    <mergeCell ref="K37:M37"/>
    <mergeCell ref="M35:O35"/>
    <mergeCell ref="S47:U47"/>
    <mergeCell ref="S48:U48"/>
    <mergeCell ref="S49:U49"/>
    <mergeCell ref="S50:U50"/>
    <mergeCell ref="K41:M41"/>
    <mergeCell ref="K42:M42"/>
    <mergeCell ref="S45:U45"/>
    <mergeCell ref="S46:U46"/>
  </mergeCells>
  <dataValidations count="7">
    <dataValidation type="whole" allowBlank="1" showInputMessage="1" showErrorMessage="1" sqref="A38:A42" xr:uid="{00000000-0002-0000-0200-000000000000}">
      <formula1>0</formula1>
      <formula2>1000</formula2>
    </dataValidation>
    <dataValidation type="date" allowBlank="1" showInputMessage="1" showErrorMessage="1" sqref="C13" xr:uid="{00000000-0002-0000-0200-000001000000}">
      <formula1>45292</formula1>
      <formula2>73050</formula2>
    </dataValidation>
    <dataValidation type="whole" allowBlank="1" showInputMessage="1" showErrorMessage="1" sqref="C52:C53" xr:uid="{00000000-0002-0000-0200-000002000000}">
      <formula1>0</formula1>
      <formula2>100</formula2>
    </dataValidation>
    <dataValidation type="date" allowBlank="1" showInputMessage="1" showErrorMessage="1" sqref="K45:K50" xr:uid="{00000000-0002-0000-0200-000003000000}">
      <formula1>45444</formula1>
      <formula2>73415</formula2>
    </dataValidation>
    <dataValidation type="decimal" allowBlank="1" showInputMessage="1" showErrorMessage="1" sqref="M45:M50" xr:uid="{00000000-0002-0000-0200-000004000000}">
      <formula1>0</formula1>
      <formula2>999999</formula2>
    </dataValidation>
    <dataValidation type="whole" allowBlank="1" showInputMessage="1" showErrorMessage="1" sqref="O45:O50" xr:uid="{00000000-0002-0000-0200-000005000000}">
      <formula1>0</formula1>
      <formula2>100000</formula2>
    </dataValidation>
    <dataValidation type="list" allowBlank="1" showInputMessage="1" showErrorMessage="1" sqref="Q45:Q50" xr:uid="{00000000-0002-0000-0200-000006000000}">
      <formula1>"Worn Out, Poor, Good, Average, Excellent, As New"</formula1>
    </dataValidation>
  </dataValidations>
  <pageMargins left="0" right="0" top="0" bottom="0" header="0" footer="0"/>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7000000}">
          <x14:formula1>
            <xm:f>'Store LOCATIONS'!$A$2:$A$21</xm:f>
          </x14:formula1>
          <xm:sqref>C6</xm:sqref>
        </x14:dataValidation>
        <x14:dataValidation type="list" allowBlank="1" showInputMessage="1" showErrorMessage="1" xr:uid="{00000000-0002-0000-0200-000008000000}">
          <x14:formula1>
            <xm:f>Descriptions!$A$3:$A$39</xm:f>
          </x14:formula1>
          <xm:sqref>M19:M28 I19:I28 K19:K28 K38:K42</xm:sqref>
        </x14:dataValidation>
        <x14:dataValidation type="list" allowBlank="1" showInputMessage="1" showErrorMessage="1" xr:uid="{00000000-0002-0000-0200-000009000000}">
          <x14:formula1>
            <xm:f>'Sales People'!$H$2:$H$717</xm:f>
          </x14:formula1>
          <xm:sqref>C15:C16 D15:E15</xm:sqref>
        </x14:dataValidation>
        <x14:dataValidation type="list" allowBlank="1" showInputMessage="1" showErrorMessage="1" errorTitle="Stock Number not Found" promptTitle="Input Stock Number" prompt="Input Stock Number of in Stock Unit" xr:uid="{00000000-0002-0000-0200-00000A000000}">
          <x14:formula1>
            <xm:f>'Inventory Data'!$B:$B</xm:f>
          </x14:formula1>
          <xm:sqref>A19:A28</xm:sqref>
        </x14:dataValidation>
        <x14:dataValidation type="list" allowBlank="1" showInputMessage="1" showErrorMessage="1" xr:uid="{00000000-0002-0000-0200-00000B000000}">
          <x14:formula1>
            <xm:f>Brands!$C$1:$C$149</xm:f>
          </x14:formula1>
          <xm:sqref>C45:C50 C38:C42 C31:C35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69"/>
  <sheetViews>
    <sheetView zoomScale="70" zoomScaleNormal="70" workbookViewId="0">
      <pane xSplit="8" ySplit="2" topLeftCell="I35" activePane="bottomRight" state="frozen"/>
      <selection pane="topRight" activeCell="I1" sqref="I1"/>
      <selection pane="bottomLeft" activeCell="A3" sqref="A3"/>
      <selection pane="bottomRight" activeCell="K49" sqref="K49"/>
    </sheetView>
  </sheetViews>
  <sheetFormatPr baseColWidth="10" defaultColWidth="10.5" defaultRowHeight="14.25" customHeight="1" x14ac:dyDescent="0.2"/>
  <cols>
    <col min="1" max="1" width="19" style="16" customWidth="1"/>
    <col min="2" max="2" width="2" style="16" customWidth="1"/>
    <col min="3" max="3" width="27.5" style="16" customWidth="1"/>
    <col min="4" max="4" width="3" style="16" customWidth="1"/>
    <col min="5" max="5" width="10.5" style="16"/>
    <col min="6" max="6" width="1.5" style="16" customWidth="1"/>
    <col min="7" max="7" width="15.5" style="28" customWidth="1"/>
    <col min="8" max="8" width="1.5" style="28" customWidth="1"/>
    <col min="9" max="9" width="20.33203125" style="28" customWidth="1"/>
    <col min="10" max="10" width="2" style="28" customWidth="1"/>
    <col min="11" max="11" width="21.33203125" style="28" customWidth="1"/>
    <col min="12" max="12" width="1.5" style="28" customWidth="1"/>
    <col min="13" max="13" width="25" style="28" customWidth="1"/>
    <col min="14" max="14" width="2" style="28" customWidth="1"/>
    <col min="15" max="15" width="22" style="28" customWidth="1"/>
    <col min="16" max="16" width="2" style="28" customWidth="1"/>
    <col min="17" max="17" width="26.5" style="28" customWidth="1"/>
    <col min="18" max="18" width="5" style="16" customWidth="1"/>
    <col min="19" max="19" width="21" style="16" customWidth="1"/>
    <col min="20" max="20" width="3.5" style="16" customWidth="1"/>
    <col min="21" max="21" width="28" style="16" customWidth="1"/>
    <col min="22" max="22" width="3.5" style="16" customWidth="1"/>
    <col min="23" max="23" width="23" style="16" customWidth="1"/>
    <col min="24" max="24" width="3.5" style="16" customWidth="1"/>
    <col min="25" max="25" width="29.33203125" style="16" customWidth="1"/>
    <col min="26" max="26" width="3.5" style="16" customWidth="1"/>
    <col min="27" max="27" width="16.33203125" style="16" customWidth="1"/>
    <col min="28" max="28" width="3.5" style="16" customWidth="1"/>
    <col min="29" max="29" width="29.33203125" style="16" customWidth="1"/>
    <col min="30" max="30" width="2" style="16" customWidth="1"/>
    <col min="31" max="31" width="19.5" style="16" customWidth="1"/>
    <col min="32" max="32" width="5.5" style="16" customWidth="1"/>
    <col min="33" max="33" width="28.5" style="16" customWidth="1"/>
    <col min="34" max="34" width="3.5" style="16" customWidth="1"/>
    <col min="35" max="35" width="16" style="16" customWidth="1"/>
    <col min="36" max="36" width="2.5" style="16" customWidth="1"/>
    <col min="37" max="37" width="26.5" style="16" customWidth="1"/>
    <col min="38" max="38" width="4" style="16" customWidth="1"/>
    <col min="39" max="39" width="32.33203125" style="16" customWidth="1"/>
    <col min="40" max="40" width="10.5" style="16"/>
    <col min="41" max="41" width="31" style="16" customWidth="1"/>
    <col min="42" max="42" width="5" style="16" customWidth="1"/>
    <col min="43" max="43" width="25" style="16" customWidth="1"/>
    <col min="44" max="44" width="10.5" style="16"/>
    <col min="45" max="45" width="29.5" style="16" customWidth="1"/>
    <col min="46" max="46" width="2.5" style="16" customWidth="1"/>
    <col min="47" max="47" width="22.5" style="16" customWidth="1"/>
    <col min="48" max="48" width="10.5" style="16"/>
    <col min="49" max="49" width="28" style="16" customWidth="1"/>
    <col min="50" max="16384" width="10.5" style="16"/>
  </cols>
  <sheetData>
    <row r="1" spans="1:27" ht="16" x14ac:dyDescent="0.2">
      <c r="A1" s="16" t="s">
        <v>44</v>
      </c>
      <c r="C1" s="16">
        <f>+'Sales Input Sheet'!C11</f>
        <v>0</v>
      </c>
    </row>
    <row r="2" spans="1:27" ht="17" thickBot="1" x14ac:dyDescent="0.25">
      <c r="A2" s="16" t="s">
        <v>43</v>
      </c>
      <c r="C2" s="748" t="str">
        <f>+Calculations!B3</f>
        <v xml:space="preserve">  </v>
      </c>
      <c r="D2" s="748"/>
      <c r="E2" s="748"/>
      <c r="R2" s="67"/>
      <c r="S2" s="28"/>
      <c r="T2" s="28"/>
      <c r="U2" s="28"/>
    </row>
    <row r="3" spans="1:27" ht="19" x14ac:dyDescent="0.2">
      <c r="F3" s="66"/>
      <c r="G3" s="66"/>
      <c r="I3" s="1" t="s">
        <v>74</v>
      </c>
      <c r="K3" s="24" t="s">
        <v>75</v>
      </c>
      <c r="L3" s="1"/>
      <c r="M3" s="26"/>
      <c r="O3" s="68" t="s">
        <v>76</v>
      </c>
      <c r="P3" s="1"/>
      <c r="Q3" s="58"/>
      <c r="R3" s="67"/>
      <c r="S3" s="750" t="s">
        <v>77</v>
      </c>
      <c r="T3" s="751"/>
      <c r="U3" s="752"/>
    </row>
    <row r="4" spans="1:27" ht="16" x14ac:dyDescent="0.2">
      <c r="G4" s="16"/>
      <c r="H4" s="16"/>
      <c r="I4" s="16"/>
      <c r="J4" s="16"/>
      <c r="K4" s="16"/>
      <c r="L4" s="16"/>
      <c r="M4" s="16"/>
      <c r="N4" s="16"/>
      <c r="O4" s="16"/>
      <c r="P4" s="16"/>
      <c r="Q4" s="16"/>
      <c r="S4" s="69"/>
      <c r="U4" s="70"/>
    </row>
    <row r="5" spans="1:27" ht="19" x14ac:dyDescent="0.2">
      <c r="C5" s="66"/>
      <c r="D5" s="66"/>
      <c r="E5" s="66" t="s">
        <v>78</v>
      </c>
      <c r="F5" s="66"/>
      <c r="G5" s="66"/>
      <c r="I5" s="1"/>
      <c r="K5" s="24"/>
      <c r="L5" s="1"/>
      <c r="M5" s="16"/>
      <c r="N5" s="16"/>
      <c r="O5" s="68" t="s">
        <v>79</v>
      </c>
      <c r="P5" s="1"/>
      <c r="Q5" s="58"/>
      <c r="R5" s="67"/>
      <c r="S5" s="69"/>
      <c r="U5" s="70"/>
    </row>
    <row r="6" spans="1:27" ht="16" x14ac:dyDescent="0.2">
      <c r="G6" s="16"/>
      <c r="H6" s="16"/>
      <c r="I6" s="16"/>
      <c r="J6" s="16"/>
      <c r="K6" s="16"/>
      <c r="L6" s="16"/>
      <c r="M6" s="16"/>
      <c r="N6" s="16"/>
      <c r="O6" s="16"/>
      <c r="P6" s="16"/>
      <c r="Q6" s="16"/>
      <c r="S6" s="69"/>
      <c r="U6" s="70"/>
    </row>
    <row r="7" spans="1:27" ht="68" x14ac:dyDescent="0.2">
      <c r="E7" s="749">
        <f>+'Sales Input Sheet'!C15</f>
        <v>0</v>
      </c>
      <c r="F7" s="749"/>
      <c r="G7" s="749"/>
      <c r="I7" s="71"/>
      <c r="K7" s="24" t="s">
        <v>80</v>
      </c>
      <c r="L7" s="1"/>
      <c r="M7" s="72"/>
      <c r="O7" s="68" t="s">
        <v>81</v>
      </c>
      <c r="P7" s="1"/>
      <c r="Q7" s="58"/>
      <c r="R7" s="67"/>
      <c r="S7" s="73" t="s">
        <v>82</v>
      </c>
      <c r="U7" s="74"/>
      <c r="W7" s="14" t="s">
        <v>2296</v>
      </c>
      <c r="Y7" s="101"/>
      <c r="AA7" s="16" t="s">
        <v>2293</v>
      </c>
    </row>
    <row r="8" spans="1:27" ht="16" x14ac:dyDescent="0.2">
      <c r="G8" s="16"/>
      <c r="H8" s="16"/>
      <c r="I8" s="16"/>
      <c r="J8" s="16"/>
      <c r="K8" s="16"/>
      <c r="L8" s="16"/>
      <c r="M8" s="16"/>
      <c r="N8" s="16"/>
      <c r="S8" s="69"/>
      <c r="U8" s="70"/>
    </row>
    <row r="9" spans="1:27" ht="57" x14ac:dyDescent="0.2">
      <c r="A9" s="14" t="s">
        <v>83</v>
      </c>
      <c r="C9" s="18"/>
      <c r="E9" s="749">
        <f>+'Sales Input Sheet'!C16</f>
        <v>0</v>
      </c>
      <c r="F9" s="749"/>
      <c r="G9" s="749"/>
      <c r="I9" s="75">
        <f>+Calculations!B4</f>
        <v>1</v>
      </c>
      <c r="K9" s="24" t="s">
        <v>84</v>
      </c>
      <c r="L9" s="1"/>
      <c r="M9" s="72"/>
      <c r="O9" s="68" t="s">
        <v>85</v>
      </c>
      <c r="P9" s="1"/>
      <c r="Q9" s="58"/>
      <c r="R9" s="67"/>
      <c r="S9" s="73" t="s">
        <v>86</v>
      </c>
      <c r="U9" s="76"/>
      <c r="W9" s="14" t="s">
        <v>2291</v>
      </c>
      <c r="Y9" s="101"/>
      <c r="AA9" s="16" t="s">
        <v>2294</v>
      </c>
    </row>
    <row r="10" spans="1:27" ht="16" x14ac:dyDescent="0.2">
      <c r="G10" s="16"/>
      <c r="H10" s="16"/>
      <c r="I10" s="16"/>
      <c r="J10" s="16"/>
      <c r="K10" s="16"/>
      <c r="L10" s="16"/>
      <c r="M10" s="16"/>
      <c r="N10" s="16"/>
      <c r="S10" s="69"/>
      <c r="U10" s="70"/>
    </row>
    <row r="11" spans="1:27" ht="68" x14ac:dyDescent="0.2">
      <c r="A11" s="1" t="s">
        <v>87</v>
      </c>
      <c r="B11" s="1"/>
      <c r="C11" s="77"/>
      <c r="I11" s="78"/>
      <c r="J11" s="1"/>
      <c r="K11" s="24" t="s">
        <v>89</v>
      </c>
      <c r="L11" s="1"/>
      <c r="M11" s="72"/>
      <c r="O11" s="68" t="s">
        <v>90</v>
      </c>
      <c r="P11" s="1"/>
      <c r="Q11" s="58"/>
      <c r="R11" s="67"/>
      <c r="S11" s="73" t="s">
        <v>91</v>
      </c>
      <c r="U11" s="79">
        <f>Q17+Q19</f>
        <v>0</v>
      </c>
      <c r="W11" s="14" t="s">
        <v>2292</v>
      </c>
      <c r="Y11" s="101"/>
      <c r="AA11" s="16" t="s">
        <v>2295</v>
      </c>
    </row>
    <row r="12" spans="1:27" ht="16" x14ac:dyDescent="0.2">
      <c r="G12" s="16"/>
      <c r="H12" s="16"/>
      <c r="I12" s="16"/>
      <c r="J12" s="16"/>
      <c r="K12" s="16"/>
      <c r="L12" s="16"/>
      <c r="M12" s="16"/>
      <c r="N12" s="16"/>
      <c r="S12" s="69"/>
      <c r="U12" s="70"/>
    </row>
    <row r="13" spans="1:27" ht="57" x14ac:dyDescent="0.2">
      <c r="A13" s="1" t="s">
        <v>92</v>
      </c>
      <c r="B13" s="1"/>
      <c r="C13" s="80"/>
      <c r="I13" s="78"/>
      <c r="J13" s="1"/>
      <c r="K13" s="24" t="s">
        <v>93</v>
      </c>
      <c r="L13" s="1"/>
      <c r="M13" s="72"/>
      <c r="O13" s="68" t="s">
        <v>94</v>
      </c>
      <c r="P13" s="1"/>
      <c r="Q13" s="58"/>
      <c r="R13" s="67"/>
      <c r="S13" s="73" t="s">
        <v>95</v>
      </c>
      <c r="U13" s="81">
        <f>Calculations!B449</f>
        <v>0</v>
      </c>
    </row>
    <row r="14" spans="1:27" ht="17" thickBot="1" x14ac:dyDescent="0.25">
      <c r="G14" s="16"/>
      <c r="H14" s="16"/>
      <c r="I14" s="16"/>
      <c r="J14" s="16"/>
      <c r="K14" s="16"/>
      <c r="L14" s="16"/>
      <c r="M14" s="16"/>
      <c r="N14" s="16"/>
      <c r="O14" s="82"/>
      <c r="S14" s="69"/>
      <c r="U14" s="70"/>
    </row>
    <row r="15" spans="1:27" ht="41.25" customHeight="1" x14ac:dyDescent="0.2">
      <c r="A15" s="16" t="s">
        <v>45</v>
      </c>
      <c r="C15" s="83"/>
      <c r="J15" s="1"/>
      <c r="K15" s="24" t="s">
        <v>96</v>
      </c>
      <c r="L15" s="1"/>
      <c r="M15" s="72"/>
      <c r="O15" s="68" t="s">
        <v>97</v>
      </c>
      <c r="P15" s="1"/>
      <c r="Q15" s="56"/>
      <c r="R15" s="67"/>
      <c r="S15" s="753" t="str" cm="1">
        <f t="array" ref="S15">IF(OR('Work a Quote'!F23:F25&lt;&gt;0,'Work a Quote'!D9&lt;&gt;0),"DATA STILL IN WORK A QUOTE, CONFIRM COSTING IS UPDATED AND CLEAR BEFORE PROCEEDING","")</f>
        <v/>
      </c>
      <c r="T15" s="754"/>
      <c r="U15" s="755"/>
    </row>
    <row r="16" spans="1:27" ht="18" customHeight="1" x14ac:dyDescent="0.2">
      <c r="J16" s="1"/>
      <c r="K16" s="24"/>
      <c r="L16" s="16"/>
      <c r="M16" s="16"/>
      <c r="N16" s="16"/>
      <c r="O16" s="67"/>
      <c r="P16" s="16"/>
      <c r="Q16" s="16"/>
      <c r="R16" s="67"/>
      <c r="S16" s="756"/>
      <c r="T16" s="757"/>
      <c r="U16" s="758"/>
    </row>
    <row r="17" spans="1:49" ht="57" x14ac:dyDescent="0.2">
      <c r="A17" s="16" t="s">
        <v>98</v>
      </c>
      <c r="C17" s="84"/>
      <c r="E17" s="84"/>
      <c r="J17" s="1"/>
      <c r="K17" s="4" t="s">
        <v>99</v>
      </c>
      <c r="L17" s="1"/>
      <c r="M17" s="72"/>
      <c r="O17" s="33" t="s">
        <v>100</v>
      </c>
      <c r="P17" s="1"/>
      <c r="Q17" s="56"/>
      <c r="R17" s="67"/>
      <c r="S17" s="756"/>
      <c r="T17" s="757"/>
      <c r="U17" s="758"/>
    </row>
    <row r="18" spans="1:49" ht="17" thickBot="1" x14ac:dyDescent="0.25">
      <c r="G18" s="16"/>
      <c r="H18" s="16"/>
      <c r="I18" s="16"/>
      <c r="J18" s="16"/>
      <c r="K18" s="16"/>
      <c r="L18" s="16"/>
      <c r="M18" s="16"/>
      <c r="N18" s="16"/>
      <c r="O18" s="82"/>
      <c r="S18" s="759"/>
      <c r="T18" s="760"/>
      <c r="U18" s="761"/>
    </row>
    <row r="19" spans="1:49" ht="38" x14ac:dyDescent="0.2">
      <c r="A19" s="14" t="s">
        <v>101</v>
      </c>
      <c r="C19" s="84"/>
      <c r="E19" s="85"/>
      <c r="J19" s="1"/>
      <c r="K19" s="24" t="s">
        <v>102</v>
      </c>
      <c r="L19" s="1"/>
      <c r="M19" s="86"/>
      <c r="O19" s="68" t="s">
        <v>103</v>
      </c>
      <c r="P19" s="1"/>
      <c r="Q19" s="56"/>
      <c r="R19" s="67"/>
      <c r="S19" s="67" t="s">
        <v>104</v>
      </c>
      <c r="U19" s="87"/>
    </row>
    <row r="20" spans="1:49" ht="9" customHeight="1" x14ac:dyDescent="0.2">
      <c r="J20" s="1"/>
      <c r="R20" s="67"/>
      <c r="S20" s="33"/>
      <c r="U20" s="1"/>
      <c r="W20" s="1"/>
      <c r="Y20" s="1"/>
      <c r="AC20" s="1"/>
    </row>
    <row r="21" spans="1:49" ht="76" x14ac:dyDescent="0.2">
      <c r="A21" s="16" t="s">
        <v>51</v>
      </c>
      <c r="C21" s="16" t="s">
        <v>105</v>
      </c>
      <c r="E21" s="16" t="s">
        <v>106</v>
      </c>
      <c r="G21" s="28" t="s">
        <v>53</v>
      </c>
      <c r="I21" s="33" t="s">
        <v>107</v>
      </c>
      <c r="J21" s="1"/>
      <c r="K21" s="1" t="s">
        <v>108</v>
      </c>
      <c r="M21" s="28" t="s">
        <v>109</v>
      </c>
      <c r="O21" s="82" t="s">
        <v>110</v>
      </c>
      <c r="P21" s="82"/>
      <c r="Q21" s="88" t="s">
        <v>111</v>
      </c>
      <c r="R21" s="67"/>
      <c r="S21" s="67" t="s">
        <v>112</v>
      </c>
      <c r="T21" s="89"/>
      <c r="U21" s="37" t="s">
        <v>113</v>
      </c>
      <c r="V21" s="66"/>
      <c r="W21" s="19" t="s">
        <v>114</v>
      </c>
      <c r="X21" s="66"/>
      <c r="Y21" s="37" t="s">
        <v>115</v>
      </c>
      <c r="AA21" s="90" t="s">
        <v>116</v>
      </c>
      <c r="AB21" s="1"/>
      <c r="AC21" s="67" t="s">
        <v>117</v>
      </c>
      <c r="AE21" s="16" t="s">
        <v>118</v>
      </c>
      <c r="AG21" s="16" t="s">
        <v>119</v>
      </c>
      <c r="AI21" s="91" t="s">
        <v>120</v>
      </c>
      <c r="AJ21" s="91"/>
      <c r="AK21" s="91" t="s">
        <v>121</v>
      </c>
      <c r="AL21" s="91"/>
      <c r="AM21" s="91" t="s">
        <v>122</v>
      </c>
      <c r="AO21" s="16" t="s">
        <v>123</v>
      </c>
      <c r="AQ21" s="14" t="s">
        <v>124</v>
      </c>
      <c r="AS21" s="16" t="s">
        <v>125</v>
      </c>
      <c r="AU21" s="16" t="s">
        <v>126</v>
      </c>
      <c r="AW21" s="14" t="s">
        <v>2270</v>
      </c>
    </row>
    <row r="22" spans="1:49" ht="19" x14ac:dyDescent="0.25">
      <c r="A22" s="16">
        <f>+'Sales Input Sheet'!A19</f>
        <v>0</v>
      </c>
      <c r="C22" s="16" t="str">
        <f>+'Sales Input Sheet'!C19</f>
        <v/>
      </c>
      <c r="E22" s="16" t="str">
        <f>+'Sales Input Sheet'!E19</f>
        <v/>
      </c>
      <c r="G22" s="28" t="str">
        <f>Calculations!B8</f>
        <v/>
      </c>
      <c r="I22" s="58"/>
      <c r="J22" s="1"/>
      <c r="K22" s="58"/>
      <c r="M22" s="28">
        <f>+Calculations!B526</f>
        <v>0</v>
      </c>
      <c r="O22" s="82">
        <f>Calculations!B11</f>
        <v>0</v>
      </c>
      <c r="P22" s="82"/>
      <c r="Q22" s="92"/>
      <c r="R22" s="67"/>
      <c r="S22" s="93">
        <f>+Calculations!B14</f>
        <v>0</v>
      </c>
      <c r="U22" s="48"/>
      <c r="W22" s="92"/>
      <c r="Y22" s="48"/>
      <c r="AA22" s="94"/>
      <c r="AB22" s="1"/>
      <c r="AC22" s="95">
        <f>IF(C22="land Pride",'Admin Input Sheet'!$C$3,IF(AND(C22="Kubota",OR(LEFT(E22,1)="b",LEFT(E22,1)="l",LEFT(E22,1)="f",LEFT(E22,1)="g",AND(LEFT(E22,1)="t",LEFT(E22,2)&lt;&gt;"te",LEFT(E22,3)&lt;&gt;"tlb"),LEFT(E22,1)="w",LEFT(E22,1)="z",LEFT(E22,3)="rtv")),'Admin Input Sheet'!$C$3,'Admin Input Sheet'!$C$4))</f>
        <v>2E-3</v>
      </c>
      <c r="AE22" s="96"/>
      <c r="AF22"/>
      <c r="AG22" s="97"/>
      <c r="AI22" s="98"/>
      <c r="AJ22" s="91"/>
      <c r="AK22" s="99"/>
      <c r="AL22" s="91"/>
      <c r="AM22" s="100"/>
      <c r="AO22" s="101"/>
      <c r="AQ22" s="101"/>
      <c r="AS22" s="102"/>
      <c r="AU22" s="102"/>
      <c r="AW22" s="706"/>
    </row>
    <row r="23" spans="1:49" ht="19" x14ac:dyDescent="0.25">
      <c r="A23" s="16">
        <f>+'Sales Input Sheet'!A20</f>
        <v>0</v>
      </c>
      <c r="C23" s="16" t="str">
        <f>+'Sales Input Sheet'!C20</f>
        <v/>
      </c>
      <c r="E23" s="16" t="str">
        <f>+'Sales Input Sheet'!E20</f>
        <v/>
      </c>
      <c r="G23" s="28" t="str">
        <f>Calculations!B20</f>
        <v/>
      </c>
      <c r="I23" s="58"/>
      <c r="J23" s="1"/>
      <c r="K23" s="58"/>
      <c r="M23" s="28">
        <f>+Calculations!B527</f>
        <v>0</v>
      </c>
      <c r="O23" s="82">
        <f>Calculations!B23</f>
        <v>0</v>
      </c>
      <c r="P23" s="82"/>
      <c r="Q23" s="92"/>
      <c r="R23" s="67"/>
      <c r="S23" s="93">
        <f>+Calculations!B26</f>
        <v>0</v>
      </c>
      <c r="U23" s="48"/>
      <c r="W23" s="92"/>
      <c r="Y23" s="48"/>
      <c r="AA23" s="94"/>
      <c r="AB23" s="1"/>
      <c r="AC23" s="95">
        <f>IF(C23="land Pride",'Admin Input Sheet'!$C$3,IF(AND(C23="Kubota",OR(LEFT(E23,1)="b",LEFT(E23,1)="l",LEFT(E23,1)="f",LEFT(E23,1)="g",AND(LEFT(E23,1)="t",LEFT(E23,2)&lt;&gt;"te",LEFT(E23,3)&lt;&gt;"tlb"),LEFT(E23,1)="w",LEFT(E23,1)="z",LEFT(E23,3)="rtv")),'Admin Input Sheet'!$C$3,'Admin Input Sheet'!$C$4))</f>
        <v>2E-3</v>
      </c>
      <c r="AE23" s="96"/>
      <c r="AF23"/>
      <c r="AG23" s="97"/>
      <c r="AI23" s="98"/>
      <c r="AJ23" s="91"/>
      <c r="AK23" s="99"/>
      <c r="AL23" s="91"/>
      <c r="AM23" s="100"/>
      <c r="AO23" s="101"/>
      <c r="AQ23" s="101"/>
      <c r="AS23" s="102"/>
      <c r="AU23" s="102"/>
      <c r="AW23" s="706"/>
    </row>
    <row r="24" spans="1:49" ht="19" x14ac:dyDescent="0.25">
      <c r="A24" s="16">
        <f>+'Sales Input Sheet'!A21</f>
        <v>0</v>
      </c>
      <c r="C24" s="16" t="str">
        <f>+'Sales Input Sheet'!C21</f>
        <v/>
      </c>
      <c r="E24" s="16" t="str">
        <f>+'Sales Input Sheet'!E21</f>
        <v/>
      </c>
      <c r="G24" s="28" t="str">
        <f>Calculations!B32</f>
        <v/>
      </c>
      <c r="I24" s="58"/>
      <c r="J24" s="1"/>
      <c r="K24" s="58"/>
      <c r="M24" s="28">
        <f>+Calculations!B528</f>
        <v>0</v>
      </c>
      <c r="O24" s="82">
        <f>Calculations!B35</f>
        <v>0</v>
      </c>
      <c r="P24" s="82"/>
      <c r="Q24" s="92"/>
      <c r="R24" s="67"/>
      <c r="S24" s="93">
        <f>+Calculations!B38</f>
        <v>0</v>
      </c>
      <c r="U24" s="48"/>
      <c r="W24" s="92"/>
      <c r="Y24" s="48"/>
      <c r="AA24" s="94"/>
      <c r="AB24" s="1"/>
      <c r="AC24" s="95">
        <f>IF(C24="land Pride",'Admin Input Sheet'!$C$3,IF(AND(C24="Kubota",OR(LEFT(E24,1)="b",LEFT(E24,1)="l",LEFT(E24,1)="f",LEFT(E24,1)="g",AND(LEFT(E24,1)="t",LEFT(E24,2)&lt;&gt;"te",LEFT(E24,3)&lt;&gt;"tlb"),LEFT(E24,1)="w",LEFT(E24,1)="z",LEFT(E24,3)="rtv")),'Admin Input Sheet'!$C$3,'Admin Input Sheet'!$C$4))</f>
        <v>2E-3</v>
      </c>
      <c r="AE24" s="96"/>
      <c r="AF24"/>
      <c r="AG24" s="97"/>
      <c r="AI24" s="98"/>
      <c r="AJ24" s="91"/>
      <c r="AK24" s="99"/>
      <c r="AL24" s="91"/>
      <c r="AM24" s="100"/>
      <c r="AO24" s="101"/>
      <c r="AQ24" s="101"/>
      <c r="AS24" s="102"/>
      <c r="AU24" s="102"/>
      <c r="AW24" s="706"/>
    </row>
    <row r="25" spans="1:49" ht="19" x14ac:dyDescent="0.25">
      <c r="A25" s="16">
        <f>+'Sales Input Sheet'!A22</f>
        <v>0</v>
      </c>
      <c r="C25" s="16" t="str">
        <f>+'Sales Input Sheet'!C22</f>
        <v/>
      </c>
      <c r="E25" s="16" t="str">
        <f>+'Sales Input Sheet'!E22</f>
        <v/>
      </c>
      <c r="G25" s="28" t="str">
        <f>Calculations!B44</f>
        <v/>
      </c>
      <c r="I25" s="58"/>
      <c r="J25" s="1"/>
      <c r="K25" s="58"/>
      <c r="M25" s="28">
        <f>+Calculations!B529</f>
        <v>0</v>
      </c>
      <c r="O25" s="82">
        <f>Calculations!B47</f>
        <v>0</v>
      </c>
      <c r="P25" s="82"/>
      <c r="Q25" s="92"/>
      <c r="R25" s="67"/>
      <c r="S25" s="93">
        <f>+Calculations!B50</f>
        <v>0</v>
      </c>
      <c r="U25" s="48"/>
      <c r="W25" s="92"/>
      <c r="Y25" s="48"/>
      <c r="AA25" s="94"/>
      <c r="AB25" s="1"/>
      <c r="AC25" s="95">
        <f>IF(C25="land Pride",'Admin Input Sheet'!$C$3,IF(AND(C25="Kubota",OR(LEFT(E25,1)="b",LEFT(E25,1)="l",LEFT(E25,1)="f",LEFT(E25,1)="g",AND(LEFT(E25,1)="t",LEFT(E25,2)&lt;&gt;"te",LEFT(E25,3)&lt;&gt;"tlb"),LEFT(E25,1)="w",LEFT(E25,1)="z",LEFT(E25,3)="rtv")),'Admin Input Sheet'!$C$3,'Admin Input Sheet'!$C$4))</f>
        <v>2E-3</v>
      </c>
      <c r="AE25" s="96"/>
      <c r="AF25"/>
      <c r="AG25" s="97"/>
      <c r="AI25" s="98"/>
      <c r="AJ25" s="91"/>
      <c r="AK25" s="99"/>
      <c r="AL25" s="91"/>
      <c r="AM25" s="100"/>
      <c r="AO25" s="101"/>
      <c r="AQ25" s="101"/>
      <c r="AS25" s="102"/>
      <c r="AU25" s="102"/>
      <c r="AW25" s="706"/>
    </row>
    <row r="26" spans="1:49" ht="19" x14ac:dyDescent="0.25">
      <c r="A26" s="16">
        <f>+'Sales Input Sheet'!A23</f>
        <v>0</v>
      </c>
      <c r="C26" s="16" t="str">
        <f>+'Sales Input Sheet'!C23</f>
        <v/>
      </c>
      <c r="E26" s="16" t="str">
        <f>+'Sales Input Sheet'!E23</f>
        <v/>
      </c>
      <c r="G26" s="28" t="str">
        <f>Calculations!B56</f>
        <v/>
      </c>
      <c r="I26" s="58"/>
      <c r="J26" s="1"/>
      <c r="K26" s="58"/>
      <c r="M26" s="28">
        <f>+Calculations!B530</f>
        <v>0</v>
      </c>
      <c r="O26" s="82">
        <f>Calculations!B59</f>
        <v>0</v>
      </c>
      <c r="P26" s="82"/>
      <c r="Q26" s="92"/>
      <c r="R26" s="67"/>
      <c r="S26" s="93">
        <f>+Calculations!B62</f>
        <v>0</v>
      </c>
      <c r="U26" s="48"/>
      <c r="W26" s="92"/>
      <c r="Y26" s="48"/>
      <c r="AA26" s="94"/>
      <c r="AB26" s="1"/>
      <c r="AC26" s="95">
        <f>IF(C26="land Pride",'Admin Input Sheet'!$C$3,IF(AND(C26="Kubota",OR(LEFT(E26,1)="b",LEFT(E26,1)="l",LEFT(E26,1)="f",LEFT(E26,1)="g",AND(LEFT(E26,1)="t",LEFT(E26,2)&lt;&gt;"te",LEFT(E26,3)&lt;&gt;"tlb"),LEFT(E26,1)="w",LEFT(E26,1)="z",LEFT(E26,3)="rtv")),'Admin Input Sheet'!$C$3,'Admin Input Sheet'!$C$4))</f>
        <v>2E-3</v>
      </c>
      <c r="AE26" s="96"/>
      <c r="AF26" s="103"/>
      <c r="AG26" s="97"/>
      <c r="AI26" s="98"/>
      <c r="AJ26" s="91"/>
      <c r="AK26" s="99"/>
      <c r="AL26" s="91"/>
      <c r="AM26" s="100"/>
      <c r="AO26" s="101"/>
      <c r="AQ26" s="101"/>
      <c r="AS26" s="102"/>
      <c r="AU26" s="102"/>
      <c r="AW26" s="706"/>
    </row>
    <row r="27" spans="1:49" ht="19" x14ac:dyDescent="0.25">
      <c r="A27" s="16">
        <f>+'Sales Input Sheet'!A24</f>
        <v>0</v>
      </c>
      <c r="C27" s="16" t="str">
        <f>+'Sales Input Sheet'!C24</f>
        <v/>
      </c>
      <c r="E27" s="16" t="str">
        <f>+'Sales Input Sheet'!E24</f>
        <v/>
      </c>
      <c r="G27" s="28" t="str">
        <f>Calculations!B68</f>
        <v/>
      </c>
      <c r="I27" s="58"/>
      <c r="J27" s="1"/>
      <c r="K27" s="58"/>
      <c r="M27" s="28">
        <f>+Calculations!B531</f>
        <v>0</v>
      </c>
      <c r="O27" s="82">
        <f>Calculations!B71</f>
        <v>0</v>
      </c>
      <c r="P27" s="82"/>
      <c r="Q27" s="92"/>
      <c r="R27" s="67"/>
      <c r="S27" s="93">
        <f>+Calculations!B74</f>
        <v>0</v>
      </c>
      <c r="U27" s="48"/>
      <c r="W27" s="92"/>
      <c r="Y27" s="48"/>
      <c r="AA27" s="94"/>
      <c r="AB27" s="1"/>
      <c r="AC27" s="95">
        <f>IF(C27="land Pride",'Admin Input Sheet'!$C$3,IF(AND(C27="Kubota",OR(LEFT(E27,1)="b",LEFT(E27,1)="l",LEFT(E27,1)="f",LEFT(E27,1)="g",AND(LEFT(E27,1)="t",LEFT(E27,2)&lt;&gt;"te",LEFT(E27,3)&lt;&gt;"tlb"),LEFT(E27,1)="w",LEFT(E27,1)="z",LEFT(E27,3)="rtv")),'Admin Input Sheet'!$C$3,'Admin Input Sheet'!$C$4))</f>
        <v>2E-3</v>
      </c>
      <c r="AE27" s="96"/>
      <c r="AF27" s="103"/>
      <c r="AG27" s="97"/>
      <c r="AI27" s="98"/>
      <c r="AJ27" s="91"/>
      <c r="AK27" s="99"/>
      <c r="AL27" s="91"/>
      <c r="AM27" s="100"/>
      <c r="AO27" s="101"/>
      <c r="AQ27" s="101"/>
      <c r="AS27" s="102"/>
      <c r="AU27" s="102"/>
      <c r="AW27" s="706"/>
    </row>
    <row r="28" spans="1:49" ht="19" x14ac:dyDescent="0.25">
      <c r="A28" s="16">
        <f>+'Sales Input Sheet'!A25</f>
        <v>0</v>
      </c>
      <c r="C28" s="16" t="str">
        <f>+'Sales Input Sheet'!C25</f>
        <v/>
      </c>
      <c r="E28" s="16" t="str">
        <f>+'Sales Input Sheet'!E25</f>
        <v/>
      </c>
      <c r="G28" s="28" t="str">
        <f>Calculations!B80</f>
        <v/>
      </c>
      <c r="I28" s="58"/>
      <c r="J28" s="1"/>
      <c r="K28" s="58"/>
      <c r="M28" s="28">
        <f>+Calculations!B532</f>
        <v>0</v>
      </c>
      <c r="O28" s="82">
        <f>Calculations!B83</f>
        <v>0</v>
      </c>
      <c r="P28" s="82"/>
      <c r="Q28" s="92"/>
      <c r="R28" s="67"/>
      <c r="S28" s="93">
        <f>+Calculations!B86</f>
        <v>0</v>
      </c>
      <c r="U28" s="48"/>
      <c r="W28" s="92"/>
      <c r="Y28" s="48"/>
      <c r="AA28" s="94"/>
      <c r="AB28" s="1"/>
      <c r="AC28" s="95">
        <f>IF(C28="land Pride",'Admin Input Sheet'!$C$3,IF(AND(C28="Kubota",OR(LEFT(E28,1)="b",LEFT(E28,1)="l",LEFT(E28,1)="f",LEFT(E28,1)="g",AND(LEFT(E28,1)="t",LEFT(E28,2)&lt;&gt;"te",LEFT(E28,3)&lt;&gt;"tlb"),LEFT(E28,1)="w",LEFT(E28,1)="z",LEFT(E28,3)="rtv")),'Admin Input Sheet'!$C$3,'Admin Input Sheet'!$C$4))</f>
        <v>2E-3</v>
      </c>
      <c r="AE28" s="96"/>
      <c r="AF28" s="103"/>
      <c r="AG28" s="97"/>
      <c r="AI28" s="98"/>
      <c r="AJ28" s="91"/>
      <c r="AK28" s="99"/>
      <c r="AL28" s="91"/>
      <c r="AM28" s="100"/>
      <c r="AO28" s="101"/>
      <c r="AQ28" s="101"/>
      <c r="AS28" s="102"/>
      <c r="AU28" s="102"/>
      <c r="AW28" s="706"/>
    </row>
    <row r="29" spans="1:49" ht="19" x14ac:dyDescent="0.25">
      <c r="A29" s="16">
        <f>+'Sales Input Sheet'!A26</f>
        <v>0</v>
      </c>
      <c r="C29" s="16" t="str">
        <f>+'Sales Input Sheet'!C26</f>
        <v/>
      </c>
      <c r="E29" s="16" t="str">
        <f>+'Sales Input Sheet'!E26</f>
        <v/>
      </c>
      <c r="G29" s="28" t="str">
        <f>Calculations!B92</f>
        <v/>
      </c>
      <c r="I29" s="58"/>
      <c r="J29" s="1"/>
      <c r="K29" s="58"/>
      <c r="M29" s="28">
        <f>+Calculations!B533</f>
        <v>0</v>
      </c>
      <c r="O29" s="82">
        <f>Calculations!B95</f>
        <v>0</v>
      </c>
      <c r="P29" s="82"/>
      <c r="Q29" s="92"/>
      <c r="R29" s="67"/>
      <c r="S29" s="93">
        <f>+Calculations!B98</f>
        <v>0</v>
      </c>
      <c r="U29" s="48"/>
      <c r="W29" s="92"/>
      <c r="Y29" s="48"/>
      <c r="AA29" s="94"/>
      <c r="AB29" s="1"/>
      <c r="AC29" s="95">
        <f>IF(C29="land Pride",'Admin Input Sheet'!$C$3,IF(AND(C29="Kubota",OR(LEFT(E29,1)="b",LEFT(E29,1)="l",LEFT(E29,1)="f",LEFT(E29,1)="g",AND(LEFT(E29,1)="t",LEFT(E29,2)&lt;&gt;"te",LEFT(E29,3)&lt;&gt;"tlb"),LEFT(E29,1)="w",LEFT(E29,1)="z",LEFT(E29,3)="rtv")),'Admin Input Sheet'!$C$3,'Admin Input Sheet'!$C$4))</f>
        <v>2E-3</v>
      </c>
      <c r="AE29" s="96"/>
      <c r="AF29" s="103"/>
      <c r="AG29" s="97"/>
      <c r="AI29" s="98"/>
      <c r="AJ29" s="91"/>
      <c r="AK29" s="99"/>
      <c r="AL29" s="91"/>
      <c r="AM29" s="100"/>
      <c r="AO29" s="101"/>
      <c r="AQ29" s="101"/>
      <c r="AS29" s="102"/>
      <c r="AU29" s="102"/>
      <c r="AW29" s="706"/>
    </row>
    <row r="30" spans="1:49" ht="19" x14ac:dyDescent="0.25">
      <c r="A30" s="16">
        <f>+'Sales Input Sheet'!A27</f>
        <v>0</v>
      </c>
      <c r="C30" s="16" t="str">
        <f>+'Sales Input Sheet'!C27</f>
        <v/>
      </c>
      <c r="E30" s="16" t="str">
        <f>+'Sales Input Sheet'!E27</f>
        <v/>
      </c>
      <c r="G30" s="28" t="str">
        <f>Calculations!B104</f>
        <v/>
      </c>
      <c r="I30" s="58"/>
      <c r="J30" s="1"/>
      <c r="K30" s="58"/>
      <c r="M30" s="28">
        <f>+Calculations!B534</f>
        <v>0</v>
      </c>
      <c r="O30" s="82">
        <f>Calculations!B107</f>
        <v>0</v>
      </c>
      <c r="P30" s="82"/>
      <c r="Q30" s="92"/>
      <c r="R30" s="67"/>
      <c r="S30" s="93">
        <f>+Calculations!B110</f>
        <v>0</v>
      </c>
      <c r="U30" s="48"/>
      <c r="W30" s="92"/>
      <c r="Y30" s="48"/>
      <c r="AA30" s="94"/>
      <c r="AB30" s="1"/>
      <c r="AC30" s="95">
        <f>IF(C30="land Pride",'Admin Input Sheet'!$C$3,IF(AND(C30="Kubota",OR(LEFT(E30,1)="b",LEFT(E30,1)="l",LEFT(E30,1)="f",LEFT(E30,1)="g",AND(LEFT(E30,1)="t",LEFT(E30,2)&lt;&gt;"te",LEFT(E30,3)&lt;&gt;"tlb"),LEFT(E30,1)="w",LEFT(E30,1)="z",LEFT(E30,3)="rtv")),'Admin Input Sheet'!$C$3,'Admin Input Sheet'!$C$4))</f>
        <v>2E-3</v>
      </c>
      <c r="AE30" s="96"/>
      <c r="AF30" s="103"/>
      <c r="AG30" s="97"/>
      <c r="AI30" s="98"/>
      <c r="AJ30" s="91"/>
      <c r="AK30" s="99"/>
      <c r="AL30" s="91"/>
      <c r="AM30" s="100"/>
      <c r="AO30" s="101"/>
      <c r="AQ30" s="101"/>
      <c r="AS30" s="102"/>
      <c r="AU30" s="102"/>
      <c r="AW30" s="706"/>
    </row>
    <row r="31" spans="1:49" ht="19" x14ac:dyDescent="0.25">
      <c r="A31" s="16">
        <f>+'Sales Input Sheet'!A28</f>
        <v>0</v>
      </c>
      <c r="C31" s="16" t="str">
        <f>+'Sales Input Sheet'!C28</f>
        <v/>
      </c>
      <c r="E31" s="16" t="str">
        <f>+'Sales Input Sheet'!E28</f>
        <v/>
      </c>
      <c r="G31" s="28" t="str">
        <f>Calculations!B116</f>
        <v/>
      </c>
      <c r="I31" s="58"/>
      <c r="J31" s="1"/>
      <c r="K31" s="58"/>
      <c r="M31" s="28">
        <f>+Calculations!B535</f>
        <v>0</v>
      </c>
      <c r="O31" s="82">
        <f>Calculations!B119</f>
        <v>0</v>
      </c>
      <c r="P31" s="82"/>
      <c r="Q31" s="92"/>
      <c r="R31" s="67"/>
      <c r="S31" s="93">
        <f>+Calculations!B122</f>
        <v>0</v>
      </c>
      <c r="U31" s="48"/>
      <c r="W31" s="92"/>
      <c r="Y31" s="48"/>
      <c r="AA31" s="94"/>
      <c r="AB31" s="1"/>
      <c r="AC31" s="95">
        <f>IF(C31="land Pride",'Admin Input Sheet'!$C$3,IF(AND(C31="Kubota",OR(LEFT(E31,1)="b",LEFT(E31,1)="l",LEFT(E31,1)="f",LEFT(E31,1)="g",AND(LEFT(E31,1)="t",LEFT(E31,2)&lt;&gt;"te",LEFT(E31,3)&lt;&gt;"tlb"),LEFT(E31,1)="w",LEFT(E31,1)="z",LEFT(E31,3)="rtv")),'Admin Input Sheet'!$C$3,'Admin Input Sheet'!$C$4))</f>
        <v>2E-3</v>
      </c>
      <c r="AE31" s="96"/>
      <c r="AF31" s="103"/>
      <c r="AG31" s="97"/>
      <c r="AI31" s="98"/>
      <c r="AJ31" s="91"/>
      <c r="AK31" s="99"/>
      <c r="AL31" s="91"/>
      <c r="AM31" s="100"/>
      <c r="AO31" s="101"/>
      <c r="AQ31" s="101"/>
      <c r="AS31" s="102"/>
      <c r="AU31" s="102"/>
      <c r="AW31" s="706"/>
    </row>
    <row r="32" spans="1:49" ht="18" x14ac:dyDescent="0.2">
      <c r="G32" s="16"/>
      <c r="H32" s="16"/>
      <c r="I32" s="1"/>
      <c r="J32" s="1"/>
      <c r="K32" s="1"/>
      <c r="L32" s="16"/>
      <c r="N32" s="16"/>
      <c r="O32" s="67"/>
      <c r="P32" s="67"/>
      <c r="Q32" s="16"/>
      <c r="R32" s="67"/>
      <c r="S32" s="67"/>
    </row>
    <row r="33" spans="1:49" ht="76" x14ac:dyDescent="0.2">
      <c r="A33" s="16" t="s">
        <v>127</v>
      </c>
      <c r="C33" s="16" t="s">
        <v>105</v>
      </c>
      <c r="E33" s="16" t="s">
        <v>106</v>
      </c>
      <c r="G33" s="28" t="s">
        <v>53</v>
      </c>
      <c r="I33" s="33" t="s">
        <v>107</v>
      </c>
      <c r="J33" s="1"/>
      <c r="K33" s="1" t="s">
        <v>108</v>
      </c>
      <c r="M33" s="28" t="s">
        <v>109</v>
      </c>
      <c r="O33" s="82" t="s">
        <v>110</v>
      </c>
      <c r="P33" s="82"/>
      <c r="Q33" s="104" t="s">
        <v>111</v>
      </c>
      <c r="R33" s="67"/>
      <c r="S33" s="67" t="s">
        <v>112</v>
      </c>
      <c r="T33" s="89"/>
      <c r="U33" s="37" t="s">
        <v>113</v>
      </c>
      <c r="V33" s="66"/>
      <c r="W33" s="19" t="s">
        <v>114</v>
      </c>
      <c r="X33" s="66"/>
      <c r="Y33" s="37" t="s">
        <v>115</v>
      </c>
      <c r="AA33" s="90" t="s">
        <v>116</v>
      </c>
      <c r="AB33" s="1"/>
      <c r="AE33" s="14" t="s">
        <v>123</v>
      </c>
      <c r="AG33" s="14" t="s">
        <v>124</v>
      </c>
      <c r="AS33" s="16" t="s">
        <v>125</v>
      </c>
      <c r="AU33" s="16" t="s">
        <v>126</v>
      </c>
      <c r="AW33" s="14" t="s">
        <v>2270</v>
      </c>
    </row>
    <row r="34" spans="1:49" ht="18" x14ac:dyDescent="0.2">
      <c r="C34" s="16">
        <f>+'Sales Input Sheet'!C31</f>
        <v>0</v>
      </c>
      <c r="E34" s="16">
        <f>+'Sales Input Sheet'!E31</f>
        <v>0</v>
      </c>
      <c r="G34" s="105">
        <f>+'Sales Input Sheet'!G31</f>
        <v>0</v>
      </c>
      <c r="I34" s="58"/>
      <c r="J34" s="1"/>
      <c r="K34" s="58"/>
      <c r="M34" s="28">
        <f>+Calculations!B536</f>
        <v>0</v>
      </c>
      <c r="O34" s="92"/>
      <c r="Q34" s="92"/>
      <c r="R34" s="67"/>
      <c r="S34" s="93">
        <f>Calculations!B126</f>
        <v>0</v>
      </c>
      <c r="U34" s="48"/>
      <c r="W34" s="92"/>
      <c r="Y34" s="48"/>
      <c r="AA34" s="94"/>
      <c r="AB34" s="1"/>
      <c r="AC34" s="95">
        <f>IF(C34="land Pride",'Admin Input Sheet'!$C$3,IF(AND(C34="Kubota",OR(LEFT(E34,1)="b",LEFT(E34,1)="l",LEFT(E34,1)="f",LEFT(E34,1)="g",AND(LEFT(E34,1)="t",LEFT(E34,2)&lt;&gt;"te",LEFT(E34,3)&lt;&gt;"tlb"),LEFT(E34,1)="w",LEFT(E34,1)="z",LEFT(E34,3)="rtv")),'Admin Input Sheet'!$C$3,'Admin Input Sheet'!$C$4))</f>
        <v>2E-3</v>
      </c>
      <c r="AE34" s="101"/>
      <c r="AF34" s="103"/>
      <c r="AG34" s="101"/>
      <c r="AS34" s="102"/>
      <c r="AU34" s="106"/>
      <c r="AW34" s="706" t="s">
        <v>486</v>
      </c>
    </row>
    <row r="35" spans="1:49" ht="18" x14ac:dyDescent="0.2">
      <c r="C35" s="16">
        <f>+'Sales Input Sheet'!C32</f>
        <v>0</v>
      </c>
      <c r="E35" s="16">
        <f>+'Sales Input Sheet'!E32</f>
        <v>0</v>
      </c>
      <c r="G35" s="105">
        <f>+'Sales Input Sheet'!G32</f>
        <v>0</v>
      </c>
      <c r="I35" s="58"/>
      <c r="J35" s="1"/>
      <c r="K35" s="58"/>
      <c r="M35" s="28">
        <f>+Calculations!B537</f>
        <v>0</v>
      </c>
      <c r="O35" s="92"/>
      <c r="Q35" s="92"/>
      <c r="R35" s="67"/>
      <c r="S35" s="93">
        <f>Calculations!B130</f>
        <v>0</v>
      </c>
      <c r="U35" s="48"/>
      <c r="W35" s="92"/>
      <c r="Y35" s="48"/>
      <c r="AA35" s="94"/>
      <c r="AB35" s="1"/>
      <c r="AC35" s="95">
        <f>IF(C35="land Pride",'Admin Input Sheet'!$C$3,IF(AND(C35="Kubota",OR(LEFT(E35,1)="b",LEFT(E35,1)="l",LEFT(E35,1)="f",LEFT(E35,1)="g",AND(LEFT(E35,1)="t",LEFT(E35,2)&lt;&gt;"te",LEFT(E35,3)&lt;&gt;"tlb"),LEFT(E35,1)="w",LEFT(E35,1)="z",LEFT(E35,3)="rtv")),'Admin Input Sheet'!$C$3,'Admin Input Sheet'!$C$4))</f>
        <v>2E-3</v>
      </c>
      <c r="AE35" s="101"/>
      <c r="AF35" s="103"/>
      <c r="AG35" s="101"/>
      <c r="AS35" s="102"/>
      <c r="AU35" s="106"/>
      <c r="AW35" s="706" t="s">
        <v>486</v>
      </c>
    </row>
    <row r="36" spans="1:49" ht="18" x14ac:dyDescent="0.2">
      <c r="C36" s="16">
        <f>+'Sales Input Sheet'!C33</f>
        <v>0</v>
      </c>
      <c r="E36" s="16">
        <f>+'Sales Input Sheet'!E33</f>
        <v>0</v>
      </c>
      <c r="G36" s="105">
        <f>+'Sales Input Sheet'!G33</f>
        <v>0</v>
      </c>
      <c r="I36" s="58"/>
      <c r="J36" s="1"/>
      <c r="K36" s="58"/>
      <c r="M36" s="28">
        <f>+Calculations!B538</f>
        <v>0</v>
      </c>
      <c r="O36" s="92"/>
      <c r="Q36" s="92"/>
      <c r="R36" s="67"/>
      <c r="S36" s="93">
        <f>Calculations!B134</f>
        <v>0</v>
      </c>
      <c r="U36" s="48"/>
      <c r="W36" s="92"/>
      <c r="Y36" s="48"/>
      <c r="AA36" s="94"/>
      <c r="AB36" s="1"/>
      <c r="AC36" s="95">
        <f>IF(C36="land Pride",'Admin Input Sheet'!$C$3,IF(AND(C36="Kubota",OR(LEFT(E36,1)="b",LEFT(E36,1)="l",LEFT(E36,1)="f",LEFT(E36,1)="g",AND(LEFT(E36,1)="t",LEFT(E36,2)&lt;&gt;"te",LEFT(E36,3)&lt;&gt;"tlb"),LEFT(E36,1)="w",LEFT(E36,1)="z",LEFT(E36,3)="rtv")),'Admin Input Sheet'!$C$3,'Admin Input Sheet'!$C$4))</f>
        <v>2E-3</v>
      </c>
      <c r="AE36" s="101"/>
      <c r="AF36" s="103"/>
      <c r="AG36" s="101"/>
      <c r="AS36" s="102"/>
      <c r="AU36" s="106"/>
      <c r="AW36" s="706" t="s">
        <v>486</v>
      </c>
    </row>
    <row r="37" spans="1:49" ht="18" x14ac:dyDescent="0.2">
      <c r="C37" s="16">
        <f>+'Sales Input Sheet'!C34</f>
        <v>0</v>
      </c>
      <c r="E37" s="16">
        <f>+'Sales Input Sheet'!E34</f>
        <v>0</v>
      </c>
      <c r="G37" s="105">
        <f>+'Sales Input Sheet'!G34</f>
        <v>0</v>
      </c>
      <c r="I37" s="58"/>
      <c r="J37" s="1"/>
      <c r="K37" s="58"/>
      <c r="M37" s="28">
        <f>+Calculations!B539</f>
        <v>0</v>
      </c>
      <c r="O37" s="92"/>
      <c r="Q37" s="92"/>
      <c r="R37" s="67"/>
      <c r="S37" s="93">
        <f>Calculations!B138</f>
        <v>0</v>
      </c>
      <c r="U37" s="48"/>
      <c r="W37" s="92"/>
      <c r="Y37" s="48"/>
      <c r="AA37" s="94"/>
      <c r="AB37" s="1"/>
      <c r="AC37" s="95">
        <f>IF(C37="land Pride",'Admin Input Sheet'!$C$3,IF(AND(C37="Kubota",OR(LEFT(E37,1)="b",LEFT(E37,1)="l",LEFT(E37,1)="f",LEFT(E37,1)="g",AND(LEFT(E37,1)="t",LEFT(E37,2)&lt;&gt;"te",LEFT(E37,3)&lt;&gt;"tlb"),LEFT(E37,1)="w",LEFT(E37,1)="z",LEFT(E37,3)="rtv")),'Admin Input Sheet'!$C$3,'Admin Input Sheet'!$C$4))</f>
        <v>2E-3</v>
      </c>
      <c r="AE37" s="101"/>
      <c r="AF37" s="103"/>
      <c r="AG37" s="101"/>
      <c r="AS37" s="102"/>
      <c r="AU37" s="106"/>
      <c r="AW37" s="706" t="s">
        <v>486</v>
      </c>
    </row>
    <row r="38" spans="1:49" ht="18" x14ac:dyDescent="0.2">
      <c r="C38" s="16">
        <f>+'Sales Input Sheet'!C35</f>
        <v>0</v>
      </c>
      <c r="E38" s="16">
        <f>+'Sales Input Sheet'!E35</f>
        <v>0</v>
      </c>
      <c r="G38" s="105">
        <f>+'Sales Input Sheet'!G35</f>
        <v>0</v>
      </c>
      <c r="I38" s="58"/>
      <c r="J38" s="1"/>
      <c r="K38" s="58"/>
      <c r="M38" s="28">
        <f>+Calculations!B540</f>
        <v>0</v>
      </c>
      <c r="O38" s="92"/>
      <c r="Q38" s="92"/>
      <c r="R38" s="67"/>
      <c r="S38" s="93">
        <f>Calculations!B142</f>
        <v>0</v>
      </c>
      <c r="U38" s="48"/>
      <c r="W38" s="92"/>
      <c r="Y38" s="48"/>
      <c r="AA38" s="94"/>
      <c r="AB38" s="1"/>
      <c r="AC38" s="95">
        <f>IF(C38="land Pride",'Admin Input Sheet'!$C$3,IF(AND(C38="Kubota",OR(LEFT(E38,1)="b",LEFT(E38,1)="l",LEFT(E38,1)="f",LEFT(E38,1)="g",AND(LEFT(E38,1)="t",LEFT(E38,2)&lt;&gt;"te",LEFT(E38,3)&lt;&gt;"tlb"),LEFT(E38,1)="w",LEFT(E38,1)="z",LEFT(E38,3)="rtv")),'Admin Input Sheet'!$C$3,'Admin Input Sheet'!$C$4))</f>
        <v>2E-3</v>
      </c>
      <c r="AE38" s="101"/>
      <c r="AF38" s="103"/>
      <c r="AG38" s="101"/>
      <c r="AS38" s="102"/>
      <c r="AU38" s="106"/>
      <c r="AW38" s="706" t="s">
        <v>486</v>
      </c>
    </row>
    <row r="39" spans="1:49" ht="18" x14ac:dyDescent="0.2">
      <c r="I39" s="33"/>
      <c r="J39" s="1"/>
      <c r="K39" s="1"/>
      <c r="M39" s="16"/>
      <c r="R39" s="67"/>
      <c r="S39" s="67"/>
      <c r="AF39" s="107"/>
      <c r="AG39" s="107"/>
    </row>
    <row r="40" spans="1:49" ht="18" x14ac:dyDescent="0.2">
      <c r="A40" s="16" t="s">
        <v>128</v>
      </c>
      <c r="G40" s="105"/>
      <c r="I40" s="33"/>
      <c r="J40" s="1"/>
      <c r="K40" s="1"/>
      <c r="M40" s="16"/>
      <c r="R40" s="67"/>
      <c r="S40" s="67"/>
      <c r="AA40" s="108"/>
      <c r="AB40" s="1"/>
      <c r="AF40" s="107"/>
      <c r="AG40" s="107"/>
    </row>
    <row r="41" spans="1:49" ht="76" x14ac:dyDescent="0.2">
      <c r="A41" s="16" t="s">
        <v>129</v>
      </c>
      <c r="C41" s="16" t="s">
        <v>105</v>
      </c>
      <c r="E41" s="16" t="s">
        <v>106</v>
      </c>
      <c r="G41" s="28" t="s">
        <v>59</v>
      </c>
      <c r="H41" s="16"/>
      <c r="I41" s="68" t="s">
        <v>130</v>
      </c>
      <c r="J41" s="1"/>
      <c r="K41" s="68" t="s">
        <v>131</v>
      </c>
      <c r="L41" s="67"/>
      <c r="M41" s="109" t="s">
        <v>132</v>
      </c>
      <c r="N41" s="16"/>
      <c r="O41" s="82" t="s">
        <v>133</v>
      </c>
      <c r="P41" s="16"/>
      <c r="Q41" s="16"/>
      <c r="R41" s="67"/>
      <c r="S41" s="67" t="s">
        <v>134</v>
      </c>
      <c r="AA41" s="90" t="s">
        <v>116</v>
      </c>
      <c r="AB41" s="1"/>
      <c r="AE41"/>
      <c r="AF41"/>
      <c r="AG41"/>
      <c r="AH41"/>
    </row>
    <row r="42" spans="1:49" ht="19" thickBot="1" x14ac:dyDescent="0.25">
      <c r="A42" s="16">
        <f>+'Sales Input Sheet'!A38</f>
        <v>0</v>
      </c>
      <c r="C42" s="16">
        <f>+'Sales Input Sheet'!C38</f>
        <v>0</v>
      </c>
      <c r="E42" s="16">
        <f>+'Sales Input Sheet'!E38</f>
        <v>0</v>
      </c>
      <c r="G42" s="16">
        <f>+'Sales Input Sheet'!I38</f>
        <v>0</v>
      </c>
      <c r="I42" s="58"/>
      <c r="J42" s="1"/>
      <c r="K42" s="58"/>
      <c r="M42" s="28">
        <f>+Calculations!B541</f>
        <v>0</v>
      </c>
      <c r="O42" s="92"/>
      <c r="Q42" s="110"/>
      <c r="R42" s="67"/>
      <c r="S42" s="93">
        <f>Calculations!B146</f>
        <v>0</v>
      </c>
      <c r="U42" s="110"/>
      <c r="V42" s="110"/>
      <c r="W42" s="110"/>
      <c r="X42" s="110"/>
      <c r="Y42" s="110"/>
      <c r="AA42" s="94"/>
      <c r="AB42" s="1"/>
      <c r="AC42" s="95">
        <f>IF(C42="land Pride",'Admin Input Sheet'!$C$3,IF(AND(C42="Kubota",OR(LEFT(E42,1)="b",LEFT(E42,1)="l",LEFT(E42,1)="f",LEFT(E42,1)="g",AND(LEFT(E42,1)="t",LEFT(E42,2)&lt;&gt;"te",LEFT(E42,3)&lt;&gt;"tlb"),LEFT(E42,1)="w",LEFT(E42,1)="z",LEFT(E42,3)="rtv")),'Admin Input Sheet'!$C$3,'Admin Input Sheet'!$C$4))</f>
        <v>2E-3</v>
      </c>
      <c r="AE42"/>
      <c r="AF42"/>
      <c r="AG42"/>
      <c r="AH42"/>
    </row>
    <row r="43" spans="1:49" ht="19" thickBot="1" x14ac:dyDescent="0.25">
      <c r="A43" s="16">
        <f>+'Sales Input Sheet'!A39</f>
        <v>0</v>
      </c>
      <c r="C43" s="16">
        <f>+'Sales Input Sheet'!C39</f>
        <v>0</v>
      </c>
      <c r="E43" s="16">
        <f>+'Sales Input Sheet'!E39</f>
        <v>0</v>
      </c>
      <c r="G43" s="16">
        <f>+'Sales Input Sheet'!I39</f>
        <v>0</v>
      </c>
      <c r="I43" s="58"/>
      <c r="J43" s="1"/>
      <c r="K43" s="58"/>
      <c r="M43" s="28">
        <f>+Calculations!B542</f>
        <v>0</v>
      </c>
      <c r="O43" s="92"/>
      <c r="P43" s="82"/>
      <c r="Q43" s="110"/>
      <c r="R43" s="67"/>
      <c r="S43" s="93">
        <f>Calculations!B154</f>
        <v>0</v>
      </c>
      <c r="U43" s="110"/>
      <c r="V43" s="110"/>
      <c r="W43" s="110"/>
      <c r="X43" s="110"/>
      <c r="Y43" s="110"/>
      <c r="AA43" s="94"/>
      <c r="AB43" s="1"/>
      <c r="AC43" s="95">
        <f>IF(C43="land Pride",'Admin Input Sheet'!$C$3,IF(AND(C43="Kubota",OR(LEFT(E43,1)="b",LEFT(E43,1)="l",LEFT(E43,1)="f",LEFT(E43,1)="g",AND(LEFT(E43,1)="t",LEFT(E43,2)&lt;&gt;"te",LEFT(E43,3)&lt;&gt;"tlb"),LEFT(E43,1)="w",LEFT(E43,1)="z",LEFT(E43,3)="rtv")),'Admin Input Sheet'!$C$3,'Admin Input Sheet'!$C$4))</f>
        <v>2E-3</v>
      </c>
      <c r="AE43"/>
      <c r="AF43"/>
      <c r="AG43"/>
      <c r="AH43"/>
    </row>
    <row r="44" spans="1:49" ht="19" thickBot="1" x14ac:dyDescent="0.25">
      <c r="A44" s="16">
        <f>+'Sales Input Sheet'!A40</f>
        <v>0</v>
      </c>
      <c r="C44" s="16">
        <f>+'Sales Input Sheet'!C40</f>
        <v>0</v>
      </c>
      <c r="E44" s="16">
        <f>+'Sales Input Sheet'!E40</f>
        <v>0</v>
      </c>
      <c r="G44" s="16">
        <f>+'Sales Input Sheet'!I40</f>
        <v>0</v>
      </c>
      <c r="I44" s="58"/>
      <c r="J44" s="1"/>
      <c r="K44" s="58"/>
      <c r="M44" s="28">
        <f>+Calculations!B543</f>
        <v>0</v>
      </c>
      <c r="O44" s="92"/>
      <c r="Q44" s="110"/>
      <c r="R44" s="67"/>
      <c r="S44" s="93">
        <f>Calculations!B162</f>
        <v>0</v>
      </c>
      <c r="U44" s="110"/>
      <c r="V44" s="110"/>
      <c r="W44" s="110"/>
      <c r="X44" s="110"/>
      <c r="Y44" s="110"/>
      <c r="AA44" s="94"/>
      <c r="AB44" s="1"/>
      <c r="AC44" s="95">
        <f>IF(C44="land Pride",'Admin Input Sheet'!$C$3,IF(AND(C44="Kubota",OR(LEFT(E44,1)="b",LEFT(E44,1)="l",LEFT(E44,1)="f",LEFT(E44,1)="g",AND(LEFT(E44,1)="t",LEFT(E44,2)&lt;&gt;"te",LEFT(E44,3)&lt;&gt;"tlb"),LEFT(E44,1)="w",LEFT(E44,1)="z",LEFT(E44,3)="rtv")),'Admin Input Sheet'!$C$3,'Admin Input Sheet'!$C$4))</f>
        <v>2E-3</v>
      </c>
      <c r="AE44"/>
      <c r="AF44"/>
      <c r="AG44"/>
      <c r="AH44"/>
    </row>
    <row r="45" spans="1:49" ht="19" thickBot="1" x14ac:dyDescent="0.25">
      <c r="A45" s="16">
        <f>+'Sales Input Sheet'!A41</f>
        <v>0</v>
      </c>
      <c r="C45" s="16">
        <f>+'Sales Input Sheet'!C41</f>
        <v>0</v>
      </c>
      <c r="E45" s="16">
        <f>+'Sales Input Sheet'!E41</f>
        <v>0</v>
      </c>
      <c r="G45" s="16">
        <f>+'Sales Input Sheet'!I41</f>
        <v>0</v>
      </c>
      <c r="I45" s="58"/>
      <c r="J45" s="1"/>
      <c r="K45" s="58"/>
      <c r="M45" s="28">
        <f>+Calculations!B544</f>
        <v>0</v>
      </c>
      <c r="O45" s="92"/>
      <c r="Q45" s="110"/>
      <c r="R45" s="67"/>
      <c r="S45" s="93">
        <f>Calculations!B170</f>
        <v>0</v>
      </c>
      <c r="U45" s="110"/>
      <c r="V45" s="110"/>
      <c r="W45" s="110"/>
      <c r="X45" s="110"/>
      <c r="Y45" s="110"/>
      <c r="AA45" s="94"/>
      <c r="AB45" s="1"/>
      <c r="AC45" s="95">
        <f>IF(C45="land Pride",'Admin Input Sheet'!$C$3,IF(AND(C45="Kubota",OR(LEFT(E45,1)="b",LEFT(E45,1)="l",LEFT(E45,1)="f",LEFT(E45,1)="g",AND(LEFT(E45,1)="t",LEFT(E45,2)&lt;&gt;"te",LEFT(E45,3)&lt;&gt;"tlb"),LEFT(E45,1)="w",LEFT(E45,1)="z",LEFT(E45,3)="rtv")),'Admin Input Sheet'!$C$3,'Admin Input Sheet'!$C$4))</f>
        <v>2E-3</v>
      </c>
      <c r="AE45"/>
      <c r="AF45"/>
      <c r="AG45"/>
      <c r="AH45"/>
    </row>
    <row r="46" spans="1:49" ht="19" thickBot="1" x14ac:dyDescent="0.25">
      <c r="A46" s="16">
        <f>+'Sales Input Sheet'!A42</f>
        <v>0</v>
      </c>
      <c r="C46" s="16">
        <f>+'Sales Input Sheet'!C42</f>
        <v>0</v>
      </c>
      <c r="E46" s="16">
        <f>+'Sales Input Sheet'!E42</f>
        <v>0</v>
      </c>
      <c r="G46" s="16">
        <f>+'Sales Input Sheet'!I42</f>
        <v>0</v>
      </c>
      <c r="I46" s="58"/>
      <c r="J46" s="1"/>
      <c r="K46" s="58"/>
      <c r="M46" s="28">
        <f>+Calculations!B545</f>
        <v>0</v>
      </c>
      <c r="O46" s="92"/>
      <c r="Q46" s="110"/>
      <c r="R46" s="67"/>
      <c r="S46" s="93">
        <f>Calculations!B178</f>
        <v>0</v>
      </c>
      <c r="U46" s="110"/>
      <c r="V46" s="110"/>
      <c r="W46" s="110"/>
      <c r="X46" s="110"/>
      <c r="Y46" s="110"/>
      <c r="AA46" s="94"/>
      <c r="AB46" s="1"/>
      <c r="AC46" s="95">
        <f>IF(C46="land Pride",'Admin Input Sheet'!$C$3,IF(AND(C46="Kubota",OR(LEFT(E46,1)="b",LEFT(E46,1)="l",LEFT(E46,1)="f",LEFT(E46,1)="g",AND(LEFT(E46,1)="t",LEFT(E46,2)&lt;&gt;"te",LEFT(E46,3)&lt;&gt;"tlb"),LEFT(E46,1)="w",LEFT(E46,1)="z",LEFT(E46,3)="rtv")),'Admin Input Sheet'!$C$3,'Admin Input Sheet'!$C$4))</f>
        <v>2E-3</v>
      </c>
      <c r="AE46"/>
      <c r="AF46"/>
      <c r="AG46"/>
      <c r="AH46"/>
    </row>
    <row r="47" spans="1:49" ht="18" x14ac:dyDescent="0.2">
      <c r="A47" s="54" t="s">
        <v>63</v>
      </c>
      <c r="I47" s="1"/>
      <c r="J47" s="1"/>
      <c r="K47" s="1"/>
      <c r="R47" s="67"/>
      <c r="S47" s="67"/>
      <c r="AB47" s="1"/>
      <c r="AC47" s="108"/>
      <c r="AF47" s="107"/>
      <c r="AG47" s="107"/>
    </row>
    <row r="48" spans="1:49" ht="95" x14ac:dyDescent="0.2">
      <c r="C48" s="1" t="s">
        <v>32</v>
      </c>
      <c r="D48" s="1"/>
      <c r="E48" s="1" t="s">
        <v>52</v>
      </c>
      <c r="G48" s="1" t="s">
        <v>53</v>
      </c>
      <c r="I48" s="33" t="s">
        <v>135</v>
      </c>
      <c r="J48" s="1"/>
      <c r="K48" s="28" t="s">
        <v>66</v>
      </c>
      <c r="M48" s="82" t="str">
        <f>+'Sales Input Sheet'!Q44</f>
        <v>Condition</v>
      </c>
      <c r="O48" s="55" t="s">
        <v>136</v>
      </c>
      <c r="Q48" s="82" t="str">
        <f>+'Sales Input Sheet'!O44</f>
        <v>Hours</v>
      </c>
      <c r="R48" s="67"/>
      <c r="S48" s="67" t="s">
        <v>112</v>
      </c>
      <c r="U48" s="28" t="s">
        <v>137</v>
      </c>
      <c r="AA48" s="68" t="s">
        <v>138</v>
      </c>
      <c r="AB48" s="1"/>
      <c r="AC48" s="108"/>
      <c r="AF48" s="107"/>
      <c r="AG48" s="107"/>
    </row>
    <row r="49" spans="3:32" ht="18" x14ac:dyDescent="0.2">
      <c r="C49" s="16">
        <f>+'Sales Input Sheet'!C45</f>
        <v>0</v>
      </c>
      <c r="E49" s="16">
        <f>+'Sales Input Sheet'!E45</f>
        <v>0</v>
      </c>
      <c r="G49" s="16">
        <f>+'Sales Input Sheet'!G45</f>
        <v>0</v>
      </c>
      <c r="I49" s="58"/>
      <c r="J49" s="1"/>
      <c r="M49" s="111">
        <f>+'Sales Input Sheet'!Q45</f>
        <v>0</v>
      </c>
      <c r="O49" s="92"/>
      <c r="Q49" s="112">
        <f>+'Sales Input Sheet'!O45</f>
        <v>0</v>
      </c>
      <c r="S49" s="107">
        <f>+Calculations!B185</f>
        <v>0</v>
      </c>
      <c r="U49" s="48"/>
      <c r="V49" s="113"/>
      <c r="W49" s="114"/>
      <c r="X49" s="114"/>
      <c r="Y49" s="114"/>
      <c r="AA49" s="72"/>
      <c r="AB49" s="1"/>
      <c r="AC49" s="108"/>
    </row>
    <row r="50" spans="3:32" ht="19" thickBot="1" x14ac:dyDescent="0.25">
      <c r="C50" s="16">
        <f>+'Sales Input Sheet'!C46</f>
        <v>0</v>
      </c>
      <c r="E50" s="16">
        <f>+'Sales Input Sheet'!E46</f>
        <v>0</v>
      </c>
      <c r="G50" s="16">
        <f>+'Sales Input Sheet'!G46</f>
        <v>0</v>
      </c>
      <c r="I50" s="58"/>
      <c r="J50" s="1"/>
      <c r="M50" s="111">
        <f>+'Sales Input Sheet'!Q46</f>
        <v>0</v>
      </c>
      <c r="O50" s="115"/>
      <c r="Q50" s="112">
        <f>+'Sales Input Sheet'!O46</f>
        <v>0</v>
      </c>
      <c r="S50" s="107">
        <f>+Calculations!B186</f>
        <v>0</v>
      </c>
      <c r="U50" s="48"/>
      <c r="V50" s="110"/>
      <c r="W50" s="110"/>
      <c r="X50" s="110"/>
      <c r="Y50" s="110"/>
      <c r="AA50" s="72"/>
      <c r="AB50" s="1"/>
      <c r="AC50" s="108"/>
    </row>
    <row r="51" spans="3:32" ht="19" thickBot="1" x14ac:dyDescent="0.25">
      <c r="C51" s="16">
        <f>+'Sales Input Sheet'!C47</f>
        <v>0</v>
      </c>
      <c r="E51" s="16">
        <f>+'Sales Input Sheet'!E47</f>
        <v>0</v>
      </c>
      <c r="G51" s="16">
        <f>+'Sales Input Sheet'!G47</f>
        <v>0</v>
      </c>
      <c r="I51" s="58"/>
      <c r="J51" s="1"/>
      <c r="M51" s="111">
        <f>+'Sales Input Sheet'!Q47</f>
        <v>0</v>
      </c>
      <c r="O51" s="115"/>
      <c r="Q51" s="112">
        <f>+'Sales Input Sheet'!O47</f>
        <v>0</v>
      </c>
      <c r="S51" s="107">
        <f>+Calculations!B666</f>
        <v>0</v>
      </c>
      <c r="U51" s="48"/>
      <c r="V51" s="110"/>
      <c r="W51" s="110"/>
      <c r="X51" s="110"/>
      <c r="Y51" s="110"/>
      <c r="AA51" s="86"/>
      <c r="AB51" s="1"/>
      <c r="AC51" s="108"/>
    </row>
    <row r="52" spans="3:32" ht="19" thickBot="1" x14ac:dyDescent="0.25">
      <c r="C52" s="16">
        <f>+'Sales Input Sheet'!C48</f>
        <v>0</v>
      </c>
      <c r="E52" s="16">
        <f>+'Sales Input Sheet'!E48</f>
        <v>0</v>
      </c>
      <c r="G52" s="16">
        <f>+'Sales Input Sheet'!G48</f>
        <v>0</v>
      </c>
      <c r="I52" s="58"/>
      <c r="J52" s="1"/>
      <c r="M52" s="111">
        <f>+'Sales Input Sheet'!Q48</f>
        <v>0</v>
      </c>
      <c r="O52" s="115"/>
      <c r="Q52" s="112">
        <f>+'Sales Input Sheet'!O48</f>
        <v>0</v>
      </c>
      <c r="S52" s="107">
        <f>+Calculations!B669</f>
        <v>0</v>
      </c>
      <c r="U52" s="48"/>
      <c r="V52" s="110"/>
      <c r="W52" s="110"/>
      <c r="X52" s="110"/>
      <c r="Y52" s="110"/>
      <c r="AA52" s="86"/>
      <c r="AB52" s="1"/>
      <c r="AC52" s="108"/>
    </row>
    <row r="53" spans="3:32" ht="19" thickBot="1" x14ac:dyDescent="0.25">
      <c r="C53" s="16">
        <f>+'Sales Input Sheet'!C49</f>
        <v>0</v>
      </c>
      <c r="E53" s="16">
        <f>+'Sales Input Sheet'!E49</f>
        <v>0</v>
      </c>
      <c r="G53" s="16">
        <f>+'Sales Input Sheet'!G49</f>
        <v>0</v>
      </c>
      <c r="I53" s="58"/>
      <c r="J53" s="1"/>
      <c r="M53" s="111">
        <f>+'Sales Input Sheet'!Q49</f>
        <v>0</v>
      </c>
      <c r="O53" s="115"/>
      <c r="Q53" s="112">
        <f>+'Sales Input Sheet'!O49</f>
        <v>0</v>
      </c>
      <c r="S53" s="107">
        <f>+Calculations!B672</f>
        <v>0</v>
      </c>
      <c r="U53" s="48"/>
      <c r="V53" s="110"/>
      <c r="W53" s="110"/>
      <c r="X53" s="110"/>
      <c r="Y53" s="110"/>
      <c r="AA53" s="86"/>
      <c r="AB53" s="1"/>
      <c r="AC53" s="108"/>
    </row>
    <row r="54" spans="3:32" ht="19" thickBot="1" x14ac:dyDescent="0.25">
      <c r="C54" s="16">
        <f>+'Sales Input Sheet'!C50</f>
        <v>0</v>
      </c>
      <c r="E54" s="16">
        <f>+'Sales Input Sheet'!E50</f>
        <v>0</v>
      </c>
      <c r="G54" s="16">
        <f>+'Sales Input Sheet'!G50</f>
        <v>0</v>
      </c>
      <c r="I54" s="58"/>
      <c r="J54" s="1"/>
      <c r="M54" s="111">
        <f>+'Sales Input Sheet'!Q50</f>
        <v>0</v>
      </c>
      <c r="O54" s="115"/>
      <c r="Q54" s="112">
        <f>+'Sales Input Sheet'!O50</f>
        <v>0</v>
      </c>
      <c r="S54" s="107">
        <f>+Calculations!B675</f>
        <v>0</v>
      </c>
      <c r="U54" s="48"/>
      <c r="V54" s="110"/>
      <c r="W54" s="110"/>
      <c r="X54" s="110"/>
      <c r="Y54" s="110"/>
      <c r="AA54" s="86"/>
      <c r="AB54" s="1"/>
      <c r="AC54" s="108"/>
    </row>
    <row r="55" spans="3:32" ht="18" x14ac:dyDescent="0.2">
      <c r="F55" s="1"/>
      <c r="H55" s="23"/>
      <c r="I55" s="116"/>
      <c r="J55" s="16"/>
      <c r="K55" s="16"/>
      <c r="L55" s="16"/>
      <c r="M55" s="16"/>
      <c r="N55" s="16"/>
      <c r="S55" s="107"/>
    </row>
    <row r="56" spans="3:32" ht="34" x14ac:dyDescent="0.2">
      <c r="K56" s="117" t="s">
        <v>139</v>
      </c>
      <c r="L56" s="117"/>
      <c r="M56" s="109"/>
      <c r="O56" s="16" t="s">
        <v>140</v>
      </c>
      <c r="P56" s="16"/>
      <c r="Q56" s="28" t="s">
        <v>141</v>
      </c>
      <c r="S56" s="16" t="s">
        <v>112</v>
      </c>
      <c r="U56" s="118" t="s">
        <v>142</v>
      </c>
      <c r="V56" s="118"/>
      <c r="W56" s="118"/>
      <c r="Y56" s="16" t="s">
        <v>143</v>
      </c>
      <c r="AF56" s="107"/>
    </row>
    <row r="57" spans="3:32" ht="18" x14ac:dyDescent="0.2">
      <c r="I57" s="33" t="s">
        <v>144</v>
      </c>
      <c r="K57" s="119"/>
      <c r="L57" s="16"/>
      <c r="M57" s="16"/>
      <c r="O57" s="56"/>
      <c r="P57" s="16"/>
      <c r="Q57" s="120"/>
      <c r="S57" s="107">
        <f>-Calculations!B191</f>
        <v>0</v>
      </c>
      <c r="U57" s="745"/>
      <c r="V57" s="746"/>
      <c r="W57" s="747"/>
      <c r="Y57" s="47"/>
      <c r="AF57" s="107"/>
    </row>
    <row r="58" spans="3:32" ht="18" x14ac:dyDescent="0.2">
      <c r="I58" s="33" t="s">
        <v>144</v>
      </c>
      <c r="K58" s="119"/>
      <c r="L58" s="16"/>
      <c r="M58" s="16"/>
      <c r="O58" s="56"/>
      <c r="P58" s="16"/>
      <c r="Q58" s="120"/>
      <c r="S58" s="107">
        <f>-Calculations!B192</f>
        <v>0</v>
      </c>
      <c r="U58" s="745"/>
      <c r="V58" s="746"/>
      <c r="W58" s="747"/>
      <c r="Y58" s="47"/>
      <c r="AF58" s="107"/>
    </row>
    <row r="59" spans="3:32" ht="18" x14ac:dyDescent="0.2">
      <c r="I59" s="33" t="s">
        <v>144</v>
      </c>
      <c r="K59" s="119"/>
      <c r="L59" s="16"/>
      <c r="M59" s="16"/>
      <c r="O59" s="56"/>
      <c r="P59" s="16"/>
      <c r="Q59" s="120"/>
      <c r="S59" s="107">
        <f>-Calculations!B193</f>
        <v>0</v>
      </c>
      <c r="U59" s="745"/>
      <c r="V59" s="746"/>
      <c r="W59" s="747"/>
      <c r="Y59" s="47"/>
    </row>
    <row r="60" spans="3:32" ht="18" x14ac:dyDescent="0.2">
      <c r="G60" s="16"/>
      <c r="H60" s="16"/>
      <c r="I60" s="33" t="s">
        <v>144</v>
      </c>
      <c r="K60" s="119"/>
      <c r="L60" s="16"/>
      <c r="M60" s="16"/>
      <c r="O60" s="56"/>
      <c r="P60" s="16"/>
      <c r="Q60" s="120"/>
      <c r="S60" s="107">
        <f>-Calculations!B194</f>
        <v>0</v>
      </c>
      <c r="U60" s="745"/>
      <c r="V60" s="746"/>
      <c r="W60" s="747"/>
      <c r="Y60" s="47"/>
    </row>
    <row r="61" spans="3:32" ht="18" x14ac:dyDescent="0.2">
      <c r="H61" s="16"/>
      <c r="I61" s="33" t="s">
        <v>144</v>
      </c>
      <c r="K61" s="119"/>
      <c r="L61" s="16"/>
      <c r="M61" s="16"/>
      <c r="O61" s="56"/>
      <c r="P61" s="16"/>
      <c r="Q61" s="120"/>
      <c r="S61" s="107">
        <f>-Calculations!B195</f>
        <v>0</v>
      </c>
      <c r="U61" s="745"/>
      <c r="V61" s="746"/>
      <c r="W61" s="747"/>
      <c r="Y61" s="47"/>
      <c r="AF61" s="107"/>
    </row>
    <row r="62" spans="3:32" ht="16" x14ac:dyDescent="0.2">
      <c r="H62" s="16"/>
      <c r="L62" s="16"/>
      <c r="M62" s="16"/>
      <c r="AF62" s="107"/>
    </row>
    <row r="63" spans="3:32" ht="25" x14ac:dyDescent="0.2">
      <c r="H63" s="16"/>
      <c r="I63" s="121"/>
      <c r="J63" s="121"/>
      <c r="K63" s="121"/>
      <c r="L63" s="121"/>
      <c r="M63" s="121"/>
      <c r="N63" s="121"/>
      <c r="O63" s="121"/>
      <c r="P63" s="121"/>
      <c r="Q63" s="16" t="s">
        <v>145</v>
      </c>
      <c r="S63" s="107">
        <f>Calculations!B201</f>
        <v>0</v>
      </c>
      <c r="AF63" s="107"/>
    </row>
    <row r="64" spans="3:32" ht="14.25" customHeight="1" x14ac:dyDescent="0.2">
      <c r="H64" s="16"/>
      <c r="I64" s="121"/>
      <c r="J64" s="121"/>
      <c r="K64" s="121"/>
      <c r="L64" s="121"/>
      <c r="M64" s="121"/>
      <c r="N64" s="121"/>
      <c r="O64" s="121"/>
      <c r="P64" s="121"/>
      <c r="Q64" s="121"/>
      <c r="AF64" s="107"/>
    </row>
    <row r="65" spans="7:33" ht="14.25" customHeight="1" x14ac:dyDescent="0.2">
      <c r="H65" s="16"/>
      <c r="AF65" s="107"/>
    </row>
    <row r="66" spans="7:33" ht="14.25" customHeight="1" x14ac:dyDescent="0.2">
      <c r="G66" s="16"/>
      <c r="H66" s="16"/>
    </row>
    <row r="67" spans="7:33" ht="14.25" customHeight="1" x14ac:dyDescent="0.2">
      <c r="AF67" s="107"/>
      <c r="AG67" s="107"/>
    </row>
    <row r="69" spans="7:33" ht="14.25" customHeight="1" x14ac:dyDescent="0.2">
      <c r="J69" s="121"/>
      <c r="K69" s="121"/>
      <c r="L69" s="121"/>
      <c r="N69" s="121"/>
      <c r="O69" s="121"/>
      <c r="P69" s="121"/>
      <c r="Q69" s="744" t="str">
        <f>IF(SUM('Work a Quote'!$J$2:$L$5)&lt;&gt;0,"WORK A QUOTE STILL CONTAINS ADJUSTMENTS, FIX BEFORE FINALIZING","")</f>
        <v/>
      </c>
      <c r="R69" s="744"/>
      <c r="S69" s="744"/>
      <c r="T69" s="744"/>
      <c r="U69" s="744"/>
      <c r="V69" s="744"/>
      <c r="W69" s="744"/>
    </row>
  </sheetData>
  <sheetProtection selectLockedCells="1"/>
  <mergeCells count="11">
    <mergeCell ref="Q69:W69"/>
    <mergeCell ref="U57:W57"/>
    <mergeCell ref="U61:W61"/>
    <mergeCell ref="C2:E2"/>
    <mergeCell ref="E7:G7"/>
    <mergeCell ref="E9:G9"/>
    <mergeCell ref="S3:U3"/>
    <mergeCell ref="S15:U18"/>
    <mergeCell ref="U58:W58"/>
    <mergeCell ref="U59:W59"/>
    <mergeCell ref="U60:W60"/>
  </mergeCells>
  <dataValidations count="17">
    <dataValidation type="decimal" allowBlank="1" showInputMessage="1" showErrorMessage="1" sqref="AE22:AE31 W34:W38 O34:O38 Q34:S38 W22:W31 O42:O46 Q22:S31 O49:O54" xr:uid="{00000000-0002-0000-0300-000000000000}">
      <formula1>-100000</formula1>
      <formula2>100000</formula2>
    </dataValidation>
    <dataValidation type="whole" allowBlank="1" showInputMessage="1" showErrorMessage="1" sqref="C9" xr:uid="{00000000-0002-0000-0300-000001000000}">
      <formula1>0</formula1>
      <formula2>90</formula2>
    </dataValidation>
    <dataValidation type="list" allowBlank="1" showInputMessage="1" showErrorMessage="1" sqref="Q57:R61 AK22:AK31" xr:uid="{00000000-0002-0000-0300-000002000000}">
      <formula1>"Implement to be delivered - , ,Attachment to be delivered - , Bucket to be delivered - , Service Due - , Parts due after the sale -, Install 3rd Function - "</formula1>
    </dataValidation>
    <dataValidation type="list" showInputMessage="1" showErrorMessage="1" sqref="Y57:Y61" xr:uid="{00000000-0002-0000-0300-000003000000}">
      <formula1>" Nothing Further Owed"</formula1>
    </dataValidation>
    <dataValidation type="date" allowBlank="1" showInputMessage="1" showErrorMessage="1" sqref="C11" xr:uid="{00000000-0002-0000-0300-000004000000}">
      <formula1>45292</formula1>
      <formula2>73050</formula2>
    </dataValidation>
    <dataValidation type="decimal" allowBlank="1" showInputMessage="1" showErrorMessage="1" sqref="I49:I54 Q5 K22:K31 K34:K38 I22:I31 K42:K46 I34:I38 Q11 Q9 Q7 Q3 I42:I46" xr:uid="{00000000-0002-0000-0300-000005000000}">
      <formula1>0</formula1>
      <formula2>999999</formula2>
    </dataValidation>
    <dataValidation type="decimal" allowBlank="1" showInputMessage="1" showErrorMessage="1" sqref="I7" xr:uid="{00000000-0002-0000-0300-000006000000}">
      <formula1>0</formula1>
      <formula2>1</formula2>
    </dataValidation>
    <dataValidation type="list" allowBlank="1" showInputMessage="1" showErrorMessage="1" sqref="S47 R49:R54 U49:U54" xr:uid="{00000000-0002-0000-0300-000007000000}">
      <formula1>"Wholesale, Retail"</formula1>
    </dataValidation>
    <dataValidation type="list" allowBlank="1" showInputMessage="1" showErrorMessage="1" sqref="AA49:AA54" xr:uid="{00000000-0002-0000-0300-000008000000}">
      <formula1>"Reduce Taxable Amount by Trade, Do Not Reduce Taxable Amount by Trade"</formula1>
    </dataValidation>
    <dataValidation type="list" allowBlank="1" showInputMessage="1" showErrorMessage="1" sqref="M17" xr:uid="{00000000-0002-0000-0300-000009000000}">
      <formula1>"Include Kubota Insurance, No Kubota Insurance"</formula1>
    </dataValidation>
    <dataValidation type="list" allowBlank="1" showInputMessage="1" showErrorMessage="1" sqref="M3:N3" xr:uid="{00000000-0002-0000-0300-00000A000000}">
      <formula1>"Tax Exempt, No"</formula1>
    </dataValidation>
    <dataValidation type="whole" allowBlank="1" showInputMessage="1" showErrorMessage="1" sqref="U7" xr:uid="{00000000-0002-0000-0300-00000B000000}">
      <formula1>0</formula1>
      <formula2>240</formula2>
    </dataValidation>
    <dataValidation type="decimal" allowBlank="1" showInputMessage="1" showErrorMessage="1" sqref="U9" xr:uid="{00000000-0002-0000-0300-00000C000000}">
      <formula1>0</formula1>
      <formula2>0.35</formula2>
    </dataValidation>
    <dataValidation type="decimal" allowBlank="1" showInputMessage="1" showErrorMessage="1" sqref="U11 Q19 Q17" xr:uid="{00000000-0002-0000-0300-00000D000000}">
      <formula1>0</formula1>
      <formula2>1000000</formula2>
    </dataValidation>
    <dataValidation type="decimal" allowBlank="1" showInputMessage="1" showErrorMessage="1" sqref="Q15" xr:uid="{00000000-0002-0000-0300-00000E000000}">
      <formula1>0</formula1>
      <formula2>1000</formula2>
    </dataValidation>
    <dataValidation type="decimal" allowBlank="1" showInputMessage="1" showErrorMessage="1" sqref="Q13" xr:uid="{00000000-0002-0000-0300-00000F000000}">
      <formula1>0</formula1>
      <formula2>10000</formula2>
    </dataValidation>
    <dataValidation type="list" allowBlank="1" showInputMessage="1" showErrorMessage="1" sqref="C17" xr:uid="{00000000-0002-0000-0300-000010000000}">
      <formula1>"Wholesale, Retail, Exchange, Substitution of Collateral, Fulfill We Owe, Lease"</formula1>
    </dataValidation>
  </dataValidations>
  <pageMargins left="0" right="0" top="0" bottom="0" header="0" footer="0"/>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11000000}">
          <x14:formula1>
            <xm:f>Calculations!$B$546:$B$560</xm:f>
          </x14:formula1>
          <xm:sqref>K57:K61</xm:sqref>
        </x14:dataValidation>
        <x14:dataValidation type="list" allowBlank="1" showInputMessage="1" showErrorMessage="1" xr:uid="{00000000-0002-0000-0300-000012000000}">
          <x14:formula1>
            <xm:f>'Admin Input Sheet'!$C$3:$C$6</xm:f>
          </x14:formula1>
          <xm:sqref>AA34:AA38 AA22:AA31 AA42:AA46</xm:sqref>
        </x14:dataValidation>
        <x14:dataValidation type="list" showInputMessage="1" showErrorMessage="1" xr:uid="{00000000-0002-0000-0300-000013000000}">
          <x14:formula1>
            <xm:f>'Rates for Quote'!$C$3:$F$3</xm:f>
          </x14:formula1>
          <xm:sqref>M19</xm:sqref>
        </x14:dataValidation>
        <x14:dataValidation type="list" allowBlank="1" showInputMessage="1" showErrorMessage="1" xr:uid="{00000000-0002-0000-0300-000014000000}">
          <x14:formula1>
            <xm:f>'Tax Exemption Cert table'!$A$2:$A$117</xm:f>
          </x14:formula1>
          <xm:sqref>M9 M7 M13 M11 M15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J28"/>
  <sheetViews>
    <sheetView topLeftCell="A18" zoomScale="96" zoomScaleNormal="96" workbookViewId="0">
      <selection activeCell="C28" sqref="C28"/>
    </sheetView>
  </sheetViews>
  <sheetFormatPr baseColWidth="10" defaultColWidth="10.5" defaultRowHeight="16" x14ac:dyDescent="0.2"/>
  <cols>
    <col min="1" max="1" width="17.5" style="16" customWidth="1"/>
    <col min="2" max="2" width="1.5" style="16" customWidth="1"/>
    <col min="3" max="3" width="19.33203125" style="16" customWidth="1"/>
    <col min="4" max="4" width="4.33203125" style="16" customWidth="1"/>
    <col min="5" max="5" width="19.5" style="16" customWidth="1"/>
    <col min="6" max="6" width="4.33203125" style="16" customWidth="1"/>
    <col min="7" max="7" width="19.33203125" style="16" customWidth="1"/>
    <col min="8" max="8" width="3" style="16" customWidth="1"/>
    <col min="9" max="9" width="17.5" style="16" customWidth="1"/>
    <col min="10" max="10" width="3.5" style="16" customWidth="1"/>
    <col min="11" max="11" width="17.5" style="16" customWidth="1"/>
    <col min="12" max="12" width="2.5" style="16" customWidth="1"/>
    <col min="13" max="13" width="2.33203125" style="16" customWidth="1"/>
    <col min="14" max="14" width="11.5" style="122" customWidth="1"/>
    <col min="15" max="15" width="2.5" style="122" customWidth="1"/>
    <col min="16" max="16" width="15.5" style="16" customWidth="1"/>
    <col min="17" max="17" width="1.5" style="16" customWidth="1"/>
    <col min="18" max="18" width="12.5" style="67" bestFit="1" customWidth="1"/>
    <col min="19" max="19" width="3" style="67" customWidth="1"/>
    <col min="20" max="20" width="12.5" style="67" bestFit="1" customWidth="1"/>
    <col min="21" max="21" width="2.5" style="67" customWidth="1"/>
    <col min="22" max="22" width="12.5" style="67" bestFit="1" customWidth="1"/>
    <col min="23" max="23" width="1.5" style="67" customWidth="1"/>
    <col min="24" max="24" width="12.5" style="67" bestFit="1" customWidth="1"/>
    <col min="25" max="26" width="10.5" style="16" customWidth="1"/>
    <col min="27" max="27" width="34.5" style="16" customWidth="1"/>
    <col min="28" max="28" width="39" style="16" customWidth="1"/>
    <col min="29" max="30" width="28.5" style="16" customWidth="1"/>
    <col min="31" max="34" width="29" style="16" customWidth="1"/>
    <col min="35" max="38" width="27.5" style="16" customWidth="1"/>
    <col min="39" max="42" width="25" style="16" customWidth="1"/>
    <col min="43" max="44" width="22.33203125" style="16" customWidth="1"/>
    <col min="45" max="45" width="26" style="16" customWidth="1"/>
    <col min="46" max="48" width="22.33203125" style="16" customWidth="1"/>
    <col min="49" max="49" width="38.5" style="16" customWidth="1"/>
    <col min="50" max="50" width="19.33203125" style="123" customWidth="1"/>
    <col min="51" max="51" width="23.33203125" style="16" customWidth="1"/>
    <col min="52" max="52" width="21.5" style="16" customWidth="1"/>
    <col min="53" max="54" width="11.5" style="124" customWidth="1"/>
    <col min="55" max="55" width="11.33203125" style="16" customWidth="1"/>
    <col min="56" max="56" width="12.5" style="125" customWidth="1"/>
    <col min="57" max="57" width="3" style="125" customWidth="1"/>
    <col min="58" max="58" width="12.5" style="125" customWidth="1"/>
    <col min="59" max="59" width="2.5" style="125" customWidth="1"/>
    <col min="60" max="60" width="12.5" style="125" customWidth="1"/>
    <col min="61" max="61" width="1.5" style="125" customWidth="1"/>
    <col min="62" max="62" width="12.5" style="125" customWidth="1"/>
    <col min="63" max="16384" width="10.5" style="16"/>
  </cols>
  <sheetData>
    <row r="2" spans="1:62" x14ac:dyDescent="0.2">
      <c r="A2" s="16" t="s">
        <v>44</v>
      </c>
      <c r="C2" s="16">
        <f>+'Sales Input Sheet'!C11</f>
        <v>0</v>
      </c>
      <c r="E2" s="16" t="s">
        <v>146</v>
      </c>
      <c r="G2" s="126"/>
    </row>
    <row r="3" spans="1:62" s="4" customFormat="1" ht="76" x14ac:dyDescent="0.2">
      <c r="B3" s="14"/>
      <c r="C3" s="41" t="s">
        <v>147</v>
      </c>
      <c r="D3" s="127"/>
      <c r="E3" s="127" t="s">
        <v>148</v>
      </c>
      <c r="F3" s="127"/>
      <c r="G3" s="41" t="s">
        <v>149</v>
      </c>
      <c r="H3" s="14"/>
      <c r="I3" s="68" t="s">
        <v>150</v>
      </c>
      <c r="K3" s="68" t="s">
        <v>151</v>
      </c>
      <c r="L3" s="14"/>
      <c r="N3" s="68" t="s">
        <v>152</v>
      </c>
      <c r="O3" s="68"/>
      <c r="P3" s="4" t="s">
        <v>112</v>
      </c>
      <c r="R3" s="122" t="s">
        <v>153</v>
      </c>
      <c r="S3" s="122"/>
      <c r="T3" s="122" t="s">
        <v>154</v>
      </c>
      <c r="U3" s="68"/>
      <c r="V3" s="68" t="s">
        <v>155</v>
      </c>
      <c r="W3" s="68"/>
      <c r="X3" s="68" t="s">
        <v>156</v>
      </c>
      <c r="AA3" s="128" t="s">
        <v>157</v>
      </c>
      <c r="AB3" s="128" t="s">
        <v>158</v>
      </c>
      <c r="AC3" s="128" t="s">
        <v>159</v>
      </c>
      <c r="AD3" s="128" t="s">
        <v>160</v>
      </c>
      <c r="AE3" s="128" t="s">
        <v>161</v>
      </c>
      <c r="AF3" s="128" t="s">
        <v>162</v>
      </c>
      <c r="AG3" s="128" t="s">
        <v>163</v>
      </c>
      <c r="AH3" s="128" t="s">
        <v>164</v>
      </c>
      <c r="AI3" s="128" t="s">
        <v>165</v>
      </c>
      <c r="AJ3" s="128" t="s">
        <v>166</v>
      </c>
      <c r="AK3" s="128" t="s">
        <v>167</v>
      </c>
      <c r="AL3" s="128" t="s">
        <v>168</v>
      </c>
      <c r="AM3" s="128" t="s">
        <v>169</v>
      </c>
      <c r="AN3" s="128" t="s">
        <v>170</v>
      </c>
      <c r="AO3" s="128" t="s">
        <v>171</v>
      </c>
      <c r="AP3" s="128" t="s">
        <v>172</v>
      </c>
      <c r="AQ3" s="128" t="s">
        <v>173</v>
      </c>
      <c r="AR3" s="128" t="s">
        <v>174</v>
      </c>
      <c r="AS3" s="128" t="s">
        <v>175</v>
      </c>
      <c r="AT3" s="128" t="s">
        <v>176</v>
      </c>
      <c r="AU3" s="128" t="s">
        <v>177</v>
      </c>
      <c r="AV3" s="128" t="s">
        <v>178</v>
      </c>
      <c r="AW3" s="129" t="s">
        <v>34</v>
      </c>
      <c r="AX3" s="130" t="s">
        <v>179</v>
      </c>
      <c r="AY3" s="131" t="s">
        <v>180</v>
      </c>
      <c r="AZ3" s="132"/>
      <c r="BA3" s="133" t="s">
        <v>152</v>
      </c>
      <c r="BB3" s="133" t="s">
        <v>181</v>
      </c>
      <c r="BC3" s="132"/>
      <c r="BD3" s="134" t="s">
        <v>182</v>
      </c>
      <c r="BE3" s="124"/>
      <c r="BF3" s="134" t="s">
        <v>183</v>
      </c>
      <c r="BG3" s="133"/>
      <c r="BH3" s="134" t="s">
        <v>184</v>
      </c>
      <c r="BI3" s="133"/>
      <c r="BJ3" s="134" t="s">
        <v>185</v>
      </c>
    </row>
    <row r="4" spans="1:62" s="1" customFormat="1" ht="38" x14ac:dyDescent="0.2">
      <c r="A4" s="4" t="s">
        <v>186</v>
      </c>
      <c r="B4" s="16"/>
      <c r="C4" s="135"/>
      <c r="D4" s="136"/>
      <c r="E4" s="135"/>
      <c r="F4" s="136"/>
      <c r="G4" s="135"/>
      <c r="H4" s="16"/>
      <c r="I4" s="137"/>
      <c r="K4" s="138"/>
      <c r="L4" s="16"/>
      <c r="N4" s="139"/>
      <c r="O4" s="122"/>
      <c r="P4" s="50">
        <f t="shared" ref="P4:P13" si="0">IF(N4="no",0,I4-K4)</f>
        <v>0</v>
      </c>
      <c r="R4" s="139"/>
      <c r="S4" s="93"/>
      <c r="T4" s="139"/>
      <c r="U4" s="33"/>
      <c r="V4" s="139"/>
      <c r="W4" s="33"/>
      <c r="X4" s="139"/>
      <c r="AA4" s="140" t="str">
        <f t="shared" ref="AA4:AA13" si="1">IF(I4&gt;0,IF($BD4&lt;&gt;"no",IF(C4&lt;&gt;0,UPPER(_xlfn.CONCAT(E4," ",C4)),""),""),"")</f>
        <v/>
      </c>
      <c r="AB4" s="140">
        <f t="shared" ref="AB4:AB13" si="2">IF($R4&lt;&gt;"no",IF(I4&lt;&gt;0,$I4,0),0)</f>
        <v>0</v>
      </c>
      <c r="AC4" s="140">
        <f t="shared" ref="AC4:AC13" si="3">IF($R4&lt;&gt;"no",IF($AX4&lt;&gt;0,$AX4,0),0)</f>
        <v>0</v>
      </c>
      <c r="AD4" s="140">
        <f t="shared" ref="AD4:AD13" si="4">IF($R4&lt;&gt;"no",IF($AY4&lt;&gt;0,$AY4,0),0)</f>
        <v>0</v>
      </c>
      <c r="AE4" s="140" t="str">
        <f t="shared" ref="AE4:AE13" si="5">IF(I4&gt;0,IF($BF4&lt;&gt;"no",IF(C4&lt;&gt;0,UPPER(_xlfn.CONCAT(E4," ",C4)),""),""),"")</f>
        <v/>
      </c>
      <c r="AF4" s="140">
        <f t="shared" ref="AF4:AF13" si="6">IF($T4&lt;&gt;"no",IF(I4&lt;&gt;0,I4,0),0)</f>
        <v>0</v>
      </c>
      <c r="AG4" s="140">
        <f t="shared" ref="AG4:AG13" si="7">IF($T4&lt;&gt;"no",IF($AX4&lt;&gt;0,$AX4,0),0)</f>
        <v>0</v>
      </c>
      <c r="AH4" s="140">
        <f t="shared" ref="AH4:AH13" si="8">IF($T4&lt;&gt;"no",IF($AY4&lt;&gt;0,$AY4,0),0)</f>
        <v>0</v>
      </c>
      <c r="AI4" s="140" t="str">
        <f t="shared" ref="AI4:AI13" si="9">IF(I4&gt;0,IF($BH4&lt;&gt;"no",IF(C4&lt;&gt;0,UPPER(_xlfn.CONCAT(E4," ",C4)),""),""),"")</f>
        <v/>
      </c>
      <c r="AJ4" s="140">
        <f t="shared" ref="AJ4:AJ13" si="10">IF($V4&lt;&gt;"no",IF($I4&lt;&gt;0,$I4,0),0)</f>
        <v>0</v>
      </c>
      <c r="AK4" s="140">
        <f t="shared" ref="AK4:AK13" si="11">IF($V4&lt;&gt;"no",IF($AX4&lt;&gt;0,$AX4,0),0)</f>
        <v>0</v>
      </c>
      <c r="AL4" s="140">
        <f t="shared" ref="AL4:AL13" si="12">IF($V4&lt;&gt;"no",IF($AY4&lt;&gt;0,$AY4,0),0)</f>
        <v>0</v>
      </c>
      <c r="AM4" s="140" t="str">
        <f t="shared" ref="AM4:AM13" si="13">IF(I4&gt;0,IF($BJ4&lt;&gt;"no",IF(C4&lt;&gt;0,UPPER(_xlfn.CONCAT(E4," ",C4)),""),""),"")</f>
        <v/>
      </c>
      <c r="AN4" s="140">
        <f t="shared" ref="AN4:AN13" si="14">IF($X4&lt;&gt;"no",IF($I4&lt;&gt;0,$I4,0),0)</f>
        <v>0</v>
      </c>
      <c r="AO4" s="140">
        <f t="shared" ref="AO4:AO13" si="15">IF($X4&lt;&gt;"no",IF($AX4&lt;&gt;0,$AX4,0),0)</f>
        <v>0</v>
      </c>
      <c r="AP4" s="140">
        <f t="shared" ref="AP4:AP13" si="16">IF($X4&lt;&gt;"no",IF($AY4&lt;&gt;0,$AY4,0),0)</f>
        <v>0</v>
      </c>
      <c r="AQ4" s="140" t="str">
        <f t="shared" ref="AQ4:AQ13" si="17">IF(I4&gt;0,IF($N4&lt;&gt;"no",IF(C4&lt;&gt;0,UPPER(_xlfn.CONCAT(E4," ",C4)),""),""),"")</f>
        <v/>
      </c>
      <c r="AR4" s="140">
        <f t="shared" ref="AR4:AR13" si="18">IF(N4&lt;&gt;"no",IF($I4&lt;&gt;0,$I4,0),0)</f>
        <v>0</v>
      </c>
      <c r="AS4" s="140">
        <f t="shared" ref="AS4:AS13" si="19">IF(N4&lt;&gt;"no",IF($AX4&lt;&gt;0,$AX4,0),0)</f>
        <v>0</v>
      </c>
      <c r="AT4" s="140">
        <f t="shared" ref="AT4:AT13" si="20">IF($N4&lt;&gt;"no",IF($AY4&lt;&gt;0,$AY4,0),0)</f>
        <v>0</v>
      </c>
      <c r="AU4" s="1" t="str">
        <f>IF(I4&gt;0,IF($N4="no",IF(C4&lt;&gt;0,UPPER(_xlfn.CONCAT(E4," ",C4)),""),""),"")</f>
        <v/>
      </c>
      <c r="AW4" s="141" t="str">
        <f t="shared" ref="AW4:AW13" si="21">_xlfn.CONCAT(C4)</f>
        <v/>
      </c>
      <c r="AX4" s="142">
        <f>I4*(1+IF('Costing Sheet'!M3="Tax Exempt",0,IF(IFERROR(VLOOKUP(C4,'Admin Input Sheet'!C$9:I$18,3,FALSE),"Taxable")="Taxable",Calculations!B$404,0)+IF(IFERROR(VLOOKUP(C4,'Admin Input Sheet'!C$9:I$18,IF(Calculations!B402="FL",5,7),FALSE),"Store")="No County Tax",0,IF(IFERROR(VLOOKUP(C4,'Admin Input Sheet'!C$9:I$18,IF(Calculations!B402="FL",5,7),FALSE),"Store")="Customer",Calculations!B$410,Calculations!B$408))))</f>
        <v>0</v>
      </c>
      <c r="AY4" s="50">
        <f t="shared" ref="AY4:AY13" si="22">K4</f>
        <v>0</v>
      </c>
      <c r="BA4" s="143" t="str">
        <f t="shared" ref="BA4:BA13" si="23">IF(N4="No","Customer Declined",IF($I4&gt;0,N4,"NO"))</f>
        <v>NO</v>
      </c>
      <c r="BB4" s="143" t="str">
        <f>IF(AND(I4&gt;0,N4="No"),"Customer Declined","No")</f>
        <v>No</v>
      </c>
      <c r="BD4" s="143" t="str">
        <f t="shared" ref="BD4:BD13" si="24">IF($I4&gt;0,R4,"No")</f>
        <v>No</v>
      </c>
      <c r="BE4" s="144"/>
      <c r="BF4" s="143" t="str">
        <f t="shared" ref="BF4:BF13" si="25">IF($I4&gt;0,T4,"No")</f>
        <v>No</v>
      </c>
      <c r="BG4" s="145"/>
      <c r="BH4" s="143" t="str">
        <f t="shared" ref="BH4:BH13" si="26">IF($I4&gt;0,V4,"No")</f>
        <v>No</v>
      </c>
      <c r="BI4" s="145"/>
      <c r="BJ4" s="143" t="str">
        <f t="shared" ref="BJ4:BJ13" si="27">IF($I4&gt;0,X4,"No")</f>
        <v>No</v>
      </c>
    </row>
    <row r="5" spans="1:62" s="1" customFormat="1" ht="38" x14ac:dyDescent="0.2">
      <c r="A5" s="4" t="s">
        <v>186</v>
      </c>
      <c r="B5" s="16"/>
      <c r="C5" s="135"/>
      <c r="D5" s="136"/>
      <c r="E5" s="135"/>
      <c r="F5" s="136"/>
      <c r="G5" s="135"/>
      <c r="H5" s="16"/>
      <c r="I5" s="146"/>
      <c r="K5" s="147"/>
      <c r="L5" s="16"/>
      <c r="N5" s="139"/>
      <c r="O5" s="122"/>
      <c r="P5" s="50">
        <f t="shared" si="0"/>
        <v>0</v>
      </c>
      <c r="R5" s="139"/>
      <c r="S5" s="67"/>
      <c r="T5" s="139"/>
      <c r="U5" s="33"/>
      <c r="V5" s="139"/>
      <c r="W5" s="33"/>
      <c r="X5" s="139"/>
      <c r="AA5" s="140" t="str">
        <f t="shared" si="1"/>
        <v/>
      </c>
      <c r="AB5" s="140">
        <f t="shared" si="2"/>
        <v>0</v>
      </c>
      <c r="AC5" s="140">
        <f t="shared" si="3"/>
        <v>0</v>
      </c>
      <c r="AD5" s="140">
        <f t="shared" si="4"/>
        <v>0</v>
      </c>
      <c r="AE5" s="140" t="str">
        <f t="shared" si="5"/>
        <v/>
      </c>
      <c r="AF5" s="140">
        <f t="shared" si="6"/>
        <v>0</v>
      </c>
      <c r="AG5" s="140">
        <f t="shared" si="7"/>
        <v>0</v>
      </c>
      <c r="AH5" s="140">
        <f t="shared" si="8"/>
        <v>0</v>
      </c>
      <c r="AI5" s="140" t="str">
        <f t="shared" si="9"/>
        <v/>
      </c>
      <c r="AJ5" s="140">
        <f t="shared" si="10"/>
        <v>0</v>
      </c>
      <c r="AK5" s="140">
        <f t="shared" si="11"/>
        <v>0</v>
      </c>
      <c r="AL5" s="140">
        <f t="shared" si="12"/>
        <v>0</v>
      </c>
      <c r="AM5" s="140" t="str">
        <f t="shared" si="13"/>
        <v/>
      </c>
      <c r="AN5" s="140">
        <f t="shared" si="14"/>
        <v>0</v>
      </c>
      <c r="AO5" s="140">
        <f t="shared" si="15"/>
        <v>0</v>
      </c>
      <c r="AP5" s="140">
        <f t="shared" si="16"/>
        <v>0</v>
      </c>
      <c r="AQ5" s="140" t="str">
        <f t="shared" si="17"/>
        <v/>
      </c>
      <c r="AR5" s="140">
        <f t="shared" si="18"/>
        <v>0</v>
      </c>
      <c r="AS5" s="140">
        <f t="shared" si="19"/>
        <v>0</v>
      </c>
      <c r="AT5" s="140">
        <f t="shared" si="20"/>
        <v>0</v>
      </c>
      <c r="AU5" s="1" t="str">
        <f t="shared" ref="AU5:AU13" si="28">IF(I5&gt;0,IF($N5="no",IF(C5&lt;&gt;0,UPPER(_xlfn.CONCAT(E5," ",C5)),""),""),"")</f>
        <v/>
      </c>
      <c r="AV5" s="140"/>
      <c r="AW5" s="148" t="str">
        <f t="shared" si="21"/>
        <v/>
      </c>
      <c r="AX5" s="142">
        <f>I5*(1+IF('Costing Sheet'!M4="Tax Exempt",0,IF(IFERROR(VLOOKUP(C5,'Admin Input Sheet'!C$9:I$18,3,FALSE),"Taxable")="Taxable",Calculations!B$404,0)+IF(IFERROR(VLOOKUP(C5,'Admin Input Sheet'!C$9:I$18,IF(Calculations!B403="FL",5,7),FALSE),"Store")="No County Tax",0,IF(IFERROR(VLOOKUP(C5,'Admin Input Sheet'!C$9:I$18,IF(Calculations!B403="FL",5,7),FALSE),"Store")="Customer",Calculations!B$410,Calculations!B$408))))</f>
        <v>0</v>
      </c>
      <c r="AY5" s="50">
        <f t="shared" si="22"/>
        <v>0</v>
      </c>
      <c r="BA5" s="143" t="str">
        <f t="shared" si="23"/>
        <v>NO</v>
      </c>
      <c r="BB5" s="143" t="str">
        <f t="shared" ref="BB5:BB13" si="29">IF(AND(I5&gt;0,N5="No"),"Customer Declined","No")</f>
        <v>No</v>
      </c>
      <c r="BD5" s="143" t="str">
        <f t="shared" si="24"/>
        <v>No</v>
      </c>
      <c r="BE5" s="125"/>
      <c r="BF5" s="143" t="str">
        <f t="shared" si="25"/>
        <v>No</v>
      </c>
      <c r="BG5" s="145"/>
      <c r="BH5" s="143" t="str">
        <f t="shared" si="26"/>
        <v>No</v>
      </c>
      <c r="BI5" s="145"/>
      <c r="BJ5" s="143" t="str">
        <f t="shared" si="27"/>
        <v>No</v>
      </c>
    </row>
    <row r="6" spans="1:62" s="1" customFormat="1" ht="38" x14ac:dyDescent="0.2">
      <c r="A6" s="4" t="s">
        <v>186</v>
      </c>
      <c r="B6" s="16"/>
      <c r="C6" s="135"/>
      <c r="D6" s="136"/>
      <c r="E6" s="135"/>
      <c r="F6" s="136"/>
      <c r="G6" s="135"/>
      <c r="H6" s="16"/>
      <c r="I6" s="146"/>
      <c r="K6" s="147"/>
      <c r="L6" s="16"/>
      <c r="N6" s="139"/>
      <c r="O6" s="122"/>
      <c r="P6" s="50">
        <f t="shared" si="0"/>
        <v>0</v>
      </c>
      <c r="R6" s="139"/>
      <c r="S6" s="67"/>
      <c r="T6" s="139"/>
      <c r="U6" s="33"/>
      <c r="V6" s="139"/>
      <c r="W6" s="33"/>
      <c r="X6" s="139"/>
      <c r="AA6" s="149" t="str">
        <f t="shared" si="1"/>
        <v/>
      </c>
      <c r="AB6" s="149">
        <f t="shared" si="2"/>
        <v>0</v>
      </c>
      <c r="AC6" s="149">
        <f t="shared" si="3"/>
        <v>0</v>
      </c>
      <c r="AD6" s="149">
        <f t="shared" si="4"/>
        <v>0</v>
      </c>
      <c r="AE6" s="149" t="str">
        <f t="shared" si="5"/>
        <v/>
      </c>
      <c r="AF6" s="149">
        <f t="shared" si="6"/>
        <v>0</v>
      </c>
      <c r="AG6" s="149">
        <f t="shared" si="7"/>
        <v>0</v>
      </c>
      <c r="AH6" s="149">
        <f t="shared" si="8"/>
        <v>0</v>
      </c>
      <c r="AI6" s="149" t="str">
        <f t="shared" si="9"/>
        <v/>
      </c>
      <c r="AJ6" s="149">
        <f t="shared" si="10"/>
        <v>0</v>
      </c>
      <c r="AK6" s="149">
        <f t="shared" si="11"/>
        <v>0</v>
      </c>
      <c r="AL6" s="149">
        <f t="shared" si="12"/>
        <v>0</v>
      </c>
      <c r="AM6" s="149" t="str">
        <f t="shared" si="13"/>
        <v/>
      </c>
      <c r="AN6" s="149">
        <f t="shared" si="14"/>
        <v>0</v>
      </c>
      <c r="AO6" s="149">
        <f t="shared" si="15"/>
        <v>0</v>
      </c>
      <c r="AP6" s="149">
        <f t="shared" si="16"/>
        <v>0</v>
      </c>
      <c r="AQ6" s="149" t="str">
        <f t="shared" si="17"/>
        <v/>
      </c>
      <c r="AR6" s="149">
        <f t="shared" si="18"/>
        <v>0</v>
      </c>
      <c r="AS6" s="149">
        <f t="shared" si="19"/>
        <v>0</v>
      </c>
      <c r="AT6" s="149">
        <f t="shared" si="20"/>
        <v>0</v>
      </c>
      <c r="AU6" s="1" t="str">
        <f t="shared" si="28"/>
        <v/>
      </c>
      <c r="AV6" s="149"/>
      <c r="AW6" s="141" t="str">
        <f t="shared" si="21"/>
        <v/>
      </c>
      <c r="AX6" s="142">
        <f>I6*(1+IF('Costing Sheet'!M5="Tax Exempt",0,IF(IFERROR(VLOOKUP(C6,'Admin Input Sheet'!C$9:I$18,3,FALSE),"Taxable")="Taxable",Calculations!B$404,0)+IF(IFERROR(VLOOKUP(C6,'Admin Input Sheet'!C$9:I$18,IF(Calculations!B404="FL",5,7),FALSE),"Store")="No County Tax",0,IF(IFERROR(VLOOKUP(C6,'Admin Input Sheet'!C$9:I$18,IF(Calculations!B404="FL",5,7),FALSE),"Store")="Customer",Calculations!B$410,Calculations!B$408))))</f>
        <v>0</v>
      </c>
      <c r="AY6" s="50">
        <f t="shared" si="22"/>
        <v>0</v>
      </c>
      <c r="BA6" s="143" t="str">
        <f t="shared" si="23"/>
        <v>NO</v>
      </c>
      <c r="BB6" s="143" t="str">
        <f t="shared" si="29"/>
        <v>No</v>
      </c>
      <c r="BD6" s="143" t="str">
        <f t="shared" si="24"/>
        <v>No</v>
      </c>
      <c r="BE6" s="125"/>
      <c r="BF6" s="143" t="str">
        <f t="shared" si="25"/>
        <v>No</v>
      </c>
      <c r="BG6" s="145"/>
      <c r="BH6" s="143" t="str">
        <f t="shared" si="26"/>
        <v>No</v>
      </c>
      <c r="BI6" s="145"/>
      <c r="BJ6" s="143" t="str">
        <f t="shared" si="27"/>
        <v>No</v>
      </c>
    </row>
    <row r="7" spans="1:62" s="1" customFormat="1" ht="38" x14ac:dyDescent="0.2">
      <c r="A7" s="4" t="s">
        <v>186</v>
      </c>
      <c r="B7" s="16"/>
      <c r="C7" s="135"/>
      <c r="D7" s="136"/>
      <c r="E7" s="135"/>
      <c r="F7" s="136"/>
      <c r="G7" s="135"/>
      <c r="H7" s="16"/>
      <c r="I7" s="146"/>
      <c r="K7" s="147"/>
      <c r="L7" s="16"/>
      <c r="N7" s="139"/>
      <c r="O7" s="122"/>
      <c r="P7" s="50">
        <f t="shared" si="0"/>
        <v>0</v>
      </c>
      <c r="R7" s="139"/>
      <c r="S7" s="67"/>
      <c r="T7" s="139"/>
      <c r="U7" s="33"/>
      <c r="V7" s="139"/>
      <c r="W7" s="33"/>
      <c r="X7" s="139"/>
      <c r="AA7" s="140" t="str">
        <f t="shared" si="1"/>
        <v/>
      </c>
      <c r="AB7" s="140">
        <f t="shared" si="2"/>
        <v>0</v>
      </c>
      <c r="AC7" s="140">
        <f t="shared" si="3"/>
        <v>0</v>
      </c>
      <c r="AD7" s="140">
        <f t="shared" si="4"/>
        <v>0</v>
      </c>
      <c r="AE7" s="140" t="str">
        <f t="shared" si="5"/>
        <v/>
      </c>
      <c r="AF7" s="140">
        <f t="shared" si="6"/>
        <v>0</v>
      </c>
      <c r="AG7" s="140">
        <f t="shared" si="7"/>
        <v>0</v>
      </c>
      <c r="AH7" s="140">
        <f t="shared" si="8"/>
        <v>0</v>
      </c>
      <c r="AI7" s="140" t="str">
        <f t="shared" si="9"/>
        <v/>
      </c>
      <c r="AJ7" s="140">
        <f t="shared" si="10"/>
        <v>0</v>
      </c>
      <c r="AK7" s="140">
        <f t="shared" si="11"/>
        <v>0</v>
      </c>
      <c r="AL7" s="140">
        <f t="shared" si="12"/>
        <v>0</v>
      </c>
      <c r="AM7" s="140" t="str">
        <f t="shared" si="13"/>
        <v/>
      </c>
      <c r="AN7" s="140">
        <f t="shared" si="14"/>
        <v>0</v>
      </c>
      <c r="AO7" s="140">
        <f t="shared" si="15"/>
        <v>0</v>
      </c>
      <c r="AP7" s="140">
        <f t="shared" si="16"/>
        <v>0</v>
      </c>
      <c r="AQ7" s="140" t="str">
        <f t="shared" si="17"/>
        <v/>
      </c>
      <c r="AR7" s="140">
        <f t="shared" si="18"/>
        <v>0</v>
      </c>
      <c r="AS7" s="140">
        <f t="shared" si="19"/>
        <v>0</v>
      </c>
      <c r="AT7" s="140">
        <f t="shared" si="20"/>
        <v>0</v>
      </c>
      <c r="AU7" s="1" t="str">
        <f t="shared" si="28"/>
        <v/>
      </c>
      <c r="AV7" s="140"/>
      <c r="AW7" s="148" t="str">
        <f t="shared" si="21"/>
        <v/>
      </c>
      <c r="AX7" s="142">
        <f>I7*(1+IF('Costing Sheet'!M6="Tax Exempt",0,IF(IFERROR(VLOOKUP(C7,'Admin Input Sheet'!C$9:I$18,3,FALSE),"Taxable")="Taxable",Calculations!B$404,0)+IF(IFERROR(VLOOKUP(C7,'Admin Input Sheet'!C$9:I$18,IF(Calculations!B405="FL",5,7),FALSE),"Store")="No County Tax",0,IF(IFERROR(VLOOKUP(C7,'Admin Input Sheet'!C$9:I$18,IF(Calculations!B405="FL",5,7),FALSE),"Store")="Customer",Calculations!B$410,Calculations!B$408))))</f>
        <v>0</v>
      </c>
      <c r="AY7" s="50">
        <f t="shared" si="22"/>
        <v>0</v>
      </c>
      <c r="BA7" s="143" t="str">
        <f t="shared" si="23"/>
        <v>NO</v>
      </c>
      <c r="BB7" s="143" t="str">
        <f t="shared" si="29"/>
        <v>No</v>
      </c>
      <c r="BD7" s="143" t="str">
        <f t="shared" si="24"/>
        <v>No</v>
      </c>
      <c r="BE7" s="125"/>
      <c r="BF7" s="143" t="str">
        <f t="shared" si="25"/>
        <v>No</v>
      </c>
      <c r="BG7" s="145"/>
      <c r="BH7" s="143" t="str">
        <f t="shared" si="26"/>
        <v>No</v>
      </c>
      <c r="BI7" s="145"/>
      <c r="BJ7" s="143" t="str">
        <f t="shared" si="27"/>
        <v>No</v>
      </c>
    </row>
    <row r="8" spans="1:62" s="1" customFormat="1" ht="38" x14ac:dyDescent="0.2">
      <c r="A8" s="4" t="s">
        <v>186</v>
      </c>
      <c r="B8" s="16"/>
      <c r="C8" s="135"/>
      <c r="D8" s="136"/>
      <c r="E8" s="135"/>
      <c r="F8" s="136"/>
      <c r="G8" s="135"/>
      <c r="H8" s="16"/>
      <c r="I8" s="146"/>
      <c r="K8" s="147"/>
      <c r="L8" s="16"/>
      <c r="N8" s="139"/>
      <c r="O8" s="122"/>
      <c r="P8" s="50">
        <f t="shared" si="0"/>
        <v>0</v>
      </c>
      <c r="R8" s="139"/>
      <c r="S8" s="67"/>
      <c r="T8" s="139"/>
      <c r="U8" s="33"/>
      <c r="V8" s="139"/>
      <c r="W8" s="33"/>
      <c r="X8" s="139"/>
      <c r="AA8" s="149" t="str">
        <f t="shared" si="1"/>
        <v/>
      </c>
      <c r="AB8" s="149">
        <f t="shared" si="2"/>
        <v>0</v>
      </c>
      <c r="AC8" s="149">
        <f t="shared" si="3"/>
        <v>0</v>
      </c>
      <c r="AD8" s="149">
        <f t="shared" si="4"/>
        <v>0</v>
      </c>
      <c r="AE8" s="149" t="str">
        <f t="shared" si="5"/>
        <v/>
      </c>
      <c r="AF8" s="149">
        <f t="shared" si="6"/>
        <v>0</v>
      </c>
      <c r="AG8" s="149">
        <f t="shared" si="7"/>
        <v>0</v>
      </c>
      <c r="AH8" s="149">
        <f t="shared" si="8"/>
        <v>0</v>
      </c>
      <c r="AI8" s="149" t="str">
        <f t="shared" si="9"/>
        <v/>
      </c>
      <c r="AJ8" s="149">
        <f t="shared" si="10"/>
        <v>0</v>
      </c>
      <c r="AK8" s="149">
        <f t="shared" si="11"/>
        <v>0</v>
      </c>
      <c r="AL8" s="149">
        <f t="shared" si="12"/>
        <v>0</v>
      </c>
      <c r="AM8" s="149" t="str">
        <f t="shared" si="13"/>
        <v/>
      </c>
      <c r="AN8" s="149">
        <f t="shared" si="14"/>
        <v>0</v>
      </c>
      <c r="AO8" s="149">
        <f t="shared" si="15"/>
        <v>0</v>
      </c>
      <c r="AP8" s="149">
        <f t="shared" si="16"/>
        <v>0</v>
      </c>
      <c r="AQ8" s="149" t="str">
        <f t="shared" si="17"/>
        <v/>
      </c>
      <c r="AR8" s="149">
        <f t="shared" si="18"/>
        <v>0</v>
      </c>
      <c r="AS8" s="149">
        <f t="shared" si="19"/>
        <v>0</v>
      </c>
      <c r="AT8" s="149">
        <f t="shared" si="20"/>
        <v>0</v>
      </c>
      <c r="AU8" s="1" t="str">
        <f t="shared" si="28"/>
        <v/>
      </c>
      <c r="AV8" s="149"/>
      <c r="AW8" s="141" t="str">
        <f t="shared" si="21"/>
        <v/>
      </c>
      <c r="AX8" s="142">
        <f>I8*(1+IF('Costing Sheet'!M7="Tax Exempt",0,IF(IFERROR(VLOOKUP(C8,'Admin Input Sheet'!C$9:I$18,3,FALSE),"Taxable")="Taxable",Calculations!B$404,0)+IF(IFERROR(VLOOKUP(C8,'Admin Input Sheet'!C$9:I$18,IF(Calculations!B406="FL",5,7),FALSE),"Store")="No County Tax",0,IF(IFERROR(VLOOKUP(C8,'Admin Input Sheet'!C$9:I$18,IF(Calculations!B406="FL",5,7),FALSE),"Store")="Customer",Calculations!B$410,Calculations!B$408))))</f>
        <v>0</v>
      </c>
      <c r="AY8" s="50">
        <f t="shared" si="22"/>
        <v>0</v>
      </c>
      <c r="BA8" s="143" t="str">
        <f t="shared" si="23"/>
        <v>NO</v>
      </c>
      <c r="BB8" s="143" t="str">
        <f t="shared" si="29"/>
        <v>No</v>
      </c>
      <c r="BD8" s="143" t="str">
        <f t="shared" si="24"/>
        <v>No</v>
      </c>
      <c r="BE8" s="125"/>
      <c r="BF8" s="143" t="str">
        <f t="shared" si="25"/>
        <v>No</v>
      </c>
      <c r="BG8" s="145"/>
      <c r="BH8" s="143" t="str">
        <f t="shared" si="26"/>
        <v>No</v>
      </c>
      <c r="BI8" s="145"/>
      <c r="BJ8" s="143" t="str">
        <f t="shared" si="27"/>
        <v>No</v>
      </c>
    </row>
    <row r="9" spans="1:62" s="1" customFormat="1" ht="38" x14ac:dyDescent="0.2">
      <c r="A9" s="4" t="s">
        <v>186</v>
      </c>
      <c r="B9" s="16"/>
      <c r="C9" s="135"/>
      <c r="D9" s="136"/>
      <c r="E9" s="135"/>
      <c r="F9" s="136"/>
      <c r="G9" s="135"/>
      <c r="H9" s="16"/>
      <c r="I9" s="146"/>
      <c r="K9" s="147"/>
      <c r="L9" s="16"/>
      <c r="N9" s="139"/>
      <c r="O9" s="122"/>
      <c r="P9" s="50">
        <f t="shared" si="0"/>
        <v>0</v>
      </c>
      <c r="R9" s="139"/>
      <c r="S9" s="67"/>
      <c r="T9" s="139"/>
      <c r="U9" s="33"/>
      <c r="V9" s="139"/>
      <c r="W9" s="33"/>
      <c r="X9" s="139"/>
      <c r="AA9" s="140" t="str">
        <f t="shared" si="1"/>
        <v/>
      </c>
      <c r="AB9" s="140">
        <f t="shared" si="2"/>
        <v>0</v>
      </c>
      <c r="AC9" s="140">
        <f t="shared" si="3"/>
        <v>0</v>
      </c>
      <c r="AD9" s="140">
        <f t="shared" si="4"/>
        <v>0</v>
      </c>
      <c r="AE9" s="140" t="str">
        <f t="shared" si="5"/>
        <v/>
      </c>
      <c r="AF9" s="140">
        <f t="shared" si="6"/>
        <v>0</v>
      </c>
      <c r="AG9" s="140">
        <f t="shared" si="7"/>
        <v>0</v>
      </c>
      <c r="AH9" s="140">
        <f t="shared" si="8"/>
        <v>0</v>
      </c>
      <c r="AI9" s="140" t="str">
        <f t="shared" si="9"/>
        <v/>
      </c>
      <c r="AJ9" s="140">
        <f t="shared" si="10"/>
        <v>0</v>
      </c>
      <c r="AK9" s="140">
        <f t="shared" si="11"/>
        <v>0</v>
      </c>
      <c r="AL9" s="140">
        <f t="shared" si="12"/>
        <v>0</v>
      </c>
      <c r="AM9" s="140" t="str">
        <f t="shared" si="13"/>
        <v/>
      </c>
      <c r="AN9" s="140">
        <f t="shared" si="14"/>
        <v>0</v>
      </c>
      <c r="AO9" s="140">
        <f t="shared" si="15"/>
        <v>0</v>
      </c>
      <c r="AP9" s="140">
        <f t="shared" si="16"/>
        <v>0</v>
      </c>
      <c r="AQ9" s="140" t="str">
        <f t="shared" si="17"/>
        <v/>
      </c>
      <c r="AR9" s="140">
        <f t="shared" si="18"/>
        <v>0</v>
      </c>
      <c r="AS9" s="140">
        <f t="shared" si="19"/>
        <v>0</v>
      </c>
      <c r="AT9" s="140">
        <f t="shared" si="20"/>
        <v>0</v>
      </c>
      <c r="AU9" s="1" t="str">
        <f t="shared" si="28"/>
        <v/>
      </c>
      <c r="AV9" s="140"/>
      <c r="AW9" s="148" t="str">
        <f t="shared" si="21"/>
        <v/>
      </c>
      <c r="AX9" s="142">
        <f>I9*(1+IF('Costing Sheet'!M8="Tax Exempt",0,IF(IFERROR(VLOOKUP(C9,'Admin Input Sheet'!C$9:I$18,3,FALSE),"Taxable")="Taxable",Calculations!B$404,0)+IF(IFERROR(VLOOKUP(C9,'Admin Input Sheet'!C$9:I$18,IF(Calculations!B407="FL",5,7),FALSE),"Store")="No County Tax",0,IF(IFERROR(VLOOKUP(C9,'Admin Input Sheet'!C$9:I$18,IF(Calculations!B407="FL",5,7),FALSE),"Store")="Customer",Calculations!B$410,Calculations!B$408))))</f>
        <v>0</v>
      </c>
      <c r="AY9" s="50">
        <f t="shared" si="22"/>
        <v>0</v>
      </c>
      <c r="BA9" s="143" t="str">
        <f t="shared" si="23"/>
        <v>NO</v>
      </c>
      <c r="BB9" s="143" t="str">
        <f t="shared" si="29"/>
        <v>No</v>
      </c>
      <c r="BD9" s="143" t="str">
        <f t="shared" si="24"/>
        <v>No</v>
      </c>
      <c r="BE9" s="125"/>
      <c r="BF9" s="143" t="str">
        <f t="shared" si="25"/>
        <v>No</v>
      </c>
      <c r="BG9" s="145"/>
      <c r="BH9" s="143" t="str">
        <f t="shared" si="26"/>
        <v>No</v>
      </c>
      <c r="BI9" s="145"/>
      <c r="BJ9" s="143" t="str">
        <f t="shared" si="27"/>
        <v>No</v>
      </c>
    </row>
    <row r="10" spans="1:62" s="1" customFormat="1" ht="38" x14ac:dyDescent="0.2">
      <c r="A10" s="4" t="s">
        <v>186</v>
      </c>
      <c r="B10" s="16"/>
      <c r="C10" s="135"/>
      <c r="D10" s="136"/>
      <c r="E10" s="135"/>
      <c r="F10" s="136"/>
      <c r="G10" s="135"/>
      <c r="H10" s="16"/>
      <c r="I10" s="146"/>
      <c r="K10" s="147"/>
      <c r="L10" s="16"/>
      <c r="N10" s="139"/>
      <c r="O10" s="122"/>
      <c r="P10" s="50">
        <f t="shared" si="0"/>
        <v>0</v>
      </c>
      <c r="R10" s="139"/>
      <c r="S10" s="67"/>
      <c r="T10" s="139"/>
      <c r="U10" s="33"/>
      <c r="V10" s="139"/>
      <c r="W10" s="33"/>
      <c r="X10" s="139"/>
      <c r="AA10" s="140" t="str">
        <f t="shared" si="1"/>
        <v/>
      </c>
      <c r="AB10" s="140">
        <f t="shared" si="2"/>
        <v>0</v>
      </c>
      <c r="AC10" s="140">
        <f t="shared" si="3"/>
        <v>0</v>
      </c>
      <c r="AD10" s="140">
        <f t="shared" si="4"/>
        <v>0</v>
      </c>
      <c r="AE10" s="140" t="str">
        <f t="shared" si="5"/>
        <v/>
      </c>
      <c r="AF10" s="140">
        <f t="shared" si="6"/>
        <v>0</v>
      </c>
      <c r="AG10" s="140">
        <f t="shared" si="7"/>
        <v>0</v>
      </c>
      <c r="AH10" s="140">
        <f t="shared" si="8"/>
        <v>0</v>
      </c>
      <c r="AI10" s="140" t="str">
        <f t="shared" si="9"/>
        <v/>
      </c>
      <c r="AJ10" s="140">
        <f t="shared" si="10"/>
        <v>0</v>
      </c>
      <c r="AK10" s="140">
        <f t="shared" si="11"/>
        <v>0</v>
      </c>
      <c r="AL10" s="140">
        <f t="shared" si="12"/>
        <v>0</v>
      </c>
      <c r="AM10" s="140" t="str">
        <f t="shared" si="13"/>
        <v/>
      </c>
      <c r="AN10" s="140">
        <f t="shared" si="14"/>
        <v>0</v>
      </c>
      <c r="AO10" s="140">
        <f t="shared" si="15"/>
        <v>0</v>
      </c>
      <c r="AP10" s="140">
        <f t="shared" si="16"/>
        <v>0</v>
      </c>
      <c r="AQ10" s="140" t="str">
        <f t="shared" si="17"/>
        <v/>
      </c>
      <c r="AR10" s="140">
        <f t="shared" si="18"/>
        <v>0</v>
      </c>
      <c r="AS10" s="140">
        <f t="shared" si="19"/>
        <v>0</v>
      </c>
      <c r="AT10" s="140">
        <f t="shared" si="20"/>
        <v>0</v>
      </c>
      <c r="AU10" s="1" t="str">
        <f t="shared" si="28"/>
        <v/>
      </c>
      <c r="AV10" s="140"/>
      <c r="AW10" s="141" t="str">
        <f t="shared" si="21"/>
        <v/>
      </c>
      <c r="AX10" s="142">
        <f>I10*(1+IF('Costing Sheet'!M9="Tax Exempt",0,IF(IFERROR(VLOOKUP(C10,'Admin Input Sheet'!C$9:I$18,3,FALSE),"Taxable")="Taxable",Calculations!B$404,0)+IF(IFERROR(VLOOKUP(C10,'Admin Input Sheet'!C$9:I$18,IF(Calculations!B408="FL",5,7),FALSE),"Store")="No County Tax",0,IF(IFERROR(VLOOKUP(C10,'Admin Input Sheet'!C$9:I$18,IF(Calculations!B408="FL",5,7),FALSE),"Store")="Customer",Calculations!B$410,Calculations!B$408))))</f>
        <v>0</v>
      </c>
      <c r="AY10" s="50">
        <f t="shared" si="22"/>
        <v>0</v>
      </c>
      <c r="BA10" s="143" t="str">
        <f t="shared" si="23"/>
        <v>NO</v>
      </c>
      <c r="BB10" s="143" t="str">
        <f t="shared" si="29"/>
        <v>No</v>
      </c>
      <c r="BD10" s="143" t="str">
        <f t="shared" si="24"/>
        <v>No</v>
      </c>
      <c r="BE10" s="125"/>
      <c r="BF10" s="143" t="str">
        <f t="shared" si="25"/>
        <v>No</v>
      </c>
      <c r="BG10" s="145"/>
      <c r="BH10" s="143" t="str">
        <f t="shared" si="26"/>
        <v>No</v>
      </c>
      <c r="BI10" s="145"/>
      <c r="BJ10" s="143" t="str">
        <f t="shared" si="27"/>
        <v>No</v>
      </c>
    </row>
    <row r="11" spans="1:62" s="1" customFormat="1" ht="38" x14ac:dyDescent="0.2">
      <c r="A11" s="4" t="s">
        <v>186</v>
      </c>
      <c r="B11" s="16"/>
      <c r="C11" s="135"/>
      <c r="D11" s="136"/>
      <c r="E11" s="135"/>
      <c r="F11" s="136"/>
      <c r="G11" s="135"/>
      <c r="H11" s="16"/>
      <c r="I11" s="146"/>
      <c r="K11" s="147"/>
      <c r="L11" s="16"/>
      <c r="N11" s="139"/>
      <c r="O11" s="122"/>
      <c r="P11" s="50">
        <f t="shared" si="0"/>
        <v>0</v>
      </c>
      <c r="R11" s="139"/>
      <c r="S11" s="67"/>
      <c r="T11" s="139"/>
      <c r="U11" s="33"/>
      <c r="V11" s="139"/>
      <c r="W11" s="33"/>
      <c r="X11" s="139"/>
      <c r="AA11" s="149" t="str">
        <f t="shared" si="1"/>
        <v/>
      </c>
      <c r="AB11" s="149">
        <f t="shared" si="2"/>
        <v>0</v>
      </c>
      <c r="AC11" s="149">
        <f t="shared" si="3"/>
        <v>0</v>
      </c>
      <c r="AD11" s="149">
        <f t="shared" si="4"/>
        <v>0</v>
      </c>
      <c r="AE11" s="149" t="str">
        <f t="shared" si="5"/>
        <v/>
      </c>
      <c r="AF11" s="149">
        <f t="shared" si="6"/>
        <v>0</v>
      </c>
      <c r="AG11" s="149">
        <f t="shared" si="7"/>
        <v>0</v>
      </c>
      <c r="AH11" s="149">
        <f t="shared" si="8"/>
        <v>0</v>
      </c>
      <c r="AI11" s="149" t="str">
        <f t="shared" si="9"/>
        <v/>
      </c>
      <c r="AJ11" s="149">
        <f t="shared" si="10"/>
        <v>0</v>
      </c>
      <c r="AK11" s="149">
        <f t="shared" si="11"/>
        <v>0</v>
      </c>
      <c r="AL11" s="149">
        <f t="shared" si="12"/>
        <v>0</v>
      </c>
      <c r="AM11" s="149" t="str">
        <f t="shared" si="13"/>
        <v/>
      </c>
      <c r="AN11" s="149">
        <f t="shared" si="14"/>
        <v>0</v>
      </c>
      <c r="AO11" s="149">
        <f t="shared" si="15"/>
        <v>0</v>
      </c>
      <c r="AP11" s="149">
        <f t="shared" si="16"/>
        <v>0</v>
      </c>
      <c r="AQ11" s="149" t="str">
        <f t="shared" si="17"/>
        <v/>
      </c>
      <c r="AR11" s="149">
        <f t="shared" si="18"/>
        <v>0</v>
      </c>
      <c r="AS11" s="149">
        <f t="shared" si="19"/>
        <v>0</v>
      </c>
      <c r="AT11" s="149">
        <f t="shared" si="20"/>
        <v>0</v>
      </c>
      <c r="AU11" s="1" t="str">
        <f t="shared" si="28"/>
        <v/>
      </c>
      <c r="AV11" s="149"/>
      <c r="AW11" s="148" t="str">
        <f t="shared" si="21"/>
        <v/>
      </c>
      <c r="AX11" s="142">
        <f>I11*(1+IF('Costing Sheet'!M10="Tax Exempt",0,IF(IFERROR(VLOOKUP(C11,'Admin Input Sheet'!C$9:I$18,3,FALSE),"Taxable")="Taxable",Calculations!B$404,0)+IF(IFERROR(VLOOKUP(C11,'Admin Input Sheet'!C$9:I$18,IF(Calculations!B409="FL",5,7),FALSE),"Store")="No County Tax",0,IF(IFERROR(VLOOKUP(C11,'Admin Input Sheet'!C$9:I$18,IF(Calculations!B409="FL",5,7),FALSE),"Store")="Customer",Calculations!B$410,Calculations!B$408))))</f>
        <v>0</v>
      </c>
      <c r="AY11" s="50">
        <f t="shared" si="22"/>
        <v>0</v>
      </c>
      <c r="BA11" s="143" t="str">
        <f t="shared" si="23"/>
        <v>NO</v>
      </c>
      <c r="BB11" s="143" t="str">
        <f t="shared" si="29"/>
        <v>No</v>
      </c>
      <c r="BD11" s="143" t="str">
        <f t="shared" si="24"/>
        <v>No</v>
      </c>
      <c r="BE11" s="125"/>
      <c r="BF11" s="143" t="str">
        <f t="shared" si="25"/>
        <v>No</v>
      </c>
      <c r="BG11" s="145"/>
      <c r="BH11" s="143" t="str">
        <f t="shared" si="26"/>
        <v>No</v>
      </c>
      <c r="BI11" s="145"/>
      <c r="BJ11" s="143" t="str">
        <f t="shared" si="27"/>
        <v>No</v>
      </c>
    </row>
    <row r="12" spans="1:62" s="1" customFormat="1" ht="38" x14ac:dyDescent="0.2">
      <c r="A12" s="4" t="s">
        <v>186</v>
      </c>
      <c r="B12" s="16"/>
      <c r="C12" s="135"/>
      <c r="D12" s="136"/>
      <c r="E12" s="135"/>
      <c r="F12" s="136"/>
      <c r="G12" s="135"/>
      <c r="H12" s="16"/>
      <c r="I12" s="146"/>
      <c r="K12" s="147"/>
      <c r="L12" s="16"/>
      <c r="N12" s="139"/>
      <c r="O12" s="122"/>
      <c r="P12" s="50">
        <f t="shared" si="0"/>
        <v>0</v>
      </c>
      <c r="R12" s="139"/>
      <c r="S12" s="67"/>
      <c r="T12" s="139"/>
      <c r="U12" s="33"/>
      <c r="V12" s="139"/>
      <c r="W12" s="33"/>
      <c r="X12" s="139"/>
      <c r="AA12" s="149" t="str">
        <f t="shared" si="1"/>
        <v/>
      </c>
      <c r="AB12" s="149">
        <f t="shared" si="2"/>
        <v>0</v>
      </c>
      <c r="AC12" s="149">
        <f t="shared" si="3"/>
        <v>0</v>
      </c>
      <c r="AD12" s="149">
        <f t="shared" si="4"/>
        <v>0</v>
      </c>
      <c r="AE12" s="149" t="str">
        <f t="shared" si="5"/>
        <v/>
      </c>
      <c r="AF12" s="149">
        <f t="shared" si="6"/>
        <v>0</v>
      </c>
      <c r="AG12" s="149">
        <f t="shared" si="7"/>
        <v>0</v>
      </c>
      <c r="AH12" s="149">
        <f t="shared" si="8"/>
        <v>0</v>
      </c>
      <c r="AI12" s="149" t="str">
        <f t="shared" si="9"/>
        <v/>
      </c>
      <c r="AJ12" s="149">
        <f t="shared" si="10"/>
        <v>0</v>
      </c>
      <c r="AK12" s="149">
        <f t="shared" si="11"/>
        <v>0</v>
      </c>
      <c r="AL12" s="149">
        <f t="shared" si="12"/>
        <v>0</v>
      </c>
      <c r="AM12" s="149" t="str">
        <f t="shared" si="13"/>
        <v/>
      </c>
      <c r="AN12" s="149">
        <f t="shared" si="14"/>
        <v>0</v>
      </c>
      <c r="AO12" s="149">
        <f t="shared" si="15"/>
        <v>0</v>
      </c>
      <c r="AP12" s="149">
        <f t="shared" si="16"/>
        <v>0</v>
      </c>
      <c r="AQ12" s="149" t="str">
        <f t="shared" si="17"/>
        <v/>
      </c>
      <c r="AR12" s="149">
        <f t="shared" si="18"/>
        <v>0</v>
      </c>
      <c r="AS12" s="149">
        <f t="shared" si="19"/>
        <v>0</v>
      </c>
      <c r="AT12" s="149">
        <f t="shared" si="20"/>
        <v>0</v>
      </c>
      <c r="AU12" s="1" t="str">
        <f t="shared" si="28"/>
        <v/>
      </c>
      <c r="AV12" s="149"/>
      <c r="AW12" s="141" t="str">
        <f t="shared" si="21"/>
        <v/>
      </c>
      <c r="AX12" s="142">
        <f>I12*(1+IF('Costing Sheet'!M11="Tax Exempt",0,IF(IFERROR(VLOOKUP(C12,'Admin Input Sheet'!C$9:I$18,3,FALSE),"Taxable")="Taxable",Calculations!B$404,0)+IF(IFERROR(VLOOKUP(C12,'Admin Input Sheet'!C$9:I$18,IF(Calculations!B410="FL",5,7),FALSE),"Store")="No County Tax",0,IF(IFERROR(VLOOKUP(C12,'Admin Input Sheet'!C$9:I$18,IF(Calculations!B410="FL",5,7),FALSE),"Store")="Customer",Calculations!B$410,Calculations!B$408))))</f>
        <v>0</v>
      </c>
      <c r="AY12" s="50">
        <f t="shared" si="22"/>
        <v>0</v>
      </c>
      <c r="BA12" s="143" t="str">
        <f t="shared" si="23"/>
        <v>NO</v>
      </c>
      <c r="BB12" s="143" t="str">
        <f t="shared" si="29"/>
        <v>No</v>
      </c>
      <c r="BD12" s="143" t="str">
        <f t="shared" si="24"/>
        <v>No</v>
      </c>
      <c r="BE12" s="125"/>
      <c r="BF12" s="143" t="str">
        <f t="shared" si="25"/>
        <v>No</v>
      </c>
      <c r="BG12" s="145"/>
      <c r="BH12" s="143" t="str">
        <f t="shared" si="26"/>
        <v>No</v>
      </c>
      <c r="BI12" s="145"/>
      <c r="BJ12" s="143" t="str">
        <f t="shared" si="27"/>
        <v>No</v>
      </c>
    </row>
    <row r="13" spans="1:62" s="1" customFormat="1" ht="38" x14ac:dyDescent="0.2">
      <c r="A13" s="4" t="s">
        <v>186</v>
      </c>
      <c r="B13" s="16"/>
      <c r="C13" s="135"/>
      <c r="D13" s="136"/>
      <c r="E13" s="135"/>
      <c r="F13" s="136"/>
      <c r="G13" s="135"/>
      <c r="H13" s="16"/>
      <c r="I13" s="146"/>
      <c r="K13" s="147"/>
      <c r="L13" s="16"/>
      <c r="N13" s="139"/>
      <c r="O13" s="122"/>
      <c r="P13" s="50">
        <f t="shared" si="0"/>
        <v>0</v>
      </c>
      <c r="R13" s="150"/>
      <c r="S13" s="67"/>
      <c r="T13" s="150"/>
      <c r="U13" s="33"/>
      <c r="V13" s="150"/>
      <c r="W13" s="33"/>
      <c r="X13" s="150"/>
      <c r="AA13" s="149" t="str">
        <f t="shared" si="1"/>
        <v/>
      </c>
      <c r="AB13" s="149">
        <f t="shared" si="2"/>
        <v>0</v>
      </c>
      <c r="AC13" s="149">
        <f t="shared" si="3"/>
        <v>0</v>
      </c>
      <c r="AD13" s="149">
        <f t="shared" si="4"/>
        <v>0</v>
      </c>
      <c r="AE13" s="149" t="str">
        <f t="shared" si="5"/>
        <v/>
      </c>
      <c r="AF13" s="149">
        <f t="shared" si="6"/>
        <v>0</v>
      </c>
      <c r="AG13" s="149">
        <f t="shared" si="7"/>
        <v>0</v>
      </c>
      <c r="AH13" s="149">
        <f t="shared" si="8"/>
        <v>0</v>
      </c>
      <c r="AI13" s="149" t="str">
        <f t="shared" si="9"/>
        <v/>
      </c>
      <c r="AJ13" s="149">
        <f t="shared" si="10"/>
        <v>0</v>
      </c>
      <c r="AK13" s="149">
        <f t="shared" si="11"/>
        <v>0</v>
      </c>
      <c r="AL13" s="149">
        <f t="shared" si="12"/>
        <v>0</v>
      </c>
      <c r="AM13" s="149" t="str">
        <f t="shared" si="13"/>
        <v/>
      </c>
      <c r="AN13" s="149">
        <f t="shared" si="14"/>
        <v>0</v>
      </c>
      <c r="AO13" s="149">
        <f t="shared" si="15"/>
        <v>0</v>
      </c>
      <c r="AP13" s="149">
        <f t="shared" si="16"/>
        <v>0</v>
      </c>
      <c r="AQ13" s="149" t="str">
        <f t="shared" si="17"/>
        <v/>
      </c>
      <c r="AR13" s="149">
        <f t="shared" si="18"/>
        <v>0</v>
      </c>
      <c r="AS13" s="149">
        <f t="shared" si="19"/>
        <v>0</v>
      </c>
      <c r="AT13" s="149">
        <f t="shared" si="20"/>
        <v>0</v>
      </c>
      <c r="AU13" s="1" t="str">
        <f t="shared" si="28"/>
        <v/>
      </c>
      <c r="AV13" s="149"/>
      <c r="AW13" s="148" t="str">
        <f t="shared" si="21"/>
        <v/>
      </c>
      <c r="AX13" s="142">
        <f>I13*(1+IF('Costing Sheet'!M12="Tax Exempt",0,IF(IFERROR(VLOOKUP(C13,'Admin Input Sheet'!C$9:I$18,3,FALSE),"Taxable")="Taxable",Calculations!B$404,0)+IF(IFERROR(VLOOKUP(C13,'Admin Input Sheet'!C$9:I$18,IF(Calculations!B411="FL",5,7),FALSE),"Store")="No County Tax",0,IF(IFERROR(VLOOKUP(C13,'Admin Input Sheet'!C$9:I$18,IF(Calculations!B411="FL",5,7),FALSE),"Store")="Customer",Calculations!B$410,Calculations!B$408))))</f>
        <v>0</v>
      </c>
      <c r="AY13" s="50">
        <f t="shared" si="22"/>
        <v>0</v>
      </c>
      <c r="BA13" s="143" t="str">
        <f t="shared" si="23"/>
        <v>NO</v>
      </c>
      <c r="BB13" s="143" t="str">
        <f t="shared" si="29"/>
        <v>No</v>
      </c>
      <c r="BD13" s="143" t="str">
        <f t="shared" si="24"/>
        <v>No</v>
      </c>
      <c r="BE13" s="125"/>
      <c r="BF13" s="143" t="str">
        <f t="shared" si="25"/>
        <v>No</v>
      </c>
      <c r="BG13" s="145"/>
      <c r="BH13" s="143" t="str">
        <f t="shared" si="26"/>
        <v>No</v>
      </c>
      <c r="BI13" s="145"/>
      <c r="BJ13" s="143" t="str">
        <f t="shared" si="27"/>
        <v>No</v>
      </c>
    </row>
    <row r="14" spans="1:62" ht="18" x14ac:dyDescent="0.2">
      <c r="P14" s="67" t="s">
        <v>187</v>
      </c>
      <c r="R14" s="82">
        <f>AB14</f>
        <v>0</v>
      </c>
      <c r="S14" s="82"/>
      <c r="T14" s="82">
        <f>AF14</f>
        <v>0</v>
      </c>
      <c r="U14" s="82"/>
      <c r="V14" s="82">
        <f>AJ14</f>
        <v>0</v>
      </c>
      <c r="W14" s="82"/>
      <c r="X14" s="82">
        <f>AN14</f>
        <v>0</v>
      </c>
      <c r="AA14" s="151" t="s">
        <v>188</v>
      </c>
      <c r="AB14" s="152">
        <f>SUM(AB4:AB13)</f>
        <v>0</v>
      </c>
      <c r="AC14" s="152">
        <f>SUM(AC4:AC13)</f>
        <v>0</v>
      </c>
      <c r="AD14" s="152">
        <f>SUM(AD4:AD13)</f>
        <v>0</v>
      </c>
      <c r="AE14" s="153" t="s">
        <v>188</v>
      </c>
      <c r="AF14" s="152">
        <f>SUM(AF4:AF13)</f>
        <v>0</v>
      </c>
      <c r="AG14" s="152">
        <f>SUM(AG4:AG13)</f>
        <v>0</v>
      </c>
      <c r="AH14" s="152">
        <f>SUM(AH4:AH13)</f>
        <v>0</v>
      </c>
      <c r="AI14" s="153" t="s">
        <v>188</v>
      </c>
      <c r="AJ14" s="152">
        <f>SUM(AJ4:AJ13)</f>
        <v>0</v>
      </c>
      <c r="AK14" s="152">
        <f>SUM(AK4:AK13)</f>
        <v>0</v>
      </c>
      <c r="AL14" s="152">
        <f>SUM(AL4:AL13)</f>
        <v>0</v>
      </c>
      <c r="AM14" s="153" t="s">
        <v>188</v>
      </c>
      <c r="AN14" s="152">
        <f>SUM(AN4:AN13)</f>
        <v>0</v>
      </c>
      <c r="AO14" s="152">
        <f>SUM(AO4:AO13)</f>
        <v>0</v>
      </c>
      <c r="AP14" s="152">
        <f>SUM(AP4:AP13)</f>
        <v>0</v>
      </c>
      <c r="AQ14" s="153" t="s">
        <v>189</v>
      </c>
      <c r="AR14" s="152">
        <f>SUM(AR4:AR13)</f>
        <v>0</v>
      </c>
      <c r="AS14" s="152">
        <f>SUM(AS4:AS13)</f>
        <v>0</v>
      </c>
      <c r="AT14" s="152">
        <f>SUM(AT4:AT13)</f>
        <v>0</v>
      </c>
      <c r="AU14" s="152"/>
      <c r="AV14" s="152"/>
      <c r="AW14" s="154"/>
      <c r="AX14" s="142">
        <f>I14*(1+IF('Costing Sheet'!M13="Tax Exempt",0,IF(IFERROR(VLOOKUP(C14,'Admin Input Sheet'!C$9:I$18,3,FALSE),"Taxable")="Taxable",Calculations!B$404,0)+IF(IFERROR(VLOOKUP(C14,'Admin Input Sheet'!C$9:I$18,IF(Calculations!B412="FL",5,7),FALSE),"Store")="No County Tax",0,IF(IFERROR(VLOOKUP(C14,'Admin Input Sheet'!C$9:I$18,IF(Calculations!B412="FL",5,7),FALSE),"Store")="Customer",Calculations!B$410,Calculations!B$408))))</f>
        <v>0</v>
      </c>
      <c r="BD14" s="155"/>
      <c r="BE14" s="155"/>
      <c r="BF14" s="155"/>
      <c r="BG14" s="155"/>
      <c r="BH14" s="155"/>
      <c r="BI14" s="155"/>
      <c r="BJ14" s="155"/>
    </row>
    <row r="15" spans="1:62" ht="76" x14ac:dyDescent="0.2">
      <c r="A15" s="4" t="s">
        <v>190</v>
      </c>
      <c r="C15" s="72"/>
      <c r="E15" s="17"/>
      <c r="G15" s="14" t="s">
        <v>191</v>
      </c>
      <c r="AA15" s="156"/>
      <c r="AB15" s="156"/>
      <c r="AC15" s="157"/>
      <c r="AD15" s="157"/>
      <c r="AE15" s="156"/>
      <c r="AF15" s="156"/>
      <c r="AG15" s="157"/>
      <c r="AH15" s="157"/>
      <c r="AI15" s="156"/>
      <c r="AJ15" s="156"/>
      <c r="AK15" s="157"/>
      <c r="AL15" s="157"/>
      <c r="AM15" s="156"/>
      <c r="AN15" s="156"/>
      <c r="AO15" s="157"/>
      <c r="AP15" s="157"/>
      <c r="AQ15" s="156"/>
      <c r="AR15" s="156"/>
      <c r="AS15" s="157"/>
      <c r="AT15" s="157"/>
      <c r="AU15" s="157"/>
      <c r="AV15" s="157"/>
      <c r="AW15" s="156"/>
    </row>
    <row r="16" spans="1:62" ht="57" x14ac:dyDescent="0.2">
      <c r="A16" s="4" t="s">
        <v>192</v>
      </c>
      <c r="C16" s="18"/>
    </row>
    <row r="17" spans="1:54" ht="57" x14ac:dyDescent="0.2">
      <c r="A17" s="4" t="s">
        <v>193</v>
      </c>
      <c r="C17" s="158"/>
      <c r="D17" s="159"/>
      <c r="E17" s="159"/>
      <c r="F17" s="159"/>
      <c r="G17" s="159"/>
    </row>
    <row r="18" spans="1:54" ht="38" x14ac:dyDescent="0.2">
      <c r="A18" s="4" t="s">
        <v>194</v>
      </c>
      <c r="C18" s="160"/>
      <c r="I18" s="16" t="s">
        <v>195</v>
      </c>
    </row>
    <row r="19" spans="1:54" ht="51" x14ac:dyDescent="0.2">
      <c r="A19" s="4" t="s">
        <v>196</v>
      </c>
      <c r="C19" s="763"/>
      <c r="D19" s="764"/>
      <c r="E19" s="764"/>
      <c r="F19" s="764"/>
      <c r="G19" s="765"/>
      <c r="I19" s="762"/>
      <c r="J19" s="762"/>
      <c r="K19" s="762"/>
      <c r="N19" s="122" t="s">
        <v>2271</v>
      </c>
      <c r="P19" s="707"/>
    </row>
    <row r="20" spans="1:54" ht="34" x14ac:dyDescent="0.2">
      <c r="A20" s="4" t="s">
        <v>197</v>
      </c>
      <c r="C20" s="161"/>
      <c r="D20" s="162"/>
      <c r="E20" s="162"/>
      <c r="F20" s="162"/>
      <c r="N20" s="122" t="s">
        <v>198</v>
      </c>
      <c r="P20" s="107">
        <f ca="1">+Calculations!B609</f>
        <v>0</v>
      </c>
      <c r="BA20" s="124" t="str" cm="1">
        <f t="array" ref="BA20">IFERROR(INDEX('Finance Manager Input Sheet'!$AU$4:$AU$13, SMALL(IF('Finance Manager Input Sheet'!$BA$4:$BA$13="Customer Declined", ROW('Finance Manager Input Sheet'!$AU$4:$AU$13)-ROW('Finance Manager Input Sheet'!$AU$4)+1), ROW(C6))), "")</f>
        <v/>
      </c>
      <c r="BB20" s="124" t="str" cm="1">
        <f t="array" ref="BB20">IFERROR(INDEX('Finance Manager Input Sheet'!$AU$4:$AU$13, SMALL(IF('Finance Manager Input Sheet'!$BA$4:$BA$13="Customer Declined", ROW('Finance Manager Input Sheet'!$AU$4:$AU$13)-ROW('Finance Manager Input Sheet'!$AU$4)+1), ROW(D6))), "")</f>
        <v/>
      </c>
    </row>
    <row r="21" spans="1:54" ht="38.25" customHeight="1" x14ac:dyDescent="0.2">
      <c r="A21" s="4" t="s">
        <v>199</v>
      </c>
      <c r="C21" s="163"/>
      <c r="D21" s="162"/>
      <c r="E21" s="162"/>
      <c r="F21" s="162"/>
      <c r="BA21" s="124" t="str" cm="1">
        <f t="array" ref="BA21">IFERROR(INDEX('Finance Manager Input Sheet'!$AU$4:$AU$13, SMALL(IF('Finance Manager Input Sheet'!$BA$4:$BA$13="Customer Declined", ROW('Finance Manager Input Sheet'!$AU$4:$AU$13)-ROW('Finance Manager Input Sheet'!$AU$4)+1), ROW(C7))), "")</f>
        <v/>
      </c>
      <c r="BB21" s="124" t="str" cm="1">
        <f t="array" ref="BB21">IFERROR(INDEX('Finance Manager Input Sheet'!$AU$4:$AU$13, SMALL(IF('Finance Manager Input Sheet'!$BA$4:$BA$13="Customer Declined", ROW('Finance Manager Input Sheet'!$AU$4:$AU$13)-ROW('Finance Manager Input Sheet'!$AU$4)+1), ROW(D7))), "")</f>
        <v/>
      </c>
    </row>
    <row r="22" spans="1:54" ht="57" x14ac:dyDescent="0.2">
      <c r="A22" s="4" t="s">
        <v>200</v>
      </c>
      <c r="C22" s="120"/>
      <c r="D22" s="164"/>
      <c r="E22" s="164"/>
      <c r="F22" s="164"/>
      <c r="G22" s="164"/>
      <c r="N22" s="122" t="s">
        <v>201</v>
      </c>
      <c r="P22" s="107">
        <f>+C22</f>
        <v>0</v>
      </c>
    </row>
    <row r="23" spans="1:54" ht="57" x14ac:dyDescent="0.2">
      <c r="A23" s="4" t="s">
        <v>202</v>
      </c>
      <c r="C23" s="165"/>
      <c r="D23" s="164"/>
      <c r="E23" s="16" t="s">
        <v>203</v>
      </c>
      <c r="F23" s="164"/>
      <c r="G23" s="52"/>
      <c r="I23" s="14" t="s">
        <v>204</v>
      </c>
      <c r="K23" s="166"/>
      <c r="P23" s="107">
        <f>+C23</f>
        <v>0</v>
      </c>
    </row>
    <row r="24" spans="1:54" ht="57" x14ac:dyDescent="0.2">
      <c r="A24" s="4" t="s">
        <v>202</v>
      </c>
      <c r="C24" s="165"/>
      <c r="D24" s="164"/>
      <c r="E24" s="16" t="s">
        <v>203</v>
      </c>
      <c r="F24" s="164"/>
      <c r="G24" s="52"/>
      <c r="I24" s="14" t="s">
        <v>204</v>
      </c>
      <c r="K24" s="166"/>
      <c r="P24" s="107">
        <f>+C24</f>
        <v>0</v>
      </c>
    </row>
    <row r="25" spans="1:54" ht="57" x14ac:dyDescent="0.2">
      <c r="A25" s="4" t="s">
        <v>202</v>
      </c>
      <c r="C25" s="165"/>
      <c r="D25" s="164"/>
      <c r="E25" s="16" t="s">
        <v>203</v>
      </c>
      <c r="F25" s="164"/>
      <c r="G25" s="52"/>
      <c r="I25" s="14" t="s">
        <v>204</v>
      </c>
      <c r="K25" s="166"/>
      <c r="P25" s="107">
        <f>+C25</f>
        <v>0</v>
      </c>
    </row>
    <row r="26" spans="1:54" ht="42" customHeight="1" x14ac:dyDescent="0.2">
      <c r="A26" s="14" t="s">
        <v>205</v>
      </c>
      <c r="C26" s="167"/>
      <c r="N26" s="67"/>
      <c r="O26" s="67"/>
      <c r="BA26" s="125"/>
      <c r="BB26" s="125"/>
    </row>
    <row r="27" spans="1:54" x14ac:dyDescent="0.2">
      <c r="N27" s="67" t="s">
        <v>206</v>
      </c>
      <c r="O27" s="67"/>
      <c r="P27" s="107">
        <f ca="1">SUM(P4:P25)</f>
        <v>0</v>
      </c>
      <c r="BA27" s="125"/>
      <c r="BB27" s="125"/>
    </row>
    <row r="28" spans="1:54" x14ac:dyDescent="0.2">
      <c r="A28" s="16" t="s">
        <v>207</v>
      </c>
      <c r="C28" s="168"/>
    </row>
  </sheetData>
  <sheetProtection selectLockedCells="1"/>
  <mergeCells count="2">
    <mergeCell ref="I19:K19"/>
    <mergeCell ref="C19:G19"/>
  </mergeCells>
  <dataValidations count="14">
    <dataValidation type="list" allowBlank="1" showInputMessage="1" showErrorMessage="1" sqref="R4:R13" xr:uid="{00000000-0002-0000-0400-000000000000}">
      <formula1>"Platinum, No"</formula1>
    </dataValidation>
    <dataValidation type="list" allowBlank="1" showInputMessage="1" showErrorMessage="1" sqref="T4:T13" xr:uid="{00000000-0002-0000-0400-000001000000}">
      <formula1>"Gold, No"</formula1>
    </dataValidation>
    <dataValidation type="list" allowBlank="1" showInputMessage="1" showErrorMessage="1" sqref="V4:V13" xr:uid="{00000000-0002-0000-0400-000002000000}">
      <formula1>"Silver, No"</formula1>
    </dataValidation>
    <dataValidation type="list" allowBlank="1" showInputMessage="1" showErrorMessage="1" sqref="X4:X13" xr:uid="{00000000-0002-0000-0400-000003000000}">
      <formula1>"Bronze, No"</formula1>
    </dataValidation>
    <dataValidation type="list" allowBlank="1" showInputMessage="1" showErrorMessage="1" sqref="N4:O13" xr:uid="{00000000-0002-0000-0400-000004000000}">
      <formula1>"Customer Accepted, No"</formula1>
    </dataValidation>
    <dataValidation type="decimal" allowBlank="1" showInputMessage="1" showErrorMessage="1" sqref="K4:K13 I4:I13" xr:uid="{00000000-0002-0000-0400-000005000000}">
      <formula1>0</formula1>
      <formula2>20000</formula2>
    </dataValidation>
    <dataValidation type="whole" allowBlank="1" showInputMessage="1" showErrorMessage="1" sqref="C16:G16" xr:uid="{00000000-0002-0000-0400-000006000000}">
      <formula1>0</formula1>
      <formula2>240</formula2>
    </dataValidation>
    <dataValidation type="decimal" allowBlank="1" showInputMessage="1" showErrorMessage="1" sqref="C17:G17" xr:uid="{00000000-0002-0000-0400-000007000000}">
      <formula1>0</formula1>
      <formula2>0.35</formula2>
    </dataValidation>
    <dataValidation type="whole" allowBlank="1" showInputMessage="1" showErrorMessage="1" sqref="C18:G18" xr:uid="{00000000-0002-0000-0400-000008000000}">
      <formula1>0</formula1>
      <formula2>120</formula2>
    </dataValidation>
    <dataValidation type="list" allowBlank="1" showInputMessage="1" showErrorMessage="1" sqref="E5:E13" xr:uid="{00000000-0002-0000-0400-000009000000}">
      <formula1>"12 month, 18 month, 24 month, 30 month, 36 month, 42 month, 48 month, 54 month, 60 month, 66 month, 72 month, 78 month, 84 month"</formula1>
    </dataValidation>
    <dataValidation type="list" allowBlank="1" showInputMessage="1" showErrorMessage="1" sqref="E4" xr:uid="{00000000-0002-0000-0400-00000A000000}">
      <formula1>"12 month,18 month, 24 month, 30 month, 36 month, 42 month, 48 month, 54 month, 60 month, 66 month, 72 month, 78 month, 84 month"</formula1>
    </dataValidation>
    <dataValidation type="list" allowBlank="1" showInputMessage="1" showErrorMessage="1" sqref="C15" xr:uid="{00000000-0002-0000-0400-00000B000000}">
      <formula1>"Include Kubota Insurance, No Kubota Insurance"</formula1>
    </dataValidation>
    <dataValidation type="list" allowBlank="1" showInputMessage="1" showErrorMessage="1" sqref="G2" xr:uid="{00000000-0002-0000-0400-00000C000000}">
      <formula1>"RYAN YOUNG, JAY BLOSHUK"</formula1>
    </dataValidation>
    <dataValidation type="decimal" allowBlank="1" showInputMessage="1" showErrorMessage="1" sqref="C22:G22 C23:F25" xr:uid="{00000000-0002-0000-0400-00000D000000}">
      <formula1>0</formula1>
      <formula2>30000</formula2>
    </dataValidation>
  </dataValidations>
  <pageMargins left="0" right="0" top="0" bottom="0" header="0" footer="0"/>
  <pageSetup orientation="landscape"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E000000}">
          <x14:formula1>
            <xm:f>'Lender List'!$A$2:$A$28</xm:f>
          </x14:formula1>
          <xm:sqref>C19:G19</xm:sqref>
        </x14:dataValidation>
        <x14:dataValidation type="list" allowBlank="1" showInputMessage="1" showErrorMessage="1" xr:uid="{00000000-0002-0000-0400-00000F000000}">
          <x14:formula1>
            <xm:f>'Admin Input Sheet'!$C$9:$C$18</xm:f>
          </x14:formula1>
          <xm:sqref>F6:F13 D6:D13 C4:C13</xm:sqref>
        </x14:dataValidation>
        <x14:dataValidation type="list" allowBlank="1" showInputMessage="1" showErrorMessage="1" xr:uid="{00000000-0002-0000-0400-000010000000}">
          <x14:formula1>
            <xm:f>Brands!$C$1:$C$41</xm:f>
          </x14:formula1>
          <xm:sqref>G23:G25</xm:sqref>
        </x14:dataValidation>
        <x14:dataValidation type="list" allowBlank="1" showInputMessage="1" showErrorMessage="1" xr:uid="{00000000-0002-0000-0400-000011000000}">
          <x14:formula1>
            <xm:f>Calculations!$B$546:$B$560</xm:f>
          </x14:formula1>
          <xm:sqref>K23:K25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I44"/>
  <sheetViews>
    <sheetView topLeftCell="C18" zoomScale="85" zoomScaleNormal="85" workbookViewId="0">
      <selection activeCell="G9" sqref="G9"/>
    </sheetView>
  </sheetViews>
  <sheetFormatPr baseColWidth="10" defaultColWidth="10.5" defaultRowHeight="16" x14ac:dyDescent="0.2"/>
  <cols>
    <col min="1" max="1" width="25.33203125" style="16" customWidth="1"/>
    <col min="2" max="2" width="2.5" style="16" customWidth="1"/>
    <col min="3" max="3" width="31.5" style="16" customWidth="1"/>
    <col min="4" max="4" width="2" style="16" customWidth="1"/>
    <col min="5" max="5" width="24.33203125" style="16" customWidth="1"/>
    <col min="6" max="6" width="2.33203125" style="16" customWidth="1"/>
    <col min="7" max="7" width="21.5" style="16" customWidth="1"/>
    <col min="8" max="8" width="2" style="16" customWidth="1"/>
    <col min="9" max="9" width="23" style="16" customWidth="1"/>
    <col min="10" max="16384" width="10.5" style="16"/>
  </cols>
  <sheetData>
    <row r="3" spans="1:9" x14ac:dyDescent="0.2">
      <c r="A3" s="16" t="s">
        <v>208</v>
      </c>
      <c r="C3" s="18">
        <v>1.2999999999999999E-3</v>
      </c>
    </row>
    <row r="4" spans="1:9" x14ac:dyDescent="0.2">
      <c r="A4" s="16" t="s">
        <v>209</v>
      </c>
      <c r="C4" s="18">
        <v>2E-3</v>
      </c>
    </row>
    <row r="5" spans="1:9" x14ac:dyDescent="0.2">
      <c r="A5" s="16" t="s">
        <v>210</v>
      </c>
      <c r="C5" s="18">
        <v>0</v>
      </c>
    </row>
    <row r="6" spans="1:9" x14ac:dyDescent="0.2">
      <c r="A6" s="16" t="s">
        <v>211</v>
      </c>
      <c r="C6" s="18">
        <v>0</v>
      </c>
    </row>
    <row r="8" spans="1:9" x14ac:dyDescent="0.2">
      <c r="C8" s="16" t="s">
        <v>212</v>
      </c>
      <c r="E8" s="16" t="s">
        <v>213</v>
      </c>
      <c r="G8" s="16" t="s">
        <v>214</v>
      </c>
      <c r="I8" s="16" t="s">
        <v>215</v>
      </c>
    </row>
    <row r="9" spans="1:9" ht="18" x14ac:dyDescent="0.2">
      <c r="A9" s="16" t="s">
        <v>216</v>
      </c>
      <c r="C9" s="18"/>
      <c r="E9" s="26"/>
      <c r="G9" s="26"/>
      <c r="I9" s="26"/>
    </row>
    <row r="10" spans="1:9" ht="18" x14ac:dyDescent="0.2">
      <c r="A10" s="16" t="s">
        <v>219</v>
      </c>
      <c r="C10" s="18"/>
      <c r="E10" s="26"/>
      <c r="G10" s="26"/>
      <c r="I10" s="26"/>
    </row>
    <row r="11" spans="1:9" ht="18" x14ac:dyDescent="0.2">
      <c r="A11" s="16" t="s">
        <v>220</v>
      </c>
      <c r="C11" s="18"/>
      <c r="E11" s="26"/>
      <c r="G11" s="26"/>
      <c r="I11" s="26"/>
    </row>
    <row r="12" spans="1:9" ht="18" x14ac:dyDescent="0.2">
      <c r="A12" s="16" t="s">
        <v>221</v>
      </c>
      <c r="C12" s="18"/>
      <c r="E12" s="26"/>
      <c r="G12" s="26"/>
      <c r="I12" s="26"/>
    </row>
    <row r="13" spans="1:9" ht="18" x14ac:dyDescent="0.2">
      <c r="A13" s="16" t="s">
        <v>223</v>
      </c>
      <c r="C13" s="18"/>
      <c r="E13" s="26"/>
      <c r="G13" s="26"/>
      <c r="I13" s="26"/>
    </row>
    <row r="14" spans="1:9" ht="18" x14ac:dyDescent="0.2">
      <c r="A14" s="16" t="s">
        <v>224</v>
      </c>
      <c r="C14" s="18"/>
      <c r="E14" s="26"/>
      <c r="G14" s="26"/>
      <c r="I14" s="26"/>
    </row>
    <row r="15" spans="1:9" ht="18" x14ac:dyDescent="0.2">
      <c r="A15" s="16" t="s">
        <v>225</v>
      </c>
      <c r="C15" s="18"/>
      <c r="E15" s="26"/>
      <c r="G15" s="26"/>
      <c r="I15" s="26"/>
    </row>
    <row r="16" spans="1:9" ht="18" x14ac:dyDescent="0.2">
      <c r="A16" s="16" t="s">
        <v>226</v>
      </c>
      <c r="C16" s="18"/>
      <c r="E16" s="26"/>
      <c r="G16" s="26"/>
      <c r="I16" s="26"/>
    </row>
    <row r="17" spans="1:9" ht="18" x14ac:dyDescent="0.2">
      <c r="A17" s="16" t="s">
        <v>227</v>
      </c>
      <c r="C17" s="18"/>
      <c r="E17" s="26"/>
      <c r="G17" s="26"/>
      <c r="I17" s="26"/>
    </row>
    <row r="18" spans="1:9" ht="18" x14ac:dyDescent="0.2">
      <c r="A18" s="16" t="s">
        <v>228</v>
      </c>
      <c r="C18" s="18"/>
      <c r="E18" s="26"/>
      <c r="G18" s="26"/>
      <c r="I18" s="26"/>
    </row>
    <row r="20" spans="1:9" x14ac:dyDescent="0.2">
      <c r="C20" s="16" t="s">
        <v>230</v>
      </c>
      <c r="E20" s="16" t="s">
        <v>231</v>
      </c>
      <c r="G20" s="16" t="s">
        <v>232</v>
      </c>
    </row>
    <row r="21" spans="1:9" x14ac:dyDescent="0.2">
      <c r="A21" s="16" t="s">
        <v>233</v>
      </c>
      <c r="C21" s="120">
        <v>0</v>
      </c>
      <c r="D21" s="169"/>
      <c r="E21" s="120">
        <v>3999</v>
      </c>
      <c r="G21" s="67" t="s">
        <v>234</v>
      </c>
      <c r="I21" s="169"/>
    </row>
    <row r="22" spans="1:9" x14ac:dyDescent="0.2">
      <c r="A22" s="16" t="s">
        <v>235</v>
      </c>
      <c r="C22" s="120">
        <v>299</v>
      </c>
      <c r="D22" s="169"/>
      <c r="E22" s="120">
        <v>9999</v>
      </c>
      <c r="G22" s="67" t="s">
        <v>236</v>
      </c>
    </row>
    <row r="23" spans="1:9" x14ac:dyDescent="0.2">
      <c r="A23" s="16" t="s">
        <v>237</v>
      </c>
      <c r="C23" s="120">
        <v>649</v>
      </c>
      <c r="D23" s="169"/>
      <c r="E23" s="120">
        <v>39999</v>
      </c>
      <c r="G23" s="67" t="s">
        <v>236</v>
      </c>
    </row>
    <row r="24" spans="1:9" x14ac:dyDescent="0.2">
      <c r="A24" s="16" t="s">
        <v>238</v>
      </c>
      <c r="C24" s="120">
        <v>849</v>
      </c>
      <c r="D24" s="169"/>
      <c r="E24" s="120">
        <v>79999</v>
      </c>
      <c r="G24" s="67" t="s">
        <v>236</v>
      </c>
    </row>
    <row r="25" spans="1:9" x14ac:dyDescent="0.2">
      <c r="A25" s="16" t="s">
        <v>239</v>
      </c>
      <c r="C25" s="120">
        <v>849</v>
      </c>
      <c r="D25" s="169"/>
      <c r="E25" s="120">
        <v>99999</v>
      </c>
      <c r="G25" s="67" t="s">
        <v>236</v>
      </c>
    </row>
    <row r="26" spans="1:9" x14ac:dyDescent="0.2">
      <c r="A26" s="16" t="s">
        <v>240</v>
      </c>
      <c r="C26" s="120">
        <v>1149</v>
      </c>
      <c r="D26" s="169"/>
      <c r="E26" s="120"/>
      <c r="G26" s="67" t="s">
        <v>236</v>
      </c>
    </row>
    <row r="27" spans="1:9" x14ac:dyDescent="0.2">
      <c r="E27" s="16" t="s">
        <v>241</v>
      </c>
      <c r="G27" s="16" t="s">
        <v>242</v>
      </c>
    </row>
    <row r="28" spans="1:9" ht="18" x14ac:dyDescent="0.2">
      <c r="A28" s="16" t="s">
        <v>243</v>
      </c>
      <c r="C28" s="120">
        <v>1.5</v>
      </c>
      <c r="E28" s="26" t="s">
        <v>222</v>
      </c>
      <c r="G28" s="26" t="s">
        <v>218</v>
      </c>
    </row>
    <row r="29" spans="1:9" ht="18" x14ac:dyDescent="0.2">
      <c r="A29" s="16" t="s">
        <v>244</v>
      </c>
      <c r="C29" s="120">
        <v>0</v>
      </c>
      <c r="E29" s="26" t="s">
        <v>245</v>
      </c>
      <c r="G29" s="26" t="s">
        <v>218</v>
      </c>
    </row>
    <row r="30" spans="1:9" ht="18" x14ac:dyDescent="0.2">
      <c r="A30" s="16" t="s">
        <v>246</v>
      </c>
      <c r="C30" s="120">
        <v>1</v>
      </c>
      <c r="E30" s="26" t="s">
        <v>222</v>
      </c>
      <c r="G30" s="26" t="s">
        <v>218</v>
      </c>
    </row>
    <row r="31" spans="1:9" ht="18" x14ac:dyDescent="0.2">
      <c r="A31" s="16" t="s">
        <v>247</v>
      </c>
      <c r="C31" s="120">
        <v>0</v>
      </c>
      <c r="E31" s="26" t="s">
        <v>245</v>
      </c>
      <c r="G31" s="26" t="s">
        <v>218</v>
      </c>
    </row>
    <row r="33" spans="1:7" x14ac:dyDescent="0.2">
      <c r="A33" s="16" t="s">
        <v>248</v>
      </c>
      <c r="C33" s="126" t="s">
        <v>249</v>
      </c>
    </row>
    <row r="34" spans="1:7" x14ac:dyDescent="0.2">
      <c r="C34" s="16" t="s">
        <v>250</v>
      </c>
      <c r="E34" s="16" t="s">
        <v>214</v>
      </c>
      <c r="G34" s="16" t="s">
        <v>215</v>
      </c>
    </row>
    <row r="35" spans="1:7" ht="19" x14ac:dyDescent="0.2">
      <c r="A35" s="24" t="s">
        <v>76</v>
      </c>
      <c r="C35" s="26" t="s">
        <v>213</v>
      </c>
      <c r="E35" s="26" t="s">
        <v>222</v>
      </c>
      <c r="G35" s="26" t="s">
        <v>222</v>
      </c>
    </row>
    <row r="36" spans="1:7" ht="19" x14ac:dyDescent="0.2">
      <c r="A36" s="24" t="s">
        <v>251</v>
      </c>
      <c r="C36" s="26" t="s">
        <v>213</v>
      </c>
      <c r="E36" s="26" t="s">
        <v>222</v>
      </c>
      <c r="G36" s="26" t="s">
        <v>222</v>
      </c>
    </row>
    <row r="37" spans="1:7" ht="19" x14ac:dyDescent="0.2">
      <c r="A37" s="24" t="s">
        <v>81</v>
      </c>
      <c r="C37" s="26" t="s">
        <v>217</v>
      </c>
      <c r="E37" s="26" t="s">
        <v>218</v>
      </c>
      <c r="G37" s="26" t="s">
        <v>218</v>
      </c>
    </row>
    <row r="38" spans="1:7" ht="19" x14ac:dyDescent="0.2">
      <c r="A38" s="24" t="s">
        <v>85</v>
      </c>
      <c r="C38" s="26" t="s">
        <v>217</v>
      </c>
      <c r="E38" s="26" t="s">
        <v>218</v>
      </c>
      <c r="G38" s="26" t="s">
        <v>218</v>
      </c>
    </row>
    <row r="39" spans="1:7" ht="19" x14ac:dyDescent="0.2">
      <c r="A39" s="24" t="s">
        <v>90</v>
      </c>
      <c r="C39" s="26" t="s">
        <v>217</v>
      </c>
      <c r="E39" s="26" t="s">
        <v>218</v>
      </c>
      <c r="G39" s="26" t="s">
        <v>218</v>
      </c>
    </row>
    <row r="41" spans="1:7" ht="38" x14ac:dyDescent="0.2">
      <c r="A41" s="24" t="s">
        <v>252</v>
      </c>
      <c r="C41" s="163">
        <v>0.06</v>
      </c>
    </row>
    <row r="42" spans="1:7" ht="38" x14ac:dyDescent="0.2">
      <c r="A42" s="24" t="s">
        <v>253</v>
      </c>
      <c r="C42" s="163">
        <v>0.04</v>
      </c>
    </row>
    <row r="43" spans="1:7" ht="38" x14ac:dyDescent="0.2">
      <c r="A43" s="24" t="s">
        <v>254</v>
      </c>
      <c r="C43" s="120">
        <v>5000</v>
      </c>
    </row>
    <row r="44" spans="1:7" ht="38" x14ac:dyDescent="0.2">
      <c r="A44" s="24" t="s">
        <v>255</v>
      </c>
      <c r="C44" s="120">
        <v>1000000</v>
      </c>
    </row>
  </sheetData>
  <sheetProtection selectLockedCells="1"/>
  <dataValidations count="9">
    <dataValidation type="list" allowBlank="1" showInputMessage="1" showErrorMessage="1" sqref="C35:C39 E10:E18" xr:uid="{00000000-0002-0000-0500-000000000000}">
      <formula1>"Taxable, Non Taxable"</formula1>
    </dataValidation>
    <dataValidation type="list" allowBlank="1" showInputMessage="1" showErrorMessage="1" sqref="G28:G31 G10:G18 E35:E39 G35:G39 I10:I18" xr:uid="{00000000-0002-0000-0500-000001000000}">
      <formula1>"Customer, Store, No County Tax"</formula1>
    </dataValidation>
    <dataValidation type="list" allowBlank="1" showInputMessage="1" showErrorMessage="1" sqref="E28:E31" xr:uid="{00000000-0002-0000-0500-000002000000}">
      <formula1>"Customer, Store, No State Tax"</formula1>
    </dataValidation>
    <dataValidation type="decimal" allowBlank="1" showInputMessage="1" showErrorMessage="1" sqref="C3:C6" xr:uid="{00000000-0002-0000-0500-000003000000}">
      <formula1>0</formula1>
      <formula2>0.005</formula2>
    </dataValidation>
    <dataValidation type="decimal" allowBlank="1" showInputMessage="1" showErrorMessage="1" sqref="C21:C26" xr:uid="{00000000-0002-0000-0500-000004000000}">
      <formula1>0</formula1>
      <formula2>5000</formula2>
    </dataValidation>
    <dataValidation type="decimal" allowBlank="1" showInputMessage="1" showErrorMessage="1" sqref="E21:E26" xr:uid="{00000000-0002-0000-0500-000005000000}">
      <formula1>0</formula1>
      <formula2>999999</formula2>
    </dataValidation>
    <dataValidation type="decimal" allowBlank="1" showInputMessage="1" showErrorMessage="1" sqref="C28:C31" xr:uid="{00000000-0002-0000-0500-000006000000}">
      <formula1>0</formula1>
      <formula2>1000</formula2>
    </dataValidation>
    <dataValidation type="decimal" allowBlank="1" showInputMessage="1" showErrorMessage="1" sqref="C41:C42" xr:uid="{00000000-0002-0000-0500-000007000000}">
      <formula1>0</formula1>
      <formula2>0.2</formula2>
    </dataValidation>
    <dataValidation type="decimal" allowBlank="1" showInputMessage="1" showErrorMessage="1" sqref="C43:C44" xr:uid="{00000000-0002-0000-0500-000008000000}">
      <formula1>0</formula1>
      <formula2>1000000</formula2>
    </dataValidation>
  </dataValidations>
  <pageMargins left="0" right="0" top="0" bottom="0"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J17"/>
  <sheetViews>
    <sheetView topLeftCell="B1" workbookViewId="0">
      <selection activeCell="B12" sqref="B12"/>
    </sheetView>
  </sheetViews>
  <sheetFormatPr baseColWidth="10" defaultColWidth="10.5" defaultRowHeight="16" x14ac:dyDescent="0.2"/>
  <cols>
    <col min="1" max="1" width="16.5" style="16" customWidth="1"/>
    <col min="2" max="2" width="15.5" style="16" customWidth="1"/>
    <col min="3" max="3" width="12.5" style="16" customWidth="1"/>
    <col min="4" max="5" width="10.5" style="16"/>
    <col min="6" max="6" width="17" style="16" customWidth="1"/>
    <col min="7" max="7" width="10.5" style="170"/>
    <col min="8" max="16384" width="10.5" style="16"/>
  </cols>
  <sheetData>
    <row r="2" spans="1:10" x14ac:dyDescent="0.2">
      <c r="A2" s="16" t="s">
        <v>256</v>
      </c>
    </row>
    <row r="3" spans="1:10" ht="51" x14ac:dyDescent="0.2">
      <c r="C3" s="122" t="s">
        <v>257</v>
      </c>
      <c r="D3" s="122" t="s">
        <v>258</v>
      </c>
      <c r="E3" s="67" t="s">
        <v>259</v>
      </c>
      <c r="F3" s="171" t="s">
        <v>260</v>
      </c>
      <c r="H3" s="122"/>
      <c r="I3" s="122"/>
      <c r="J3" s="67"/>
    </row>
    <row r="4" spans="1:10" x14ac:dyDescent="0.2">
      <c r="A4" s="16" t="s">
        <v>261</v>
      </c>
      <c r="B4" s="172"/>
      <c r="C4" s="702"/>
      <c r="D4" s="702"/>
      <c r="E4" s="702"/>
      <c r="F4" s="703"/>
      <c r="G4" s="173"/>
      <c r="H4" s="174"/>
      <c r="I4" s="174"/>
      <c r="J4" s="174"/>
    </row>
    <row r="5" spans="1:10" x14ac:dyDescent="0.2">
      <c r="B5" s="175"/>
      <c r="C5" s="176"/>
      <c r="D5" s="176"/>
      <c r="E5" s="159"/>
      <c r="F5" s="177"/>
      <c r="H5" s="174"/>
      <c r="I5" s="174"/>
      <c r="J5" s="174"/>
    </row>
    <row r="6" spans="1:10" x14ac:dyDescent="0.2">
      <c r="A6" s="16" t="s">
        <v>262</v>
      </c>
      <c r="B6" s="172"/>
      <c r="C6" s="702"/>
      <c r="D6" s="702"/>
      <c r="E6" s="702"/>
      <c r="F6" s="703"/>
      <c r="H6" s="174"/>
      <c r="I6" s="174"/>
      <c r="J6" s="174"/>
    </row>
    <row r="7" spans="1:10" x14ac:dyDescent="0.2">
      <c r="B7" s="175"/>
      <c r="C7" s="176"/>
      <c r="D7" s="176"/>
      <c r="E7" s="159"/>
      <c r="F7" s="177"/>
      <c r="H7" s="174"/>
      <c r="I7" s="174"/>
      <c r="J7" s="174"/>
    </row>
    <row r="8" spans="1:10" x14ac:dyDescent="0.2">
      <c r="A8" s="16" t="s">
        <v>263</v>
      </c>
      <c r="B8" s="172"/>
      <c r="C8" s="702"/>
      <c r="D8" s="702"/>
      <c r="E8" s="702"/>
      <c r="F8" s="703"/>
      <c r="H8" s="174"/>
      <c r="I8" s="174"/>
      <c r="J8" s="174"/>
    </row>
    <row r="9" spans="1:10" x14ac:dyDescent="0.2">
      <c r="F9" s="171"/>
      <c r="H9" s="174"/>
      <c r="I9" s="174"/>
      <c r="J9" s="174"/>
    </row>
    <row r="10" spans="1:10" x14ac:dyDescent="0.2">
      <c r="A10" s="16" t="s">
        <v>264</v>
      </c>
      <c r="B10" s="120"/>
      <c r="F10" s="171"/>
      <c r="H10" s="174"/>
      <c r="I10" s="174"/>
      <c r="J10" s="174"/>
    </row>
    <row r="11" spans="1:10" x14ac:dyDescent="0.2">
      <c r="A11" s="16" t="s">
        <v>265</v>
      </c>
      <c r="B11" s="120"/>
      <c r="H11" s="174"/>
      <c r="I11" s="174"/>
      <c r="J11" s="174"/>
    </row>
    <row r="12" spans="1:10" x14ac:dyDescent="0.2">
      <c r="A12" s="16" t="s">
        <v>266</v>
      </c>
      <c r="B12" s="120"/>
      <c r="H12" s="174"/>
      <c r="I12" s="174"/>
      <c r="J12" s="174"/>
    </row>
    <row r="17" spans="6:6" x14ac:dyDescent="0.2">
      <c r="F17" s="178"/>
    </row>
  </sheetData>
  <sheetProtection selectLockedCells="1"/>
  <dataValidations count="1">
    <dataValidation type="decimal" allowBlank="1" showInputMessage="1" showErrorMessage="1" sqref="B10:B12" xr:uid="{00000000-0002-0000-0600-000001000000}">
      <formula1>0</formula1>
      <formula2>200000</formula2>
    </dataValidation>
  </dataValidations>
  <pageMargins left="0" right="0" top="0" bottom="0"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140"/>
  <sheetViews>
    <sheetView showZeros="0" view="pageBreakPreview" zoomScale="55" zoomScaleNormal="55" zoomScaleSheetLayoutView="55" workbookViewId="0">
      <selection activeCell="S87" sqref="S87"/>
    </sheetView>
  </sheetViews>
  <sheetFormatPr baseColWidth="10" defaultColWidth="11" defaultRowHeight="16" x14ac:dyDescent="0.2"/>
  <cols>
    <col min="1" max="1" width="2.5" style="16" customWidth="1"/>
    <col min="2" max="2" width="3.33203125" style="16" customWidth="1"/>
    <col min="3" max="3" width="29.5" style="16" customWidth="1"/>
    <col min="4" max="4" width="1" style="16" customWidth="1"/>
    <col min="5" max="5" width="2" style="16" customWidth="1"/>
    <col min="6" max="6" width="30" style="16" customWidth="1"/>
    <col min="7" max="7" width="2" style="16" customWidth="1"/>
    <col min="8" max="8" width="1.5" style="16" customWidth="1"/>
    <col min="9" max="9" width="26.5" style="16" customWidth="1"/>
    <col min="10" max="10" width="3.5" style="16" customWidth="1"/>
    <col min="11" max="11" width="1" style="16" customWidth="1"/>
    <col min="12" max="12" width="30.5" style="16" customWidth="1"/>
    <col min="13" max="13" width="3" style="16" customWidth="1"/>
    <col min="14" max="14" width="2" style="16" customWidth="1"/>
    <col min="15" max="15" width="43" style="16" customWidth="1"/>
    <col min="16" max="16" width="4" style="16" customWidth="1"/>
    <col min="17" max="17" width="29" style="16" customWidth="1"/>
    <col min="18" max="18" width="4.5" style="16" customWidth="1"/>
    <col min="19" max="19" width="20.5" style="179" customWidth="1"/>
    <col min="20" max="20" width="4.5" style="16" customWidth="1"/>
    <col min="21" max="21" width="22.33203125" style="16" customWidth="1"/>
    <col min="22" max="22" width="1.5" style="16" customWidth="1"/>
    <col min="23" max="23" width="11" style="16"/>
    <col min="24" max="24" width="17.33203125" style="16" bestFit="1" customWidth="1"/>
    <col min="25" max="40" width="11" style="16"/>
    <col min="41" max="41" width="14.5" style="16" customWidth="1"/>
    <col min="42" max="16384" width="11" style="16"/>
  </cols>
  <sheetData>
    <row r="1" spans="2:21" ht="10" customHeight="1" thickBot="1" x14ac:dyDescent="0.25"/>
    <row r="2" spans="2:21" ht="13.5" customHeight="1" x14ac:dyDescent="0.2">
      <c r="B2" s="805" t="s">
        <v>2272</v>
      </c>
      <c r="C2" s="791"/>
      <c r="D2" s="791"/>
      <c r="E2" s="791"/>
      <c r="F2" s="791"/>
      <c r="G2" s="791"/>
      <c r="H2" s="791"/>
      <c r="I2" s="791"/>
      <c r="J2" s="792"/>
      <c r="K2" s="787" t="s">
        <v>267</v>
      </c>
      <c r="L2" s="787"/>
      <c r="M2" s="787"/>
      <c r="N2" s="787"/>
      <c r="O2" s="787"/>
      <c r="P2" s="788"/>
      <c r="Q2" s="791" t="str">
        <f>+Calculations!$B$568</f>
        <v/>
      </c>
      <c r="R2" s="791"/>
      <c r="S2" s="791"/>
      <c r="T2" s="791"/>
      <c r="U2" s="792"/>
    </row>
    <row r="3" spans="2:21" ht="1.5" customHeight="1" x14ac:dyDescent="0.2">
      <c r="B3" s="793"/>
      <c r="C3" s="794"/>
      <c r="D3" s="180"/>
      <c r="E3" s="180"/>
      <c r="F3" s="180"/>
      <c r="G3" s="9"/>
      <c r="H3" s="180"/>
      <c r="I3" s="9"/>
      <c r="J3" s="181"/>
      <c r="K3" s="789"/>
      <c r="L3" s="789"/>
      <c r="M3" s="789"/>
      <c r="N3" s="789"/>
      <c r="O3" s="789"/>
      <c r="P3" s="790"/>
      <c r="Q3" s="9"/>
      <c r="R3" s="794"/>
      <c r="S3" s="794"/>
      <c r="T3" s="794"/>
      <c r="U3" s="181"/>
    </row>
    <row r="4" spans="2:21" ht="12.75" customHeight="1" x14ac:dyDescent="0.2">
      <c r="B4" s="793" t="s">
        <v>2273</v>
      </c>
      <c r="C4" s="794"/>
      <c r="D4" s="794"/>
      <c r="E4" s="794"/>
      <c r="F4" s="794"/>
      <c r="G4" s="794"/>
      <c r="H4" s="794"/>
      <c r="I4" s="794"/>
      <c r="J4" s="795"/>
      <c r="K4" s="789"/>
      <c r="L4" s="789"/>
      <c r="M4" s="789"/>
      <c r="N4" s="789"/>
      <c r="O4" s="789"/>
      <c r="P4" s="790"/>
      <c r="Q4" s="794" t="str">
        <f>+Calculations!$B$569</f>
        <v/>
      </c>
      <c r="R4" s="794"/>
      <c r="S4" s="794"/>
      <c r="T4" s="794"/>
      <c r="U4" s="795"/>
    </row>
    <row r="5" spans="2:21" ht="1.5" customHeight="1" x14ac:dyDescent="0.2">
      <c r="B5" s="793"/>
      <c r="C5" s="794"/>
      <c r="D5" s="794"/>
      <c r="E5" s="794"/>
      <c r="F5" s="794"/>
      <c r="G5" s="794"/>
      <c r="H5" s="794"/>
      <c r="I5" s="794"/>
      <c r="J5" s="795"/>
      <c r="K5" s="789"/>
      <c r="L5" s="789"/>
      <c r="M5" s="789"/>
      <c r="N5" s="789"/>
      <c r="O5" s="789"/>
      <c r="P5" s="790"/>
      <c r="Q5" s="794" t="str">
        <f>Calculations!B570</f>
        <v/>
      </c>
      <c r="R5" s="794"/>
      <c r="S5" s="794"/>
      <c r="T5" s="794"/>
      <c r="U5" s="795"/>
    </row>
    <row r="6" spans="2:21" ht="13.5" customHeight="1" x14ac:dyDescent="0.2">
      <c r="B6" s="793" t="s">
        <v>2274</v>
      </c>
      <c r="C6" s="794"/>
      <c r="D6" s="794"/>
      <c r="E6" s="794"/>
      <c r="F6" s="794"/>
      <c r="G6" s="794"/>
      <c r="H6" s="794"/>
      <c r="I6" s="794"/>
      <c r="J6" s="795"/>
      <c r="K6" s="802" t="s">
        <v>268</v>
      </c>
      <c r="L6" s="803"/>
      <c r="M6" s="803"/>
      <c r="N6" s="803"/>
      <c r="O6" s="803"/>
      <c r="P6" s="804"/>
      <c r="Q6" s="794"/>
      <c r="R6" s="794"/>
      <c r="S6" s="794"/>
      <c r="T6" s="794"/>
      <c r="U6" s="795"/>
    </row>
    <row r="7" spans="2:21" ht="1.5" customHeight="1" x14ac:dyDescent="0.2">
      <c r="B7" s="793"/>
      <c r="C7" s="794"/>
      <c r="D7" s="794"/>
      <c r="E7" s="794"/>
      <c r="F7" s="794"/>
      <c r="G7" s="794"/>
      <c r="H7" s="794"/>
      <c r="I7" s="794"/>
      <c r="J7" s="795"/>
      <c r="K7" s="802"/>
      <c r="L7" s="803"/>
      <c r="M7" s="803"/>
      <c r="N7" s="803"/>
      <c r="O7" s="803"/>
      <c r="P7" s="804"/>
      <c r="Q7" s="9"/>
      <c r="R7" s="794"/>
      <c r="S7" s="794"/>
      <c r="T7" s="794"/>
      <c r="U7" s="187"/>
    </row>
    <row r="8" spans="2:21" ht="15.75" customHeight="1" x14ac:dyDescent="0.2">
      <c r="B8" s="793" t="s">
        <v>2275</v>
      </c>
      <c r="C8" s="794"/>
      <c r="D8" s="794"/>
      <c r="E8" s="794"/>
      <c r="F8" s="794"/>
      <c r="G8" s="794"/>
      <c r="H8" s="794"/>
      <c r="I8" s="794"/>
      <c r="J8" s="795"/>
      <c r="K8" s="802"/>
      <c r="L8" s="803"/>
      <c r="M8" s="803"/>
      <c r="N8" s="803"/>
      <c r="O8" s="803"/>
      <c r="P8" s="804"/>
      <c r="Q8" s="9"/>
      <c r="R8" s="180"/>
      <c r="S8" s="180"/>
      <c r="T8" s="180"/>
      <c r="U8" s="188"/>
    </row>
    <row r="9" spans="2:21" ht="1.5" customHeight="1" x14ac:dyDescent="0.25">
      <c r="B9" s="793"/>
      <c r="C9" s="794"/>
      <c r="D9" s="794"/>
      <c r="E9" s="794"/>
      <c r="F9" s="794"/>
      <c r="G9" s="794"/>
      <c r="H9" s="794"/>
      <c r="I9" s="794"/>
      <c r="J9" s="795"/>
      <c r="K9" s="185"/>
      <c r="L9" s="185"/>
      <c r="M9" s="185"/>
      <c r="N9" s="185"/>
      <c r="O9" s="185"/>
      <c r="P9" s="186"/>
      <c r="Q9" s="9"/>
      <c r="R9" s="180"/>
      <c r="S9" s="180"/>
      <c r="T9" s="180"/>
      <c r="U9" s="187"/>
    </row>
    <row r="10" spans="2:21" ht="13.5" customHeight="1" thickBot="1" x14ac:dyDescent="0.25">
      <c r="B10" s="770" t="s">
        <v>2276</v>
      </c>
      <c r="C10" s="766"/>
      <c r="D10" s="766"/>
      <c r="E10" s="766"/>
      <c r="F10" s="766"/>
      <c r="G10" s="766"/>
      <c r="H10" s="766"/>
      <c r="I10" s="766"/>
      <c r="J10" s="767"/>
      <c r="K10" s="768" t="str">
        <f>+Calculations!B572</f>
        <v>CRYSTALTRACTOR.COM</v>
      </c>
      <c r="L10" s="768"/>
      <c r="M10" s="768"/>
      <c r="N10" s="768"/>
      <c r="O10" s="768"/>
      <c r="P10" s="769"/>
      <c r="Q10" s="766" t="str">
        <f>Calculations!B571</f>
        <v/>
      </c>
      <c r="R10" s="766"/>
      <c r="S10" s="766"/>
      <c r="T10" s="766"/>
      <c r="U10" s="767"/>
    </row>
    <row r="11" spans="2:21" s="5" customFormat="1" ht="16.5" customHeight="1" x14ac:dyDescent="0.2">
      <c r="B11" s="189" t="s">
        <v>269</v>
      </c>
      <c r="H11" s="190"/>
      <c r="I11" s="191"/>
      <c r="J11" s="191"/>
      <c r="K11" s="192"/>
      <c r="L11" s="193"/>
      <c r="M11" s="193"/>
      <c r="N11" s="193"/>
      <c r="O11" s="193"/>
      <c r="P11" s="193"/>
      <c r="Q11" s="194"/>
      <c r="R11" s="194"/>
      <c r="S11" s="195"/>
      <c r="T11" s="194"/>
      <c r="U11" s="196"/>
    </row>
    <row r="12" spans="2:21" s="5" customFormat="1" ht="17" x14ac:dyDescent="0.2">
      <c r="B12" s="189"/>
      <c r="C12" s="773" t="str">
        <f>IF('Customer Input Screen'!I10&lt;&gt;"",UPPER('Customer Input Screen'!I10),"")</f>
        <v/>
      </c>
      <c r="D12" s="773"/>
      <c r="E12" s="773"/>
      <c r="F12" s="773"/>
      <c r="G12" s="773"/>
      <c r="H12" s="773"/>
      <c r="I12" s="773"/>
      <c r="L12" s="197" t="s">
        <v>270</v>
      </c>
      <c r="O12" s="198" t="str">
        <f>+'Customer Input Screen'!I22</f>
        <v/>
      </c>
      <c r="Q12" s="5" t="s">
        <v>271</v>
      </c>
      <c r="S12" s="771">
        <f>+'Sales Input Sheet'!C11</f>
        <v>0</v>
      </c>
      <c r="T12" s="771"/>
      <c r="U12" s="772"/>
    </row>
    <row r="13" spans="2:21" s="5" customFormat="1" ht="17" x14ac:dyDescent="0.2">
      <c r="B13" s="189"/>
      <c r="C13" s="773" t="str">
        <f>IF(Calculations!B3&lt;&gt;"",UPPER(Calculations!B3),"")</f>
        <v xml:space="preserve">  </v>
      </c>
      <c r="D13" s="773"/>
      <c r="E13" s="773"/>
      <c r="F13" s="773"/>
      <c r="G13" s="773"/>
      <c r="H13" s="773"/>
      <c r="I13" s="773"/>
      <c r="J13" s="197"/>
      <c r="K13" s="197"/>
      <c r="L13" s="197" t="s">
        <v>272</v>
      </c>
      <c r="M13" s="197"/>
      <c r="N13" s="197"/>
      <c r="O13" s="198" t="str">
        <f>+'Customer Input Screen'!I23</f>
        <v/>
      </c>
      <c r="P13" s="197"/>
      <c r="Q13" s="5" t="s">
        <v>273</v>
      </c>
      <c r="S13" s="796">
        <f>+'Costing Sheet'!C15</f>
        <v>0</v>
      </c>
      <c r="T13" s="796"/>
      <c r="U13" s="797"/>
    </row>
    <row r="14" spans="2:21" s="5" customFormat="1" ht="3" customHeight="1" x14ac:dyDescent="0.2">
      <c r="B14" s="189"/>
      <c r="I14" s="197"/>
      <c r="J14" s="197"/>
      <c r="K14" s="197"/>
      <c r="M14" s="197"/>
      <c r="N14" s="197"/>
      <c r="P14" s="197"/>
      <c r="Q14" s="197"/>
      <c r="S14" s="200"/>
      <c r="T14" s="197"/>
      <c r="U14" s="199"/>
    </row>
    <row r="15" spans="2:21" s="5" customFormat="1" ht="22" customHeight="1" x14ac:dyDescent="0.2">
      <c r="B15" s="189"/>
      <c r="C15" s="773" t="str">
        <f>IF('Customer Input Screen'!I14&lt;&gt;"",UPPER('Customer Input Screen'!I14),"")</f>
        <v/>
      </c>
      <c r="D15" s="773"/>
      <c r="E15" s="773"/>
      <c r="F15" s="773"/>
      <c r="G15" s="773"/>
      <c r="H15" s="773"/>
      <c r="I15" s="773"/>
      <c r="J15" s="197"/>
      <c r="K15" s="197"/>
      <c r="L15" s="197" t="s">
        <v>274</v>
      </c>
      <c r="O15" s="198" t="str">
        <f>+'Customer Input Screen'!I24</f>
        <v/>
      </c>
      <c r="P15" s="197"/>
      <c r="Q15" s="5" t="s">
        <v>275</v>
      </c>
      <c r="R15" s="197"/>
      <c r="S15" s="771" t="str">
        <f>IF('Sales Input Sheet'!C15&lt;&gt;"",UPPER('Sales Input Sheet'!C15),"")</f>
        <v/>
      </c>
      <c r="T15" s="771"/>
      <c r="U15" s="772"/>
    </row>
    <row r="16" spans="2:21" s="5" customFormat="1" ht="17" x14ac:dyDescent="0.2">
      <c r="B16" s="189"/>
      <c r="C16" s="773" t="str">
        <f>IF('Customer Input Screen'!I15&lt;&gt;"",UPPER('Customer Input Screen'!I15),"")</f>
        <v/>
      </c>
      <c r="D16" s="773"/>
      <c r="E16" s="773"/>
      <c r="F16" s="773"/>
      <c r="G16" s="773"/>
      <c r="H16" s="773"/>
      <c r="I16" s="773"/>
      <c r="J16" s="197"/>
      <c r="K16" s="197"/>
      <c r="L16" s="799" t="str">
        <f>+Calculations!$B$602</f>
        <v/>
      </c>
      <c r="M16" s="799"/>
      <c r="N16" s="799"/>
      <c r="O16" s="799"/>
      <c r="P16" s="197"/>
      <c r="Q16" s="798" t="str">
        <f>UPPER('Costing Sheet'!C17)</f>
        <v/>
      </c>
      <c r="S16" s="800" t="str">
        <f>UPPER('Costing Sheet'!E17)</f>
        <v/>
      </c>
      <c r="T16" s="800"/>
      <c r="U16" s="801"/>
    </row>
    <row r="17" spans="2:21" s="5" customFormat="1" ht="18" customHeight="1" x14ac:dyDescent="0.2">
      <c r="B17" s="189"/>
      <c r="C17" s="799" t="str">
        <f>+Calculations!$B$601</f>
        <v/>
      </c>
      <c r="D17" s="799"/>
      <c r="E17" s="799"/>
      <c r="F17" s="799"/>
      <c r="J17" s="197"/>
      <c r="K17" s="197"/>
      <c r="L17" s="197" t="s">
        <v>276</v>
      </c>
      <c r="O17" s="5" t="str">
        <f>UPPER('Costing Sheet'!U19)</f>
        <v/>
      </c>
      <c r="P17" s="197"/>
      <c r="Q17" s="798"/>
      <c r="S17" s="200"/>
      <c r="T17" s="198"/>
      <c r="U17" s="201"/>
    </row>
    <row r="18" spans="2:21" s="6" customFormat="1" ht="4.5" customHeight="1" x14ac:dyDescent="0.2">
      <c r="B18" s="202"/>
      <c r="J18" s="203"/>
      <c r="K18" s="203"/>
      <c r="L18" s="203"/>
      <c r="P18" s="203"/>
      <c r="S18" s="204"/>
      <c r="T18" s="205"/>
      <c r="U18" s="206"/>
    </row>
    <row r="19" spans="2:21" ht="10" customHeight="1" x14ac:dyDescent="0.2">
      <c r="B19" s="774" t="s">
        <v>277</v>
      </c>
      <c r="C19" s="775"/>
      <c r="D19" s="775"/>
      <c r="E19" s="775"/>
      <c r="F19" s="775"/>
      <c r="G19" s="775"/>
      <c r="H19" s="775"/>
      <c r="I19" s="775"/>
      <c r="J19" s="775"/>
      <c r="K19" s="775"/>
      <c r="L19" s="775"/>
      <c r="M19" s="775"/>
      <c r="N19" s="775"/>
      <c r="O19" s="775"/>
      <c r="P19" s="775"/>
      <c r="Q19" s="775"/>
      <c r="R19" s="775"/>
      <c r="S19" s="775"/>
      <c r="T19" s="775"/>
      <c r="U19" s="776"/>
    </row>
    <row r="20" spans="2:21" ht="29.25" customHeight="1" thickBot="1" x14ac:dyDescent="0.25">
      <c r="B20" s="774"/>
      <c r="C20" s="775"/>
      <c r="D20" s="775"/>
      <c r="E20" s="775"/>
      <c r="F20" s="775"/>
      <c r="G20" s="775"/>
      <c r="H20" s="775"/>
      <c r="I20" s="775"/>
      <c r="J20" s="775"/>
      <c r="K20" s="775"/>
      <c r="L20" s="775"/>
      <c r="M20" s="775"/>
      <c r="N20" s="775"/>
      <c r="O20" s="775"/>
      <c r="P20" s="775"/>
      <c r="Q20" s="775"/>
      <c r="R20" s="775"/>
      <c r="S20" s="775"/>
      <c r="T20" s="775"/>
      <c r="U20" s="776"/>
    </row>
    <row r="21" spans="2:21" s="6" customFormat="1" ht="20" x14ac:dyDescent="0.2">
      <c r="B21" s="208"/>
      <c r="C21" s="209"/>
      <c r="D21" s="209"/>
      <c r="E21" s="209"/>
      <c r="F21" s="209"/>
      <c r="G21" s="209"/>
      <c r="H21" s="209"/>
      <c r="I21" s="209"/>
      <c r="J21" s="209"/>
      <c r="K21" s="209"/>
      <c r="L21" s="209"/>
      <c r="M21" s="209"/>
      <c r="N21" s="209"/>
      <c r="O21" s="209"/>
      <c r="P21" s="209"/>
      <c r="Q21" s="779" t="s">
        <v>278</v>
      </c>
      <c r="R21" s="209"/>
      <c r="S21" s="777" t="s">
        <v>279</v>
      </c>
      <c r="T21" s="209"/>
      <c r="U21" s="781" t="s">
        <v>280</v>
      </c>
    </row>
    <row r="22" spans="2:21" s="6" customFormat="1" ht="25" customHeight="1" thickBot="1" x14ac:dyDescent="0.25">
      <c r="B22" s="210"/>
      <c r="C22" s="211" t="s">
        <v>281</v>
      </c>
      <c r="D22" s="212"/>
      <c r="E22" s="212"/>
      <c r="F22" s="213"/>
      <c r="G22" s="213"/>
      <c r="H22" s="212"/>
      <c r="I22" s="212" t="s">
        <v>105</v>
      </c>
      <c r="J22" s="212"/>
      <c r="K22" s="212"/>
      <c r="L22" s="212" t="s">
        <v>106</v>
      </c>
      <c r="M22" s="212"/>
      <c r="N22" s="212"/>
      <c r="O22" s="212" t="s">
        <v>282</v>
      </c>
      <c r="P22" s="212"/>
      <c r="Q22" s="780"/>
      <c r="R22" s="212"/>
      <c r="S22" s="778"/>
      <c r="T22" s="212"/>
      <c r="U22" s="782"/>
    </row>
    <row r="23" spans="2:21" s="6" customFormat="1" ht="21" customHeight="1" x14ac:dyDescent="0.2">
      <c r="B23" s="214"/>
      <c r="C23" s="215" t="str">
        <f>Calculations!B451</f>
        <v/>
      </c>
      <c r="D23" s="215"/>
      <c r="E23" s="215"/>
      <c r="F23" s="215"/>
      <c r="G23" s="215"/>
      <c r="H23" s="215"/>
      <c r="I23" s="783" t="str">
        <f>Calculations!B6</f>
        <v/>
      </c>
      <c r="J23" s="215"/>
      <c r="K23" s="215"/>
      <c r="L23" s="215" t="str">
        <f>Calculations!B7</f>
        <v/>
      </c>
      <c r="M23" s="215"/>
      <c r="N23" s="215"/>
      <c r="O23" s="215" t="str">
        <f>Calculations!B8</f>
        <v/>
      </c>
      <c r="P23" s="215"/>
      <c r="Q23" s="217">
        <f>+'Costing Sheet'!I$22</f>
        <v>0</v>
      </c>
      <c r="R23" s="217"/>
      <c r="S23" s="218">
        <f>-'Costing Sheet'!K$22</f>
        <v>0</v>
      </c>
      <c r="T23" s="217"/>
      <c r="U23" s="219">
        <f>+Calculations!B$526</f>
        <v>0</v>
      </c>
    </row>
    <row r="24" spans="2:21" s="6" customFormat="1" ht="20" x14ac:dyDescent="0.2">
      <c r="B24" s="202"/>
      <c r="I24" s="784"/>
      <c r="J24" s="785" t="str">
        <f>Calculations!B9</f>
        <v/>
      </c>
      <c r="K24" s="785"/>
      <c r="L24" s="785"/>
      <c r="M24" s="785"/>
      <c r="N24" s="785"/>
      <c r="O24" s="785"/>
      <c r="S24" s="221"/>
      <c r="U24" s="222"/>
    </row>
    <row r="25" spans="2:21" s="6" customFormat="1" ht="20" x14ac:dyDescent="0.2">
      <c r="B25" s="202"/>
      <c r="I25" s="223"/>
      <c r="J25" s="786" t="str">
        <f>+Calculations!B12</f>
        <v xml:space="preserve">    </v>
      </c>
      <c r="K25" s="786"/>
      <c r="L25" s="786"/>
      <c r="M25" s="786"/>
      <c r="N25" s="786"/>
      <c r="O25" s="786"/>
      <c r="P25" s="786"/>
      <c r="Q25" s="786"/>
      <c r="R25" s="786"/>
      <c r="S25" s="786"/>
      <c r="T25" s="786"/>
      <c r="U25" s="222"/>
    </row>
    <row r="26" spans="2:21" s="6" customFormat="1" ht="5.25" customHeight="1" x14ac:dyDescent="0.2">
      <c r="B26" s="202"/>
      <c r="I26" s="223"/>
      <c r="J26" s="223"/>
      <c r="K26" s="223"/>
      <c r="L26" s="223"/>
      <c r="M26" s="223"/>
      <c r="N26" s="223"/>
      <c r="O26" s="223"/>
      <c r="P26" s="223"/>
      <c r="Q26" s="223"/>
      <c r="R26" s="223"/>
      <c r="S26" s="224"/>
      <c r="T26" s="223"/>
      <c r="U26" s="222"/>
    </row>
    <row r="27" spans="2:21" s="6" customFormat="1" ht="20" x14ac:dyDescent="0.2">
      <c r="B27" s="202"/>
      <c r="C27" s="6" t="str">
        <f>Calculations!B452</f>
        <v/>
      </c>
      <c r="I27" s="786" t="str">
        <f>Calculations!B18</f>
        <v/>
      </c>
      <c r="L27" s="6" t="str">
        <f>Calculations!B19</f>
        <v/>
      </c>
      <c r="O27" s="6" t="str">
        <f>Calculations!B20</f>
        <v/>
      </c>
      <c r="Q27" s="225">
        <f>+'Costing Sheet'!I$23</f>
        <v>0</v>
      </c>
      <c r="R27" s="225"/>
      <c r="S27" s="221">
        <f>-'Costing Sheet'!K$23</f>
        <v>0</v>
      </c>
      <c r="T27" s="225"/>
      <c r="U27" s="226">
        <f>+Calculations!B$527</f>
        <v>0</v>
      </c>
    </row>
    <row r="28" spans="2:21" s="6" customFormat="1" ht="20" x14ac:dyDescent="0.2">
      <c r="B28" s="202"/>
      <c r="I28" s="786"/>
      <c r="J28" s="786" t="str">
        <f>Calculations!B21</f>
        <v/>
      </c>
      <c r="K28" s="786"/>
      <c r="L28" s="786"/>
      <c r="M28" s="786"/>
      <c r="N28" s="786"/>
      <c r="O28" s="786"/>
      <c r="P28" s="786"/>
      <c r="Q28" s="786"/>
      <c r="R28" s="786"/>
      <c r="S28" s="786"/>
      <c r="U28" s="222"/>
    </row>
    <row r="29" spans="2:21" s="6" customFormat="1" ht="20" x14ac:dyDescent="0.2">
      <c r="B29" s="202"/>
      <c r="I29" s="223"/>
      <c r="J29" s="786" t="str">
        <f>+Calculations!B24</f>
        <v/>
      </c>
      <c r="K29" s="786"/>
      <c r="L29" s="786"/>
      <c r="M29" s="786"/>
      <c r="N29" s="786"/>
      <c r="O29" s="786"/>
      <c r="P29" s="786"/>
      <c r="Q29" s="786"/>
      <c r="R29" s="786"/>
      <c r="S29" s="786"/>
      <c r="T29" s="786"/>
      <c r="U29" s="222"/>
    </row>
    <row r="30" spans="2:21" s="6" customFormat="1" ht="4" customHeight="1" x14ac:dyDescent="0.2">
      <c r="B30" s="202"/>
      <c r="I30" s="223"/>
      <c r="J30" s="223"/>
      <c r="K30" s="223"/>
      <c r="L30" s="223"/>
      <c r="M30" s="223"/>
      <c r="N30" s="223"/>
      <c r="O30" s="223"/>
      <c r="P30" s="223"/>
      <c r="Q30" s="223"/>
      <c r="R30" s="223"/>
      <c r="S30" s="224"/>
      <c r="T30" s="223"/>
      <c r="U30" s="222"/>
    </row>
    <row r="31" spans="2:21" s="6" customFormat="1" ht="20" x14ac:dyDescent="0.2">
      <c r="B31" s="202"/>
      <c r="C31" s="6" t="str">
        <f>Calculations!B453</f>
        <v/>
      </c>
      <c r="I31" s="786" t="str">
        <f>Calculations!B30</f>
        <v/>
      </c>
      <c r="L31" s="6" t="str">
        <f>Calculations!B31</f>
        <v/>
      </c>
      <c r="O31" s="6" t="str">
        <f>Calculations!B32</f>
        <v/>
      </c>
      <c r="Q31" s="225">
        <f>+'Costing Sheet'!I$24</f>
        <v>0</v>
      </c>
      <c r="R31" s="225"/>
      <c r="S31" s="221">
        <f>-'Costing Sheet'!K$24</f>
        <v>0</v>
      </c>
      <c r="T31" s="225"/>
      <c r="U31" s="226">
        <f>+Calculations!B$528</f>
        <v>0</v>
      </c>
    </row>
    <row r="32" spans="2:21" s="6" customFormat="1" ht="20" x14ac:dyDescent="0.2">
      <c r="B32" s="202"/>
      <c r="I32" s="786"/>
      <c r="J32" s="786" t="str">
        <f>Calculations!B33</f>
        <v/>
      </c>
      <c r="K32" s="786"/>
      <c r="L32" s="786"/>
      <c r="M32" s="786"/>
      <c r="N32" s="786"/>
      <c r="O32" s="786"/>
      <c r="P32" s="786"/>
      <c r="Q32" s="786"/>
      <c r="R32" s="786"/>
      <c r="S32" s="786"/>
      <c r="T32" s="786"/>
      <c r="U32" s="222"/>
    </row>
    <row r="33" spans="2:21" s="6" customFormat="1" ht="20" x14ac:dyDescent="0.2">
      <c r="B33" s="202"/>
      <c r="I33" s="223"/>
      <c r="J33" s="786" t="str">
        <f>+Calculations!B36</f>
        <v/>
      </c>
      <c r="K33" s="786"/>
      <c r="L33" s="786"/>
      <c r="M33" s="786"/>
      <c r="N33" s="786"/>
      <c r="O33" s="786"/>
      <c r="P33" s="786"/>
      <c r="Q33" s="786"/>
      <c r="R33" s="786"/>
      <c r="S33" s="786"/>
      <c r="T33" s="786"/>
      <c r="U33" s="222"/>
    </row>
    <row r="34" spans="2:21" s="6" customFormat="1" ht="4" customHeight="1" x14ac:dyDescent="0.2">
      <c r="B34" s="202"/>
      <c r="I34" s="223"/>
      <c r="J34" s="223"/>
      <c r="K34" s="223"/>
      <c r="L34" s="223"/>
      <c r="M34" s="223"/>
      <c r="N34" s="223"/>
      <c r="O34" s="223"/>
      <c r="P34" s="223"/>
      <c r="Q34" s="223"/>
      <c r="R34" s="223"/>
      <c r="S34" s="224"/>
      <c r="T34" s="223"/>
      <c r="U34" s="222"/>
    </row>
    <row r="35" spans="2:21" s="6" customFormat="1" ht="20" x14ac:dyDescent="0.2">
      <c r="B35" s="202"/>
      <c r="C35" s="6" t="str">
        <f>Calculations!B454</f>
        <v/>
      </c>
      <c r="I35" s="806" t="str">
        <f>Calculations!B42</f>
        <v/>
      </c>
      <c r="L35" s="6" t="str">
        <f>Calculations!B43</f>
        <v/>
      </c>
      <c r="O35" s="6" t="str">
        <f>Calculations!B44</f>
        <v/>
      </c>
      <c r="Q35" s="225">
        <f>+'Costing Sheet'!I$25</f>
        <v>0</v>
      </c>
      <c r="R35" s="225"/>
      <c r="S35" s="221">
        <f>-'Costing Sheet'!K$25</f>
        <v>0</v>
      </c>
      <c r="T35" s="225"/>
      <c r="U35" s="226">
        <f>+Calculations!B$529</f>
        <v>0</v>
      </c>
    </row>
    <row r="36" spans="2:21" s="6" customFormat="1" ht="20" x14ac:dyDescent="0.2">
      <c r="B36" s="202"/>
      <c r="I36" s="806"/>
      <c r="J36" s="786" t="str">
        <f>Calculations!B45</f>
        <v/>
      </c>
      <c r="K36" s="786"/>
      <c r="L36" s="786"/>
      <c r="M36" s="786"/>
      <c r="N36" s="786"/>
      <c r="O36" s="786"/>
      <c r="P36" s="786"/>
      <c r="Q36" s="786"/>
      <c r="R36" s="786"/>
      <c r="S36" s="786"/>
      <c r="T36" s="786"/>
      <c r="U36" s="222"/>
    </row>
    <row r="37" spans="2:21" s="6" customFormat="1" ht="20" x14ac:dyDescent="0.2">
      <c r="B37" s="202"/>
      <c r="I37" s="223"/>
      <c r="J37" s="786" t="str">
        <f>+Calculations!B48</f>
        <v/>
      </c>
      <c r="K37" s="786"/>
      <c r="L37" s="786"/>
      <c r="M37" s="786"/>
      <c r="N37" s="786"/>
      <c r="O37" s="786"/>
      <c r="P37" s="786"/>
      <c r="Q37" s="786"/>
      <c r="R37" s="786"/>
      <c r="S37" s="786"/>
      <c r="T37" s="786"/>
      <c r="U37" s="222"/>
    </row>
    <row r="38" spans="2:21" s="6" customFormat="1" ht="2.25" customHeight="1" x14ac:dyDescent="0.2">
      <c r="B38" s="202"/>
      <c r="I38" s="223"/>
      <c r="J38" s="223"/>
      <c r="K38" s="223"/>
      <c r="L38" s="223"/>
      <c r="M38" s="223"/>
      <c r="N38" s="223"/>
      <c r="O38" s="223"/>
      <c r="P38" s="223"/>
      <c r="Q38" s="223"/>
      <c r="R38" s="223"/>
      <c r="S38" s="224"/>
      <c r="T38" s="223"/>
      <c r="U38" s="222"/>
    </row>
    <row r="39" spans="2:21" s="6" customFormat="1" ht="20" x14ac:dyDescent="0.2">
      <c r="B39" s="202"/>
      <c r="C39" s="6" t="str">
        <f>Calculations!B455</f>
        <v/>
      </c>
      <c r="I39" s="786" t="str">
        <f>Calculations!B54</f>
        <v/>
      </c>
      <c r="L39" s="6" t="str">
        <f>Calculations!B55</f>
        <v/>
      </c>
      <c r="O39" s="6" t="str">
        <f>Calculations!B56</f>
        <v/>
      </c>
      <c r="Q39" s="225">
        <f>+'Costing Sheet'!I$26</f>
        <v>0</v>
      </c>
      <c r="R39" s="225"/>
      <c r="S39" s="221">
        <f>-'Costing Sheet'!K$26</f>
        <v>0</v>
      </c>
      <c r="T39" s="225"/>
      <c r="U39" s="226">
        <f>+Calculations!B$530</f>
        <v>0</v>
      </c>
    </row>
    <row r="40" spans="2:21" s="6" customFormat="1" ht="20" x14ac:dyDescent="0.2">
      <c r="B40" s="202"/>
      <c r="I40" s="786"/>
      <c r="J40" s="786" t="str">
        <f>Calculations!B57</f>
        <v/>
      </c>
      <c r="K40" s="786"/>
      <c r="L40" s="786"/>
      <c r="M40" s="786"/>
      <c r="N40" s="786"/>
      <c r="O40" s="786"/>
      <c r="P40" s="786"/>
      <c r="Q40" s="786"/>
      <c r="R40" s="786"/>
      <c r="S40" s="786"/>
      <c r="T40" s="786"/>
      <c r="U40" s="222"/>
    </row>
    <row r="41" spans="2:21" s="6" customFormat="1" ht="20" x14ac:dyDescent="0.2">
      <c r="B41" s="202"/>
      <c r="I41" s="223"/>
      <c r="J41" s="786" t="str">
        <f>+Calculations!B60</f>
        <v/>
      </c>
      <c r="K41" s="786"/>
      <c r="L41" s="786"/>
      <c r="M41" s="786"/>
      <c r="N41" s="786"/>
      <c r="O41" s="786"/>
      <c r="P41" s="786"/>
      <c r="Q41" s="786"/>
      <c r="R41" s="786"/>
      <c r="S41" s="786"/>
      <c r="T41" s="786"/>
      <c r="U41" s="222"/>
    </row>
    <row r="42" spans="2:21" s="6" customFormat="1" ht="1" customHeight="1" x14ac:dyDescent="0.2">
      <c r="B42" s="202"/>
      <c r="I42" s="223"/>
      <c r="J42" s="223"/>
      <c r="K42" s="223"/>
      <c r="L42" s="223"/>
      <c r="M42" s="223"/>
      <c r="N42" s="223"/>
      <c r="O42" s="223"/>
      <c r="P42" s="223"/>
      <c r="Q42" s="223"/>
      <c r="R42" s="223"/>
      <c r="S42" s="224"/>
      <c r="T42" s="223"/>
      <c r="U42" s="222"/>
    </row>
    <row r="43" spans="2:21" customFormat="1" ht="20" x14ac:dyDescent="0.2">
      <c r="B43" s="228"/>
      <c r="C43" s="6" t="str">
        <f>Calculations!B456</f>
        <v/>
      </c>
      <c r="D43" s="6"/>
      <c r="E43" s="6"/>
      <c r="F43" s="6"/>
      <c r="G43" s="6"/>
      <c r="H43" s="6"/>
      <c r="I43" s="786" t="str">
        <f>Calculations!B66</f>
        <v/>
      </c>
      <c r="J43" s="6"/>
      <c r="K43" s="6"/>
      <c r="L43" s="6" t="str">
        <f>Calculations!B67</f>
        <v/>
      </c>
      <c r="M43" s="6"/>
      <c r="N43" s="6"/>
      <c r="O43" s="6" t="str">
        <f>Calculations!B68</f>
        <v/>
      </c>
      <c r="P43" s="6"/>
      <c r="Q43" s="225">
        <f>+'Costing Sheet'!I$27</f>
        <v>0</v>
      </c>
      <c r="R43" s="225"/>
      <c r="S43" s="221">
        <f>-'Costing Sheet'!K$27</f>
        <v>0</v>
      </c>
      <c r="T43" s="225"/>
      <c r="U43" s="226">
        <f>+Calculations!B$531</f>
        <v>0</v>
      </c>
    </row>
    <row r="44" spans="2:21" customFormat="1" ht="20" x14ac:dyDescent="0.2">
      <c r="B44" s="228"/>
      <c r="C44" s="6"/>
      <c r="D44" s="6"/>
      <c r="E44" s="6"/>
      <c r="F44" s="6"/>
      <c r="G44" s="6"/>
      <c r="H44" s="6"/>
      <c r="I44" s="786"/>
      <c r="J44" s="786" t="str">
        <f>Calculations!B69</f>
        <v/>
      </c>
      <c r="K44" s="786"/>
      <c r="L44" s="786"/>
      <c r="M44" s="786"/>
      <c r="N44" s="786"/>
      <c r="O44" s="786"/>
      <c r="P44" s="786"/>
      <c r="Q44" s="786"/>
      <c r="R44" s="786"/>
      <c r="S44" s="786"/>
      <c r="T44" s="786"/>
      <c r="U44" s="222"/>
    </row>
    <row r="45" spans="2:21" customFormat="1" ht="20" x14ac:dyDescent="0.2">
      <c r="B45" s="228"/>
      <c r="C45" s="6"/>
      <c r="D45" s="6"/>
      <c r="E45" s="6"/>
      <c r="F45" s="6"/>
      <c r="G45" s="6"/>
      <c r="H45" s="6"/>
      <c r="I45" s="223"/>
      <c r="J45" s="806" t="str">
        <f>+Calculations!B72</f>
        <v/>
      </c>
      <c r="K45" s="786"/>
      <c r="L45" s="786"/>
      <c r="M45" s="786"/>
      <c r="N45" s="786"/>
      <c r="O45" s="786"/>
      <c r="P45" s="786"/>
      <c r="Q45" s="786"/>
      <c r="R45" s="786"/>
      <c r="S45" s="786"/>
      <c r="T45" s="786"/>
      <c r="U45" s="222"/>
    </row>
    <row r="46" spans="2:21" customFormat="1" ht="3" customHeight="1" x14ac:dyDescent="0.2">
      <c r="B46" s="228"/>
      <c r="C46" s="6"/>
      <c r="D46" s="6"/>
      <c r="E46" s="6"/>
      <c r="F46" s="6"/>
      <c r="G46" s="6"/>
      <c r="H46" s="6"/>
      <c r="I46" s="223"/>
      <c r="J46" s="227"/>
      <c r="K46" s="223"/>
      <c r="L46" s="223"/>
      <c r="M46" s="223"/>
      <c r="N46" s="223"/>
      <c r="O46" s="223"/>
      <c r="P46" s="223"/>
      <c r="Q46" s="223"/>
      <c r="R46" s="223"/>
      <c r="S46" s="224"/>
      <c r="T46" s="223"/>
      <c r="U46" s="222"/>
    </row>
    <row r="47" spans="2:21" customFormat="1" ht="20" x14ac:dyDescent="0.2">
      <c r="B47" s="228"/>
      <c r="C47" s="6" t="str">
        <f>Calculations!B457</f>
        <v/>
      </c>
      <c r="D47" s="6"/>
      <c r="E47" s="6"/>
      <c r="F47" s="6"/>
      <c r="G47" s="6"/>
      <c r="H47" s="6"/>
      <c r="I47" s="786" t="str">
        <f>Calculations!B78</f>
        <v/>
      </c>
      <c r="J47" s="6"/>
      <c r="K47" s="6"/>
      <c r="L47" s="6" t="str">
        <f>Calculations!B79</f>
        <v/>
      </c>
      <c r="M47" s="6"/>
      <c r="N47" s="6"/>
      <c r="O47" s="6" t="str">
        <f>Calculations!B80</f>
        <v/>
      </c>
      <c r="P47" s="6"/>
      <c r="Q47" s="225">
        <f>+'Costing Sheet'!I$28</f>
        <v>0</v>
      </c>
      <c r="R47" s="225"/>
      <c r="S47" s="221">
        <f>-'Costing Sheet'!K$28</f>
        <v>0</v>
      </c>
      <c r="T47" s="225"/>
      <c r="U47" s="226">
        <f>+Calculations!B$532</f>
        <v>0</v>
      </c>
    </row>
    <row r="48" spans="2:21" customFormat="1" ht="20" x14ac:dyDescent="0.2">
      <c r="B48" s="228"/>
      <c r="C48" s="6"/>
      <c r="D48" s="6"/>
      <c r="E48" s="6"/>
      <c r="F48" s="6"/>
      <c r="G48" s="6"/>
      <c r="H48" s="6"/>
      <c r="I48" s="786"/>
      <c r="J48" s="786" t="str">
        <f>Calculations!B81</f>
        <v/>
      </c>
      <c r="K48" s="786"/>
      <c r="L48" s="786"/>
      <c r="M48" s="786"/>
      <c r="N48" s="786"/>
      <c r="O48" s="786"/>
      <c r="P48" s="786"/>
      <c r="Q48" s="786"/>
      <c r="R48" s="786"/>
      <c r="S48" s="786"/>
      <c r="T48" s="786"/>
      <c r="U48" s="222"/>
    </row>
    <row r="49" spans="2:21" customFormat="1" ht="20" x14ac:dyDescent="0.2">
      <c r="B49" s="228"/>
      <c r="C49" s="6"/>
      <c r="D49" s="6"/>
      <c r="E49" s="6"/>
      <c r="F49" s="6"/>
      <c r="G49" s="6"/>
      <c r="H49" s="6"/>
      <c r="I49" s="223"/>
      <c r="J49" s="786" t="str">
        <f>+Calculations!B84</f>
        <v/>
      </c>
      <c r="K49" s="786"/>
      <c r="L49" s="786"/>
      <c r="M49" s="786"/>
      <c r="N49" s="786"/>
      <c r="O49" s="786"/>
      <c r="P49" s="786"/>
      <c r="Q49" s="786"/>
      <c r="R49" s="786"/>
      <c r="S49" s="786"/>
      <c r="T49" s="786"/>
      <c r="U49" s="222"/>
    </row>
    <row r="50" spans="2:21" customFormat="1" ht="2.25" customHeight="1" x14ac:dyDescent="0.2">
      <c r="B50" s="228"/>
      <c r="C50" s="6"/>
      <c r="D50" s="6"/>
      <c r="E50" s="6"/>
      <c r="F50" s="6"/>
      <c r="G50" s="6"/>
      <c r="H50" s="6"/>
      <c r="I50" s="223"/>
      <c r="J50" s="223"/>
      <c r="K50" s="223"/>
      <c r="L50" s="223"/>
      <c r="M50" s="223"/>
      <c r="N50" s="223"/>
      <c r="O50" s="223"/>
      <c r="P50" s="223"/>
      <c r="Q50" s="223"/>
      <c r="R50" s="223"/>
      <c r="S50" s="224"/>
      <c r="T50" s="223"/>
      <c r="U50" s="222"/>
    </row>
    <row r="51" spans="2:21" customFormat="1" ht="20" x14ac:dyDescent="0.2">
      <c r="B51" s="228"/>
      <c r="C51" s="6" t="str">
        <f>Calculations!B458</f>
        <v/>
      </c>
      <c r="D51" s="6"/>
      <c r="E51" s="6"/>
      <c r="F51" s="6"/>
      <c r="G51" s="6"/>
      <c r="H51" s="6"/>
      <c r="I51" s="786" t="str">
        <f>Calculations!B90</f>
        <v/>
      </c>
      <c r="J51" s="6"/>
      <c r="K51" s="6"/>
      <c r="L51" s="6" t="str">
        <f>Calculations!B91</f>
        <v/>
      </c>
      <c r="M51" s="6"/>
      <c r="N51" s="6"/>
      <c r="O51" s="6" t="str">
        <f>Calculations!B92</f>
        <v/>
      </c>
      <c r="P51" s="6"/>
      <c r="Q51" s="225">
        <f>+'Costing Sheet'!I$29</f>
        <v>0</v>
      </c>
      <c r="R51" s="225"/>
      <c r="S51" s="221">
        <f>-'Costing Sheet'!K$29</f>
        <v>0</v>
      </c>
      <c r="T51" s="225"/>
      <c r="U51" s="226">
        <f>+Calculations!B$533</f>
        <v>0</v>
      </c>
    </row>
    <row r="52" spans="2:21" customFormat="1" ht="20" x14ac:dyDescent="0.2">
      <c r="B52" s="228"/>
      <c r="C52" s="6"/>
      <c r="D52" s="6"/>
      <c r="E52" s="6"/>
      <c r="F52" s="6"/>
      <c r="G52" s="6"/>
      <c r="H52" s="6"/>
      <c r="I52" s="786"/>
      <c r="J52" s="786" t="str">
        <f>Calculations!B93</f>
        <v/>
      </c>
      <c r="K52" s="786"/>
      <c r="L52" s="786"/>
      <c r="M52" s="786"/>
      <c r="N52" s="786"/>
      <c r="O52" s="786"/>
      <c r="P52" s="786"/>
      <c r="Q52" s="786"/>
      <c r="R52" s="786"/>
      <c r="S52" s="786"/>
      <c r="T52" s="786"/>
      <c r="U52" s="222"/>
    </row>
    <row r="53" spans="2:21" customFormat="1" ht="20" x14ac:dyDescent="0.2">
      <c r="B53" s="228"/>
      <c r="C53" s="6"/>
      <c r="D53" s="6"/>
      <c r="E53" s="6"/>
      <c r="F53" s="6"/>
      <c r="G53" s="6"/>
      <c r="H53" s="6"/>
      <c r="I53" s="223"/>
      <c r="J53" s="786" t="str">
        <f>+Calculations!B96</f>
        <v/>
      </c>
      <c r="K53" s="786"/>
      <c r="L53" s="786"/>
      <c r="M53" s="786"/>
      <c r="N53" s="786"/>
      <c r="O53" s="786"/>
      <c r="P53" s="786"/>
      <c r="Q53" s="786"/>
      <c r="R53" s="786"/>
      <c r="S53" s="786"/>
      <c r="T53" s="786"/>
      <c r="U53" s="222"/>
    </row>
    <row r="54" spans="2:21" customFormat="1" ht="3" customHeight="1" x14ac:dyDescent="0.2">
      <c r="B54" s="228"/>
      <c r="C54" s="6"/>
      <c r="D54" s="6"/>
      <c r="E54" s="6"/>
      <c r="F54" s="6"/>
      <c r="G54" s="6"/>
      <c r="H54" s="6"/>
      <c r="I54" s="223"/>
      <c r="J54" s="223"/>
      <c r="K54" s="223"/>
      <c r="L54" s="223"/>
      <c r="M54" s="223"/>
      <c r="N54" s="223"/>
      <c r="O54" s="223"/>
      <c r="P54" s="223"/>
      <c r="Q54" s="223"/>
      <c r="R54" s="223"/>
      <c r="S54" s="224"/>
      <c r="T54" s="223"/>
      <c r="U54" s="222"/>
    </row>
    <row r="55" spans="2:21" customFormat="1" ht="20" x14ac:dyDescent="0.2">
      <c r="B55" s="228"/>
      <c r="C55" s="6" t="str">
        <f>Calculations!B459</f>
        <v/>
      </c>
      <c r="D55" s="6"/>
      <c r="E55" s="6"/>
      <c r="F55" s="6"/>
      <c r="G55" s="6"/>
      <c r="H55" s="6"/>
      <c r="I55" s="786" t="str">
        <f>Calculations!B102</f>
        <v/>
      </c>
      <c r="J55" s="6"/>
      <c r="K55" s="6"/>
      <c r="L55" s="6" t="str">
        <f>Calculations!B103</f>
        <v/>
      </c>
      <c r="M55" s="6"/>
      <c r="N55" s="6"/>
      <c r="O55" s="6" t="str">
        <f>Calculations!B104</f>
        <v/>
      </c>
      <c r="P55" s="6"/>
      <c r="Q55" s="225">
        <f>+'Costing Sheet'!I$30</f>
        <v>0</v>
      </c>
      <c r="R55" s="225"/>
      <c r="S55" s="221">
        <f>-'Costing Sheet'!K$30</f>
        <v>0</v>
      </c>
      <c r="T55" s="225"/>
      <c r="U55" s="226">
        <f>+Calculations!B$534</f>
        <v>0</v>
      </c>
    </row>
    <row r="56" spans="2:21" customFormat="1" ht="23.25" customHeight="1" x14ac:dyDescent="0.2">
      <c r="B56" s="228"/>
      <c r="C56" s="6"/>
      <c r="D56" s="6"/>
      <c r="E56" s="6"/>
      <c r="F56" s="6"/>
      <c r="G56" s="6"/>
      <c r="H56" s="6"/>
      <c r="I56" s="786"/>
      <c r="J56" s="786" t="str">
        <f>Calculations!B105</f>
        <v/>
      </c>
      <c r="K56" s="786"/>
      <c r="L56" s="786"/>
      <c r="M56" s="786"/>
      <c r="N56" s="786"/>
      <c r="O56" s="786"/>
      <c r="P56" s="786"/>
      <c r="Q56" s="786"/>
      <c r="R56" s="786"/>
      <c r="S56" s="786"/>
      <c r="T56" s="786"/>
      <c r="U56" s="222"/>
    </row>
    <row r="57" spans="2:21" customFormat="1" ht="21" customHeight="1" x14ac:dyDescent="0.2">
      <c r="B57" s="228"/>
      <c r="C57" s="6"/>
      <c r="D57" s="6"/>
      <c r="E57" s="6"/>
      <c r="F57" s="6"/>
      <c r="G57" s="6"/>
      <c r="H57" s="6"/>
      <c r="I57" s="223"/>
      <c r="J57" s="786" t="str">
        <f>+Calculations!B108</f>
        <v/>
      </c>
      <c r="K57" s="786"/>
      <c r="L57" s="786"/>
      <c r="M57" s="786"/>
      <c r="N57" s="786"/>
      <c r="O57" s="786"/>
      <c r="P57" s="786"/>
      <c r="Q57" s="786"/>
      <c r="R57" s="786"/>
      <c r="S57" s="786"/>
      <c r="T57" s="786"/>
      <c r="U57" s="222"/>
    </row>
    <row r="58" spans="2:21" customFormat="1" ht="3" customHeight="1" x14ac:dyDescent="0.2">
      <c r="B58" s="228"/>
      <c r="C58" s="6"/>
      <c r="D58" s="6"/>
      <c r="E58" s="6"/>
      <c r="F58" s="6"/>
      <c r="G58" s="6"/>
      <c r="H58" s="6"/>
      <c r="I58" s="223"/>
      <c r="J58" s="223"/>
      <c r="K58" s="223"/>
      <c r="L58" s="223"/>
      <c r="M58" s="223"/>
      <c r="N58" s="223"/>
      <c r="O58" s="223"/>
      <c r="P58" s="223"/>
      <c r="Q58" s="223"/>
      <c r="R58" s="223"/>
      <c r="S58" s="224"/>
      <c r="T58" s="223"/>
      <c r="U58" s="222"/>
    </row>
    <row r="59" spans="2:21" customFormat="1" ht="20" x14ac:dyDescent="0.2">
      <c r="B59" s="228"/>
      <c r="C59" s="6" t="str">
        <f>Calculations!B460</f>
        <v/>
      </c>
      <c r="D59" s="6"/>
      <c r="E59" s="6"/>
      <c r="F59" s="6"/>
      <c r="G59" s="6"/>
      <c r="H59" s="6"/>
      <c r="I59" s="786" t="str">
        <f>Calculations!B114</f>
        <v/>
      </c>
      <c r="J59" s="6"/>
      <c r="K59" s="6"/>
      <c r="L59" s="6" t="str">
        <f>Calculations!B115</f>
        <v/>
      </c>
      <c r="M59" s="6"/>
      <c r="N59" s="6"/>
      <c r="O59" s="6" t="str">
        <f>Calculations!B116</f>
        <v/>
      </c>
      <c r="P59" s="6"/>
      <c r="Q59" s="225">
        <f>+'Costing Sheet'!I$31</f>
        <v>0</v>
      </c>
      <c r="R59" s="225"/>
      <c r="S59" s="221">
        <f>-'Costing Sheet'!K$31</f>
        <v>0</v>
      </c>
      <c r="T59" s="225"/>
      <c r="U59" s="226">
        <f>+Calculations!B$535</f>
        <v>0</v>
      </c>
    </row>
    <row r="60" spans="2:21" customFormat="1" ht="20" x14ac:dyDescent="0.2">
      <c r="B60" s="228"/>
      <c r="C60" s="6"/>
      <c r="D60" s="6"/>
      <c r="E60" s="6"/>
      <c r="F60" s="6"/>
      <c r="G60" s="6"/>
      <c r="H60" s="6"/>
      <c r="I60" s="786"/>
      <c r="J60" s="786" t="str">
        <f>Calculations!B117</f>
        <v/>
      </c>
      <c r="K60" s="786"/>
      <c r="L60" s="786"/>
      <c r="M60" s="786"/>
      <c r="N60" s="786"/>
      <c r="O60" s="786"/>
      <c r="P60" s="786"/>
      <c r="Q60" s="786"/>
      <c r="R60" s="786"/>
      <c r="S60" s="786"/>
      <c r="T60" s="786"/>
      <c r="U60" s="222"/>
    </row>
    <row r="61" spans="2:21" customFormat="1" ht="20" x14ac:dyDescent="0.2">
      <c r="B61" s="228"/>
      <c r="C61" s="6"/>
      <c r="D61" s="6"/>
      <c r="E61" s="6"/>
      <c r="F61" s="6"/>
      <c r="G61" s="6"/>
      <c r="H61" s="6"/>
      <c r="I61" s="223"/>
      <c r="J61" s="786" t="str">
        <f>+Calculations!B120</f>
        <v/>
      </c>
      <c r="K61" s="786"/>
      <c r="L61" s="786"/>
      <c r="M61" s="786"/>
      <c r="N61" s="786"/>
      <c r="O61" s="786"/>
      <c r="P61" s="786"/>
      <c r="Q61" s="786"/>
      <c r="R61" s="786"/>
      <c r="S61" s="786"/>
      <c r="T61" s="786"/>
      <c r="U61" s="222"/>
    </row>
    <row r="62" spans="2:21" customFormat="1" ht="20.25" customHeight="1" x14ac:dyDescent="0.2">
      <c r="B62" s="228"/>
      <c r="C62" s="786" t="str">
        <f>UPPER('Sales Input Sheet'!E55)</f>
        <v/>
      </c>
      <c r="D62" s="786"/>
      <c r="E62" s="786"/>
      <c r="F62" s="786"/>
      <c r="G62" s="786"/>
      <c r="H62" s="786"/>
      <c r="I62" s="786"/>
      <c r="J62" s="786"/>
      <c r="K62" s="786"/>
      <c r="L62" s="786"/>
      <c r="M62" s="786"/>
      <c r="N62" s="786"/>
      <c r="O62" s="786"/>
      <c r="P62" s="786"/>
      <c r="Q62" s="786"/>
      <c r="R62" s="786"/>
      <c r="S62" s="786"/>
      <c r="T62" s="786"/>
      <c r="U62" s="807"/>
    </row>
    <row r="63" spans="2:21" customFormat="1" ht="20.25" customHeight="1" x14ac:dyDescent="0.2">
      <c r="B63" s="228"/>
      <c r="C63" s="786"/>
      <c r="D63" s="786"/>
      <c r="E63" s="786"/>
      <c r="F63" s="786"/>
      <c r="G63" s="786"/>
      <c r="H63" s="786"/>
      <c r="I63" s="786"/>
      <c r="J63" s="786"/>
      <c r="K63" s="786"/>
      <c r="L63" s="786"/>
      <c r="M63" s="786"/>
      <c r="N63" s="786"/>
      <c r="O63" s="786"/>
      <c r="P63" s="786"/>
      <c r="Q63" s="786"/>
      <c r="R63" s="786"/>
      <c r="S63" s="786"/>
      <c r="T63" s="786"/>
      <c r="U63" s="807"/>
    </row>
    <row r="64" spans="2:21" customFormat="1" ht="4" customHeight="1" thickBot="1" x14ac:dyDescent="0.25">
      <c r="B64" s="230"/>
      <c r="C64" s="231"/>
      <c r="D64" s="231"/>
      <c r="E64" s="231"/>
      <c r="F64" s="231"/>
      <c r="G64" s="231"/>
      <c r="H64" s="231"/>
      <c r="I64" s="231"/>
      <c r="J64" s="231"/>
      <c r="K64" s="231"/>
      <c r="L64" s="231"/>
      <c r="M64" s="231"/>
      <c r="N64" s="231"/>
      <c r="O64" s="231"/>
      <c r="P64" s="231"/>
      <c r="Q64" s="232"/>
      <c r="R64" s="232"/>
      <c r="S64" s="233"/>
      <c r="T64" s="232"/>
      <c r="U64" s="234"/>
    </row>
    <row r="65" spans="1:52" s="6" customFormat="1" ht="7" customHeight="1" thickBot="1" x14ac:dyDescent="0.25">
      <c r="B65" s="235"/>
      <c r="C65" s="231"/>
      <c r="D65" s="231"/>
      <c r="E65" s="231"/>
      <c r="F65" s="231"/>
      <c r="G65" s="231"/>
      <c r="H65" s="231"/>
      <c r="I65" s="231"/>
      <c r="J65" s="231"/>
      <c r="K65" s="231"/>
      <c r="L65" s="231"/>
      <c r="M65" s="231"/>
      <c r="N65" s="231"/>
      <c r="O65" s="231"/>
      <c r="P65" s="231"/>
      <c r="Q65" s="231"/>
      <c r="R65" s="231"/>
      <c r="S65" s="233"/>
      <c r="T65" s="231"/>
      <c r="U65" s="236"/>
    </row>
    <row r="66" spans="1:52" s="6" customFormat="1" ht="24" customHeight="1" thickBot="1" x14ac:dyDescent="0.25">
      <c r="B66" s="210" t="s">
        <v>283</v>
      </c>
      <c r="C66" s="212"/>
      <c r="D66" s="212"/>
      <c r="E66" s="212"/>
      <c r="F66" s="212"/>
      <c r="G66" s="212"/>
      <c r="H66" s="212"/>
      <c r="I66" s="212" t="s">
        <v>105</v>
      </c>
      <c r="J66" s="212"/>
      <c r="K66" s="212"/>
      <c r="L66" s="212" t="s">
        <v>106</v>
      </c>
      <c r="M66" s="212"/>
      <c r="N66" s="212"/>
      <c r="O66" s="212" t="s">
        <v>282</v>
      </c>
      <c r="P66" s="212"/>
      <c r="Q66" s="212" t="s">
        <v>284</v>
      </c>
      <c r="R66" s="212"/>
      <c r="S66" s="237" t="s">
        <v>285</v>
      </c>
      <c r="T66" s="212"/>
      <c r="U66" s="238" t="s">
        <v>286</v>
      </c>
    </row>
    <row r="67" spans="1:52" s="6" customFormat="1" ht="21" x14ac:dyDescent="0.2">
      <c r="B67" s="214"/>
      <c r="C67" s="215"/>
      <c r="D67" s="215"/>
      <c r="E67" s="215"/>
      <c r="F67" s="215"/>
      <c r="G67" s="215"/>
      <c r="H67" s="215"/>
      <c r="I67" s="215" t="str">
        <f>+Calculations!B504</f>
        <v/>
      </c>
      <c r="J67" s="215"/>
      <c r="K67" s="215"/>
      <c r="L67" s="215" t="str">
        <f>+Calculations!B506</f>
        <v/>
      </c>
      <c r="M67" s="215"/>
      <c r="N67" s="215"/>
      <c r="O67" s="215" t="str">
        <f>+Calculations!B502</f>
        <v/>
      </c>
      <c r="P67" s="215"/>
      <c r="Q67" s="239" t="str">
        <f>Calculations!B514</f>
        <v/>
      </c>
      <c r="R67" s="215"/>
      <c r="S67" s="217">
        <f>Calculations!B498</f>
        <v>0</v>
      </c>
      <c r="T67" s="217"/>
      <c r="U67" s="219">
        <f>Calculations!B500</f>
        <v>0</v>
      </c>
    </row>
    <row r="68" spans="1:52" s="6" customFormat="1" ht="21" x14ac:dyDescent="0.2">
      <c r="B68" s="202"/>
      <c r="I68" s="6" t="str">
        <f>+Calculations!B505</f>
        <v/>
      </c>
      <c r="L68" s="6" t="str">
        <f>+Calculations!B507</f>
        <v/>
      </c>
      <c r="O68" s="6" t="str">
        <f>+Calculations!B503</f>
        <v/>
      </c>
      <c r="Q68" s="240" t="str">
        <f>Calculations!B515</f>
        <v/>
      </c>
      <c r="S68" s="225">
        <f>Calculations!B499</f>
        <v>0</v>
      </c>
      <c r="T68" s="225"/>
      <c r="U68" s="226">
        <f>Calculations!B501</f>
        <v>0</v>
      </c>
    </row>
    <row r="69" spans="1:52" s="6" customFormat="1" ht="21" x14ac:dyDescent="0.2">
      <c r="B69" s="202"/>
      <c r="I69" s="6" t="str">
        <f>+Calculations!B694</f>
        <v/>
      </c>
      <c r="L69" s="6" t="str">
        <f>+Calculations!B698</f>
        <v/>
      </c>
      <c r="O69" s="6" t="str">
        <f>+Calculations!B690</f>
        <v/>
      </c>
      <c r="Q69" s="240" t="str">
        <f>+Calculations!B678</f>
        <v/>
      </c>
      <c r="S69" s="225">
        <f>+Calculations!B682</f>
        <v>0</v>
      </c>
      <c r="T69" s="225"/>
      <c r="U69" s="226">
        <f>+Calculations!B686</f>
        <v>0</v>
      </c>
    </row>
    <row r="70" spans="1:52" s="6" customFormat="1" ht="21" x14ac:dyDescent="0.2">
      <c r="B70" s="202"/>
      <c r="I70" s="6" t="str">
        <f>+Calculations!B695</f>
        <v/>
      </c>
      <c r="L70" s="6" t="str">
        <f>+Calculations!B699</f>
        <v/>
      </c>
      <c r="O70" s="6" t="str">
        <f>+Calculations!B691</f>
        <v/>
      </c>
      <c r="Q70" s="240" t="str">
        <f>+Calculations!B679</f>
        <v/>
      </c>
      <c r="S70" s="225">
        <f>+Calculations!B683</f>
        <v>0</v>
      </c>
      <c r="T70" s="225"/>
      <c r="U70" s="226">
        <f>+Calculations!B687</f>
        <v>0</v>
      </c>
    </row>
    <row r="71" spans="1:52" s="6" customFormat="1" ht="21" x14ac:dyDescent="0.2">
      <c r="B71" s="202"/>
      <c r="I71" s="6" t="str">
        <f>+Calculations!B696</f>
        <v/>
      </c>
      <c r="L71" s="6" t="str">
        <f>+Calculations!B700</f>
        <v/>
      </c>
      <c r="O71" s="6" t="str">
        <f>+Calculations!B692</f>
        <v/>
      </c>
      <c r="Q71" s="240" t="str">
        <f>+Calculations!B680</f>
        <v/>
      </c>
      <c r="S71" s="225">
        <f>+Calculations!B684</f>
        <v>0</v>
      </c>
      <c r="T71" s="225"/>
      <c r="U71" s="226">
        <f>+Calculations!B688</f>
        <v>0</v>
      </c>
    </row>
    <row r="72" spans="1:52" s="6" customFormat="1" ht="21" x14ac:dyDescent="0.2">
      <c r="B72" s="235"/>
      <c r="C72" s="231"/>
      <c r="D72" s="231"/>
      <c r="E72" s="231"/>
      <c r="F72" s="231"/>
      <c r="G72" s="231"/>
      <c r="H72" s="231"/>
      <c r="I72" s="231" t="str">
        <f>+Calculations!B697</f>
        <v/>
      </c>
      <c r="J72" s="231"/>
      <c r="K72" s="231"/>
      <c r="L72" s="231" t="str">
        <f>+Calculations!B701</f>
        <v/>
      </c>
      <c r="M72" s="231"/>
      <c r="N72" s="231"/>
      <c r="O72" s="231" t="str">
        <f>+Calculations!B693</f>
        <v/>
      </c>
      <c r="P72" s="231"/>
      <c r="Q72" s="241" t="str">
        <f>+Calculations!B681</f>
        <v/>
      </c>
      <c r="R72" s="231"/>
      <c r="S72" s="232">
        <f>+Calculations!B685</f>
        <v>0</v>
      </c>
      <c r="T72" s="232"/>
      <c r="U72" s="234">
        <f>+Calculations!B689</f>
        <v>0</v>
      </c>
    </row>
    <row r="73" spans="1:52" s="6" customFormat="1" ht="6" customHeight="1" thickBot="1" x14ac:dyDescent="0.25">
      <c r="F73" s="202"/>
      <c r="W73" s="221"/>
      <c r="Y73" s="222"/>
    </row>
    <row r="74" spans="1:52" s="7" customFormat="1" ht="5.25" customHeight="1" thickBot="1" x14ac:dyDescent="0.35">
      <c r="A74" s="16"/>
      <c r="B74" s="808"/>
      <c r="C74" s="809"/>
      <c r="D74" s="809"/>
      <c r="E74" s="809"/>
      <c r="F74" s="809"/>
      <c r="G74" s="809"/>
      <c r="H74" s="809"/>
      <c r="I74" s="809"/>
      <c r="J74" s="809"/>
      <c r="K74" s="809"/>
      <c r="L74" s="809"/>
      <c r="M74" s="809"/>
      <c r="N74" s="809"/>
      <c r="O74" s="809"/>
      <c r="P74" s="809"/>
      <c r="Q74" s="809"/>
      <c r="R74" s="809"/>
      <c r="S74" s="809"/>
      <c r="T74" s="809"/>
      <c r="U74" s="243"/>
      <c r="AS74" s="16"/>
      <c r="AT74" s="16"/>
      <c r="AU74" s="16"/>
      <c r="AV74" s="16"/>
      <c r="AW74" s="16"/>
      <c r="AX74" s="16"/>
      <c r="AY74" s="16"/>
      <c r="AZ74" s="16"/>
    </row>
    <row r="75" spans="1:52" s="8" customFormat="1" ht="30" x14ac:dyDescent="0.3">
      <c r="B75" s="813" t="s">
        <v>287</v>
      </c>
      <c r="C75" s="814"/>
      <c r="D75" s="814"/>
      <c r="E75" s="814"/>
      <c r="F75" s="815"/>
      <c r="G75" s="244"/>
      <c r="H75" s="810">
        <f>'Rates for Quote'!B$4</f>
        <v>0</v>
      </c>
      <c r="I75" s="810"/>
      <c r="J75" s="810"/>
      <c r="K75" s="810"/>
      <c r="L75" s="810"/>
      <c r="M75" s="245"/>
      <c r="N75" s="811">
        <f>'Rates for Quote'!B$6</f>
        <v>0</v>
      </c>
      <c r="O75" s="810"/>
      <c r="P75" s="810"/>
      <c r="Q75" s="812"/>
      <c r="R75" s="811">
        <f>'Rates for Quote'!B$8</f>
        <v>0</v>
      </c>
      <c r="S75" s="810"/>
      <c r="T75" s="810"/>
      <c r="U75" s="812"/>
    </row>
    <row r="76" spans="1:52" s="7" customFormat="1" ht="2.25" customHeight="1" x14ac:dyDescent="0.3">
      <c r="A76" s="16"/>
      <c r="B76" s="819"/>
      <c r="C76" s="820"/>
      <c r="D76" s="820"/>
      <c r="E76" s="820"/>
      <c r="F76" s="821"/>
      <c r="G76" s="246"/>
      <c r="H76" s="817"/>
      <c r="I76" s="817"/>
      <c r="J76" s="817"/>
      <c r="K76" s="817"/>
      <c r="L76" s="817"/>
      <c r="M76" s="247"/>
      <c r="N76" s="816"/>
      <c r="O76" s="817"/>
      <c r="P76" s="817"/>
      <c r="Q76" s="818"/>
      <c r="R76" s="816"/>
      <c r="S76" s="817"/>
      <c r="T76" s="817"/>
      <c r="U76" s="818"/>
      <c r="AS76" s="16"/>
      <c r="AT76" s="16"/>
      <c r="AU76" s="16"/>
      <c r="AV76" s="16"/>
      <c r="AW76" s="16"/>
      <c r="AX76" s="16"/>
      <c r="AY76" s="16"/>
      <c r="AZ76" s="16"/>
    </row>
    <row r="77" spans="1:52" s="7" customFormat="1" ht="30" x14ac:dyDescent="0.3">
      <c r="A77" s="16"/>
      <c r="B77" s="825">
        <f>+Calculations!B$429</f>
        <v>0</v>
      </c>
      <c r="C77" s="826"/>
      <c r="D77" s="826"/>
      <c r="E77" s="826"/>
      <c r="F77" s="827"/>
      <c r="G77" s="248"/>
      <c r="H77" s="823">
        <f>+Calculations!B$440</f>
        <v>0</v>
      </c>
      <c r="I77" s="823"/>
      <c r="J77" s="823"/>
      <c r="K77" s="823"/>
      <c r="L77" s="823"/>
      <c r="M77" s="249"/>
      <c r="N77" s="822">
        <f>+Calculations!B$441</f>
        <v>0</v>
      </c>
      <c r="O77" s="823"/>
      <c r="P77" s="823"/>
      <c r="Q77" s="824"/>
      <c r="R77" s="822">
        <f>+Calculations!B$442</f>
        <v>0</v>
      </c>
      <c r="S77" s="823"/>
      <c r="T77" s="823"/>
      <c r="U77" s="824"/>
      <c r="AS77" s="16"/>
      <c r="AT77" s="16"/>
      <c r="AU77" s="16"/>
      <c r="AV77" s="16"/>
      <c r="AW77" s="16"/>
      <c r="AX77" s="16"/>
      <c r="AY77" s="16"/>
      <c r="AZ77" s="16"/>
    </row>
    <row r="78" spans="1:52" s="7" customFormat="1" ht="3" customHeight="1" x14ac:dyDescent="0.3">
      <c r="A78" s="16"/>
      <c r="B78" s="250"/>
      <c r="C78" s="251"/>
      <c r="D78" s="251"/>
      <c r="E78" s="251"/>
      <c r="F78" s="252"/>
      <c r="G78" s="250"/>
      <c r="H78" s="828"/>
      <c r="I78" s="828"/>
      <c r="J78" s="828"/>
      <c r="K78" s="828"/>
      <c r="L78" s="828"/>
      <c r="M78" s="252"/>
      <c r="N78" s="829"/>
      <c r="O78" s="828"/>
      <c r="P78" s="828"/>
      <c r="Q78" s="830"/>
      <c r="R78" s="829"/>
      <c r="S78" s="828"/>
      <c r="T78" s="828"/>
      <c r="U78" s="830"/>
      <c r="AS78" s="16"/>
      <c r="AT78" s="16"/>
      <c r="AU78" s="16"/>
      <c r="AV78" s="16"/>
      <c r="AW78" s="16"/>
      <c r="AX78" s="16"/>
      <c r="AY78" s="16"/>
      <c r="AZ78" s="16"/>
    </row>
    <row r="79" spans="1:52" s="7" customFormat="1" ht="30" x14ac:dyDescent="0.3">
      <c r="A79" s="16"/>
      <c r="B79" s="825">
        <f>+Calculations!B$430</f>
        <v>0</v>
      </c>
      <c r="C79" s="831"/>
      <c r="D79" s="831"/>
      <c r="E79" s="831"/>
      <c r="F79" s="832"/>
      <c r="G79" s="248"/>
      <c r="H79" s="823">
        <f>+Calculations!B$443</f>
        <v>0</v>
      </c>
      <c r="I79" s="823"/>
      <c r="J79" s="823"/>
      <c r="K79" s="823"/>
      <c r="L79" s="823"/>
      <c r="M79" s="249"/>
      <c r="N79" s="822">
        <f>+Calculations!B$444</f>
        <v>0</v>
      </c>
      <c r="O79" s="823"/>
      <c r="P79" s="823"/>
      <c r="Q79" s="824"/>
      <c r="R79" s="822">
        <f>+Calculations!B$445</f>
        <v>0</v>
      </c>
      <c r="S79" s="823"/>
      <c r="T79" s="823"/>
      <c r="U79" s="824"/>
      <c r="AS79" s="16"/>
      <c r="AT79" s="16"/>
      <c r="AU79" s="16"/>
      <c r="AV79" s="16"/>
      <c r="AW79" s="16"/>
      <c r="AX79" s="16"/>
      <c r="AY79" s="16"/>
      <c r="AZ79" s="16"/>
    </row>
    <row r="80" spans="1:52" s="7" customFormat="1" ht="5.25" customHeight="1" x14ac:dyDescent="0.3">
      <c r="A80" s="16"/>
      <c r="B80" s="250"/>
      <c r="C80" s="251"/>
      <c r="D80" s="251"/>
      <c r="E80" s="251"/>
      <c r="F80" s="252"/>
      <c r="G80" s="250"/>
      <c r="H80" s="828"/>
      <c r="I80" s="828"/>
      <c r="J80" s="828"/>
      <c r="K80" s="828"/>
      <c r="L80" s="828"/>
      <c r="M80" s="252"/>
      <c r="N80" s="829"/>
      <c r="O80" s="828"/>
      <c r="P80" s="828"/>
      <c r="Q80" s="830"/>
      <c r="R80" s="829"/>
      <c r="S80" s="828"/>
      <c r="T80" s="828"/>
      <c r="U80" s="830"/>
      <c r="AS80" s="16"/>
      <c r="AT80" s="16"/>
      <c r="AU80" s="16"/>
      <c r="AV80" s="16"/>
      <c r="AW80" s="16"/>
      <c r="AX80" s="16"/>
      <c r="AY80" s="16"/>
      <c r="AZ80" s="16"/>
    </row>
    <row r="81" spans="1:52" s="9" customFormat="1" ht="30" x14ac:dyDescent="0.3">
      <c r="A81" s="16"/>
      <c r="B81" s="825">
        <f>+Calculations!B$431</f>
        <v>0</v>
      </c>
      <c r="C81" s="831"/>
      <c r="D81" s="831"/>
      <c r="E81" s="831"/>
      <c r="F81" s="832"/>
      <c r="G81" s="248"/>
      <c r="H81" s="823">
        <f>+Calculations!B$446</f>
        <v>0</v>
      </c>
      <c r="I81" s="823"/>
      <c r="J81" s="823"/>
      <c r="K81" s="823"/>
      <c r="L81" s="823"/>
      <c r="M81" s="249"/>
      <c r="N81" s="822">
        <f>+Calculations!B$447</f>
        <v>0</v>
      </c>
      <c r="O81" s="823"/>
      <c r="P81" s="823"/>
      <c r="Q81" s="824"/>
      <c r="R81" s="822">
        <f>+Calculations!B$448</f>
        <v>0</v>
      </c>
      <c r="S81" s="823"/>
      <c r="T81" s="823"/>
      <c r="U81" s="824"/>
      <c r="AS81" s="16"/>
      <c r="AT81" s="16"/>
      <c r="AU81" s="16"/>
      <c r="AV81" s="16"/>
      <c r="AW81" s="16"/>
      <c r="AX81" s="16"/>
      <c r="AY81" s="16"/>
      <c r="AZ81" s="16"/>
    </row>
    <row r="82" spans="1:52" s="9" customFormat="1" ht="3.75" customHeight="1" thickBot="1" x14ac:dyDescent="0.35">
      <c r="A82" s="16"/>
      <c r="B82" s="253"/>
      <c r="C82" s="254"/>
      <c r="D82" s="254"/>
      <c r="E82" s="254"/>
      <c r="F82" s="255"/>
      <c r="G82" s="256"/>
      <c r="H82" s="257"/>
      <c r="I82" s="257"/>
      <c r="J82" s="257"/>
      <c r="K82" s="257"/>
      <c r="L82" s="257"/>
      <c r="M82" s="258"/>
      <c r="N82" s="256"/>
      <c r="O82" s="257"/>
      <c r="P82" s="257"/>
      <c r="Q82" s="258"/>
      <c r="R82" s="256"/>
      <c r="S82" s="259"/>
      <c r="T82" s="257"/>
      <c r="U82" s="260"/>
      <c r="AS82" s="16"/>
      <c r="AT82" s="16"/>
      <c r="AU82" s="16"/>
      <c r="AV82" s="16"/>
      <c r="AW82" s="16"/>
      <c r="AX82" s="16"/>
      <c r="AY82" s="16"/>
      <c r="AZ82" s="16"/>
    </row>
    <row r="83" spans="1:52" s="6" customFormat="1" ht="42" customHeight="1" thickBot="1" x14ac:dyDescent="0.25">
      <c r="B83" s="834" t="str">
        <f>UPPER(Calculations!B$415)</f>
        <v/>
      </c>
      <c r="C83" s="835"/>
      <c r="D83" s="835"/>
      <c r="E83" s="835"/>
      <c r="F83" s="835"/>
      <c r="G83" s="261"/>
      <c r="H83" s="833" t="str">
        <f>IF(B83="","",+Calculations!B$418)</f>
        <v/>
      </c>
      <c r="I83" s="833"/>
      <c r="J83" s="833"/>
      <c r="K83" s="833"/>
      <c r="L83" s="833"/>
      <c r="M83" s="262"/>
      <c r="N83" s="838" t="str">
        <f>IF(B83="","",+Calculations!B$419)</f>
        <v/>
      </c>
      <c r="O83" s="833"/>
      <c r="P83" s="833"/>
      <c r="Q83" s="839"/>
      <c r="R83" s="836" t="str">
        <f>IF(B83="","",+Calculations!B$420)</f>
        <v/>
      </c>
      <c r="S83" s="836"/>
      <c r="T83" s="836"/>
      <c r="U83" s="837"/>
    </row>
    <row r="84" spans="1:52" s="6" customFormat="1" ht="68.25" customHeight="1" x14ac:dyDescent="0.2">
      <c r="B84" s="840" t="str">
        <f>_xlfn.CONCAT(Calculations!B$371,Calculations!B$376,Calculations!B$381)</f>
        <v>The payments presented herein are based upon interest rates available to a variety of customers based upon credit quality, down payment, collateral and other factors.  The actual interest rate charged will be disclosed in the finance contract and may be higher or lower then the rates used in this illustration.  For presentation purposes,  month term payments are presented at an interest rate of 0.000% ,  month term payments are presented at an interest rate of 0.000%,  month term payments are presented with an interest rate of 0.000%.</v>
      </c>
      <c r="C84" s="840"/>
      <c r="D84" s="840"/>
      <c r="E84" s="840"/>
      <c r="F84" s="840"/>
      <c r="G84" s="840"/>
      <c r="H84" s="840"/>
      <c r="I84" s="840"/>
      <c r="J84" s="840"/>
      <c r="K84" s="840"/>
      <c r="L84" s="840"/>
      <c r="M84" s="840"/>
      <c r="N84" s="840"/>
      <c r="O84" s="840"/>
      <c r="P84" s="840"/>
      <c r="Q84" s="840"/>
      <c r="R84" s="840"/>
      <c r="S84" s="840"/>
      <c r="T84" s="840"/>
      <c r="U84" s="840"/>
    </row>
    <row r="85" spans="1:52" s="6" customFormat="1" ht="9" customHeight="1" x14ac:dyDescent="0.2">
      <c r="B85" s="264"/>
      <c r="C85" s="264"/>
      <c r="D85" s="264"/>
      <c r="E85" s="264"/>
      <c r="F85" s="264"/>
      <c r="G85" s="265"/>
      <c r="H85" s="266"/>
      <c r="I85" s="266"/>
      <c r="J85" s="266"/>
      <c r="K85" s="266"/>
      <c r="L85" s="266"/>
      <c r="M85" s="267"/>
      <c r="N85" s="266"/>
      <c r="O85" s="266"/>
      <c r="P85" s="266"/>
      <c r="Q85" s="266"/>
      <c r="R85" s="266"/>
      <c r="S85" s="268"/>
      <c r="T85" s="266"/>
      <c r="U85" s="266"/>
    </row>
    <row r="86" spans="1:52" s="6" customFormat="1" ht="20.25" customHeight="1" x14ac:dyDescent="0.2">
      <c r="S86" s="221"/>
    </row>
    <row r="87" spans="1:52" s="6" customFormat="1" ht="23" x14ac:dyDescent="0.25">
      <c r="J87" s="269" t="str">
        <f>+Q2</f>
        <v/>
      </c>
      <c r="K87" s="269"/>
      <c r="L87" s="269"/>
      <c r="M87" s="269"/>
      <c r="N87" s="269"/>
      <c r="O87" s="269"/>
      <c r="S87" s="221"/>
      <c r="U87" s="270"/>
    </row>
    <row r="88" spans="1:52" s="6" customFormat="1" ht="20" x14ac:dyDescent="0.2">
      <c r="J88" s="841" t="str">
        <f>+Q4</f>
        <v/>
      </c>
      <c r="K88" s="841"/>
      <c r="L88" s="841"/>
      <c r="M88" s="841"/>
      <c r="N88" s="841"/>
      <c r="O88" s="841"/>
      <c r="S88" s="221"/>
      <c r="U88" s="270"/>
    </row>
    <row r="89" spans="1:52" s="6" customFormat="1" ht="20" x14ac:dyDescent="0.2">
      <c r="J89" s="841" t="str">
        <f>+Q5</f>
        <v/>
      </c>
      <c r="K89" s="841"/>
      <c r="L89" s="841"/>
      <c r="M89" s="841"/>
      <c r="N89" s="841"/>
      <c r="O89" s="841"/>
      <c r="Q89" s="6" t="str">
        <f>+Q15</f>
        <v>SALES PERSON</v>
      </c>
      <c r="S89" s="785" t="str">
        <f>+S15</f>
        <v/>
      </c>
      <c r="T89" s="785"/>
      <c r="U89" s="785"/>
    </row>
    <row r="90" spans="1:52" s="6" customFormat="1" ht="20" x14ac:dyDescent="0.2">
      <c r="J90" s="841" t="str">
        <f>+Q10</f>
        <v/>
      </c>
      <c r="K90" s="841"/>
      <c r="L90" s="841"/>
      <c r="M90" s="841"/>
      <c r="N90" s="841"/>
      <c r="O90" s="841"/>
      <c r="S90" s="221"/>
      <c r="U90" s="270"/>
    </row>
    <row r="91" spans="1:52" s="6" customFormat="1" ht="20" x14ac:dyDescent="0.2">
      <c r="S91" s="221"/>
      <c r="U91" s="270"/>
    </row>
    <row r="92" spans="1:52" s="6" customFormat="1" ht="20" x14ac:dyDescent="0.2">
      <c r="C92" s="842" t="str">
        <f>+C12</f>
        <v/>
      </c>
      <c r="D92" s="842"/>
      <c r="E92" s="842"/>
      <c r="F92" s="842"/>
      <c r="Q92" s="221" t="s">
        <v>271</v>
      </c>
      <c r="S92" s="842">
        <f>+'Sales Input Sheet'!C11</f>
        <v>0</v>
      </c>
      <c r="T92" s="842"/>
      <c r="U92" s="842"/>
    </row>
    <row r="93" spans="1:52" s="6" customFormat="1" ht="20" x14ac:dyDescent="0.2">
      <c r="C93" s="842" t="str">
        <f>+C13</f>
        <v xml:space="preserve">  </v>
      </c>
      <c r="D93" s="842"/>
      <c r="E93" s="842"/>
      <c r="F93" s="842"/>
      <c r="Q93" s="221" t="s">
        <v>273</v>
      </c>
      <c r="S93" s="843">
        <f>+'Costing Sheet'!C15</f>
        <v>0</v>
      </c>
      <c r="T93" s="843"/>
      <c r="U93" s="843"/>
    </row>
    <row r="94" spans="1:52" s="6" customFormat="1" ht="20" x14ac:dyDescent="0.2">
      <c r="B94" s="240"/>
      <c r="S94" s="221"/>
      <c r="V94" s="223"/>
    </row>
    <row r="95" spans="1:52" customFormat="1" ht="28" customHeight="1" thickBot="1" x14ac:dyDescent="0.35">
      <c r="C95" s="273">
        <f>+'Costing Sheet'!C19</f>
        <v>0</v>
      </c>
      <c r="D95" s="274"/>
      <c r="E95" s="274"/>
      <c r="F95" s="852">
        <f>+'Costing Sheet'!E19</f>
        <v>0</v>
      </c>
      <c r="G95" s="852"/>
      <c r="H95" s="852"/>
      <c r="I95" s="852"/>
      <c r="J95" s="852"/>
      <c r="K95" s="852"/>
      <c r="L95" s="852"/>
      <c r="O95" s="274" t="str">
        <f>+UPPER('Costing Sheet'!C17)</f>
        <v/>
      </c>
      <c r="P95" s="274"/>
      <c r="Q95" s="274" t="str">
        <f>UPPER('Costing Sheet'!E17)</f>
        <v/>
      </c>
      <c r="R95" s="274"/>
      <c r="S95" s="275"/>
    </row>
    <row r="96" spans="1:52" s="9" customFormat="1" ht="28" customHeight="1" thickBot="1" x14ac:dyDescent="0.25">
      <c r="A96" s="16"/>
      <c r="B96" s="853" t="s">
        <v>288</v>
      </c>
      <c r="C96" s="854"/>
      <c r="D96" s="854"/>
      <c r="E96" s="854"/>
      <c r="F96" s="854"/>
      <c r="G96" s="854"/>
      <c r="H96" s="854"/>
      <c r="I96" s="854"/>
      <c r="J96" s="854"/>
      <c r="K96" s="854"/>
      <c r="L96" s="854"/>
      <c r="M96" s="854"/>
      <c r="N96" s="855"/>
      <c r="O96" s="855"/>
      <c r="P96" s="855"/>
      <c r="Q96" s="855"/>
      <c r="R96" s="855"/>
      <c r="S96" s="855"/>
      <c r="T96" s="855"/>
      <c r="U96" s="856"/>
      <c r="AS96" s="16"/>
      <c r="AT96" s="16"/>
      <c r="AU96" s="16"/>
      <c r="AV96" s="16"/>
      <c r="AW96" s="16"/>
      <c r="AX96" s="16"/>
      <c r="AY96" s="16"/>
      <c r="AZ96" s="16"/>
    </row>
    <row r="97" spans="2:24" s="6" customFormat="1" ht="20" x14ac:dyDescent="0.2">
      <c r="B97" s="859" t="s">
        <v>289</v>
      </c>
      <c r="C97" s="784"/>
      <c r="D97" s="784"/>
      <c r="E97" s="784"/>
      <c r="F97" s="784"/>
      <c r="G97" s="784"/>
      <c r="H97" s="784"/>
      <c r="L97" s="277">
        <f>+Calculations!B$310</f>
        <v>0</v>
      </c>
      <c r="M97" s="278"/>
      <c r="N97" s="857" t="s">
        <v>290</v>
      </c>
      <c r="O97" s="858"/>
      <c r="P97" s="858"/>
      <c r="Q97" s="858"/>
      <c r="R97" s="858"/>
      <c r="S97" s="279"/>
      <c r="T97" s="218"/>
      <c r="U97" s="280">
        <f>+Calculations!B$319</f>
        <v>0</v>
      </c>
    </row>
    <row r="98" spans="2:24" s="6" customFormat="1" ht="20" x14ac:dyDescent="0.2">
      <c r="B98" s="860" t="str">
        <f>IF(L98=0,"","LINE ITEM DISCOUNT")</f>
        <v/>
      </c>
      <c r="C98" s="785"/>
      <c r="D98" s="785"/>
      <c r="E98" s="785"/>
      <c r="F98" s="785"/>
      <c r="G98" s="785"/>
      <c r="H98" s="785"/>
      <c r="L98" s="281">
        <f>-Calculations!B$311</f>
        <v>0</v>
      </c>
      <c r="M98" s="221"/>
      <c r="N98" s="846" t="s">
        <v>291</v>
      </c>
      <c r="O98" s="847"/>
      <c r="P98" s="847"/>
      <c r="Q98" s="847"/>
      <c r="R98" s="847"/>
      <c r="S98" s="221"/>
      <c r="T98" s="221"/>
      <c r="U98" s="282">
        <f>+Calculations!B$386</f>
        <v>0</v>
      </c>
      <c r="V98" s="283"/>
    </row>
    <row r="99" spans="2:24" s="6" customFormat="1" ht="20" x14ac:dyDescent="0.2">
      <c r="B99" s="860" t="s">
        <v>2279</v>
      </c>
      <c r="C99" s="785"/>
      <c r="D99" s="785"/>
      <c r="E99" s="785"/>
      <c r="F99" s="785"/>
      <c r="G99" s="785"/>
      <c r="H99" s="785"/>
      <c r="L99" s="277">
        <f>+Calculations!B$312</f>
        <v>0</v>
      </c>
      <c r="M99" s="221"/>
      <c r="N99" s="846" t="s">
        <v>293</v>
      </c>
      <c r="O99" s="847"/>
      <c r="P99" s="847"/>
      <c r="Q99" s="847"/>
      <c r="R99" s="847"/>
      <c r="S99" s="221"/>
      <c r="T99" s="221"/>
      <c r="U99" s="282">
        <f>+Calculations!B$385</f>
        <v>0</v>
      </c>
    </row>
    <row r="100" spans="2:24" s="6" customFormat="1" ht="20" x14ac:dyDescent="0.2">
      <c r="B100" s="860" t="s">
        <v>294</v>
      </c>
      <c r="C100" s="785"/>
      <c r="D100" s="785"/>
      <c r="E100" s="785"/>
      <c r="F100" s="785"/>
      <c r="G100" s="785"/>
      <c r="H100" s="785"/>
      <c r="L100" s="284">
        <f>-Calculations!B$315</f>
        <v>0</v>
      </c>
      <c r="M100" s="221"/>
      <c r="N100" s="846" t="s">
        <v>295</v>
      </c>
      <c r="O100" s="847"/>
      <c r="P100" s="847"/>
      <c r="Q100" s="847"/>
      <c r="R100" s="847"/>
      <c r="S100" s="221"/>
      <c r="T100" s="221"/>
      <c r="U100" s="285">
        <f>+Calculations!B$439</f>
        <v>0</v>
      </c>
    </row>
    <row r="101" spans="2:24" s="6" customFormat="1" ht="20" x14ac:dyDescent="0.2">
      <c r="B101" s="860" t="s">
        <v>296</v>
      </c>
      <c r="C101" s="785"/>
      <c r="D101" s="785"/>
      <c r="E101" s="785"/>
      <c r="F101" s="785"/>
      <c r="G101" s="785"/>
      <c r="H101" s="785"/>
      <c r="L101" s="277">
        <f>+Calculations!B$316</f>
        <v>0</v>
      </c>
      <c r="M101" s="221"/>
      <c r="N101" s="846" t="s">
        <v>297</v>
      </c>
      <c r="O101" s="847"/>
      <c r="P101" s="847"/>
      <c r="Q101" s="847"/>
      <c r="R101" s="847"/>
      <c r="S101" s="221"/>
      <c r="T101" s="221"/>
      <c r="U101" s="285">
        <f>+'Costing Sheet'!Q15</f>
        <v>0</v>
      </c>
    </row>
    <row r="102" spans="2:24" s="6" customFormat="1" ht="20.25" customHeight="1" x14ac:dyDescent="0.2">
      <c r="B102" s="844" t="s">
        <v>298</v>
      </c>
      <c r="C102" s="845"/>
      <c r="D102" s="845"/>
      <c r="E102" s="845"/>
      <c r="F102" s="845"/>
      <c r="G102" s="845"/>
      <c r="H102" s="845"/>
      <c r="L102" s="287">
        <f>+Calculations!B$302</f>
        <v>0</v>
      </c>
      <c r="M102" s="278"/>
      <c r="N102" s="846" t="s">
        <v>299</v>
      </c>
      <c r="O102" s="847"/>
      <c r="P102" s="847"/>
      <c r="Q102" s="847"/>
      <c r="R102" s="847"/>
      <c r="S102" s="221"/>
      <c r="T102" s="221"/>
      <c r="U102" s="288">
        <f>+'Costing Sheet'!Q13</f>
        <v>0</v>
      </c>
      <c r="V102" s="16"/>
      <c r="W102" s="283"/>
    </row>
    <row r="103" spans="2:24" s="6" customFormat="1" ht="20" x14ac:dyDescent="0.2">
      <c r="B103" s="844"/>
      <c r="C103" s="845"/>
      <c r="D103" s="845"/>
      <c r="E103" s="845"/>
      <c r="F103" s="845"/>
      <c r="G103" s="845"/>
      <c r="H103" s="845"/>
      <c r="L103" s="289"/>
      <c r="M103" s="278"/>
      <c r="N103" s="846" t="str">
        <f>+Calculations!$B$403</f>
        <v xml:space="preserve"> SALES TAX</v>
      </c>
      <c r="O103" s="847"/>
      <c r="P103" s="847"/>
      <c r="Q103" s="847"/>
      <c r="R103" s="847"/>
      <c r="S103" s="221"/>
      <c r="T103" s="221"/>
      <c r="U103" s="226">
        <f>+Calculations!$B$405</f>
        <v>0</v>
      </c>
      <c r="V103" s="283"/>
      <c r="X103" s="221"/>
    </row>
    <row r="104" spans="2:24" s="6" customFormat="1" ht="20" x14ac:dyDescent="0.2">
      <c r="B104" s="844" t="s">
        <v>300</v>
      </c>
      <c r="C104" s="845"/>
      <c r="D104" s="845"/>
      <c r="E104" s="845"/>
      <c r="F104" s="845"/>
      <c r="G104" s="845"/>
      <c r="H104" s="845"/>
      <c r="L104" s="282">
        <f>+'Costing Sheet'!Q$3</f>
        <v>0</v>
      </c>
      <c r="M104" s="278"/>
      <c r="N104" s="846" t="str">
        <f>+Calculations!$B$399</f>
        <v/>
      </c>
      <c r="O104" s="847"/>
      <c r="P104" s="847"/>
      <c r="Q104" s="847"/>
      <c r="R104" s="847"/>
      <c r="S104" s="224"/>
      <c r="T104" s="221"/>
      <c r="U104" s="289">
        <f>+Calculations!$B$412</f>
        <v>0</v>
      </c>
      <c r="X104" s="283"/>
    </row>
    <row r="105" spans="2:24" s="6" customFormat="1" ht="47.25" customHeight="1" x14ac:dyDescent="0.2">
      <c r="B105" s="850" t="s">
        <v>301</v>
      </c>
      <c r="C105" s="851"/>
      <c r="D105" s="851"/>
      <c r="E105" s="851"/>
      <c r="F105" s="851"/>
      <c r="G105" s="851"/>
      <c r="H105" s="851"/>
      <c r="L105" s="282">
        <f>+'Costing Sheet'!Q$5</f>
        <v>0</v>
      </c>
      <c r="M105" s="278"/>
      <c r="N105" s="848" t="str">
        <f>+Calculations!$B$406</f>
        <v xml:space="preserve"> COUNTY SALES TAX  OUT OF STATE OR NO COUNTY WAS SPECIFIED FOR CUSTOMER</v>
      </c>
      <c r="O105" s="849"/>
      <c r="P105" s="849"/>
      <c r="Q105" s="849"/>
      <c r="R105" s="849"/>
      <c r="S105" s="224"/>
      <c r="T105" s="221"/>
      <c r="U105" s="289">
        <f>+Calculations!$B$413</f>
        <v>0</v>
      </c>
    </row>
    <row r="106" spans="2:24" s="6" customFormat="1" ht="20.25" customHeight="1" x14ac:dyDescent="0.2">
      <c r="B106" s="850" t="str">
        <f>+Calculations!B640</f>
        <v/>
      </c>
      <c r="C106" s="851"/>
      <c r="D106" s="851"/>
      <c r="E106" s="851"/>
      <c r="F106" s="851"/>
      <c r="G106" s="851"/>
      <c r="H106" s="851"/>
      <c r="I106" s="851"/>
      <c r="L106" s="285">
        <f>+Calculations!B232</f>
        <v>0</v>
      </c>
      <c r="M106" s="278"/>
      <c r="N106" s="292" t="str">
        <f>+Calculations!$B$414</f>
        <v/>
      </c>
      <c r="O106" s="293"/>
      <c r="P106" s="293"/>
      <c r="Q106" s="293"/>
      <c r="R106" s="293"/>
      <c r="S106" s="293"/>
      <c r="T106" s="221"/>
      <c r="U106" s="289">
        <f>+Calculations!$B$407</f>
        <v>0</v>
      </c>
    </row>
    <row r="107" spans="2:24" s="6" customFormat="1" ht="20.25" customHeight="1" x14ac:dyDescent="0.2">
      <c r="B107" s="850" t="str">
        <f>+Calculations!B641</f>
        <v/>
      </c>
      <c r="C107" s="851"/>
      <c r="D107" s="851"/>
      <c r="E107" s="851"/>
      <c r="F107" s="851"/>
      <c r="G107" s="851"/>
      <c r="H107" s="851"/>
      <c r="I107" s="851"/>
      <c r="L107" s="285">
        <f>+Calculations!B233</f>
        <v>0</v>
      </c>
      <c r="M107" s="278"/>
      <c r="N107" s="868" t="str">
        <f>Calculations!B651</f>
        <v/>
      </c>
      <c r="O107" s="869"/>
      <c r="P107" s="869"/>
      <c r="Q107" s="869"/>
      <c r="R107" s="869"/>
      <c r="S107" s="224"/>
      <c r="T107" s="221"/>
      <c r="U107" s="294">
        <f>-Calculations!B$318</f>
        <v>0</v>
      </c>
    </row>
    <row r="108" spans="2:24" s="6" customFormat="1" ht="20.25" customHeight="1" x14ac:dyDescent="0.2">
      <c r="B108" s="850" t="str">
        <f>+Calculations!B642</f>
        <v/>
      </c>
      <c r="C108" s="851"/>
      <c r="D108" s="851"/>
      <c r="E108" s="851"/>
      <c r="F108" s="851"/>
      <c r="G108" s="851"/>
      <c r="H108" s="851"/>
      <c r="I108" s="851"/>
      <c r="L108" s="285">
        <f>+Calculations!B234</f>
        <v>0</v>
      </c>
      <c r="M108" s="278"/>
      <c r="N108" s="291"/>
      <c r="O108" s="863" t="str">
        <f>Calculations!$B$653</f>
        <v/>
      </c>
      <c r="P108" s="863"/>
      <c r="Q108" s="863"/>
      <c r="R108" s="224"/>
      <c r="S108" s="224"/>
      <c r="T108" s="221"/>
      <c r="U108" s="289"/>
    </row>
    <row r="109" spans="2:24" s="6" customFormat="1" ht="20.25" customHeight="1" x14ac:dyDescent="0.2">
      <c r="B109" s="850" t="str">
        <f>+Calculations!B643</f>
        <v/>
      </c>
      <c r="C109" s="851"/>
      <c r="D109" s="851"/>
      <c r="E109" s="851"/>
      <c r="F109" s="851"/>
      <c r="G109" s="851"/>
      <c r="H109" s="851"/>
      <c r="I109" s="851"/>
      <c r="L109" s="285">
        <f>+Calculations!B235</f>
        <v>0</v>
      </c>
      <c r="M109" s="278"/>
      <c r="N109" s="291"/>
      <c r="O109" s="224"/>
      <c r="P109" s="224"/>
      <c r="Q109" s="224"/>
      <c r="R109" s="224"/>
      <c r="S109" s="224"/>
      <c r="T109" s="221"/>
      <c r="U109" s="289"/>
    </row>
    <row r="110" spans="2:24" s="6" customFormat="1" ht="20.25" customHeight="1" x14ac:dyDescent="0.2">
      <c r="B110" s="850" t="str">
        <f>+Calculations!B644</f>
        <v/>
      </c>
      <c r="C110" s="851"/>
      <c r="D110" s="851"/>
      <c r="E110" s="851"/>
      <c r="F110" s="851"/>
      <c r="G110" s="851"/>
      <c r="H110" s="851"/>
      <c r="I110" s="851"/>
      <c r="L110" s="285">
        <f>+Calculations!B236</f>
        <v>0</v>
      </c>
      <c r="M110" s="278"/>
      <c r="N110" s="291"/>
      <c r="O110" s="224"/>
      <c r="P110" s="224"/>
      <c r="Q110" s="224"/>
      <c r="R110" s="224"/>
      <c r="S110" s="224"/>
      <c r="T110" s="221"/>
      <c r="U110" s="289"/>
    </row>
    <row r="111" spans="2:24" s="6" customFormat="1" ht="20.25" customHeight="1" x14ac:dyDescent="0.2">
      <c r="B111" s="850" t="str">
        <f>+Calculations!B645</f>
        <v/>
      </c>
      <c r="C111" s="851"/>
      <c r="D111" s="851"/>
      <c r="E111" s="851"/>
      <c r="F111" s="851"/>
      <c r="G111" s="851"/>
      <c r="H111" s="851"/>
      <c r="I111" s="851"/>
      <c r="L111" s="285">
        <f>+Calculations!B237</f>
        <v>0</v>
      </c>
      <c r="M111" s="278"/>
      <c r="N111" s="291"/>
      <c r="O111" s="224"/>
      <c r="P111" s="224"/>
      <c r="Q111" s="224"/>
      <c r="R111" s="224"/>
      <c r="S111" s="224"/>
      <c r="T111" s="221"/>
      <c r="U111" s="289"/>
    </row>
    <row r="112" spans="2:24" s="6" customFormat="1" ht="20.25" customHeight="1" x14ac:dyDescent="0.2">
      <c r="B112" s="850" t="str">
        <f>+Calculations!B646</f>
        <v/>
      </c>
      <c r="C112" s="851"/>
      <c r="D112" s="851"/>
      <c r="E112" s="851"/>
      <c r="F112" s="851"/>
      <c r="G112" s="851"/>
      <c r="H112" s="851"/>
      <c r="I112" s="851"/>
      <c r="L112" s="285">
        <f>+Calculations!B238</f>
        <v>0</v>
      </c>
      <c r="M112" s="278"/>
      <c r="N112" s="291"/>
      <c r="O112" s="224"/>
      <c r="P112" s="224"/>
      <c r="Q112" s="224"/>
      <c r="R112" s="224"/>
      <c r="S112" s="224"/>
      <c r="T112" s="221"/>
      <c r="U112" s="289"/>
    </row>
    <row r="113" spans="2:22" s="6" customFormat="1" ht="20.25" customHeight="1" x14ac:dyDescent="0.2">
      <c r="B113" s="850" t="str">
        <f>+Calculations!B647</f>
        <v/>
      </c>
      <c r="C113" s="851"/>
      <c r="D113" s="851"/>
      <c r="E113" s="851"/>
      <c r="F113" s="851"/>
      <c r="G113" s="851"/>
      <c r="H113" s="851"/>
      <c r="I113" s="851"/>
      <c r="L113" s="285">
        <f>+Calculations!B239</f>
        <v>0</v>
      </c>
      <c r="M113" s="278"/>
      <c r="N113" s="291"/>
      <c r="O113" s="224"/>
      <c r="P113" s="224"/>
      <c r="Q113" s="224"/>
      <c r="R113" s="224"/>
      <c r="S113" s="224"/>
      <c r="T113" s="221"/>
      <c r="U113" s="289"/>
    </row>
    <row r="114" spans="2:22" s="6" customFormat="1" ht="20.25" customHeight="1" x14ac:dyDescent="0.2">
      <c r="B114" s="850" t="str">
        <f>+Calculations!B648</f>
        <v/>
      </c>
      <c r="C114" s="851"/>
      <c r="D114" s="851"/>
      <c r="E114" s="851"/>
      <c r="F114" s="851"/>
      <c r="G114" s="851"/>
      <c r="H114" s="851"/>
      <c r="I114" s="851"/>
      <c r="L114" s="285">
        <f>+Calculations!B240</f>
        <v>0</v>
      </c>
      <c r="M114" s="278"/>
      <c r="N114" s="291"/>
      <c r="O114" s="224"/>
      <c r="P114" s="224"/>
      <c r="Q114" s="224"/>
      <c r="R114" s="224"/>
      <c r="S114" s="224"/>
      <c r="T114" s="221"/>
      <c r="U114" s="289"/>
    </row>
    <row r="115" spans="2:22" s="6" customFormat="1" ht="20.25" customHeight="1" x14ac:dyDescent="0.2">
      <c r="B115" s="850" t="str">
        <f>+Calculations!B649</f>
        <v/>
      </c>
      <c r="C115" s="851"/>
      <c r="D115" s="851"/>
      <c r="E115" s="851"/>
      <c r="F115" s="851"/>
      <c r="G115" s="851"/>
      <c r="H115" s="851"/>
      <c r="I115" s="851"/>
      <c r="L115" s="285">
        <f>+Calculations!B241</f>
        <v>0</v>
      </c>
      <c r="M115" s="278"/>
      <c r="N115" s="291"/>
      <c r="O115" s="224"/>
      <c r="P115" s="224"/>
      <c r="Q115" s="224"/>
      <c r="R115" s="224"/>
      <c r="S115" s="224"/>
      <c r="T115" s="221"/>
      <c r="U115" s="289"/>
    </row>
    <row r="116" spans="2:22" s="6" customFormat="1" ht="20" x14ac:dyDescent="0.2">
      <c r="B116" s="850"/>
      <c r="C116" s="851"/>
      <c r="D116" s="851"/>
      <c r="E116" s="851"/>
      <c r="F116" s="851"/>
      <c r="G116" s="851"/>
      <c r="H116" s="851"/>
      <c r="I116" s="851"/>
      <c r="L116" s="285"/>
      <c r="M116" s="278"/>
      <c r="N116" s="202"/>
      <c r="U116" s="222"/>
      <c r="V116" s="283"/>
    </row>
    <row r="117" spans="2:22" s="6" customFormat="1" ht="20" x14ac:dyDescent="0.2">
      <c r="B117" s="850"/>
      <c r="C117" s="851"/>
      <c r="D117" s="851"/>
      <c r="E117" s="851"/>
      <c r="F117" s="851"/>
      <c r="G117" s="851"/>
      <c r="H117" s="851"/>
      <c r="I117" s="851"/>
      <c r="L117" s="285"/>
      <c r="M117" s="221"/>
      <c r="N117" s="202"/>
      <c r="U117" s="222"/>
    </row>
    <row r="118" spans="2:22" s="6" customFormat="1" ht="45" customHeight="1" x14ac:dyDescent="0.2">
      <c r="B118" s="296" t="s">
        <v>290</v>
      </c>
      <c r="C118" s="265"/>
      <c r="D118" s="265"/>
      <c r="E118" s="265"/>
      <c r="F118" s="265"/>
      <c r="G118" s="265"/>
      <c r="H118" s="297"/>
      <c r="L118" s="298">
        <f>+Calculations!B$319</f>
        <v>0</v>
      </c>
      <c r="M118" s="299"/>
      <c r="N118" s="862" t="str">
        <f>UPPER(_xlfn.CONCAT("TOTAL DUE FROM CUSTOMER",Calculations!$B$650))</f>
        <v>TOTAL DUE FROM CUSTOMER</v>
      </c>
      <c r="O118" s="863"/>
      <c r="P118" s="863"/>
      <c r="Q118" s="863"/>
      <c r="R118" s="863"/>
      <c r="S118" s="224"/>
      <c r="T118" s="221"/>
      <c r="U118" s="300">
        <f>+Calculations!B$435</f>
        <v>0</v>
      </c>
      <c r="V118" s="283"/>
    </row>
    <row r="119" spans="2:22" s="6" customFormat="1" ht="9" customHeight="1" thickTop="1" thickBot="1" x14ac:dyDescent="0.25">
      <c r="B119" s="296"/>
      <c r="C119" s="265"/>
      <c r="D119" s="265"/>
      <c r="E119" s="265"/>
      <c r="F119" s="265"/>
      <c r="G119" s="265"/>
      <c r="H119" s="297"/>
      <c r="J119" s="231"/>
      <c r="L119" s="301"/>
      <c r="M119" s="302"/>
      <c r="N119" s="303"/>
      <c r="O119" s="302"/>
      <c r="P119" s="302"/>
      <c r="Q119" s="302"/>
      <c r="R119" s="302"/>
      <c r="S119" s="304"/>
      <c r="T119" s="305"/>
      <c r="U119" s="236"/>
    </row>
    <row r="120" spans="2:22" s="2" customFormat="1" ht="35.25" customHeight="1" thickBot="1" x14ac:dyDescent="0.3">
      <c r="B120" s="866" t="e">
        <f>Calculations!B$616</f>
        <v>#DIV/0!</v>
      </c>
      <c r="C120" s="867"/>
      <c r="D120" s="867"/>
      <c r="E120" s="867"/>
      <c r="F120" s="867"/>
      <c r="G120" s="867"/>
      <c r="H120" s="864" t="e">
        <f>IF(B120="","",Calculations!B$617)</f>
        <v>#DIV/0!</v>
      </c>
      <c r="I120" s="865"/>
      <c r="Q120" s="32"/>
      <c r="S120" s="306"/>
    </row>
    <row r="121" spans="2:22" s="6" customFormat="1" ht="20.25" customHeight="1" x14ac:dyDescent="0.2">
      <c r="B121" s="861" t="s">
        <v>302</v>
      </c>
      <c r="C121" s="861"/>
      <c r="D121" s="861"/>
      <c r="E121" s="861"/>
      <c r="F121" s="861"/>
      <c r="G121" s="861"/>
      <c r="H121" s="861"/>
      <c r="I121" s="861"/>
      <c r="J121" s="861"/>
      <c r="K121" s="861"/>
      <c r="L121" s="861"/>
      <c r="M121" s="861"/>
      <c r="N121" s="861"/>
      <c r="O121" s="861"/>
      <c r="P121" s="861"/>
      <c r="Q121" s="861"/>
      <c r="R121" s="861"/>
      <c r="S121" s="861"/>
      <c r="T121" s="861"/>
    </row>
    <row r="122" spans="2:22" s="6" customFormat="1" ht="37" customHeight="1" x14ac:dyDescent="0.2">
      <c r="B122" s="861" t="s">
        <v>303</v>
      </c>
      <c r="C122" s="861"/>
      <c r="D122" s="861"/>
      <c r="E122" s="861"/>
      <c r="F122" s="861"/>
      <c r="G122" s="861"/>
      <c r="H122" s="861"/>
      <c r="I122" s="861"/>
      <c r="J122" s="861"/>
      <c r="K122" s="861"/>
      <c r="L122" s="861"/>
      <c r="M122" s="861"/>
      <c r="N122" s="861"/>
      <c r="O122" s="861"/>
      <c r="P122" s="861"/>
      <c r="Q122" s="861"/>
      <c r="R122" s="861"/>
      <c r="S122" s="861"/>
      <c r="T122" s="861"/>
      <c r="U122" s="861"/>
    </row>
    <row r="123" spans="2:22" ht="16" customHeight="1" x14ac:dyDescent="0.2">
      <c r="I123" s="178"/>
      <c r="J123" s="178"/>
      <c r="K123" s="178"/>
      <c r="L123" s="178"/>
      <c r="M123" s="178"/>
      <c r="N123" s="178"/>
      <c r="O123" s="178"/>
      <c r="P123" s="178"/>
      <c r="Q123" s="178"/>
      <c r="R123" s="178"/>
      <c r="S123" s="307"/>
      <c r="T123" s="178"/>
      <c r="U123" s="178"/>
      <c r="V123" s="207"/>
    </row>
    <row r="124" spans="2:22" x14ac:dyDescent="0.2">
      <c r="V124" s="207"/>
    </row>
    <row r="125" spans="2:22" x14ac:dyDescent="0.2">
      <c r="B125" s="207"/>
      <c r="C125" s="207"/>
      <c r="D125" s="207"/>
      <c r="E125" s="207"/>
      <c r="G125" s="207"/>
      <c r="H125" s="207"/>
      <c r="I125" s="207"/>
      <c r="J125" s="207"/>
      <c r="K125" s="207"/>
      <c r="L125" s="207"/>
      <c r="M125" s="207"/>
      <c r="N125" s="207"/>
      <c r="O125" s="207"/>
      <c r="P125" s="207"/>
      <c r="R125" s="207"/>
      <c r="S125" s="308"/>
      <c r="T125" s="207"/>
      <c r="U125" s="207"/>
      <c r="V125" s="207"/>
    </row>
    <row r="126" spans="2:22" ht="17.25" customHeight="1" x14ac:dyDescent="0.2">
      <c r="B126" s="207"/>
      <c r="C126" s="207"/>
      <c r="D126" s="207"/>
      <c r="E126" s="207"/>
      <c r="F126" s="207"/>
      <c r="G126" s="207"/>
      <c r="H126" s="207"/>
      <c r="J126" s="24"/>
      <c r="K126" s="24"/>
      <c r="L126" s="24"/>
      <c r="M126" s="24"/>
      <c r="N126" s="24"/>
      <c r="O126" s="24"/>
      <c r="P126" s="207"/>
      <c r="Q126" s="207"/>
      <c r="R126" s="207"/>
      <c r="S126" s="308"/>
      <c r="T126" s="207"/>
      <c r="U126" s="207"/>
      <c r="V126" s="207"/>
    </row>
    <row r="140" ht="16" customHeight="1" x14ac:dyDescent="0.2"/>
  </sheetData>
  <sheetProtection selectLockedCells="1"/>
  <mergeCells count="143">
    <mergeCell ref="B7:J7"/>
    <mergeCell ref="B8:J8"/>
    <mergeCell ref="B9:J9"/>
    <mergeCell ref="B122:U122"/>
    <mergeCell ref="B113:I113"/>
    <mergeCell ref="B114:I114"/>
    <mergeCell ref="B115:I115"/>
    <mergeCell ref="B116:I116"/>
    <mergeCell ref="B117:I117"/>
    <mergeCell ref="N118:R118"/>
    <mergeCell ref="H120:I120"/>
    <mergeCell ref="B120:G120"/>
    <mergeCell ref="B121:T121"/>
    <mergeCell ref="B106:I106"/>
    <mergeCell ref="N107:R107"/>
    <mergeCell ref="B107:I107"/>
    <mergeCell ref="B108:I108"/>
    <mergeCell ref="O108:Q108"/>
    <mergeCell ref="B109:I109"/>
    <mergeCell ref="B110:I110"/>
    <mergeCell ref="B111:I111"/>
    <mergeCell ref="B112:I112"/>
    <mergeCell ref="B101:H101"/>
    <mergeCell ref="N101:R101"/>
    <mergeCell ref="B102:H102"/>
    <mergeCell ref="N102:R102"/>
    <mergeCell ref="B103:H103"/>
    <mergeCell ref="N103:R103"/>
    <mergeCell ref="N104:R104"/>
    <mergeCell ref="B104:H104"/>
    <mergeCell ref="N105:R105"/>
    <mergeCell ref="B105:H105"/>
    <mergeCell ref="F95:L95"/>
    <mergeCell ref="B96:U96"/>
    <mergeCell ref="N97:R97"/>
    <mergeCell ref="B97:H97"/>
    <mergeCell ref="B98:H98"/>
    <mergeCell ref="N98:R98"/>
    <mergeCell ref="N99:R99"/>
    <mergeCell ref="B99:H99"/>
    <mergeCell ref="N100:R100"/>
    <mergeCell ref="B100:H100"/>
    <mergeCell ref="B84:U84"/>
    <mergeCell ref="J88:O88"/>
    <mergeCell ref="S89:U89"/>
    <mergeCell ref="J89:O89"/>
    <mergeCell ref="J90:O90"/>
    <mergeCell ref="C92:F92"/>
    <mergeCell ref="S92:U92"/>
    <mergeCell ref="C93:F93"/>
    <mergeCell ref="S93:U93"/>
    <mergeCell ref="H80:L80"/>
    <mergeCell ref="R80:U80"/>
    <mergeCell ref="N80:Q80"/>
    <mergeCell ref="H81:L81"/>
    <mergeCell ref="N81:Q81"/>
    <mergeCell ref="B81:F81"/>
    <mergeCell ref="R81:U81"/>
    <mergeCell ref="H83:L83"/>
    <mergeCell ref="B83:F83"/>
    <mergeCell ref="R83:U83"/>
    <mergeCell ref="N83:Q83"/>
    <mergeCell ref="R77:U77"/>
    <mergeCell ref="N77:Q77"/>
    <mergeCell ref="B77:F77"/>
    <mergeCell ref="H77:L77"/>
    <mergeCell ref="H78:L78"/>
    <mergeCell ref="R78:U78"/>
    <mergeCell ref="N78:Q78"/>
    <mergeCell ref="H79:L79"/>
    <mergeCell ref="R79:U79"/>
    <mergeCell ref="B79:F79"/>
    <mergeCell ref="N79:Q79"/>
    <mergeCell ref="C62:U63"/>
    <mergeCell ref="B74:T74"/>
    <mergeCell ref="H75:L75"/>
    <mergeCell ref="R75:U75"/>
    <mergeCell ref="B75:F75"/>
    <mergeCell ref="N75:Q75"/>
    <mergeCell ref="R76:U76"/>
    <mergeCell ref="H76:L76"/>
    <mergeCell ref="B76:F76"/>
    <mergeCell ref="N76:Q76"/>
    <mergeCell ref="I51:I52"/>
    <mergeCell ref="J52:T52"/>
    <mergeCell ref="J53:T53"/>
    <mergeCell ref="I55:I56"/>
    <mergeCell ref="J56:T56"/>
    <mergeCell ref="J57:T57"/>
    <mergeCell ref="I59:I60"/>
    <mergeCell ref="J60:T60"/>
    <mergeCell ref="J61:T61"/>
    <mergeCell ref="I39:I40"/>
    <mergeCell ref="J40:T40"/>
    <mergeCell ref="J41:T41"/>
    <mergeCell ref="I43:I44"/>
    <mergeCell ref="J44:T44"/>
    <mergeCell ref="J45:T45"/>
    <mergeCell ref="I47:I48"/>
    <mergeCell ref="J48:T48"/>
    <mergeCell ref="J49:T49"/>
    <mergeCell ref="I27:I28"/>
    <mergeCell ref="J28:S28"/>
    <mergeCell ref="J29:T29"/>
    <mergeCell ref="I31:I32"/>
    <mergeCell ref="J32:T32"/>
    <mergeCell ref="J33:T33"/>
    <mergeCell ref="I35:I36"/>
    <mergeCell ref="J36:T36"/>
    <mergeCell ref="J37:T37"/>
    <mergeCell ref="I23:I24"/>
    <mergeCell ref="J24:O24"/>
    <mergeCell ref="J25:T25"/>
    <mergeCell ref="K2:P5"/>
    <mergeCell ref="Q2:U2"/>
    <mergeCell ref="B3:C3"/>
    <mergeCell ref="R3:T3"/>
    <mergeCell ref="Q4:U4"/>
    <mergeCell ref="Q5:U6"/>
    <mergeCell ref="S13:U13"/>
    <mergeCell ref="C13:I13"/>
    <mergeCell ref="S15:U15"/>
    <mergeCell ref="C15:I15"/>
    <mergeCell ref="C16:I16"/>
    <mergeCell ref="Q16:Q17"/>
    <mergeCell ref="L16:O16"/>
    <mergeCell ref="S16:U16"/>
    <mergeCell ref="C17:F17"/>
    <mergeCell ref="K6:P8"/>
    <mergeCell ref="R7:T7"/>
    <mergeCell ref="B2:J2"/>
    <mergeCell ref="B4:J4"/>
    <mergeCell ref="B5:J5"/>
    <mergeCell ref="B6:J6"/>
    <mergeCell ref="Q10:U10"/>
    <mergeCell ref="K10:P10"/>
    <mergeCell ref="B10:J10"/>
    <mergeCell ref="S12:U12"/>
    <mergeCell ref="C12:I12"/>
    <mergeCell ref="B19:U20"/>
    <mergeCell ref="S21:S22"/>
    <mergeCell ref="Q21:Q22"/>
    <mergeCell ref="U21:U22"/>
  </mergeCells>
  <printOptions horizontalCentered="1"/>
  <pageMargins left="0.2" right="0.2" top="0.2" bottom="0.2" header="0.3" footer="0.3"/>
  <pageSetup scale="39" fitToHeight="2" orientation="landscape" r:id="rId1"/>
  <rowBreaks count="1" manualBreakCount="1">
    <brk id="84" max="2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U100"/>
  <sheetViews>
    <sheetView showZeros="0" view="pageBreakPreview" zoomScale="60" zoomScaleNormal="80" workbookViewId="0">
      <selection activeCell="S57" sqref="S57"/>
    </sheetView>
  </sheetViews>
  <sheetFormatPr baseColWidth="10" defaultColWidth="11" defaultRowHeight="16" x14ac:dyDescent="0.2"/>
  <cols>
    <col min="1" max="1" width="2.5" style="16" customWidth="1"/>
    <col min="2" max="2" width="3.33203125" style="16" customWidth="1"/>
    <col min="3" max="3" width="21" style="16" customWidth="1"/>
    <col min="4" max="4" width="1" style="16" customWidth="1"/>
    <col min="5" max="5" width="2" style="16" customWidth="1"/>
    <col min="6" max="6" width="24" style="16" customWidth="1"/>
    <col min="7" max="7" width="2" style="16" customWidth="1"/>
    <col min="8" max="8" width="1.5" style="16" customWidth="1"/>
    <col min="9" max="9" width="32.33203125" style="16" customWidth="1"/>
    <col min="10" max="10" width="3.5" style="16" customWidth="1"/>
    <col min="11" max="11" width="1" style="16" customWidth="1"/>
    <col min="12" max="12" width="25.33203125" style="16" customWidth="1"/>
    <col min="13" max="13" width="3" style="16" customWidth="1"/>
    <col min="14" max="14" width="2" style="16" customWidth="1"/>
    <col min="15" max="15" width="17.5" style="16" customWidth="1"/>
    <col min="16" max="16" width="4" style="16" customWidth="1"/>
    <col min="17" max="17" width="21.5" style="16" customWidth="1"/>
    <col min="18" max="18" width="4.5" style="16" customWidth="1"/>
    <col min="19" max="19" width="20.5" style="179" customWidth="1"/>
    <col min="20" max="20" width="4.5" style="16" customWidth="1"/>
    <col min="21" max="21" width="22.33203125" style="16" customWidth="1"/>
    <col min="22" max="22" width="1.5" style="16" customWidth="1"/>
    <col min="23" max="40" width="11" style="16"/>
    <col min="41" max="41" width="14.5" style="16" customWidth="1"/>
    <col min="42" max="16384" width="11" style="16"/>
  </cols>
  <sheetData>
    <row r="1" spans="2:21" ht="7" customHeight="1" thickBot="1" x14ac:dyDescent="0.25"/>
    <row r="2" spans="2:21" ht="29.25" customHeight="1" x14ac:dyDescent="0.2">
      <c r="B2" s="309"/>
      <c r="C2" s="310"/>
      <c r="D2" s="310"/>
      <c r="E2" s="310"/>
      <c r="F2" s="310"/>
      <c r="G2" s="310"/>
      <c r="H2" s="310"/>
      <c r="I2" s="882" t="str">
        <f>+Calculations!$B$568</f>
        <v/>
      </c>
      <c r="J2" s="882"/>
      <c r="K2" s="882"/>
      <c r="L2" s="882"/>
      <c r="M2" s="882"/>
      <c r="N2" s="882"/>
      <c r="O2" s="882"/>
      <c r="P2" s="310"/>
      <c r="Q2" s="310"/>
      <c r="R2" s="310"/>
      <c r="S2" s="311"/>
      <c r="T2" s="310"/>
      <c r="U2" s="312"/>
    </row>
    <row r="3" spans="2:21" ht="7" customHeight="1" x14ac:dyDescent="0.2">
      <c r="B3" s="69"/>
      <c r="I3" s="749"/>
      <c r="J3" s="749"/>
      <c r="K3" s="749"/>
      <c r="L3" s="749"/>
      <c r="M3" s="749"/>
      <c r="N3" s="749"/>
      <c r="O3" s="749"/>
      <c r="U3" s="70"/>
    </row>
    <row r="4" spans="2:21" ht="16" customHeight="1" x14ac:dyDescent="0.2">
      <c r="B4" s="69"/>
      <c r="C4" s="313"/>
      <c r="D4" s="313"/>
      <c r="E4" s="313"/>
      <c r="F4" s="313"/>
      <c r="G4" s="313"/>
      <c r="H4" s="313"/>
      <c r="I4" s="883" t="str">
        <f>+Calculations!$B$569</f>
        <v/>
      </c>
      <c r="J4" s="883"/>
      <c r="K4" s="883"/>
      <c r="L4" s="883"/>
      <c r="M4" s="883"/>
      <c r="N4" s="883"/>
      <c r="O4" s="883"/>
      <c r="P4" s="313"/>
      <c r="Q4" s="313"/>
      <c r="R4" s="313"/>
      <c r="S4" s="314"/>
      <c r="T4" s="313"/>
      <c r="U4" s="315"/>
    </row>
    <row r="5" spans="2:21" ht="25" customHeight="1" x14ac:dyDescent="0.2">
      <c r="B5" s="69"/>
      <c r="C5" s="313"/>
      <c r="D5" s="313"/>
      <c r="E5" s="313"/>
      <c r="F5" s="313"/>
      <c r="G5" s="313"/>
      <c r="H5" s="313"/>
      <c r="I5" s="883" t="str">
        <f>Calculations!B570</f>
        <v/>
      </c>
      <c r="J5" s="883"/>
      <c r="K5" s="883"/>
      <c r="L5" s="883"/>
      <c r="M5" s="883"/>
      <c r="N5" s="883"/>
      <c r="O5" s="883"/>
      <c r="P5" s="313"/>
      <c r="Q5" s="313"/>
      <c r="R5" s="313"/>
      <c r="S5" s="314"/>
      <c r="T5" s="313"/>
      <c r="U5" s="315"/>
    </row>
    <row r="6" spans="2:21" ht="10" customHeight="1" x14ac:dyDescent="0.2">
      <c r="B6" s="69"/>
      <c r="C6" s="313"/>
      <c r="D6" s="313"/>
      <c r="E6" s="313"/>
      <c r="F6" s="313"/>
      <c r="G6" s="313"/>
      <c r="H6" s="313"/>
      <c r="I6" s="883"/>
      <c r="J6" s="883"/>
      <c r="K6" s="883"/>
      <c r="L6" s="883"/>
      <c r="M6" s="883"/>
      <c r="N6" s="883"/>
      <c r="O6" s="883"/>
      <c r="P6" s="313"/>
      <c r="Q6" s="313"/>
      <c r="R6" s="313"/>
      <c r="S6" s="314"/>
      <c r="T6" s="313"/>
      <c r="U6" s="315"/>
    </row>
    <row r="7" spans="2:21" ht="19" customHeight="1" x14ac:dyDescent="0.2">
      <c r="B7" s="69"/>
      <c r="I7" s="749"/>
      <c r="J7" s="749"/>
      <c r="K7" s="749"/>
      <c r="L7" s="749"/>
      <c r="M7" s="749"/>
      <c r="N7" s="749"/>
      <c r="O7" s="749"/>
      <c r="U7" s="70"/>
    </row>
    <row r="8" spans="2:21" ht="20.25" customHeight="1" thickBot="1" x14ac:dyDescent="0.25">
      <c r="B8" s="316"/>
      <c r="C8" s="317"/>
      <c r="D8" s="317"/>
      <c r="E8" s="317"/>
      <c r="F8" s="317"/>
      <c r="G8" s="317"/>
      <c r="H8" s="317"/>
      <c r="I8" s="884" t="str">
        <f>Calculations!B571</f>
        <v/>
      </c>
      <c r="J8" s="884"/>
      <c r="K8" s="884"/>
      <c r="L8" s="884"/>
      <c r="M8" s="884"/>
      <c r="N8" s="884"/>
      <c r="O8" s="884"/>
      <c r="P8" s="317"/>
      <c r="Q8" s="317"/>
      <c r="R8" s="317"/>
      <c r="S8" s="318"/>
      <c r="T8" s="317"/>
      <c r="U8" s="319"/>
    </row>
    <row r="9" spans="2:21" ht="20.25" customHeight="1" x14ac:dyDescent="0.2">
      <c r="B9" s="69"/>
      <c r="H9" s="21"/>
      <c r="I9" s="320"/>
      <c r="J9" s="320"/>
      <c r="K9" s="320"/>
      <c r="L9" s="66"/>
      <c r="M9" s="66"/>
      <c r="N9" s="66"/>
      <c r="O9" s="66"/>
      <c r="P9" s="66"/>
      <c r="Q9" s="6" t="s">
        <v>271</v>
      </c>
      <c r="S9" s="885">
        <f>+'Sales Input Sheet'!C11</f>
        <v>0</v>
      </c>
      <c r="T9" s="885"/>
      <c r="U9" s="886"/>
    </row>
    <row r="10" spans="2:21" ht="20" x14ac:dyDescent="0.2">
      <c r="B10" s="69"/>
      <c r="Q10" s="6" t="s">
        <v>304</v>
      </c>
      <c r="S10" s="842">
        <f>+'Costing Sheet'!$C$13</f>
        <v>0</v>
      </c>
      <c r="T10" s="842"/>
      <c r="U10" s="887"/>
    </row>
    <row r="11" spans="2:21" s="6" customFormat="1" ht="20" x14ac:dyDescent="0.2">
      <c r="B11" s="202" t="s">
        <v>269</v>
      </c>
      <c r="I11" s="203"/>
      <c r="J11" s="203"/>
      <c r="K11" s="203"/>
      <c r="L11" s="203"/>
      <c r="M11" s="203"/>
      <c r="N11" s="203"/>
      <c r="O11" s="203"/>
      <c r="P11" s="203"/>
      <c r="Q11" s="6" t="s">
        <v>305</v>
      </c>
      <c r="S11" s="843">
        <f>'Costing Sheet'!$C$11</f>
        <v>0</v>
      </c>
      <c r="T11" s="843"/>
      <c r="U11" s="888"/>
    </row>
    <row r="12" spans="2:21" s="6" customFormat="1" ht="7" customHeight="1" x14ac:dyDescent="0.2">
      <c r="B12" s="202"/>
      <c r="I12" s="203"/>
      <c r="J12" s="203"/>
      <c r="K12" s="203"/>
      <c r="L12" s="203"/>
      <c r="M12" s="203"/>
      <c r="N12" s="203"/>
      <c r="O12" s="203"/>
      <c r="P12" s="203"/>
      <c r="Q12" s="203"/>
      <c r="S12" s="221"/>
      <c r="U12" s="222"/>
    </row>
    <row r="13" spans="2:21" s="6" customFormat="1" ht="20" x14ac:dyDescent="0.2">
      <c r="B13" s="202"/>
      <c r="C13" s="889" t="str">
        <f>IF('Customer Input Screen'!I10&lt;&gt;"",UPPER('Customer Input Screen'!I10),"")</f>
        <v/>
      </c>
      <c r="D13" s="889"/>
      <c r="E13" s="889"/>
      <c r="F13" s="889"/>
      <c r="G13" s="889"/>
      <c r="H13" s="889"/>
      <c r="I13" s="889"/>
      <c r="J13" s="203"/>
      <c r="K13" s="203"/>
      <c r="L13" s="203"/>
      <c r="P13" s="203"/>
      <c r="Q13" s="6" t="s">
        <v>46</v>
      </c>
      <c r="R13" s="203"/>
      <c r="S13" s="842" t="str">
        <f>IF('Sales Input Sheet'!C15&lt;&gt;"",UPPER('Sales Input Sheet'!C15),"")</f>
        <v/>
      </c>
      <c r="T13" s="842"/>
      <c r="U13" s="887"/>
    </row>
    <row r="14" spans="2:21" s="6" customFormat="1" ht="20" x14ac:dyDescent="0.2">
      <c r="B14" s="202"/>
      <c r="C14" s="889" t="str">
        <f>IF(Calculations!B3&lt;&gt;"",UPPER(Calculations!B3),"")</f>
        <v xml:space="preserve">  </v>
      </c>
      <c r="D14" s="889"/>
      <c r="E14" s="889"/>
      <c r="F14" s="889"/>
      <c r="G14" s="889"/>
      <c r="H14" s="889"/>
      <c r="I14" s="889"/>
      <c r="J14" s="203"/>
      <c r="K14" s="203"/>
      <c r="L14" s="203"/>
      <c r="P14" s="203"/>
      <c r="Q14" s="203" t="s">
        <v>21</v>
      </c>
      <c r="R14" s="890" t="str">
        <f>+'Customer Input Screen'!I22</f>
        <v/>
      </c>
      <c r="S14" s="890"/>
      <c r="T14" s="890"/>
      <c r="U14" s="891"/>
    </row>
    <row r="15" spans="2:21" s="6" customFormat="1" ht="21" thickBot="1" x14ac:dyDescent="0.25">
      <c r="B15" s="202"/>
      <c r="C15" s="889" t="str">
        <f>IF('Customer Input Screen'!I14&lt;&gt;"",UPPER('Customer Input Screen'!I14),"")</f>
        <v/>
      </c>
      <c r="D15" s="889"/>
      <c r="E15" s="889"/>
      <c r="F15" s="889"/>
      <c r="G15" s="889"/>
      <c r="H15" s="889"/>
      <c r="I15" s="889"/>
      <c r="J15" s="203"/>
      <c r="K15" s="203"/>
      <c r="L15" s="203"/>
      <c r="P15" s="203"/>
      <c r="Q15" s="203" t="s">
        <v>23</v>
      </c>
      <c r="R15" s="890" t="str">
        <f>+'Customer Input Screen'!I23</f>
        <v/>
      </c>
      <c r="S15" s="890"/>
      <c r="T15" s="890"/>
      <c r="U15" s="891"/>
    </row>
    <row r="16" spans="2:21" s="6" customFormat="1" ht="20" x14ac:dyDescent="0.2">
      <c r="B16" s="208"/>
      <c r="C16" s="323"/>
      <c r="D16" s="323"/>
      <c r="E16" s="323"/>
      <c r="F16" s="323"/>
      <c r="G16" s="323"/>
      <c r="H16" s="323"/>
      <c r="I16" s="323"/>
      <c r="J16" s="323"/>
      <c r="K16" s="323"/>
      <c r="L16" s="323"/>
      <c r="M16" s="323"/>
      <c r="N16" s="323"/>
      <c r="O16" s="323"/>
      <c r="P16" s="323"/>
      <c r="Q16" s="892" t="s">
        <v>278</v>
      </c>
      <c r="R16" s="323"/>
      <c r="S16" s="894" t="s">
        <v>279</v>
      </c>
      <c r="T16" s="323"/>
      <c r="U16" s="896" t="s">
        <v>280</v>
      </c>
    </row>
    <row r="17" spans="2:21" s="6" customFormat="1" ht="21" thickBot="1" x14ac:dyDescent="0.25">
      <c r="B17" s="210"/>
      <c r="C17" s="324" t="s">
        <v>281</v>
      </c>
      <c r="D17" s="325"/>
      <c r="E17" s="325"/>
      <c r="F17" s="325" t="s">
        <v>105</v>
      </c>
      <c r="G17" s="326"/>
      <c r="H17" s="325"/>
      <c r="I17" s="325" t="s">
        <v>106</v>
      </c>
      <c r="J17" s="325"/>
      <c r="K17" s="325"/>
      <c r="L17" s="325" t="s">
        <v>282</v>
      </c>
      <c r="M17" s="325"/>
      <c r="N17" s="325"/>
      <c r="O17" s="325"/>
      <c r="P17" s="325"/>
      <c r="Q17" s="893"/>
      <c r="R17" s="325"/>
      <c r="S17" s="895"/>
      <c r="T17" s="325"/>
      <c r="U17" s="897"/>
    </row>
    <row r="18" spans="2:21" s="6" customFormat="1" ht="20" x14ac:dyDescent="0.2">
      <c r="B18" s="202"/>
      <c r="F18" s="870">
        <f>+Calculations!B461</f>
        <v>0</v>
      </c>
      <c r="G18" s="328"/>
      <c r="H18" s="328"/>
      <c r="I18" s="871" t="str">
        <f>Calculations!B466</f>
        <v/>
      </c>
      <c r="L18" s="6" t="str">
        <f>Calculations!B471</f>
        <v/>
      </c>
      <c r="Q18" s="225">
        <f>+'Costing Sheet'!I$34</f>
        <v>0</v>
      </c>
      <c r="R18" s="225"/>
      <c r="S18" s="221">
        <f>-'Costing Sheet'!K$34</f>
        <v>0</v>
      </c>
      <c r="T18" s="225"/>
      <c r="U18" s="226">
        <f>+Calculations!B$536</f>
        <v>0</v>
      </c>
    </row>
    <row r="19" spans="2:21" s="6" customFormat="1" ht="12" customHeight="1" x14ac:dyDescent="0.2">
      <c r="B19" s="202"/>
      <c r="F19" s="870"/>
      <c r="G19" s="328"/>
      <c r="H19" s="328"/>
      <c r="I19" s="871"/>
      <c r="Q19" s="225"/>
      <c r="R19" s="225"/>
      <c r="S19" s="221"/>
      <c r="T19" s="225"/>
      <c r="U19" s="226"/>
    </row>
    <row r="20" spans="2:21" s="6" customFormat="1" ht="20" x14ac:dyDescent="0.2">
      <c r="B20" s="202"/>
      <c r="F20" s="870"/>
      <c r="G20" s="328"/>
      <c r="H20" s="328"/>
      <c r="I20" s="871"/>
      <c r="J20" s="786" t="str">
        <f>UPPER(Calculations!B125)</f>
        <v xml:space="preserve"> </v>
      </c>
      <c r="K20" s="786"/>
      <c r="L20" s="786"/>
      <c r="M20" s="786"/>
      <c r="N20" s="786"/>
      <c r="O20" s="786"/>
      <c r="P20" s="786"/>
      <c r="Q20" s="786"/>
      <c r="R20" s="786"/>
      <c r="S20" s="786"/>
      <c r="U20" s="222"/>
    </row>
    <row r="21" spans="2:21" s="6" customFormat="1" ht="9" customHeight="1" x14ac:dyDescent="0.2">
      <c r="B21" s="202"/>
      <c r="F21" s="327"/>
      <c r="G21" s="328"/>
      <c r="H21" s="328"/>
      <c r="I21" s="329"/>
      <c r="J21" s="223"/>
      <c r="K21" s="223"/>
      <c r="L21" s="223"/>
      <c r="M21" s="223"/>
      <c r="N21" s="223"/>
      <c r="O21" s="223"/>
      <c r="P21" s="223"/>
      <c r="Q21" s="223"/>
      <c r="R21" s="223"/>
      <c r="S21" s="224"/>
      <c r="U21" s="222"/>
    </row>
    <row r="22" spans="2:21" s="6" customFormat="1" ht="20" x14ac:dyDescent="0.2">
      <c r="B22" s="202"/>
      <c r="F22" s="870">
        <f>+Calculations!B462</f>
        <v>0</v>
      </c>
      <c r="G22" s="328"/>
      <c r="H22" s="328"/>
      <c r="I22" s="871" t="str">
        <f>Calculations!B467</f>
        <v/>
      </c>
      <c r="L22" s="6" t="str">
        <f>Calculations!B472</f>
        <v/>
      </c>
      <c r="Q22" s="225">
        <f>+'Costing Sheet'!I$35</f>
        <v>0</v>
      </c>
      <c r="R22" s="225"/>
      <c r="S22" s="221">
        <f>-'Costing Sheet'!K$35</f>
        <v>0</v>
      </c>
      <c r="T22" s="225"/>
      <c r="U22" s="226">
        <f>+Calculations!B$537</f>
        <v>0</v>
      </c>
    </row>
    <row r="23" spans="2:21" s="6" customFormat="1" ht="12" customHeight="1" x14ac:dyDescent="0.2">
      <c r="B23" s="202"/>
      <c r="F23" s="870"/>
      <c r="G23" s="328"/>
      <c r="H23" s="328"/>
      <c r="I23" s="871"/>
      <c r="Q23" s="225"/>
      <c r="R23" s="225"/>
      <c r="S23" s="221"/>
      <c r="T23" s="225"/>
      <c r="U23" s="226"/>
    </row>
    <row r="24" spans="2:21" s="6" customFormat="1" ht="20" x14ac:dyDescent="0.2">
      <c r="B24" s="202"/>
      <c r="F24" s="870"/>
      <c r="G24" s="328"/>
      <c r="H24" s="328"/>
      <c r="I24" s="871"/>
      <c r="J24" s="786" t="str">
        <f>UPPER(Calculations!B129)</f>
        <v xml:space="preserve"> </v>
      </c>
      <c r="K24" s="786"/>
      <c r="L24" s="786"/>
      <c r="M24" s="786"/>
      <c r="N24" s="786"/>
      <c r="O24" s="786"/>
      <c r="P24" s="786"/>
      <c r="Q24" s="786"/>
      <c r="R24" s="786"/>
      <c r="S24" s="786"/>
      <c r="T24" s="786"/>
      <c r="U24" s="222"/>
    </row>
    <row r="25" spans="2:21" s="6" customFormat="1" ht="5.25" customHeight="1" x14ac:dyDescent="0.2">
      <c r="B25" s="202"/>
      <c r="F25" s="327"/>
      <c r="G25" s="328"/>
      <c r="H25" s="328"/>
      <c r="I25" s="329"/>
      <c r="J25" s="223"/>
      <c r="K25" s="223"/>
      <c r="L25" s="223"/>
      <c r="M25" s="223"/>
      <c r="N25" s="223"/>
      <c r="O25" s="223"/>
      <c r="P25" s="223"/>
      <c r="Q25" s="223"/>
      <c r="R25" s="223"/>
      <c r="S25" s="224"/>
      <c r="T25" s="223"/>
      <c r="U25" s="222"/>
    </row>
    <row r="26" spans="2:21" s="6" customFormat="1" ht="20" x14ac:dyDescent="0.2">
      <c r="B26" s="202"/>
      <c r="F26" s="870">
        <f>+Calculations!B463</f>
        <v>0</v>
      </c>
      <c r="G26" s="328"/>
      <c r="H26" s="328"/>
      <c r="I26" s="871" t="str">
        <f>Calculations!B468</f>
        <v/>
      </c>
      <c r="L26" s="6" t="str">
        <f>Calculations!B473</f>
        <v/>
      </c>
      <c r="Q26" s="225">
        <f>+'Costing Sheet'!I$36</f>
        <v>0</v>
      </c>
      <c r="R26" s="225"/>
      <c r="S26" s="221">
        <f>-'Costing Sheet'!K$36</f>
        <v>0</v>
      </c>
      <c r="T26" s="225"/>
      <c r="U26" s="226">
        <f>+Calculations!B$538</f>
        <v>0</v>
      </c>
    </row>
    <row r="27" spans="2:21" s="6" customFormat="1" ht="10" customHeight="1" x14ac:dyDescent="0.2">
      <c r="B27" s="202"/>
      <c r="F27" s="870"/>
      <c r="G27" s="328"/>
      <c r="H27" s="328"/>
      <c r="I27" s="871"/>
      <c r="Q27" s="225"/>
      <c r="R27" s="225"/>
      <c r="S27" s="221"/>
      <c r="T27" s="225"/>
      <c r="U27" s="226"/>
    </row>
    <row r="28" spans="2:21" s="6" customFormat="1" ht="20" x14ac:dyDescent="0.2">
      <c r="B28" s="202"/>
      <c r="F28" s="870"/>
      <c r="G28" s="328"/>
      <c r="H28" s="328"/>
      <c r="I28" s="871"/>
      <c r="J28" s="786" t="str">
        <f>UPPER(Calculations!B133)</f>
        <v xml:space="preserve"> </v>
      </c>
      <c r="K28" s="786"/>
      <c r="L28" s="786"/>
      <c r="M28" s="786"/>
      <c r="N28" s="786"/>
      <c r="O28" s="786"/>
      <c r="P28" s="786"/>
      <c r="Q28" s="786"/>
      <c r="R28" s="786"/>
      <c r="S28" s="786"/>
      <c r="T28" s="786"/>
      <c r="U28" s="222"/>
    </row>
    <row r="29" spans="2:21" s="6" customFormat="1" ht="9" customHeight="1" x14ac:dyDescent="0.2">
      <c r="B29" s="202"/>
      <c r="F29" s="327"/>
      <c r="G29" s="328"/>
      <c r="H29" s="328"/>
      <c r="I29" s="329"/>
      <c r="J29" s="223"/>
      <c r="K29" s="223"/>
      <c r="L29" s="223"/>
      <c r="M29" s="223"/>
      <c r="N29" s="223"/>
      <c r="O29" s="223"/>
      <c r="P29" s="223"/>
      <c r="Q29" s="223"/>
      <c r="R29" s="223"/>
      <c r="S29" s="224"/>
      <c r="T29" s="223"/>
      <c r="U29" s="222"/>
    </row>
    <row r="30" spans="2:21" s="6" customFormat="1" ht="20" x14ac:dyDescent="0.2">
      <c r="B30" s="202"/>
      <c r="F30" s="870">
        <f>+Calculations!B464</f>
        <v>0</v>
      </c>
      <c r="G30" s="328"/>
      <c r="H30" s="328"/>
      <c r="I30" s="871" t="str">
        <f>Calculations!B469</f>
        <v/>
      </c>
      <c r="L30" s="6" t="str">
        <f>Calculations!B474</f>
        <v/>
      </c>
      <c r="Q30" s="225">
        <f>+'Costing Sheet'!I$37</f>
        <v>0</v>
      </c>
      <c r="R30" s="225"/>
      <c r="S30" s="221">
        <f>-'Costing Sheet'!K$37</f>
        <v>0</v>
      </c>
      <c r="T30" s="225"/>
      <c r="U30" s="226">
        <f>+Calculations!B$539</f>
        <v>0</v>
      </c>
    </row>
    <row r="31" spans="2:21" s="6" customFormat="1" ht="10" customHeight="1" x14ac:dyDescent="0.2">
      <c r="B31" s="202"/>
      <c r="F31" s="870"/>
      <c r="G31" s="328"/>
      <c r="H31" s="328"/>
      <c r="I31" s="871"/>
      <c r="Q31" s="225"/>
      <c r="R31" s="225"/>
      <c r="S31" s="221"/>
      <c r="T31" s="225"/>
      <c r="U31" s="226"/>
    </row>
    <row r="32" spans="2:21" s="6" customFormat="1" ht="20" x14ac:dyDescent="0.2">
      <c r="B32" s="202"/>
      <c r="F32" s="870"/>
      <c r="G32" s="328"/>
      <c r="H32" s="328"/>
      <c r="I32" s="871"/>
      <c r="J32" s="872" t="str">
        <f>UPPER(Calculations!B137)</f>
        <v xml:space="preserve"> </v>
      </c>
      <c r="K32" s="872"/>
      <c r="L32" s="872"/>
      <c r="M32" s="872"/>
      <c r="N32" s="872"/>
      <c r="O32" s="872"/>
      <c r="P32" s="872"/>
      <c r="Q32" s="872"/>
      <c r="R32" s="872"/>
      <c r="S32" s="872"/>
      <c r="T32" s="872"/>
      <c r="U32" s="222"/>
    </row>
    <row r="33" spans="2:21" s="6" customFormat="1" ht="11.25" customHeight="1" x14ac:dyDescent="0.2">
      <c r="B33" s="202"/>
      <c r="F33" s="327"/>
      <c r="G33" s="328"/>
      <c r="H33" s="328"/>
      <c r="I33" s="329"/>
      <c r="J33" s="328"/>
      <c r="K33" s="328"/>
      <c r="L33" s="328"/>
      <c r="M33" s="328"/>
      <c r="N33" s="328"/>
      <c r="O33" s="328"/>
      <c r="P33" s="328"/>
      <c r="Q33" s="328"/>
      <c r="R33" s="328"/>
      <c r="S33" s="330"/>
      <c r="T33" s="328"/>
      <c r="U33" s="222"/>
    </row>
    <row r="34" spans="2:21" s="6" customFormat="1" ht="20" x14ac:dyDescent="0.2">
      <c r="B34" s="202"/>
      <c r="F34" s="870">
        <f>+Calculations!B465</f>
        <v>0</v>
      </c>
      <c r="G34" s="328"/>
      <c r="H34" s="328"/>
      <c r="I34" s="871" t="str">
        <f>Calculations!B470</f>
        <v/>
      </c>
      <c r="L34" s="6" t="str">
        <f>Calculations!B475</f>
        <v/>
      </c>
      <c r="Q34" s="225">
        <f>+'Costing Sheet'!I$38</f>
        <v>0</v>
      </c>
      <c r="R34" s="225"/>
      <c r="S34" s="221">
        <f>-'Costing Sheet'!K$38</f>
        <v>0</v>
      </c>
      <c r="T34" s="225"/>
      <c r="U34" s="226">
        <f>+Calculations!B$540</f>
        <v>0</v>
      </c>
    </row>
    <row r="35" spans="2:21" s="6" customFormat="1" ht="7" customHeight="1" x14ac:dyDescent="0.2">
      <c r="B35" s="202"/>
      <c r="F35" s="870"/>
      <c r="G35" s="328"/>
      <c r="H35" s="328"/>
      <c r="I35" s="871"/>
      <c r="Q35" s="225"/>
      <c r="R35" s="225"/>
      <c r="S35" s="221"/>
      <c r="T35" s="225"/>
      <c r="U35" s="226"/>
    </row>
    <row r="36" spans="2:21" s="6" customFormat="1" ht="20" x14ac:dyDescent="0.2">
      <c r="B36" s="202"/>
      <c r="F36" s="873"/>
      <c r="G36" s="328"/>
      <c r="H36" s="328"/>
      <c r="I36" s="874"/>
      <c r="J36" s="786" t="str">
        <f>UPPER(Calculations!B141)</f>
        <v xml:space="preserve"> </v>
      </c>
      <c r="K36" s="786"/>
      <c r="L36" s="786"/>
      <c r="M36" s="786"/>
      <c r="N36" s="786"/>
      <c r="O36" s="786"/>
      <c r="P36" s="786"/>
      <c r="Q36" s="786"/>
      <c r="R36" s="786"/>
      <c r="S36" s="786"/>
      <c r="T36" s="786"/>
      <c r="U36" s="222"/>
    </row>
    <row r="37" spans="2:21" s="6" customFormat="1" ht="23.25" customHeight="1" x14ac:dyDescent="0.2">
      <c r="B37" s="331"/>
      <c r="C37" s="323"/>
      <c r="D37" s="323"/>
      <c r="E37" s="323"/>
      <c r="F37" s="875"/>
      <c r="G37" s="875"/>
      <c r="H37" s="875"/>
      <c r="I37" s="875"/>
      <c r="J37" s="875"/>
      <c r="K37" s="875"/>
      <c r="L37" s="875"/>
      <c r="M37" s="875"/>
      <c r="N37" s="875"/>
      <c r="O37" s="875"/>
      <c r="P37" s="875"/>
      <c r="Q37" s="875"/>
      <c r="R37" s="875"/>
      <c r="S37" s="332"/>
      <c r="T37" s="323"/>
      <c r="U37" s="333"/>
    </row>
    <row r="38" spans="2:21" s="6" customFormat="1" ht="21" customHeight="1" x14ac:dyDescent="0.2">
      <c r="B38" s="334"/>
      <c r="C38" s="335" t="s">
        <v>306</v>
      </c>
      <c r="D38" s="336"/>
      <c r="E38" s="336"/>
      <c r="F38" s="336" t="s">
        <v>105</v>
      </c>
      <c r="G38" s="336"/>
      <c r="H38" s="336"/>
      <c r="I38" s="337" t="s">
        <v>106</v>
      </c>
      <c r="J38" s="338"/>
      <c r="K38" s="338"/>
      <c r="L38" s="337" t="s">
        <v>307</v>
      </c>
      <c r="M38" s="338"/>
      <c r="N38" s="338"/>
      <c r="O38" s="336"/>
      <c r="P38" s="338"/>
      <c r="Q38" s="878" t="s">
        <v>308</v>
      </c>
      <c r="R38" s="338"/>
      <c r="S38" s="876" t="s">
        <v>309</v>
      </c>
      <c r="T38" s="336"/>
      <c r="U38" s="880" t="s">
        <v>310</v>
      </c>
    </row>
    <row r="39" spans="2:21" s="6" customFormat="1" ht="21" thickBot="1" x14ac:dyDescent="0.25">
      <c r="B39" s="339"/>
      <c r="C39" s="325"/>
      <c r="D39" s="325"/>
      <c r="E39" s="325"/>
      <c r="F39" s="325"/>
      <c r="G39" s="325"/>
      <c r="H39" s="325"/>
      <c r="I39" s="340"/>
      <c r="J39" s="341"/>
      <c r="K39" s="340"/>
      <c r="L39" s="340"/>
      <c r="M39" s="340"/>
      <c r="N39" s="340"/>
      <c r="O39" s="325"/>
      <c r="P39" s="340"/>
      <c r="Q39" s="879"/>
      <c r="R39" s="340"/>
      <c r="S39" s="877"/>
      <c r="T39" s="325"/>
      <c r="U39" s="881"/>
    </row>
    <row r="40" spans="2:21" s="6" customFormat="1" ht="20" x14ac:dyDescent="0.2">
      <c r="B40" s="202"/>
      <c r="C40" s="6" t="str">
        <f>+Calculations!B476</f>
        <v/>
      </c>
      <c r="F40" s="840" t="str">
        <f>+Calculations!B491</f>
        <v/>
      </c>
      <c r="G40" s="223"/>
      <c r="H40" s="223"/>
      <c r="I40" s="840" t="str">
        <f>+Calculations!B481</f>
        <v/>
      </c>
      <c r="L40" s="6" t="str">
        <f>+Calculations!B486</f>
        <v/>
      </c>
      <c r="Q40" s="225">
        <f>+'Costing Sheet'!I$42</f>
        <v>0</v>
      </c>
      <c r="R40" s="225"/>
      <c r="S40" s="221">
        <f>-'Costing Sheet'!K$42</f>
        <v>0</v>
      </c>
      <c r="T40" s="225"/>
      <c r="U40" s="289">
        <f>+Calculations!B$541</f>
        <v>0</v>
      </c>
    </row>
    <row r="41" spans="2:21" s="6" customFormat="1" ht="20" x14ac:dyDescent="0.2">
      <c r="B41" s="202"/>
      <c r="F41" s="786"/>
      <c r="G41" s="223"/>
      <c r="H41" s="223"/>
      <c r="I41" s="786"/>
      <c r="J41" s="786" t="str">
        <f>Calculations!B145</f>
        <v xml:space="preserve"> </v>
      </c>
      <c r="K41" s="786"/>
      <c r="L41" s="786"/>
      <c r="M41" s="786"/>
      <c r="N41" s="786"/>
      <c r="O41" s="786"/>
      <c r="P41" s="786"/>
      <c r="Q41" s="786"/>
      <c r="R41" s="786"/>
      <c r="S41" s="786"/>
      <c r="T41" s="786"/>
      <c r="U41" s="289"/>
    </row>
    <row r="42" spans="2:21" s="6" customFormat="1" ht="7" customHeight="1" x14ac:dyDescent="0.2">
      <c r="B42" s="202"/>
      <c r="F42" s="223"/>
      <c r="G42" s="223"/>
      <c r="H42" s="223"/>
      <c r="I42" s="223"/>
      <c r="S42" s="221"/>
      <c r="U42" s="289"/>
    </row>
    <row r="43" spans="2:21" s="6" customFormat="1" ht="20" x14ac:dyDescent="0.2">
      <c r="B43" s="202"/>
      <c r="C43" s="6" t="str">
        <f>+Calculations!B477</f>
        <v/>
      </c>
      <c r="F43" s="786" t="str">
        <f>+Calculations!B492</f>
        <v/>
      </c>
      <c r="G43" s="223"/>
      <c r="H43" s="223"/>
      <c r="I43" s="786" t="str">
        <f>+Calculations!B482</f>
        <v/>
      </c>
      <c r="L43" s="6" t="str">
        <f>+Calculations!B487</f>
        <v/>
      </c>
      <c r="Q43" s="225">
        <f>+'Costing Sheet'!I$43</f>
        <v>0</v>
      </c>
      <c r="R43" s="225"/>
      <c r="S43" s="221">
        <f>-'Costing Sheet'!K$43</f>
        <v>0</v>
      </c>
      <c r="T43" s="225"/>
      <c r="U43" s="289">
        <f>+Calculations!B$542</f>
        <v>0</v>
      </c>
    </row>
    <row r="44" spans="2:21" s="6" customFormat="1" ht="20" x14ac:dyDescent="0.2">
      <c r="B44" s="202"/>
      <c r="F44" s="786"/>
      <c r="G44" s="223"/>
      <c r="H44" s="223"/>
      <c r="I44" s="786"/>
      <c r="J44" s="786" t="str">
        <f>Calculations!B153</f>
        <v xml:space="preserve"> </v>
      </c>
      <c r="K44" s="786"/>
      <c r="L44" s="786"/>
      <c r="M44" s="786"/>
      <c r="N44" s="786"/>
      <c r="O44" s="786"/>
      <c r="P44" s="786"/>
      <c r="Q44" s="786"/>
      <c r="R44" s="786"/>
      <c r="S44" s="786"/>
      <c r="T44" s="786"/>
      <c r="U44" s="289"/>
    </row>
    <row r="45" spans="2:21" s="6" customFormat="1" ht="6" customHeight="1" x14ac:dyDescent="0.2">
      <c r="B45" s="202"/>
      <c r="F45" s="223"/>
      <c r="G45" s="223"/>
      <c r="H45" s="223"/>
      <c r="I45" s="223"/>
      <c r="S45" s="221"/>
      <c r="U45" s="289"/>
    </row>
    <row r="46" spans="2:21" s="6" customFormat="1" ht="20" x14ac:dyDescent="0.2">
      <c r="B46" s="202"/>
      <c r="C46" s="6" t="str">
        <f>+Calculations!B478</f>
        <v/>
      </c>
      <c r="F46" s="786" t="str">
        <f>+Calculations!B493</f>
        <v/>
      </c>
      <c r="G46" s="223"/>
      <c r="H46" s="223"/>
      <c r="I46" s="786" t="str">
        <f>+Calculations!B483</f>
        <v/>
      </c>
      <c r="L46" s="6" t="str">
        <f>+Calculations!B488</f>
        <v/>
      </c>
      <c r="Q46" s="225">
        <f>+'Costing Sheet'!I$44</f>
        <v>0</v>
      </c>
      <c r="R46" s="225"/>
      <c r="S46" s="221">
        <f>-'Costing Sheet'!K$44</f>
        <v>0</v>
      </c>
      <c r="T46" s="225"/>
      <c r="U46" s="289">
        <f>+Calculations!B$543</f>
        <v>0</v>
      </c>
    </row>
    <row r="47" spans="2:21" s="6" customFormat="1" ht="20" x14ac:dyDescent="0.2">
      <c r="B47" s="202"/>
      <c r="F47" s="786"/>
      <c r="G47" s="223"/>
      <c r="H47" s="223"/>
      <c r="I47" s="786"/>
      <c r="J47" s="786" t="str">
        <f>Calculations!B161</f>
        <v xml:space="preserve"> </v>
      </c>
      <c r="K47" s="786"/>
      <c r="L47" s="786"/>
      <c r="M47" s="786"/>
      <c r="N47" s="786"/>
      <c r="O47" s="786"/>
      <c r="P47" s="786"/>
      <c r="Q47" s="786"/>
      <c r="R47" s="786"/>
      <c r="S47" s="786"/>
      <c r="T47" s="786"/>
      <c r="U47" s="289"/>
    </row>
    <row r="48" spans="2:21" s="6" customFormat="1" ht="9" customHeight="1" x14ac:dyDescent="0.2">
      <c r="B48" s="202"/>
      <c r="F48" s="223"/>
      <c r="G48" s="223"/>
      <c r="H48" s="223"/>
      <c r="I48" s="223"/>
      <c r="S48" s="221"/>
      <c r="U48" s="289"/>
    </row>
    <row r="49" spans="2:21" s="6" customFormat="1" ht="20" x14ac:dyDescent="0.2">
      <c r="B49" s="202"/>
      <c r="C49" s="6" t="str">
        <f>+Calculations!B479</f>
        <v/>
      </c>
      <c r="F49" s="786" t="str">
        <f>+Calculations!B494</f>
        <v/>
      </c>
      <c r="G49" s="223"/>
      <c r="H49" s="223"/>
      <c r="I49" s="786" t="str">
        <f>+Calculations!B484</f>
        <v/>
      </c>
      <c r="L49" s="6" t="str">
        <f>+Calculations!B489</f>
        <v/>
      </c>
      <c r="Q49" s="225">
        <f>+'Costing Sheet'!I$45</f>
        <v>0</v>
      </c>
      <c r="R49" s="225"/>
      <c r="S49" s="221">
        <f>-'Costing Sheet'!K$45</f>
        <v>0</v>
      </c>
      <c r="T49" s="225"/>
      <c r="U49" s="289">
        <f>+Calculations!B$544</f>
        <v>0</v>
      </c>
    </row>
    <row r="50" spans="2:21" s="6" customFormat="1" ht="20" x14ac:dyDescent="0.2">
      <c r="B50" s="202"/>
      <c r="F50" s="786"/>
      <c r="G50" s="223"/>
      <c r="H50" s="223"/>
      <c r="I50" s="786"/>
      <c r="J50" s="786" t="str">
        <f>Calculations!B169</f>
        <v xml:space="preserve"> </v>
      </c>
      <c r="K50" s="786"/>
      <c r="L50" s="786"/>
      <c r="M50" s="786"/>
      <c r="N50" s="786"/>
      <c r="O50" s="786"/>
      <c r="P50" s="786"/>
      <c r="Q50" s="786"/>
      <c r="R50" s="786"/>
      <c r="S50" s="786"/>
      <c r="T50" s="786"/>
      <c r="U50" s="289"/>
    </row>
    <row r="51" spans="2:21" s="6" customFormat="1" ht="9" customHeight="1" x14ac:dyDescent="0.2">
      <c r="B51" s="202"/>
      <c r="F51" s="223"/>
      <c r="G51" s="223"/>
      <c r="H51" s="223"/>
      <c r="I51" s="223"/>
      <c r="S51" s="221"/>
      <c r="U51" s="289"/>
    </row>
    <row r="52" spans="2:21" s="6" customFormat="1" ht="20" x14ac:dyDescent="0.2">
      <c r="B52" s="202"/>
      <c r="C52" s="6" t="str">
        <f>+Calculations!B480</f>
        <v/>
      </c>
      <c r="F52" s="786" t="str">
        <f>+Calculations!B495</f>
        <v/>
      </c>
      <c r="G52" s="223"/>
      <c r="H52" s="223"/>
      <c r="I52" s="786" t="str">
        <f>+Calculations!B485</f>
        <v/>
      </c>
      <c r="L52" s="6" t="str">
        <f>+Calculations!B490</f>
        <v/>
      </c>
      <c r="Q52" s="225">
        <f>+'Costing Sheet'!I$46</f>
        <v>0</v>
      </c>
      <c r="R52" s="225"/>
      <c r="S52" s="221">
        <f>-'Costing Sheet'!K$46</f>
        <v>0</v>
      </c>
      <c r="T52" s="225"/>
      <c r="U52" s="289">
        <f>+Calculations!B$545</f>
        <v>0</v>
      </c>
    </row>
    <row r="53" spans="2:21" s="6" customFormat="1" ht="20" x14ac:dyDescent="0.2">
      <c r="B53" s="202"/>
      <c r="F53" s="786"/>
      <c r="G53" s="223"/>
      <c r="H53" s="223"/>
      <c r="I53" s="786"/>
      <c r="J53" s="786" t="str">
        <f>Calculations!B177</f>
        <v xml:space="preserve"> </v>
      </c>
      <c r="K53" s="786"/>
      <c r="L53" s="786"/>
      <c r="M53" s="786"/>
      <c r="N53" s="786"/>
      <c r="O53" s="786"/>
      <c r="P53" s="786"/>
      <c r="Q53" s="786"/>
      <c r="R53" s="786"/>
      <c r="S53" s="786"/>
      <c r="T53" s="786"/>
      <c r="U53" s="289"/>
    </row>
    <row r="54" spans="2:21" s="6" customFormat="1" ht="7" customHeight="1" thickBot="1" x14ac:dyDescent="0.25">
      <c r="B54" s="235"/>
      <c r="C54" s="231"/>
      <c r="D54" s="231"/>
      <c r="E54" s="231"/>
      <c r="F54" s="231"/>
      <c r="G54" s="231"/>
      <c r="H54" s="231"/>
      <c r="I54" s="231"/>
      <c r="J54" s="231"/>
      <c r="K54" s="231"/>
      <c r="L54" s="231"/>
      <c r="M54" s="231"/>
      <c r="N54" s="231"/>
      <c r="O54" s="231"/>
      <c r="P54" s="231"/>
      <c r="Q54" s="231"/>
      <c r="R54" s="231"/>
      <c r="S54" s="233"/>
      <c r="T54" s="231"/>
      <c r="U54" s="236"/>
    </row>
    <row r="55" spans="2:21" s="6" customFormat="1" ht="20" x14ac:dyDescent="0.2">
      <c r="S55" s="221"/>
    </row>
    <row r="56" spans="2:21" customFormat="1" x14ac:dyDescent="0.2">
      <c r="S56" s="342"/>
    </row>
    <row r="57" spans="2:21" customFormat="1" x14ac:dyDescent="0.2">
      <c r="S57" s="342"/>
    </row>
    <row r="58" spans="2:21" customFormat="1" x14ac:dyDescent="0.2">
      <c r="S58" s="342"/>
    </row>
    <row r="59" spans="2:21" customFormat="1" x14ac:dyDescent="0.2">
      <c r="S59" s="342"/>
    </row>
    <row r="60" spans="2:21" customFormat="1" x14ac:dyDescent="0.2">
      <c r="S60" s="342"/>
    </row>
    <row r="61" spans="2:21" customFormat="1" x14ac:dyDescent="0.2">
      <c r="S61" s="342"/>
    </row>
    <row r="62" spans="2:21" customFormat="1" x14ac:dyDescent="0.2">
      <c r="S62" s="342"/>
    </row>
    <row r="63" spans="2:21" customFormat="1" x14ac:dyDescent="0.2">
      <c r="S63" s="342"/>
    </row>
    <row r="64" spans="2:21" customFormat="1" ht="28" customHeight="1" x14ac:dyDescent="0.2">
      <c r="S64" s="342"/>
    </row>
    <row r="65" spans="19:19" customFormat="1" ht="18" customHeight="1" x14ac:dyDescent="0.2">
      <c r="S65" s="342"/>
    </row>
    <row r="66" spans="19:19" customFormat="1" x14ac:dyDescent="0.2">
      <c r="S66" s="342"/>
    </row>
    <row r="67" spans="19:19" customFormat="1" x14ac:dyDescent="0.2">
      <c r="S67" s="342"/>
    </row>
    <row r="68" spans="19:19" customFormat="1" ht="65.25" customHeight="1" x14ac:dyDescent="0.2">
      <c r="S68" s="342"/>
    </row>
    <row r="69" spans="19:19" customFormat="1" x14ac:dyDescent="0.2">
      <c r="S69" s="342"/>
    </row>
    <row r="70" spans="19:19" customFormat="1" x14ac:dyDescent="0.2">
      <c r="S70" s="342"/>
    </row>
    <row r="71" spans="19:19" customFormat="1" ht="152.25" customHeight="1" x14ac:dyDescent="0.2">
      <c r="S71" s="342"/>
    </row>
    <row r="72" spans="19:19" customFormat="1" ht="68.25" customHeight="1" x14ac:dyDescent="0.2">
      <c r="S72" s="342"/>
    </row>
    <row r="73" spans="19:19" customFormat="1" x14ac:dyDescent="0.2">
      <c r="S73" s="342"/>
    </row>
    <row r="74" spans="19:19" customFormat="1" ht="134.25" customHeight="1" x14ac:dyDescent="0.2">
      <c r="S74" s="342"/>
    </row>
    <row r="75" spans="19:19" customFormat="1" ht="185.25" customHeight="1" x14ac:dyDescent="0.2">
      <c r="S75" s="342"/>
    </row>
    <row r="76" spans="19:19" customFormat="1" x14ac:dyDescent="0.2">
      <c r="S76" s="342"/>
    </row>
    <row r="77" spans="19:19" customFormat="1" x14ac:dyDescent="0.2">
      <c r="S77" s="342"/>
    </row>
    <row r="78" spans="19:19" customFormat="1" x14ac:dyDescent="0.2">
      <c r="S78" s="342"/>
    </row>
    <row r="79" spans="19:19" customFormat="1" ht="24" customHeight="1" x14ac:dyDescent="0.2">
      <c r="S79" s="342"/>
    </row>
    <row r="80" spans="19:19" customFormat="1" ht="16" customHeight="1" x14ac:dyDescent="0.2">
      <c r="S80" s="342"/>
    </row>
    <row r="81" spans="19:19" customFormat="1" x14ac:dyDescent="0.2">
      <c r="S81" s="342"/>
    </row>
    <row r="82" spans="19:19" customFormat="1" x14ac:dyDescent="0.2">
      <c r="S82" s="342"/>
    </row>
    <row r="83" spans="19:19" customFormat="1" ht="17.25" customHeight="1" x14ac:dyDescent="0.2">
      <c r="S83" s="342"/>
    </row>
    <row r="84" spans="19:19" customFormat="1" x14ac:dyDescent="0.2">
      <c r="S84" s="342"/>
    </row>
    <row r="85" spans="19:19" customFormat="1" x14ac:dyDescent="0.2">
      <c r="S85" s="342"/>
    </row>
    <row r="86" spans="19:19" customFormat="1" x14ac:dyDescent="0.2">
      <c r="S86" s="342"/>
    </row>
    <row r="87" spans="19:19" customFormat="1" x14ac:dyDescent="0.2">
      <c r="S87" s="342"/>
    </row>
    <row r="88" spans="19:19" customFormat="1" x14ac:dyDescent="0.2">
      <c r="S88" s="342"/>
    </row>
    <row r="89" spans="19:19" customFormat="1" x14ac:dyDescent="0.2">
      <c r="S89" s="342"/>
    </row>
    <row r="90" spans="19:19" customFormat="1" x14ac:dyDescent="0.2">
      <c r="S90" s="342"/>
    </row>
    <row r="91" spans="19:19" customFormat="1" x14ac:dyDescent="0.2">
      <c r="S91" s="342"/>
    </row>
    <row r="92" spans="19:19" customFormat="1" x14ac:dyDescent="0.2">
      <c r="S92" s="342"/>
    </row>
    <row r="93" spans="19:19" customFormat="1" x14ac:dyDescent="0.2">
      <c r="S93" s="342"/>
    </row>
    <row r="94" spans="19:19" customFormat="1" x14ac:dyDescent="0.2">
      <c r="S94" s="342"/>
    </row>
    <row r="95" spans="19:19" customFormat="1" x14ac:dyDescent="0.2">
      <c r="S95" s="342"/>
    </row>
    <row r="96" spans="19:19" customFormat="1" x14ac:dyDescent="0.2">
      <c r="S96" s="342"/>
    </row>
    <row r="97" spans="19:19" customFormat="1" ht="16" customHeight="1" x14ac:dyDescent="0.2">
      <c r="S97" s="342"/>
    </row>
    <row r="98" spans="19:19" customFormat="1" x14ac:dyDescent="0.2">
      <c r="S98" s="342"/>
    </row>
    <row r="99" spans="19:19" customFormat="1" x14ac:dyDescent="0.2">
      <c r="S99" s="342"/>
    </row>
    <row r="100" spans="19:19" customFormat="1" x14ac:dyDescent="0.2">
      <c r="S100" s="342"/>
    </row>
  </sheetData>
  <sheetProtection selectLockedCells="1"/>
  <mergeCells count="53">
    <mergeCell ref="Q16:Q17"/>
    <mergeCell ref="S16:S17"/>
    <mergeCell ref="U16:U17"/>
    <mergeCell ref="F18:F20"/>
    <mergeCell ref="I18:I20"/>
    <mergeCell ref="J20:S20"/>
    <mergeCell ref="C13:I13"/>
    <mergeCell ref="S13:U13"/>
    <mergeCell ref="C14:I14"/>
    <mergeCell ref="R14:U14"/>
    <mergeCell ref="R15:U15"/>
    <mergeCell ref="C15:I15"/>
    <mergeCell ref="I7:O7"/>
    <mergeCell ref="I8:O8"/>
    <mergeCell ref="S9:U9"/>
    <mergeCell ref="S10:U10"/>
    <mergeCell ref="S11:U11"/>
    <mergeCell ref="I2:O2"/>
    <mergeCell ref="I3:O3"/>
    <mergeCell ref="I4:O4"/>
    <mergeCell ref="I5:O5"/>
    <mergeCell ref="I6:O6"/>
    <mergeCell ref="I49:I50"/>
    <mergeCell ref="F49:F50"/>
    <mergeCell ref="J50:T50"/>
    <mergeCell ref="F52:F53"/>
    <mergeCell ref="I52:I53"/>
    <mergeCell ref="J53:T53"/>
    <mergeCell ref="F43:F44"/>
    <mergeCell ref="I43:I44"/>
    <mergeCell ref="J44:T44"/>
    <mergeCell ref="F46:F47"/>
    <mergeCell ref="I46:I47"/>
    <mergeCell ref="J47:T47"/>
    <mergeCell ref="F37:R37"/>
    <mergeCell ref="S38:S39"/>
    <mergeCell ref="Q38:Q39"/>
    <mergeCell ref="U38:U39"/>
    <mergeCell ref="I40:I41"/>
    <mergeCell ref="F40:F41"/>
    <mergeCell ref="J41:T41"/>
    <mergeCell ref="F30:F32"/>
    <mergeCell ref="I30:I32"/>
    <mergeCell ref="J32:T32"/>
    <mergeCell ref="F34:F36"/>
    <mergeCell ref="I34:I36"/>
    <mergeCell ref="J36:T36"/>
    <mergeCell ref="F22:F24"/>
    <mergeCell ref="I22:I24"/>
    <mergeCell ref="J24:T24"/>
    <mergeCell ref="F26:F28"/>
    <mergeCell ref="I26:I28"/>
    <mergeCell ref="J28:T28"/>
  </mergeCells>
  <printOptions horizontalCentered="1" verticalCentered="1"/>
  <pageMargins left="0.2" right="0.2" top="0.2" bottom="0.2" header="0.3" footer="0.3"/>
  <pageSetup scale="54" fitToHeight="10" orientation="landscape" r:id="rId1"/>
  <rowBreaks count="1" manualBreakCount="1">
    <brk id="55" man="1"/>
  </rowBreaks>
  <colBreaks count="1" manualBreakCount="1">
    <brk id="21"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O40"/>
  <sheetViews>
    <sheetView showZeros="0" topLeftCell="A6" workbookViewId="0">
      <selection activeCell="R14" sqref="R14"/>
    </sheetView>
  </sheetViews>
  <sheetFormatPr baseColWidth="10" defaultColWidth="10.5" defaultRowHeight="20" x14ac:dyDescent="0.2"/>
  <cols>
    <col min="1" max="1" width="1.5" style="6" customWidth="1"/>
    <col min="2" max="2" width="39.5" style="6" customWidth="1"/>
    <col min="3" max="3" width="2" style="6" customWidth="1"/>
    <col min="4" max="4" width="20" style="6" customWidth="1"/>
    <col min="5" max="5" width="2.5" style="6" customWidth="1"/>
    <col min="6" max="6" width="21.5" style="6" customWidth="1"/>
    <col min="7" max="7" width="2.33203125" style="6" customWidth="1"/>
    <col min="8" max="8" width="18.5" style="6" customWidth="1"/>
    <col min="9" max="9" width="13" style="6" bestFit="1" customWidth="1"/>
    <col min="10" max="10" width="14.5" style="6" customWidth="1"/>
    <col min="11" max="11" width="10.5" style="6"/>
    <col min="12" max="12" width="14" style="6" customWidth="1"/>
    <col min="13" max="13" width="3" style="6" customWidth="1"/>
    <col min="14" max="14" width="14.5" style="6" customWidth="1"/>
    <col min="15" max="15" width="20.33203125" style="6" bestFit="1" customWidth="1"/>
    <col min="16" max="16384" width="10.5" style="6"/>
  </cols>
  <sheetData>
    <row r="1" spans="2:8" ht="70" customHeight="1" x14ac:dyDescent="0.2">
      <c r="B1" s="214"/>
      <c r="C1" s="215"/>
      <c r="D1" s="343" t="s">
        <v>311</v>
      </c>
      <c r="E1" s="344"/>
      <c r="F1" s="345" t="s">
        <v>312</v>
      </c>
      <c r="G1" s="270"/>
    </row>
    <row r="2" spans="2:8" x14ac:dyDescent="0.2">
      <c r="B2" s="202" t="s">
        <v>313</v>
      </c>
      <c r="D2" s="346"/>
      <c r="F2" s="347">
        <f>IF(D9="",0,IF(D11="Rate",Calculations!B606,D2))</f>
        <v>0</v>
      </c>
    </row>
    <row r="3" spans="2:8" x14ac:dyDescent="0.2">
      <c r="B3" s="202" t="s">
        <v>314</v>
      </c>
      <c r="D3" s="348"/>
      <c r="F3" s="349">
        <f>IF(D9="",0,IF(D11="Term",Calculations!B607,D3))</f>
        <v>0</v>
      </c>
    </row>
    <row r="4" spans="2:8" x14ac:dyDescent="0.2">
      <c r="B4" s="202" t="s">
        <v>287</v>
      </c>
      <c r="D4" s="350"/>
      <c r="F4" s="351">
        <f>IF(D9="",0,IF(D11="down payment",Calculations!B608,D4))</f>
        <v>0</v>
      </c>
    </row>
    <row r="5" spans="2:8" x14ac:dyDescent="0.2">
      <c r="B5" s="202" t="s">
        <v>315</v>
      </c>
      <c r="D5" s="352">
        <f>IF(AND($D$2&lt;&gt;"",$D$3&lt;&gt;""),-PMT($D$2/12,$D$3,(Calculations!D427+Calculations!B435)-$D$4),0)</f>
        <v>0</v>
      </c>
      <c r="F5" s="222"/>
    </row>
    <row r="6" spans="2:8" x14ac:dyDescent="0.2">
      <c r="B6" s="202"/>
      <c r="F6" s="222"/>
    </row>
    <row r="7" spans="2:8" x14ac:dyDescent="0.2">
      <c r="B7" s="202"/>
      <c r="F7" s="222"/>
    </row>
    <row r="8" spans="2:8" x14ac:dyDescent="0.2">
      <c r="B8" s="202"/>
      <c r="D8" s="352"/>
      <c r="F8" s="222"/>
    </row>
    <row r="9" spans="2:8" x14ac:dyDescent="0.2">
      <c r="B9" s="202" t="s">
        <v>316</v>
      </c>
      <c r="D9" s="350"/>
      <c r="F9" s="222"/>
    </row>
    <row r="10" spans="2:8" x14ac:dyDescent="0.2">
      <c r="B10" s="202"/>
      <c r="F10" s="222"/>
    </row>
    <row r="11" spans="2:8" ht="21" thickBot="1" x14ac:dyDescent="0.25">
      <c r="B11" s="235" t="s">
        <v>317</v>
      </c>
      <c r="C11" s="231"/>
      <c r="D11" s="353"/>
      <c r="E11" s="231"/>
      <c r="F11" s="236"/>
    </row>
    <row r="12" spans="2:8" x14ac:dyDescent="0.2">
      <c r="D12" s="16"/>
    </row>
    <row r="13" spans="2:8" x14ac:dyDescent="0.2">
      <c r="D13" s="16"/>
    </row>
    <row r="14" spans="2:8" ht="21" thickBot="1" x14ac:dyDescent="0.25"/>
    <row r="15" spans="2:8" x14ac:dyDescent="0.2">
      <c r="B15" s="214"/>
      <c r="C15" s="215"/>
      <c r="D15" s="215"/>
      <c r="E15" s="215"/>
      <c r="F15" s="215" t="s">
        <v>318</v>
      </c>
      <c r="G15" s="215"/>
      <c r="H15" s="354"/>
    </row>
    <row r="16" spans="2:8" x14ac:dyDescent="0.2">
      <c r="B16" s="202" t="s">
        <v>313</v>
      </c>
      <c r="F16" s="346"/>
      <c r="H16" s="222"/>
    </row>
    <row r="17" spans="2:8" x14ac:dyDescent="0.2">
      <c r="B17" s="202" t="s">
        <v>314</v>
      </c>
      <c r="F17" s="348"/>
      <c r="H17" s="222"/>
    </row>
    <row r="18" spans="2:8" x14ac:dyDescent="0.2">
      <c r="B18" s="202" t="s">
        <v>287</v>
      </c>
      <c r="F18" s="350"/>
      <c r="H18" s="222"/>
    </row>
    <row r="19" spans="2:8" x14ac:dyDescent="0.2">
      <c r="B19" s="202"/>
      <c r="F19" s="352"/>
      <c r="H19" s="222"/>
    </row>
    <row r="20" spans="2:8" x14ac:dyDescent="0.2">
      <c r="B20" s="202"/>
      <c r="H20" s="222"/>
    </row>
    <row r="21" spans="2:8" x14ac:dyDescent="0.2">
      <c r="B21" s="202"/>
      <c r="H21" s="222"/>
    </row>
    <row r="22" spans="2:8" x14ac:dyDescent="0.2">
      <c r="B22" s="202"/>
      <c r="D22" s="270" t="s">
        <v>319</v>
      </c>
      <c r="E22" s="270"/>
      <c r="F22" s="270" t="s">
        <v>320</v>
      </c>
      <c r="H22" s="355" t="s">
        <v>321</v>
      </c>
    </row>
    <row r="23" spans="2:8" ht="23.25" customHeight="1" x14ac:dyDescent="0.2">
      <c r="B23" s="356" t="s">
        <v>322</v>
      </c>
      <c r="D23" s="221">
        <f>+Quote!L99</f>
        <v>0</v>
      </c>
      <c r="F23" s="350"/>
      <c r="G23" s="357"/>
      <c r="H23" s="358">
        <f>IF(F23=0,0,F23-D23)</f>
        <v>0</v>
      </c>
    </row>
    <row r="24" spans="2:8" ht="27" customHeight="1" x14ac:dyDescent="0.2">
      <c r="B24" s="356" t="s">
        <v>323</v>
      </c>
      <c r="D24" s="221">
        <f>+Quote!L100</f>
        <v>0</v>
      </c>
      <c r="F24" s="350"/>
      <c r="G24" s="357"/>
      <c r="H24" s="358">
        <f>IF(F24=0,0,-F24+D24)</f>
        <v>0</v>
      </c>
    </row>
    <row r="25" spans="2:8" ht="63" x14ac:dyDescent="0.2">
      <c r="B25" s="359" t="s">
        <v>324</v>
      </c>
      <c r="D25" s="283">
        <v>0</v>
      </c>
      <c r="F25" s="350"/>
      <c r="G25" s="357"/>
      <c r="H25" s="358">
        <f>IF(F25=0,0,-F25)</f>
        <v>0</v>
      </c>
    </row>
    <row r="26" spans="2:8" ht="21" x14ac:dyDescent="0.2">
      <c r="B26" s="359" t="s">
        <v>325</v>
      </c>
      <c r="D26" s="283">
        <f>Calculations!B324</f>
        <v>0</v>
      </c>
      <c r="F26" s="350">
        <v>0</v>
      </c>
      <c r="G26" s="357"/>
      <c r="H26" s="358">
        <f>IF(F26=0,0,F26-D26)</f>
        <v>0</v>
      </c>
    </row>
    <row r="27" spans="2:8" x14ac:dyDescent="0.2">
      <c r="B27" s="202"/>
      <c r="H27" s="222"/>
    </row>
    <row r="28" spans="2:8" ht="42" x14ac:dyDescent="0.2">
      <c r="B28" s="360" t="s">
        <v>326</v>
      </c>
      <c r="D28" s="240">
        <f>'Costing Sheet'!M17</f>
        <v>0</v>
      </c>
      <c r="F28" s="361"/>
      <c r="H28" s="222"/>
    </row>
    <row r="29" spans="2:8" x14ac:dyDescent="0.2">
      <c r="B29" s="356"/>
      <c r="H29" s="222"/>
    </row>
    <row r="30" spans="2:8" ht="21" thickBot="1" x14ac:dyDescent="0.25">
      <c r="B30" s="362" t="s">
        <v>315</v>
      </c>
      <c r="C30" s="231"/>
      <c r="D30" s="363">
        <f>D5</f>
        <v>0</v>
      </c>
      <c r="E30" s="231"/>
      <c r="F30" s="231" t="s">
        <v>327</v>
      </c>
      <c r="G30" s="231"/>
      <c r="H30" s="364">
        <f>IF(AND(F16&lt;&gt;"",F17&lt;&gt;""),-PMT(F16/12,F17,(-F18+Calculations!D435+Calculations!D428)),0)</f>
        <v>0</v>
      </c>
    </row>
    <row r="31" spans="2:8" x14ac:dyDescent="0.2">
      <c r="B31" s="270"/>
    </row>
    <row r="32" spans="2:8" x14ac:dyDescent="0.2">
      <c r="B32" s="270"/>
    </row>
    <row r="33" spans="2:15" ht="52" customHeight="1" x14ac:dyDescent="0.2">
      <c r="B33" s="270" t="s">
        <v>328</v>
      </c>
      <c r="D33" s="365">
        <f>+Recap!P97</f>
        <v>0</v>
      </c>
      <c r="F33" s="240" t="s">
        <v>329</v>
      </c>
      <c r="H33" s="283">
        <f>D33+SUM(H23:H26)</f>
        <v>0</v>
      </c>
    </row>
    <row r="34" spans="2:15" ht="20.25" customHeight="1" x14ac:dyDescent="0.2">
      <c r="H34" s="240"/>
      <c r="I34" s="283"/>
    </row>
    <row r="35" spans="2:15" ht="20.25" customHeight="1" x14ac:dyDescent="0.2">
      <c r="H35" s="240"/>
      <c r="I35" s="283"/>
    </row>
    <row r="36" spans="2:15" x14ac:dyDescent="0.2">
      <c r="O36" s="366"/>
    </row>
    <row r="37" spans="2:15" x14ac:dyDescent="0.2">
      <c r="I37" s="352"/>
    </row>
    <row r="38" spans="2:15" x14ac:dyDescent="0.2">
      <c r="O38" s="352"/>
    </row>
    <row r="40" spans="2:15" x14ac:dyDescent="0.2">
      <c r="F40" s="283"/>
    </row>
  </sheetData>
  <sheetProtection selectLockedCells="1"/>
  <dataValidations count="7">
    <dataValidation type="list" allowBlank="1" showInputMessage="1" showErrorMessage="1" sqref="D11" xr:uid="{00000000-0002-0000-0900-000000000000}">
      <formula1>"Rate, Term, Down Payment"</formula1>
    </dataValidation>
    <dataValidation type="list" allowBlank="1" showInputMessage="1" showErrorMessage="1" sqref="F28" xr:uid="{00000000-0002-0000-0900-000001000000}">
      <formula1>"Include Kubota Insurance, No Kubota Insurance"</formula1>
    </dataValidation>
    <dataValidation type="decimal" allowBlank="1" showInputMessage="1" showErrorMessage="1" sqref="D2 F16" xr:uid="{00000000-0002-0000-0900-000002000000}">
      <formula1>0</formula1>
      <formula2>0.8</formula2>
    </dataValidation>
    <dataValidation type="whole" allowBlank="1" showInputMessage="1" showErrorMessage="1" sqref="D3 F17" xr:uid="{00000000-0002-0000-0900-000003000000}">
      <formula1>0</formula1>
      <formula2>240</formula2>
    </dataValidation>
    <dataValidation type="decimal" allowBlank="1" showInputMessage="1" showErrorMessage="1" sqref="D4 F18" xr:uid="{00000000-0002-0000-0900-000004000000}">
      <formula1>0</formula1>
      <formula2>10000000</formula2>
    </dataValidation>
    <dataValidation type="decimal" allowBlank="1" showInputMessage="1" showErrorMessage="1" sqref="D9 F23:F25" xr:uid="{00000000-0002-0000-0900-000005000000}">
      <formula1>0</formula1>
      <formula2>1000000</formula2>
    </dataValidation>
    <dataValidation type="decimal" allowBlank="1" showInputMessage="1" showErrorMessage="1" sqref="F26" xr:uid="{00000000-0002-0000-0900-000006000000}">
      <formula1>0</formula1>
      <formula2>100000</formula2>
    </dataValidation>
  </dataValidations>
  <pageMargins left="0" right="0" top="0" bottom="0" header="0" footer="0"/>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132"/>
  <sheetViews>
    <sheetView showZeros="0" view="pageBreakPreview" zoomScale="95" zoomScaleNormal="80" zoomScaleSheetLayoutView="95" workbookViewId="0">
      <selection activeCell="B77" sqref="B77:F77"/>
    </sheetView>
  </sheetViews>
  <sheetFormatPr baseColWidth="10" defaultColWidth="11" defaultRowHeight="16" x14ac:dyDescent="0.2"/>
  <cols>
    <col min="1" max="1" width="2.5" style="16" customWidth="1"/>
    <col min="2" max="2" width="3.33203125" style="16" customWidth="1"/>
    <col min="3" max="3" width="29.5" style="16" customWidth="1"/>
    <col min="4" max="4" width="1" style="16" customWidth="1"/>
    <col min="5" max="5" width="2" style="16" customWidth="1"/>
    <col min="6" max="6" width="26" style="16" customWidth="1"/>
    <col min="7" max="7" width="2" style="16" customWidth="1"/>
    <col min="8" max="8" width="1.5" style="16" customWidth="1"/>
    <col min="9" max="9" width="26.5" style="16" customWidth="1"/>
    <col min="10" max="10" width="3.5" style="16" customWidth="1"/>
    <col min="11" max="11" width="1" style="16" customWidth="1"/>
    <col min="12" max="12" width="30.5" style="16" customWidth="1"/>
    <col min="13" max="13" width="3" style="16" customWidth="1"/>
    <col min="14" max="14" width="2" style="16" customWidth="1"/>
    <col min="15" max="15" width="43" style="16" customWidth="1"/>
    <col min="16" max="16" width="4" style="16" customWidth="1"/>
    <col min="17" max="17" width="29" style="16" customWidth="1"/>
    <col min="18" max="18" width="5" style="16" customWidth="1"/>
    <col min="19" max="19" width="20.5" style="179" customWidth="1"/>
    <col min="20" max="20" width="4.5" style="16" customWidth="1"/>
    <col min="21" max="21" width="22.33203125" style="16" customWidth="1"/>
    <col min="22" max="22" width="1.5" style="16" customWidth="1"/>
    <col min="23" max="23" width="11" style="16"/>
    <col min="24" max="24" width="15" style="16" bestFit="1" customWidth="1"/>
    <col min="25" max="40" width="11" style="16"/>
    <col min="41" max="41" width="14.5" style="16" customWidth="1"/>
    <col min="42" max="16384" width="11" style="16"/>
  </cols>
  <sheetData>
    <row r="1" spans="2:21" ht="7" customHeight="1" thickBot="1" x14ac:dyDescent="0.25"/>
    <row r="2" spans="2:21" ht="15" customHeight="1" x14ac:dyDescent="0.2">
      <c r="B2" s="805" t="s">
        <v>2272</v>
      </c>
      <c r="C2" s="791"/>
      <c r="D2" s="791"/>
      <c r="E2" s="791"/>
      <c r="F2" s="791"/>
      <c r="G2" s="791"/>
      <c r="H2" s="791"/>
      <c r="I2" s="791"/>
      <c r="J2" s="792"/>
      <c r="K2" s="787" t="s">
        <v>267</v>
      </c>
      <c r="L2" s="787"/>
      <c r="M2" s="787"/>
      <c r="N2" s="787"/>
      <c r="O2" s="787"/>
      <c r="P2" s="788"/>
      <c r="Q2" s="791" t="str">
        <f>+Calculations!$B$568</f>
        <v/>
      </c>
      <c r="R2" s="791"/>
      <c r="S2" s="791"/>
      <c r="T2" s="791"/>
      <c r="U2" s="792"/>
    </row>
    <row r="3" spans="2:21" ht="3" customHeight="1" x14ac:dyDescent="0.2">
      <c r="B3" s="793"/>
      <c r="C3" s="794"/>
      <c r="D3" s="180"/>
      <c r="E3" s="180"/>
      <c r="F3" s="180"/>
      <c r="G3" s="9"/>
      <c r="H3" s="180"/>
      <c r="I3" s="9"/>
      <c r="J3" s="181"/>
      <c r="K3" s="789"/>
      <c r="L3" s="789"/>
      <c r="M3" s="789"/>
      <c r="N3" s="789"/>
      <c r="O3" s="789"/>
      <c r="P3" s="790"/>
      <c r="Q3" s="9"/>
      <c r="R3" s="794"/>
      <c r="S3" s="794"/>
      <c r="T3" s="794"/>
      <c r="U3" s="181"/>
    </row>
    <row r="4" spans="2:21" ht="12.75" customHeight="1" x14ac:dyDescent="0.2">
      <c r="B4" s="793" t="s">
        <v>2273</v>
      </c>
      <c r="C4" s="794"/>
      <c r="D4" s="794"/>
      <c r="E4" s="794"/>
      <c r="F4" s="794"/>
      <c r="G4" s="794"/>
      <c r="H4" s="794"/>
      <c r="I4" s="794"/>
      <c r="J4" s="795"/>
      <c r="K4" s="789"/>
      <c r="L4" s="789"/>
      <c r="M4" s="789"/>
      <c r="N4" s="789"/>
      <c r="O4" s="789"/>
      <c r="P4" s="790"/>
      <c r="Q4" s="794" t="str">
        <f>+Calculations!$B$569</f>
        <v/>
      </c>
      <c r="R4" s="794"/>
      <c r="S4" s="794"/>
      <c r="T4" s="794"/>
      <c r="U4" s="795"/>
    </row>
    <row r="5" spans="2:21" ht="4.5" customHeight="1" x14ac:dyDescent="0.2">
      <c r="B5" s="793"/>
      <c r="C5" s="794"/>
      <c r="D5" s="794"/>
      <c r="E5" s="794"/>
      <c r="F5" s="794"/>
      <c r="G5" s="794"/>
      <c r="H5" s="794"/>
      <c r="I5" s="794"/>
      <c r="J5" s="795"/>
      <c r="K5" s="789"/>
      <c r="L5" s="789"/>
      <c r="M5" s="789"/>
      <c r="N5" s="789"/>
      <c r="O5" s="789"/>
      <c r="P5" s="790"/>
      <c r="Q5" s="794" t="str">
        <f>Calculations!B570</f>
        <v/>
      </c>
      <c r="R5" s="794"/>
      <c r="S5" s="794"/>
      <c r="T5" s="794"/>
      <c r="U5" s="795"/>
    </row>
    <row r="6" spans="2:21" ht="15" customHeight="1" x14ac:dyDescent="0.2">
      <c r="B6" s="793" t="s">
        <v>2274</v>
      </c>
      <c r="C6" s="794"/>
      <c r="D6" s="794"/>
      <c r="E6" s="794"/>
      <c r="F6" s="794"/>
      <c r="G6" s="794"/>
      <c r="H6" s="794"/>
      <c r="I6" s="794"/>
      <c r="J6" s="795"/>
      <c r="K6" s="802" t="s">
        <v>268</v>
      </c>
      <c r="L6" s="803"/>
      <c r="M6" s="803"/>
      <c r="N6" s="803"/>
      <c r="O6" s="803"/>
      <c r="P6" s="804"/>
      <c r="Q6" s="794"/>
      <c r="R6" s="794"/>
      <c r="S6" s="794"/>
      <c r="T6" s="794"/>
      <c r="U6" s="795"/>
    </row>
    <row r="7" spans="2:21" ht="5.25" customHeight="1" x14ac:dyDescent="0.2">
      <c r="B7" s="793"/>
      <c r="C7" s="794"/>
      <c r="D7" s="794"/>
      <c r="E7" s="794"/>
      <c r="F7" s="794"/>
      <c r="G7" s="794"/>
      <c r="H7" s="794"/>
      <c r="I7" s="794"/>
      <c r="J7" s="795"/>
      <c r="K7" s="802"/>
      <c r="L7" s="803"/>
      <c r="M7" s="803"/>
      <c r="N7" s="803"/>
      <c r="O7" s="803"/>
      <c r="P7" s="804"/>
      <c r="Q7" s="9"/>
      <c r="R7" s="794"/>
      <c r="S7" s="794"/>
      <c r="T7" s="794"/>
      <c r="U7" s="187"/>
    </row>
    <row r="8" spans="2:21" ht="14.25" customHeight="1" x14ac:dyDescent="0.2">
      <c r="B8" s="793" t="s">
        <v>2275</v>
      </c>
      <c r="C8" s="794"/>
      <c r="D8" s="794"/>
      <c r="E8" s="794"/>
      <c r="F8" s="794"/>
      <c r="G8" s="794"/>
      <c r="H8" s="794"/>
      <c r="I8" s="794"/>
      <c r="J8" s="795"/>
      <c r="K8" s="802"/>
      <c r="L8" s="803"/>
      <c r="M8" s="803"/>
      <c r="N8" s="803"/>
      <c r="O8" s="803"/>
      <c r="P8" s="804"/>
      <c r="Q8" s="9"/>
      <c r="R8" s="180"/>
      <c r="S8" s="180"/>
      <c r="T8" s="180"/>
      <c r="U8" s="188"/>
    </row>
    <row r="9" spans="2:21" ht="2.25" customHeight="1" x14ac:dyDescent="0.25">
      <c r="B9" s="793"/>
      <c r="C9" s="794"/>
      <c r="D9" s="794"/>
      <c r="E9" s="794"/>
      <c r="F9" s="794"/>
      <c r="G9" s="794"/>
      <c r="H9" s="794"/>
      <c r="I9" s="794"/>
      <c r="J9" s="795"/>
      <c r="K9" s="185"/>
      <c r="L9" s="185"/>
      <c r="M9" s="185"/>
      <c r="N9" s="185"/>
      <c r="O9" s="185"/>
      <c r="P9" s="186"/>
      <c r="Q9" s="9"/>
      <c r="R9" s="180"/>
      <c r="S9" s="180"/>
      <c r="T9" s="180"/>
      <c r="U9" s="187"/>
    </row>
    <row r="10" spans="2:21" ht="15" customHeight="1" thickBot="1" x14ac:dyDescent="0.25">
      <c r="B10" s="770" t="s">
        <v>2276</v>
      </c>
      <c r="C10" s="766"/>
      <c r="D10" s="766"/>
      <c r="E10" s="766"/>
      <c r="F10" s="766"/>
      <c r="G10" s="766"/>
      <c r="H10" s="766"/>
      <c r="I10" s="766"/>
      <c r="J10" s="767"/>
      <c r="K10" s="768" t="str">
        <f>+Calculations!B572</f>
        <v>CRYSTALTRACTOR.COM</v>
      </c>
      <c r="L10" s="768"/>
      <c r="M10" s="768"/>
      <c r="N10" s="768"/>
      <c r="O10" s="768"/>
      <c r="P10" s="769"/>
      <c r="Q10" s="766" t="str">
        <f>Calculations!B571</f>
        <v/>
      </c>
      <c r="R10" s="766"/>
      <c r="S10" s="766"/>
      <c r="T10" s="766"/>
      <c r="U10" s="767"/>
    </row>
    <row r="11" spans="2:21" s="5" customFormat="1" ht="16.5" customHeight="1" x14ac:dyDescent="0.2">
      <c r="B11" s="189" t="s">
        <v>269</v>
      </c>
      <c r="H11" s="190"/>
      <c r="I11" s="191"/>
      <c r="J11" s="191"/>
      <c r="K11" s="192"/>
      <c r="L11" s="193"/>
      <c r="M11" s="193"/>
      <c r="N11" s="193"/>
      <c r="O11" s="193"/>
      <c r="P11" s="193"/>
      <c r="Q11" s="194" t="s">
        <v>271</v>
      </c>
      <c r="R11" s="194"/>
      <c r="S11" s="931">
        <f>+'Sales Input Sheet'!C11</f>
        <v>0</v>
      </c>
      <c r="T11" s="931"/>
      <c r="U11" s="932"/>
    </row>
    <row r="12" spans="2:21" s="5" customFormat="1" ht="17" x14ac:dyDescent="0.2">
      <c r="B12" s="189"/>
      <c r="C12" s="773" t="str">
        <f>IF('Customer Input Screen'!I10&lt;&gt;"",UPPER('Customer Input Screen'!I10),"")</f>
        <v/>
      </c>
      <c r="D12" s="773"/>
      <c r="E12" s="773"/>
      <c r="F12" s="773"/>
      <c r="G12" s="773"/>
      <c r="H12" s="773"/>
      <c r="I12" s="773"/>
      <c r="L12" s="197" t="s">
        <v>270</v>
      </c>
      <c r="O12" s="198" t="str">
        <f>+'Customer Input Screen'!I22</f>
        <v/>
      </c>
      <c r="Q12" s="5" t="s">
        <v>304</v>
      </c>
      <c r="S12" s="771">
        <f>+'Costing Sheet'!$C$13</f>
        <v>0</v>
      </c>
      <c r="T12" s="771"/>
      <c r="U12" s="772"/>
    </row>
    <row r="13" spans="2:21" s="5" customFormat="1" ht="17" x14ac:dyDescent="0.2">
      <c r="B13" s="189"/>
      <c r="C13" s="773" t="str">
        <f>IF(Calculations!B3&lt;&gt;"",UPPER(Calculations!B3),"")</f>
        <v xml:space="preserve">  </v>
      </c>
      <c r="D13" s="773"/>
      <c r="E13" s="773"/>
      <c r="F13" s="773"/>
      <c r="G13" s="773"/>
      <c r="H13" s="773"/>
      <c r="I13" s="773"/>
      <c r="J13" s="197"/>
      <c r="K13" s="197"/>
      <c r="L13" s="197" t="s">
        <v>272</v>
      </c>
      <c r="M13" s="197"/>
      <c r="N13" s="197"/>
      <c r="O13" s="198" t="str">
        <f>+'Customer Input Screen'!I23</f>
        <v/>
      </c>
      <c r="P13" s="197"/>
      <c r="Q13" s="5" t="s">
        <v>273</v>
      </c>
      <c r="S13" s="796">
        <f>+'Sales Input Sheet'!C13</f>
        <v>0</v>
      </c>
      <c r="T13" s="796"/>
      <c r="U13" s="797"/>
    </row>
    <row r="14" spans="2:21" s="5" customFormat="1" ht="3" customHeight="1" x14ac:dyDescent="0.2">
      <c r="B14" s="189"/>
      <c r="I14" s="197"/>
      <c r="J14" s="197"/>
      <c r="K14" s="197"/>
      <c r="M14" s="197"/>
      <c r="N14" s="197"/>
      <c r="P14" s="197"/>
      <c r="Q14" s="197"/>
      <c r="S14" s="200"/>
      <c r="T14" s="197"/>
      <c r="U14" s="199"/>
    </row>
    <row r="15" spans="2:21" s="5" customFormat="1" ht="22" customHeight="1" x14ac:dyDescent="0.2">
      <c r="B15" s="189"/>
      <c r="C15" s="773" t="str">
        <f>IF('Customer Input Screen'!I14&lt;&gt;"",UPPER('Customer Input Screen'!I14),"")</f>
        <v/>
      </c>
      <c r="D15" s="773"/>
      <c r="E15" s="773"/>
      <c r="F15" s="773"/>
      <c r="G15" s="773"/>
      <c r="H15" s="773"/>
      <c r="I15" s="773"/>
      <c r="J15" s="197"/>
      <c r="K15" s="197"/>
      <c r="L15" s="197" t="s">
        <v>274</v>
      </c>
      <c r="O15" s="198" t="str">
        <f>+'Customer Input Screen'!I24</f>
        <v/>
      </c>
      <c r="P15" s="197"/>
      <c r="Q15" s="5" t="s">
        <v>275</v>
      </c>
      <c r="R15" s="197"/>
      <c r="S15" s="771" t="str">
        <f>IF('Sales Input Sheet'!C15&lt;&gt;"",UPPER('Sales Input Sheet'!C15),"")</f>
        <v/>
      </c>
      <c r="T15" s="771"/>
      <c r="U15" s="772"/>
    </row>
    <row r="16" spans="2:21" s="5" customFormat="1" ht="17" x14ac:dyDescent="0.2">
      <c r="B16" s="189"/>
      <c r="C16" s="773" t="str">
        <f>IF('Customer Input Screen'!I15&lt;&gt;"",UPPER('Customer Input Screen'!I15),"")</f>
        <v/>
      </c>
      <c r="D16" s="773"/>
      <c r="E16" s="773"/>
      <c r="F16" s="773"/>
      <c r="G16" s="773"/>
      <c r="H16" s="773"/>
      <c r="I16" s="773"/>
      <c r="J16" s="197"/>
      <c r="K16" s="197"/>
      <c r="L16" s="799" t="str">
        <f>+Calculations!$B$602</f>
        <v/>
      </c>
      <c r="M16" s="799"/>
      <c r="N16" s="799"/>
      <c r="O16" s="799"/>
      <c r="P16" s="197"/>
      <c r="S16" s="200"/>
      <c r="T16" s="198"/>
      <c r="U16" s="201"/>
    </row>
    <row r="17" spans="2:21" s="5" customFormat="1" ht="28" customHeight="1" x14ac:dyDescent="0.2">
      <c r="B17" s="189"/>
      <c r="C17" s="799" t="str">
        <f>+Calculations!$B$601</f>
        <v/>
      </c>
      <c r="D17" s="799"/>
      <c r="E17" s="799"/>
      <c r="F17" s="799"/>
      <c r="J17" s="197"/>
      <c r="K17" s="197"/>
      <c r="L17" s="197" t="s">
        <v>276</v>
      </c>
      <c r="O17" s="5" t="str">
        <f>UPPER('Costing Sheet'!U19)</f>
        <v/>
      </c>
      <c r="P17" s="197"/>
      <c r="S17" s="200"/>
      <c r="T17" s="198"/>
      <c r="U17" s="201"/>
    </row>
    <row r="18" spans="2:21" s="6" customFormat="1" ht="4.5" customHeight="1" x14ac:dyDescent="0.2">
      <c r="B18" s="202"/>
      <c r="J18" s="203"/>
      <c r="K18" s="203"/>
      <c r="L18" s="203"/>
      <c r="P18" s="203"/>
      <c r="S18" s="204"/>
      <c r="T18" s="205"/>
      <c r="U18" s="206"/>
    </row>
    <row r="19" spans="2:21" ht="10" customHeight="1" x14ac:dyDescent="0.2">
      <c r="B19" s="774" t="s">
        <v>330</v>
      </c>
      <c r="C19" s="775"/>
      <c r="D19" s="775"/>
      <c r="E19" s="775"/>
      <c r="F19" s="775"/>
      <c r="G19" s="775"/>
      <c r="H19" s="775"/>
      <c r="I19" s="775"/>
      <c r="J19" s="775"/>
      <c r="K19" s="775"/>
      <c r="L19" s="775"/>
      <c r="M19" s="775"/>
      <c r="N19" s="775"/>
      <c r="O19" s="775"/>
      <c r="P19" s="775"/>
      <c r="Q19" s="775"/>
      <c r="R19" s="775"/>
      <c r="S19" s="775"/>
      <c r="T19" s="775"/>
      <c r="U19" s="776"/>
    </row>
    <row r="20" spans="2:21" ht="29.25" customHeight="1" thickBot="1" x14ac:dyDescent="0.25">
      <c r="B20" s="774"/>
      <c r="C20" s="775"/>
      <c r="D20" s="775"/>
      <c r="E20" s="775"/>
      <c r="F20" s="775"/>
      <c r="G20" s="775"/>
      <c r="H20" s="775"/>
      <c r="I20" s="775"/>
      <c r="J20" s="775"/>
      <c r="K20" s="775"/>
      <c r="L20" s="775"/>
      <c r="M20" s="775"/>
      <c r="N20" s="775"/>
      <c r="O20" s="775"/>
      <c r="P20" s="775"/>
      <c r="Q20" s="775"/>
      <c r="R20" s="775"/>
      <c r="S20" s="775"/>
      <c r="T20" s="775"/>
      <c r="U20" s="776"/>
    </row>
    <row r="21" spans="2:21" s="6" customFormat="1" ht="20" x14ac:dyDescent="0.2">
      <c r="B21" s="208"/>
      <c r="C21" s="209"/>
      <c r="D21" s="209"/>
      <c r="E21" s="209"/>
      <c r="F21" s="209"/>
      <c r="G21" s="209"/>
      <c r="H21" s="209"/>
      <c r="I21" s="209"/>
      <c r="J21" s="209"/>
      <c r="K21" s="209"/>
      <c r="L21" s="209"/>
      <c r="M21" s="209"/>
      <c r="N21" s="209"/>
      <c r="O21" s="209"/>
      <c r="P21" s="209"/>
      <c r="Q21" s="779" t="s">
        <v>278</v>
      </c>
      <c r="R21" s="209"/>
      <c r="S21" s="777" t="s">
        <v>279</v>
      </c>
      <c r="T21" s="209"/>
      <c r="U21" s="781" t="s">
        <v>280</v>
      </c>
    </row>
    <row r="22" spans="2:21" s="6" customFormat="1" ht="22" customHeight="1" thickBot="1" x14ac:dyDescent="0.25">
      <c r="B22" s="210"/>
      <c r="C22" s="211" t="s">
        <v>281</v>
      </c>
      <c r="D22" s="212"/>
      <c r="E22" s="212"/>
      <c r="F22" s="213"/>
      <c r="G22" s="213"/>
      <c r="H22" s="212"/>
      <c r="I22" s="212" t="s">
        <v>105</v>
      </c>
      <c r="J22" s="212"/>
      <c r="K22" s="212"/>
      <c r="L22" s="212" t="s">
        <v>106</v>
      </c>
      <c r="M22" s="212"/>
      <c r="N22" s="212"/>
      <c r="O22" s="212" t="s">
        <v>282</v>
      </c>
      <c r="P22" s="212"/>
      <c r="Q22" s="780"/>
      <c r="R22" s="212"/>
      <c r="S22" s="778"/>
      <c r="T22" s="212"/>
      <c r="U22" s="782"/>
    </row>
    <row r="23" spans="2:21" s="6" customFormat="1" ht="21" customHeight="1" x14ac:dyDescent="0.2">
      <c r="B23" s="214"/>
      <c r="C23" s="215" t="str">
        <f>Calculations!B451</f>
        <v/>
      </c>
      <c r="D23" s="215"/>
      <c r="E23" s="215"/>
      <c r="F23" s="215"/>
      <c r="G23" s="215"/>
      <c r="H23" s="215"/>
      <c r="I23" s="783" t="str">
        <f>Calculations!B6</f>
        <v/>
      </c>
      <c r="J23" s="215"/>
      <c r="K23" s="215"/>
      <c r="L23" s="215" t="str">
        <f>Calculations!B7</f>
        <v/>
      </c>
      <c r="M23" s="215"/>
      <c r="N23" s="215"/>
      <c r="O23" s="215" t="str">
        <f>Calculations!B8</f>
        <v/>
      </c>
      <c r="P23" s="215"/>
      <c r="Q23" s="217">
        <f>+'Costing Sheet'!I$22</f>
        <v>0</v>
      </c>
      <c r="R23" s="217"/>
      <c r="S23" s="218">
        <f>-'Costing Sheet'!K$22</f>
        <v>0</v>
      </c>
      <c r="T23" s="217"/>
      <c r="U23" s="219">
        <f>+Calculations!B$526</f>
        <v>0</v>
      </c>
    </row>
    <row r="24" spans="2:21" s="6" customFormat="1" ht="20" x14ac:dyDescent="0.2">
      <c r="B24" s="202"/>
      <c r="I24" s="784"/>
      <c r="J24" s="785" t="str">
        <f>Calculations!B9</f>
        <v/>
      </c>
      <c r="K24" s="785"/>
      <c r="L24" s="785"/>
      <c r="M24" s="785"/>
      <c r="N24" s="785"/>
      <c r="O24" s="785"/>
      <c r="S24" s="221"/>
      <c r="U24" s="222"/>
    </row>
    <row r="25" spans="2:21" s="6" customFormat="1" ht="20" x14ac:dyDescent="0.2">
      <c r="B25" s="202"/>
      <c r="I25" s="223"/>
      <c r="J25" s="786" t="str">
        <f>+Calculations!B12</f>
        <v xml:space="preserve">    </v>
      </c>
      <c r="K25" s="786"/>
      <c r="L25" s="786"/>
      <c r="M25" s="786"/>
      <c r="N25" s="786"/>
      <c r="O25" s="786"/>
      <c r="P25" s="786"/>
      <c r="Q25" s="786"/>
      <c r="R25" s="786"/>
      <c r="S25" s="786"/>
      <c r="T25" s="786"/>
      <c r="U25" s="222"/>
    </row>
    <row r="26" spans="2:21" s="6" customFormat="1" ht="11.25" customHeight="1" x14ac:dyDescent="0.2">
      <c r="B26" s="202"/>
      <c r="I26" s="223"/>
      <c r="J26" s="223"/>
      <c r="K26" s="223"/>
      <c r="L26" s="223"/>
      <c r="M26" s="223"/>
      <c r="N26" s="223"/>
      <c r="O26" s="223"/>
      <c r="P26" s="223"/>
      <c r="Q26" s="223"/>
      <c r="R26" s="223"/>
      <c r="S26" s="224"/>
      <c r="T26" s="223"/>
      <c r="U26" s="222"/>
    </row>
    <row r="27" spans="2:21" s="6" customFormat="1" ht="20" x14ac:dyDescent="0.2">
      <c r="B27" s="202"/>
      <c r="C27" s="6" t="str">
        <f>Calculations!B452</f>
        <v/>
      </c>
      <c r="I27" s="786" t="str">
        <f>Calculations!B18</f>
        <v/>
      </c>
      <c r="L27" s="6" t="str">
        <f>Calculations!B19</f>
        <v/>
      </c>
      <c r="O27" s="6" t="str">
        <f>Calculations!B20</f>
        <v/>
      </c>
      <c r="Q27" s="225">
        <f>+'Costing Sheet'!I$23</f>
        <v>0</v>
      </c>
      <c r="R27" s="225"/>
      <c r="S27" s="221">
        <f>-'Costing Sheet'!K$23</f>
        <v>0</v>
      </c>
      <c r="T27" s="225"/>
      <c r="U27" s="226">
        <f>+Calculations!B$527</f>
        <v>0</v>
      </c>
    </row>
    <row r="28" spans="2:21" s="6" customFormat="1" ht="20" x14ac:dyDescent="0.2">
      <c r="B28" s="202"/>
      <c r="I28" s="786"/>
      <c r="J28" s="786" t="str">
        <f>Calculations!B21</f>
        <v/>
      </c>
      <c r="K28" s="786"/>
      <c r="L28" s="786"/>
      <c r="M28" s="786"/>
      <c r="N28" s="786"/>
      <c r="O28" s="786"/>
      <c r="P28" s="786"/>
      <c r="Q28" s="786"/>
      <c r="R28" s="786"/>
      <c r="S28" s="786"/>
      <c r="U28" s="222"/>
    </row>
    <row r="29" spans="2:21" s="6" customFormat="1" ht="20" x14ac:dyDescent="0.2">
      <c r="B29" s="202"/>
      <c r="I29" s="223"/>
      <c r="J29" s="786" t="str">
        <f>+Calculations!B24</f>
        <v/>
      </c>
      <c r="K29" s="786"/>
      <c r="L29" s="786"/>
      <c r="M29" s="786"/>
      <c r="N29" s="786"/>
      <c r="O29" s="786"/>
      <c r="P29" s="786"/>
      <c r="Q29" s="786"/>
      <c r="R29" s="786"/>
      <c r="S29" s="786"/>
      <c r="T29" s="786"/>
      <c r="U29" s="222"/>
    </row>
    <row r="30" spans="2:21" s="6" customFormat="1" ht="10" customHeight="1" x14ac:dyDescent="0.2">
      <c r="B30" s="202"/>
      <c r="I30" s="223"/>
      <c r="J30" s="223"/>
      <c r="K30" s="223"/>
      <c r="L30" s="223"/>
      <c r="M30" s="223"/>
      <c r="N30" s="223"/>
      <c r="O30" s="223"/>
      <c r="P30" s="223"/>
      <c r="Q30" s="223"/>
      <c r="R30" s="223"/>
      <c r="S30" s="224"/>
      <c r="T30" s="223"/>
      <c r="U30" s="222"/>
    </row>
    <row r="31" spans="2:21" s="6" customFormat="1" ht="20" x14ac:dyDescent="0.2">
      <c r="B31" s="202"/>
      <c r="C31" s="6" t="str">
        <f>Calculations!B453</f>
        <v/>
      </c>
      <c r="I31" s="786" t="str">
        <f>Calculations!B30</f>
        <v/>
      </c>
      <c r="L31" s="6" t="str">
        <f>Calculations!B31</f>
        <v/>
      </c>
      <c r="O31" s="6" t="str">
        <f>Calculations!B32</f>
        <v/>
      </c>
      <c r="Q31" s="225">
        <f>+'Costing Sheet'!I$24</f>
        <v>0</v>
      </c>
      <c r="R31" s="225"/>
      <c r="S31" s="221">
        <f>-'Costing Sheet'!K$24</f>
        <v>0</v>
      </c>
      <c r="T31" s="225"/>
      <c r="U31" s="226">
        <f>+Calculations!B$528</f>
        <v>0</v>
      </c>
    </row>
    <row r="32" spans="2:21" s="6" customFormat="1" ht="20" x14ac:dyDescent="0.2">
      <c r="B32" s="202"/>
      <c r="I32" s="786"/>
      <c r="J32" s="786" t="str">
        <f>Calculations!B33</f>
        <v/>
      </c>
      <c r="K32" s="786"/>
      <c r="L32" s="786"/>
      <c r="M32" s="786"/>
      <c r="N32" s="786"/>
      <c r="O32" s="786"/>
      <c r="P32" s="786"/>
      <c r="Q32" s="786"/>
      <c r="R32" s="786"/>
      <c r="S32" s="786"/>
      <c r="T32" s="786"/>
      <c r="U32" s="222"/>
    </row>
    <row r="33" spans="2:21" s="6" customFormat="1" ht="20" x14ac:dyDescent="0.2">
      <c r="B33" s="202"/>
      <c r="I33" s="223"/>
      <c r="J33" s="786" t="str">
        <f>+Calculations!B36</f>
        <v/>
      </c>
      <c r="K33" s="786"/>
      <c r="L33" s="786"/>
      <c r="M33" s="786"/>
      <c r="N33" s="786"/>
      <c r="O33" s="786"/>
      <c r="P33" s="786"/>
      <c r="Q33" s="786"/>
      <c r="R33" s="786"/>
      <c r="S33" s="786"/>
      <c r="T33" s="786"/>
      <c r="U33" s="222"/>
    </row>
    <row r="34" spans="2:21" s="6" customFormat="1" ht="9" customHeight="1" x14ac:dyDescent="0.2">
      <c r="B34" s="202"/>
      <c r="I34" s="223"/>
      <c r="J34" s="223"/>
      <c r="K34" s="223"/>
      <c r="L34" s="223"/>
      <c r="M34" s="223"/>
      <c r="N34" s="223"/>
      <c r="O34" s="223"/>
      <c r="P34" s="223"/>
      <c r="Q34" s="223"/>
      <c r="R34" s="223"/>
      <c r="S34" s="224"/>
      <c r="T34" s="223"/>
      <c r="U34" s="222"/>
    </row>
    <row r="35" spans="2:21" s="6" customFormat="1" ht="20" x14ac:dyDescent="0.2">
      <c r="B35" s="202"/>
      <c r="C35" s="6" t="str">
        <f>Calculations!B454</f>
        <v/>
      </c>
      <c r="I35" s="806" t="str">
        <f>Calculations!B42</f>
        <v/>
      </c>
      <c r="L35" s="6" t="str">
        <f>Calculations!B43</f>
        <v/>
      </c>
      <c r="O35" s="6" t="str">
        <f>Calculations!B44</f>
        <v/>
      </c>
      <c r="Q35" s="225">
        <f>+'Costing Sheet'!I$25</f>
        <v>0</v>
      </c>
      <c r="R35" s="225"/>
      <c r="S35" s="221">
        <f>-'Costing Sheet'!K$25</f>
        <v>0</v>
      </c>
      <c r="T35" s="225"/>
      <c r="U35" s="226">
        <f>+Calculations!B$529</f>
        <v>0</v>
      </c>
    </row>
    <row r="36" spans="2:21" s="6" customFormat="1" ht="20" x14ac:dyDescent="0.2">
      <c r="B36" s="202"/>
      <c r="I36" s="806"/>
      <c r="J36" s="786" t="str">
        <f>Calculations!B45</f>
        <v/>
      </c>
      <c r="K36" s="786"/>
      <c r="L36" s="786"/>
      <c r="M36" s="786"/>
      <c r="N36" s="786"/>
      <c r="O36" s="786"/>
      <c r="P36" s="786"/>
      <c r="Q36" s="786"/>
      <c r="R36" s="786"/>
      <c r="S36" s="786"/>
      <c r="T36" s="786"/>
      <c r="U36" s="222"/>
    </row>
    <row r="37" spans="2:21" s="6" customFormat="1" ht="20" x14ac:dyDescent="0.2">
      <c r="B37" s="202"/>
      <c r="I37" s="223"/>
      <c r="J37" s="786" t="str">
        <f>+Calculations!B48</f>
        <v/>
      </c>
      <c r="K37" s="786"/>
      <c r="L37" s="786"/>
      <c r="M37" s="786"/>
      <c r="N37" s="786"/>
      <c r="O37" s="786"/>
      <c r="P37" s="786"/>
      <c r="Q37" s="786"/>
      <c r="R37" s="786"/>
      <c r="S37" s="786"/>
      <c r="T37" s="786"/>
      <c r="U37" s="222"/>
    </row>
    <row r="38" spans="2:21" s="6" customFormat="1" ht="7" customHeight="1" x14ac:dyDescent="0.2">
      <c r="B38" s="202"/>
      <c r="I38" s="223"/>
      <c r="J38" s="223"/>
      <c r="K38" s="223"/>
      <c r="L38" s="223"/>
      <c r="M38" s="223"/>
      <c r="N38" s="223"/>
      <c r="O38" s="223"/>
      <c r="P38" s="223"/>
      <c r="Q38" s="223"/>
      <c r="R38" s="223"/>
      <c r="S38" s="224"/>
      <c r="T38" s="223"/>
      <c r="U38" s="222"/>
    </row>
    <row r="39" spans="2:21" s="6" customFormat="1" ht="20" x14ac:dyDescent="0.2">
      <c r="B39" s="202"/>
      <c r="C39" s="6" t="str">
        <f>Calculations!B455</f>
        <v/>
      </c>
      <c r="I39" s="786" t="str">
        <f>Calculations!B54</f>
        <v/>
      </c>
      <c r="L39" s="6" t="str">
        <f>Calculations!B55</f>
        <v/>
      </c>
      <c r="O39" s="6" t="str">
        <f>Calculations!B56</f>
        <v/>
      </c>
      <c r="Q39" s="225">
        <f>+'Costing Sheet'!I$26</f>
        <v>0</v>
      </c>
      <c r="R39" s="225"/>
      <c r="S39" s="221">
        <f>-'Costing Sheet'!K$26</f>
        <v>0</v>
      </c>
      <c r="T39" s="225"/>
      <c r="U39" s="226">
        <f>+Calculations!B$530</f>
        <v>0</v>
      </c>
    </row>
    <row r="40" spans="2:21" s="6" customFormat="1" ht="20" x14ac:dyDescent="0.2">
      <c r="B40" s="202"/>
      <c r="I40" s="786"/>
      <c r="J40" s="786" t="str">
        <f>Calculations!B57</f>
        <v/>
      </c>
      <c r="K40" s="786"/>
      <c r="L40" s="786"/>
      <c r="M40" s="786"/>
      <c r="N40" s="786"/>
      <c r="O40" s="786"/>
      <c r="P40" s="786"/>
      <c r="Q40" s="786"/>
      <c r="R40" s="786"/>
      <c r="S40" s="786"/>
      <c r="T40" s="786"/>
      <c r="U40" s="222"/>
    </row>
    <row r="41" spans="2:21" s="6" customFormat="1" ht="20" x14ac:dyDescent="0.2">
      <c r="B41" s="202"/>
      <c r="I41" s="223"/>
      <c r="J41" s="786" t="str">
        <f>+Calculations!B60</f>
        <v/>
      </c>
      <c r="K41" s="786"/>
      <c r="L41" s="786"/>
      <c r="M41" s="786"/>
      <c r="N41" s="786"/>
      <c r="O41" s="786"/>
      <c r="P41" s="786"/>
      <c r="Q41" s="786"/>
      <c r="R41" s="786"/>
      <c r="S41" s="786"/>
      <c r="T41" s="786"/>
      <c r="U41" s="222"/>
    </row>
    <row r="42" spans="2:21" s="6" customFormat="1" ht="6" customHeight="1" x14ac:dyDescent="0.2">
      <c r="B42" s="202"/>
      <c r="I42" s="223"/>
      <c r="J42" s="223"/>
      <c r="K42" s="223"/>
      <c r="L42" s="223"/>
      <c r="M42" s="223"/>
      <c r="N42" s="223"/>
      <c r="O42" s="223"/>
      <c r="P42" s="223"/>
      <c r="Q42" s="223"/>
      <c r="R42" s="223"/>
      <c r="S42" s="224"/>
      <c r="T42" s="223"/>
      <c r="U42" s="222"/>
    </row>
    <row r="43" spans="2:21" customFormat="1" ht="20" x14ac:dyDescent="0.2">
      <c r="B43" s="228"/>
      <c r="C43" s="6" t="str">
        <f>Calculations!B456</f>
        <v/>
      </c>
      <c r="D43" s="6"/>
      <c r="E43" s="6"/>
      <c r="F43" s="6"/>
      <c r="G43" s="6"/>
      <c r="H43" s="6"/>
      <c r="I43" s="786" t="str">
        <f>Calculations!B66</f>
        <v/>
      </c>
      <c r="J43" s="6"/>
      <c r="K43" s="6"/>
      <c r="L43" s="6" t="str">
        <f>Calculations!B67</f>
        <v/>
      </c>
      <c r="M43" s="6"/>
      <c r="N43" s="6"/>
      <c r="O43" s="6" t="str">
        <f>Calculations!B68</f>
        <v/>
      </c>
      <c r="P43" s="6"/>
      <c r="Q43" s="225">
        <f>+'Costing Sheet'!I$27</f>
        <v>0</v>
      </c>
      <c r="R43" s="225"/>
      <c r="S43" s="221">
        <f>-'Costing Sheet'!K$27</f>
        <v>0</v>
      </c>
      <c r="T43" s="225"/>
      <c r="U43" s="226">
        <f>+Calculations!B$531</f>
        <v>0</v>
      </c>
    </row>
    <row r="44" spans="2:21" customFormat="1" ht="20" x14ac:dyDescent="0.2">
      <c r="B44" s="228"/>
      <c r="C44" s="6"/>
      <c r="D44" s="6"/>
      <c r="E44" s="6"/>
      <c r="F44" s="6"/>
      <c r="G44" s="6"/>
      <c r="H44" s="6"/>
      <c r="I44" s="786"/>
      <c r="J44" s="786" t="str">
        <f>Calculations!B69</f>
        <v/>
      </c>
      <c r="K44" s="786"/>
      <c r="L44" s="786"/>
      <c r="M44" s="786"/>
      <c r="N44" s="786"/>
      <c r="O44" s="786"/>
      <c r="P44" s="786"/>
      <c r="Q44" s="786"/>
      <c r="R44" s="786"/>
      <c r="S44" s="786"/>
      <c r="T44" s="786"/>
      <c r="U44" s="222"/>
    </row>
    <row r="45" spans="2:21" customFormat="1" ht="20" x14ac:dyDescent="0.2">
      <c r="B45" s="228"/>
      <c r="C45" s="6"/>
      <c r="D45" s="6"/>
      <c r="E45" s="6"/>
      <c r="F45" s="6"/>
      <c r="G45" s="6"/>
      <c r="H45" s="6"/>
      <c r="I45" s="223"/>
      <c r="J45" s="806" t="str">
        <f>+Calculations!B72</f>
        <v/>
      </c>
      <c r="K45" s="786"/>
      <c r="L45" s="786"/>
      <c r="M45" s="786"/>
      <c r="N45" s="786"/>
      <c r="O45" s="786"/>
      <c r="P45" s="786"/>
      <c r="Q45" s="786"/>
      <c r="R45" s="786"/>
      <c r="S45" s="786"/>
      <c r="T45" s="786"/>
      <c r="U45" s="222"/>
    </row>
    <row r="46" spans="2:21" customFormat="1" ht="7" customHeight="1" x14ac:dyDescent="0.2">
      <c r="B46" s="228"/>
      <c r="C46" s="6"/>
      <c r="D46" s="6"/>
      <c r="E46" s="6"/>
      <c r="F46" s="6"/>
      <c r="G46" s="6"/>
      <c r="H46" s="6"/>
      <c r="I46" s="223"/>
      <c r="J46" s="227"/>
      <c r="K46" s="223"/>
      <c r="L46" s="223"/>
      <c r="M46" s="223"/>
      <c r="N46" s="223"/>
      <c r="O46" s="223"/>
      <c r="P46" s="223"/>
      <c r="Q46" s="223"/>
      <c r="R46" s="223"/>
      <c r="S46" s="224"/>
      <c r="T46" s="223"/>
      <c r="U46" s="222"/>
    </row>
    <row r="47" spans="2:21" customFormat="1" ht="20" x14ac:dyDescent="0.2">
      <c r="B47" s="228"/>
      <c r="C47" s="6" t="str">
        <f>Calculations!B457</f>
        <v/>
      </c>
      <c r="D47" s="6"/>
      <c r="E47" s="6"/>
      <c r="F47" s="6"/>
      <c r="G47" s="6"/>
      <c r="H47" s="6"/>
      <c r="I47" s="786" t="str">
        <f>Calculations!B78</f>
        <v/>
      </c>
      <c r="J47" s="6"/>
      <c r="K47" s="6"/>
      <c r="L47" s="6" t="str">
        <f>Calculations!B79</f>
        <v/>
      </c>
      <c r="M47" s="6"/>
      <c r="N47" s="6"/>
      <c r="O47" s="6" t="str">
        <f>Calculations!B80</f>
        <v/>
      </c>
      <c r="P47" s="6"/>
      <c r="Q47" s="225">
        <f>+'Costing Sheet'!I$28</f>
        <v>0</v>
      </c>
      <c r="R47" s="225"/>
      <c r="S47" s="221">
        <f>-'Costing Sheet'!K$28</f>
        <v>0</v>
      </c>
      <c r="T47" s="225"/>
      <c r="U47" s="226">
        <f>+Calculations!B$532</f>
        <v>0</v>
      </c>
    </row>
    <row r="48" spans="2:21" customFormat="1" ht="20" x14ac:dyDescent="0.2">
      <c r="B48" s="228"/>
      <c r="C48" s="6"/>
      <c r="D48" s="6"/>
      <c r="E48" s="6"/>
      <c r="F48" s="6"/>
      <c r="G48" s="6"/>
      <c r="H48" s="6"/>
      <c r="I48" s="786"/>
      <c r="J48" s="786" t="str">
        <f>Calculations!B81</f>
        <v/>
      </c>
      <c r="K48" s="786"/>
      <c r="L48" s="786"/>
      <c r="M48" s="786"/>
      <c r="N48" s="786"/>
      <c r="O48" s="786"/>
      <c r="P48" s="786"/>
      <c r="Q48" s="786"/>
      <c r="R48" s="786"/>
      <c r="S48" s="786"/>
      <c r="T48" s="786"/>
      <c r="U48" s="222"/>
    </row>
    <row r="49" spans="2:21" customFormat="1" ht="20" x14ac:dyDescent="0.2">
      <c r="B49" s="228"/>
      <c r="C49" s="6"/>
      <c r="D49" s="6"/>
      <c r="E49" s="6"/>
      <c r="F49" s="6"/>
      <c r="G49" s="6"/>
      <c r="H49" s="6"/>
      <c r="I49" s="223"/>
      <c r="J49" s="786" t="str">
        <f>+Calculations!B84</f>
        <v/>
      </c>
      <c r="K49" s="786"/>
      <c r="L49" s="786"/>
      <c r="M49" s="786"/>
      <c r="N49" s="786"/>
      <c r="O49" s="786"/>
      <c r="P49" s="786"/>
      <c r="Q49" s="786"/>
      <c r="R49" s="786"/>
      <c r="S49" s="786"/>
      <c r="T49" s="786"/>
      <c r="U49" s="222"/>
    </row>
    <row r="50" spans="2:21" customFormat="1" ht="7" customHeight="1" x14ac:dyDescent="0.2">
      <c r="B50" s="228"/>
      <c r="C50" s="6"/>
      <c r="D50" s="6"/>
      <c r="E50" s="6"/>
      <c r="F50" s="6"/>
      <c r="G50" s="6"/>
      <c r="H50" s="6"/>
      <c r="I50" s="223"/>
      <c r="J50" s="223"/>
      <c r="K50" s="223"/>
      <c r="L50" s="223"/>
      <c r="M50" s="223"/>
      <c r="N50" s="223"/>
      <c r="O50" s="223"/>
      <c r="P50" s="223"/>
      <c r="Q50" s="223"/>
      <c r="R50" s="223"/>
      <c r="S50" s="224"/>
      <c r="T50" s="223"/>
      <c r="U50" s="222"/>
    </row>
    <row r="51" spans="2:21" customFormat="1" ht="20" x14ac:dyDescent="0.2">
      <c r="B51" s="228"/>
      <c r="C51" s="6" t="str">
        <f>Calculations!B458</f>
        <v/>
      </c>
      <c r="D51" s="6"/>
      <c r="E51" s="6"/>
      <c r="F51" s="6"/>
      <c r="G51" s="6"/>
      <c r="H51" s="6"/>
      <c r="I51" s="786" t="str">
        <f>Calculations!B90</f>
        <v/>
      </c>
      <c r="J51" s="6"/>
      <c r="K51" s="6"/>
      <c r="L51" s="6" t="str">
        <f>Calculations!B91</f>
        <v/>
      </c>
      <c r="M51" s="6"/>
      <c r="N51" s="6"/>
      <c r="O51" s="6" t="str">
        <f>Calculations!B92</f>
        <v/>
      </c>
      <c r="P51" s="6"/>
      <c r="Q51" s="225">
        <f>+'Costing Sheet'!I$29</f>
        <v>0</v>
      </c>
      <c r="R51" s="225"/>
      <c r="S51" s="221">
        <f>-'Costing Sheet'!K$29</f>
        <v>0</v>
      </c>
      <c r="T51" s="225"/>
      <c r="U51" s="226">
        <f>+Calculations!B$533</f>
        <v>0</v>
      </c>
    </row>
    <row r="52" spans="2:21" customFormat="1" ht="20" x14ac:dyDescent="0.2">
      <c r="B52" s="228"/>
      <c r="C52" s="6"/>
      <c r="D52" s="6"/>
      <c r="E52" s="6"/>
      <c r="F52" s="6"/>
      <c r="G52" s="6"/>
      <c r="H52" s="6"/>
      <c r="I52" s="786"/>
      <c r="J52" s="786" t="str">
        <f>Calculations!B93</f>
        <v/>
      </c>
      <c r="K52" s="786"/>
      <c r="L52" s="786"/>
      <c r="M52" s="786"/>
      <c r="N52" s="786"/>
      <c r="O52" s="786"/>
      <c r="P52" s="786"/>
      <c r="Q52" s="786"/>
      <c r="R52" s="786"/>
      <c r="S52" s="786"/>
      <c r="T52" s="786"/>
      <c r="U52" s="222"/>
    </row>
    <row r="53" spans="2:21" customFormat="1" ht="20" x14ac:dyDescent="0.2">
      <c r="B53" s="228"/>
      <c r="C53" s="6"/>
      <c r="D53" s="6"/>
      <c r="E53" s="6"/>
      <c r="F53" s="6"/>
      <c r="G53" s="6"/>
      <c r="H53" s="6"/>
      <c r="I53" s="223"/>
      <c r="J53" s="786" t="str">
        <f>+Calculations!B96</f>
        <v/>
      </c>
      <c r="K53" s="786"/>
      <c r="L53" s="786"/>
      <c r="M53" s="786"/>
      <c r="N53" s="786"/>
      <c r="O53" s="786"/>
      <c r="P53" s="786"/>
      <c r="Q53" s="786"/>
      <c r="R53" s="786"/>
      <c r="S53" s="786"/>
      <c r="T53" s="786"/>
      <c r="U53" s="222"/>
    </row>
    <row r="54" spans="2:21" customFormat="1" ht="9" customHeight="1" x14ac:dyDescent="0.2">
      <c r="B54" s="228"/>
      <c r="C54" s="6"/>
      <c r="D54" s="6"/>
      <c r="E54" s="6"/>
      <c r="F54" s="6"/>
      <c r="G54" s="6"/>
      <c r="H54" s="6"/>
      <c r="I54" s="223"/>
      <c r="J54" s="223"/>
      <c r="K54" s="223"/>
      <c r="L54" s="223"/>
      <c r="M54" s="223"/>
      <c r="N54" s="223"/>
      <c r="O54" s="223"/>
      <c r="P54" s="223"/>
      <c r="Q54" s="223"/>
      <c r="R54" s="223"/>
      <c r="S54" s="224"/>
      <c r="T54" s="223"/>
      <c r="U54" s="222"/>
    </row>
    <row r="55" spans="2:21" customFormat="1" ht="20" x14ac:dyDescent="0.2">
      <c r="B55" s="228"/>
      <c r="C55" s="6" t="str">
        <f>Calculations!B459</f>
        <v/>
      </c>
      <c r="D55" s="6"/>
      <c r="E55" s="6"/>
      <c r="F55" s="6"/>
      <c r="G55" s="6"/>
      <c r="H55" s="6"/>
      <c r="I55" s="786" t="str">
        <f>Calculations!B102</f>
        <v/>
      </c>
      <c r="J55" s="6"/>
      <c r="K55" s="6"/>
      <c r="L55" s="6" t="str">
        <f>Calculations!B103</f>
        <v/>
      </c>
      <c r="M55" s="6"/>
      <c r="N55" s="6"/>
      <c r="O55" s="6" t="str">
        <f>Calculations!B104</f>
        <v/>
      </c>
      <c r="P55" s="6"/>
      <c r="Q55" s="225">
        <f>+'Costing Sheet'!I$30</f>
        <v>0</v>
      </c>
      <c r="R55" s="225"/>
      <c r="S55" s="221">
        <f>-'Costing Sheet'!K$30</f>
        <v>0</v>
      </c>
      <c r="T55" s="225"/>
      <c r="U55" s="226">
        <f>+Calculations!B$534</f>
        <v>0</v>
      </c>
    </row>
    <row r="56" spans="2:21" customFormat="1" ht="23.25" customHeight="1" x14ac:dyDescent="0.2">
      <c r="B56" s="228"/>
      <c r="C56" s="6"/>
      <c r="D56" s="6"/>
      <c r="E56" s="6"/>
      <c r="F56" s="6"/>
      <c r="G56" s="6"/>
      <c r="H56" s="6"/>
      <c r="I56" s="786"/>
      <c r="J56" s="786" t="str">
        <f>Calculations!B105</f>
        <v/>
      </c>
      <c r="K56" s="786"/>
      <c r="L56" s="786"/>
      <c r="M56" s="786"/>
      <c r="N56" s="786"/>
      <c r="O56" s="786"/>
      <c r="P56" s="786"/>
      <c r="Q56" s="786"/>
      <c r="R56" s="786"/>
      <c r="S56" s="786"/>
      <c r="T56" s="786"/>
      <c r="U56" s="222"/>
    </row>
    <row r="57" spans="2:21" customFormat="1" ht="21" customHeight="1" x14ac:dyDescent="0.2">
      <c r="B57" s="228"/>
      <c r="C57" s="6"/>
      <c r="D57" s="6"/>
      <c r="E57" s="6"/>
      <c r="F57" s="6"/>
      <c r="G57" s="6"/>
      <c r="H57" s="6"/>
      <c r="I57" s="223"/>
      <c r="J57" s="786" t="str">
        <f>+Calculations!B108</f>
        <v/>
      </c>
      <c r="K57" s="786"/>
      <c r="L57" s="786"/>
      <c r="M57" s="786"/>
      <c r="N57" s="786"/>
      <c r="O57" s="786"/>
      <c r="P57" s="786"/>
      <c r="Q57" s="786"/>
      <c r="R57" s="786"/>
      <c r="S57" s="786"/>
      <c r="T57" s="786"/>
      <c r="U57" s="222"/>
    </row>
    <row r="58" spans="2:21" customFormat="1" ht="8.25" customHeight="1" x14ac:dyDescent="0.2">
      <c r="B58" s="228"/>
      <c r="C58" s="6"/>
      <c r="D58" s="6"/>
      <c r="E58" s="6"/>
      <c r="F58" s="6"/>
      <c r="G58" s="6"/>
      <c r="H58" s="6"/>
      <c r="I58" s="223"/>
      <c r="J58" s="223"/>
      <c r="K58" s="223"/>
      <c r="L58" s="223"/>
      <c r="M58" s="223"/>
      <c r="N58" s="223"/>
      <c r="O58" s="223"/>
      <c r="P58" s="223"/>
      <c r="Q58" s="223"/>
      <c r="R58" s="223"/>
      <c r="S58" s="224"/>
      <c r="T58" s="223"/>
      <c r="U58" s="222"/>
    </row>
    <row r="59" spans="2:21" customFormat="1" ht="20" x14ac:dyDescent="0.2">
      <c r="B59" s="228"/>
      <c r="C59" s="6" t="str">
        <f>Calculations!B460</f>
        <v/>
      </c>
      <c r="D59" s="6"/>
      <c r="E59" s="6"/>
      <c r="F59" s="6"/>
      <c r="G59" s="6"/>
      <c r="H59" s="6"/>
      <c r="I59" s="786" t="str">
        <f>Calculations!B114</f>
        <v/>
      </c>
      <c r="J59" s="6"/>
      <c r="K59" s="6"/>
      <c r="L59" s="6" t="str">
        <f>Calculations!B115</f>
        <v/>
      </c>
      <c r="M59" s="6"/>
      <c r="N59" s="6"/>
      <c r="O59" s="6" t="str">
        <f>Calculations!B116</f>
        <v/>
      </c>
      <c r="P59" s="6"/>
      <c r="Q59" s="225">
        <f>+'Costing Sheet'!I$31</f>
        <v>0</v>
      </c>
      <c r="R59" s="225"/>
      <c r="S59" s="221">
        <f>-'Costing Sheet'!K$31</f>
        <v>0</v>
      </c>
      <c r="T59" s="225"/>
      <c r="U59" s="226">
        <f>+Calculations!B$535</f>
        <v>0</v>
      </c>
    </row>
    <row r="60" spans="2:21" customFormat="1" ht="20" x14ac:dyDescent="0.2">
      <c r="B60" s="228"/>
      <c r="C60" s="6"/>
      <c r="D60" s="6"/>
      <c r="E60" s="6"/>
      <c r="F60" s="6"/>
      <c r="G60" s="6"/>
      <c r="H60" s="6"/>
      <c r="I60" s="786"/>
      <c r="J60" s="786" t="str">
        <f>Calculations!B117</f>
        <v/>
      </c>
      <c r="K60" s="786"/>
      <c r="L60" s="786"/>
      <c r="M60" s="786"/>
      <c r="N60" s="786"/>
      <c r="O60" s="786"/>
      <c r="P60" s="786"/>
      <c r="Q60" s="786"/>
      <c r="R60" s="786"/>
      <c r="S60" s="786"/>
      <c r="T60" s="786"/>
      <c r="U60" s="222"/>
    </row>
    <row r="61" spans="2:21" customFormat="1" ht="20" x14ac:dyDescent="0.2">
      <c r="B61" s="228"/>
      <c r="C61" s="6"/>
      <c r="D61" s="6"/>
      <c r="E61" s="6"/>
      <c r="F61" s="6"/>
      <c r="G61" s="6"/>
      <c r="H61" s="6"/>
      <c r="I61" s="223"/>
      <c r="J61" s="786" t="str">
        <f>+Calculations!B120</f>
        <v/>
      </c>
      <c r="K61" s="786"/>
      <c r="L61" s="786"/>
      <c r="M61" s="786"/>
      <c r="N61" s="786"/>
      <c r="O61" s="786"/>
      <c r="P61" s="786"/>
      <c r="Q61" s="786"/>
      <c r="R61" s="786"/>
      <c r="S61" s="786"/>
      <c r="T61" s="786"/>
      <c r="U61" s="222"/>
    </row>
    <row r="62" spans="2:21" customFormat="1" ht="20.25" customHeight="1" x14ac:dyDescent="0.2">
      <c r="B62" s="228"/>
      <c r="C62" s="786" t="str">
        <f>UPPER('Sales Input Sheet'!E55)</f>
        <v/>
      </c>
      <c r="D62" s="786"/>
      <c r="E62" s="786"/>
      <c r="F62" s="786"/>
      <c r="G62" s="786"/>
      <c r="H62" s="786"/>
      <c r="I62" s="786"/>
      <c r="J62" s="786"/>
      <c r="K62" s="786"/>
      <c r="L62" s="786"/>
      <c r="M62" s="786"/>
      <c r="N62" s="786"/>
      <c r="O62" s="786"/>
      <c r="P62" s="786"/>
      <c r="Q62" s="786"/>
      <c r="R62" s="786"/>
      <c r="S62" s="786"/>
      <c r="T62" s="786"/>
      <c r="U62" s="807"/>
    </row>
    <row r="63" spans="2:21" customFormat="1" ht="20.25" customHeight="1" x14ac:dyDescent="0.2">
      <c r="B63" s="228"/>
      <c r="C63" s="786"/>
      <c r="D63" s="786"/>
      <c r="E63" s="786"/>
      <c r="F63" s="786"/>
      <c r="G63" s="786"/>
      <c r="H63" s="786"/>
      <c r="I63" s="786"/>
      <c r="J63" s="786"/>
      <c r="K63" s="786"/>
      <c r="L63" s="786"/>
      <c r="M63" s="786"/>
      <c r="N63" s="786"/>
      <c r="O63" s="786"/>
      <c r="P63" s="786"/>
      <c r="Q63" s="786"/>
      <c r="R63" s="786"/>
      <c r="S63" s="786"/>
      <c r="T63" s="786"/>
      <c r="U63" s="807"/>
    </row>
    <row r="64" spans="2:21" customFormat="1" ht="12" customHeight="1" thickBot="1" x14ac:dyDescent="0.25">
      <c r="B64" s="230"/>
      <c r="C64" s="231"/>
      <c r="D64" s="231"/>
      <c r="E64" s="231"/>
      <c r="F64" s="231"/>
      <c r="G64" s="231"/>
      <c r="H64" s="231"/>
      <c r="I64" s="231"/>
      <c r="J64" s="231"/>
      <c r="K64" s="231"/>
      <c r="L64" s="231"/>
      <c r="M64" s="231"/>
      <c r="N64" s="231"/>
      <c r="O64" s="231"/>
      <c r="P64" s="231"/>
      <c r="Q64" s="232"/>
      <c r="R64" s="232"/>
      <c r="S64" s="233"/>
      <c r="T64" s="232"/>
      <c r="U64" s="234"/>
    </row>
    <row r="65" spans="2:24" s="6" customFormat="1" ht="7" customHeight="1" thickBot="1" x14ac:dyDescent="0.25">
      <c r="B65" s="235"/>
      <c r="C65" s="231"/>
      <c r="D65" s="231"/>
      <c r="E65" s="231"/>
      <c r="F65" s="231"/>
      <c r="G65" s="231"/>
      <c r="H65" s="231"/>
      <c r="I65" s="231"/>
      <c r="J65" s="231"/>
      <c r="K65" s="231"/>
      <c r="L65" s="231"/>
      <c r="M65" s="231"/>
      <c r="N65" s="231"/>
      <c r="O65" s="231"/>
      <c r="P65" s="231"/>
      <c r="Q65" s="231"/>
      <c r="R65" s="231"/>
      <c r="S65" s="233"/>
      <c r="T65" s="231"/>
      <c r="U65" s="236"/>
    </row>
    <row r="66" spans="2:24" s="6" customFormat="1" ht="41.25" customHeight="1" thickBot="1" x14ac:dyDescent="0.25">
      <c r="B66" s="367" t="s">
        <v>283</v>
      </c>
      <c r="C66" s="368"/>
      <c r="D66" s="368"/>
      <c r="E66" s="368"/>
      <c r="F66" s="368"/>
      <c r="G66" s="368"/>
      <c r="H66" s="368"/>
      <c r="I66" s="368" t="s">
        <v>105</v>
      </c>
      <c r="J66" s="368"/>
      <c r="K66" s="368"/>
      <c r="L66" s="368" t="s">
        <v>106</v>
      </c>
      <c r="M66" s="368"/>
      <c r="N66" s="368"/>
      <c r="O66" s="368" t="s">
        <v>282</v>
      </c>
      <c r="P66" s="368"/>
      <c r="Q66" s="368" t="s">
        <v>284</v>
      </c>
      <c r="R66" s="368"/>
      <c r="S66" s="369" t="s">
        <v>331</v>
      </c>
      <c r="T66" s="368"/>
      <c r="U66" s="370" t="s">
        <v>296</v>
      </c>
    </row>
    <row r="67" spans="2:24" s="6" customFormat="1" ht="21" x14ac:dyDescent="0.2">
      <c r="B67" s="214"/>
      <c r="C67" s="215"/>
      <c r="D67" s="215"/>
      <c r="E67" s="215"/>
      <c r="F67" s="215"/>
      <c r="G67" s="215"/>
      <c r="H67" s="215"/>
      <c r="I67" s="215" t="str">
        <f>+Calculations!B504</f>
        <v/>
      </c>
      <c r="J67" s="215"/>
      <c r="K67" s="215"/>
      <c r="L67" s="215" t="str">
        <f>+Calculations!B506</f>
        <v/>
      </c>
      <c r="M67" s="215"/>
      <c r="N67" s="215"/>
      <c r="O67" s="215" t="str">
        <f>+Calculations!B502</f>
        <v/>
      </c>
      <c r="P67" s="215"/>
      <c r="Q67" s="239" t="str">
        <f>Calculations!B514</f>
        <v/>
      </c>
      <c r="R67" s="215"/>
      <c r="S67" s="217">
        <f>Calculations!B498</f>
        <v>0</v>
      </c>
      <c r="T67" s="217"/>
      <c r="U67" s="219">
        <f>Calculations!B500</f>
        <v>0</v>
      </c>
    </row>
    <row r="68" spans="2:24" s="6" customFormat="1" ht="21" x14ac:dyDescent="0.2">
      <c r="B68" s="202"/>
      <c r="I68" s="6" t="str">
        <f>+Calculations!B505</f>
        <v/>
      </c>
      <c r="L68" s="6" t="str">
        <f>+Calculations!B507</f>
        <v/>
      </c>
      <c r="O68" s="6" t="str">
        <f>+Calculations!B503</f>
        <v/>
      </c>
      <c r="Q68" s="240" t="str">
        <f>Calculations!B515</f>
        <v/>
      </c>
      <c r="S68" s="225">
        <f>Calculations!B499</f>
        <v>0</v>
      </c>
      <c r="T68" s="225"/>
      <c r="U68" s="226">
        <f>Calculations!B501</f>
        <v>0</v>
      </c>
    </row>
    <row r="69" spans="2:24" s="6" customFormat="1" ht="21" x14ac:dyDescent="0.2">
      <c r="B69" s="202"/>
      <c r="I69" s="6" t="str">
        <f>+Calculations!B694</f>
        <v/>
      </c>
      <c r="L69" s="6" t="str">
        <f>+Calculations!B698</f>
        <v/>
      </c>
      <c r="O69" s="6" t="str">
        <f>+Calculations!B690</f>
        <v/>
      </c>
      <c r="Q69" s="240" t="str">
        <f>+Calculations!B678</f>
        <v/>
      </c>
      <c r="S69" s="225">
        <f>+Calculations!B682</f>
        <v>0</v>
      </c>
      <c r="T69" s="225"/>
      <c r="U69" s="226">
        <f>+Calculations!B686</f>
        <v>0</v>
      </c>
    </row>
    <row r="70" spans="2:24" s="6" customFormat="1" ht="21" x14ac:dyDescent="0.2">
      <c r="B70" s="202"/>
      <c r="I70" s="6" t="str">
        <f>+Calculations!B695</f>
        <v/>
      </c>
      <c r="L70" s="6" t="str">
        <f>+Calculations!B699</f>
        <v/>
      </c>
      <c r="O70" s="6" t="str">
        <f>+Calculations!B691</f>
        <v/>
      </c>
      <c r="Q70" s="240" t="str">
        <f>+Calculations!B679</f>
        <v/>
      </c>
      <c r="S70" s="225">
        <f>+Calculations!B683</f>
        <v>0</v>
      </c>
      <c r="T70" s="225"/>
      <c r="U70" s="226">
        <f>+Calculations!B687</f>
        <v>0</v>
      </c>
    </row>
    <row r="71" spans="2:24" s="6" customFormat="1" ht="21" x14ac:dyDescent="0.2">
      <c r="B71" s="202"/>
      <c r="I71" s="6" t="str">
        <f>+Calculations!B696</f>
        <v/>
      </c>
      <c r="L71" s="6" t="str">
        <f>+Calculations!B700</f>
        <v/>
      </c>
      <c r="O71" s="6" t="str">
        <f>+Calculations!B692</f>
        <v/>
      </c>
      <c r="Q71" s="240" t="str">
        <f>+Calculations!B680</f>
        <v/>
      </c>
      <c r="S71" s="225">
        <f>+Calculations!B684</f>
        <v>0</v>
      </c>
      <c r="T71" s="225"/>
      <c r="U71" s="226">
        <f>+Calculations!B688</f>
        <v>0</v>
      </c>
    </row>
    <row r="72" spans="2:24" s="6" customFormat="1" ht="21" x14ac:dyDescent="0.2">
      <c r="B72" s="235"/>
      <c r="C72" s="231"/>
      <c r="D72" s="231"/>
      <c r="E72" s="231"/>
      <c r="F72" s="231"/>
      <c r="G72" s="231"/>
      <c r="H72" s="231"/>
      <c r="I72" s="231" t="str">
        <f>+Calculations!B697</f>
        <v/>
      </c>
      <c r="J72" s="231"/>
      <c r="K72" s="231"/>
      <c r="L72" s="231" t="str">
        <f>+Calculations!B701</f>
        <v/>
      </c>
      <c r="M72" s="231"/>
      <c r="N72" s="231"/>
      <c r="O72" s="231" t="str">
        <f>+Calculations!B693</f>
        <v/>
      </c>
      <c r="P72" s="231"/>
      <c r="Q72" s="241" t="str">
        <f>+Calculations!B681</f>
        <v/>
      </c>
      <c r="R72" s="231"/>
      <c r="S72" s="232">
        <f>+Calculations!B685</f>
        <v>0</v>
      </c>
      <c r="T72" s="232"/>
      <c r="U72" s="234">
        <f>+Calculations!B689</f>
        <v>0</v>
      </c>
    </row>
    <row r="73" spans="2:24" s="6" customFormat="1" ht="3" customHeight="1" thickBot="1" x14ac:dyDescent="0.25">
      <c r="B73" s="202"/>
      <c r="S73" s="221"/>
      <c r="U73" s="222"/>
    </row>
    <row r="74" spans="2:24" s="6" customFormat="1" ht="24" customHeight="1" thickBot="1" x14ac:dyDescent="0.35">
      <c r="B74" s="808" t="s">
        <v>332</v>
      </c>
      <c r="C74" s="809"/>
      <c r="D74" s="809"/>
      <c r="E74" s="809"/>
      <c r="F74" s="809"/>
      <c r="G74" s="809"/>
      <c r="H74" s="809"/>
      <c r="I74" s="809"/>
      <c r="J74" s="809"/>
      <c r="K74" s="809"/>
      <c r="L74" s="809"/>
      <c r="M74" s="809"/>
      <c r="N74" s="809"/>
      <c r="O74" s="809"/>
      <c r="P74" s="809"/>
      <c r="Q74" s="809"/>
      <c r="R74" s="809"/>
      <c r="S74" s="809"/>
      <c r="T74" s="809"/>
      <c r="U74" s="910"/>
    </row>
    <row r="75" spans="2:24" s="6" customFormat="1" ht="30" customHeight="1" x14ac:dyDescent="0.3">
      <c r="B75" s="911" t="s">
        <v>333</v>
      </c>
      <c r="C75" s="912"/>
      <c r="D75" s="912"/>
      <c r="E75" s="912"/>
      <c r="F75" s="913"/>
      <c r="G75" s="371"/>
      <c r="H75" s="916" t="s">
        <v>334</v>
      </c>
      <c r="I75" s="916"/>
      <c r="J75" s="916"/>
      <c r="K75" s="916"/>
      <c r="L75" s="916"/>
      <c r="M75" s="372"/>
      <c r="N75" s="917" t="s">
        <v>335</v>
      </c>
      <c r="O75" s="916"/>
      <c r="P75" s="916"/>
      <c r="Q75" s="918"/>
      <c r="R75" s="914" t="s">
        <v>336</v>
      </c>
      <c r="S75" s="914"/>
      <c r="T75" s="914"/>
      <c r="U75" s="915"/>
    </row>
    <row r="76" spans="2:24" s="6" customFormat="1" ht="31" customHeight="1" thickBot="1" x14ac:dyDescent="0.35">
      <c r="B76" s="924">
        <f>'Costing Sheet'!$U$11</f>
        <v>0</v>
      </c>
      <c r="C76" s="925"/>
      <c r="D76" s="925"/>
      <c r="E76" s="925"/>
      <c r="F76" s="926"/>
      <c r="G76" s="246"/>
      <c r="H76" s="927">
        <f>'Costing Sheet'!$U$7</f>
        <v>0</v>
      </c>
      <c r="I76" s="927"/>
      <c r="J76" s="927"/>
      <c r="K76" s="927"/>
      <c r="L76" s="927"/>
      <c r="M76" s="247"/>
      <c r="N76" s="919">
        <f>'Costing Sheet'!$U$9</f>
        <v>0</v>
      </c>
      <c r="O76" s="920"/>
      <c r="P76" s="920"/>
      <c r="Q76" s="921"/>
      <c r="R76" s="922">
        <f>+Calculations!$B$449</f>
        <v>0</v>
      </c>
      <c r="S76" s="922"/>
      <c r="T76" s="922"/>
      <c r="U76" s="923"/>
    </row>
    <row r="77" spans="2:24" s="6" customFormat="1" ht="49" customHeight="1" x14ac:dyDescent="0.3">
      <c r="B77" s="928" t="str">
        <f>+Calculations!B$416</f>
        <v/>
      </c>
      <c r="C77" s="929"/>
      <c r="D77" s="929"/>
      <c r="E77" s="929"/>
      <c r="F77" s="929"/>
      <c r="G77" s="373"/>
      <c r="H77" s="930" t="str">
        <f>IF(B77="","",+Calculations!B$425)</f>
        <v/>
      </c>
      <c r="I77" s="930"/>
      <c r="J77" s="930"/>
      <c r="K77" s="930"/>
      <c r="L77" s="374"/>
      <c r="M77" s="242"/>
      <c r="N77" s="375"/>
      <c r="O77" s="375"/>
      <c r="P77" s="375"/>
      <c r="Q77" s="375"/>
      <c r="R77" s="376"/>
      <c r="S77" s="377"/>
      <c r="T77" s="376"/>
      <c r="U77" s="378"/>
      <c r="X77" s="352"/>
    </row>
    <row r="78" spans="2:24" s="6" customFormat="1" ht="41.25" customHeight="1" x14ac:dyDescent="0.2">
      <c r="B78" s="786" t="str">
        <f>_xlfn.CONCAT(Calculations!B384)</f>
        <v>For presentation purposes and submitting for approval of financing, payments are based upon a  month term at an annual interest rate of 0.000%.  Actual term and rates may vary based upon financing available based upon customers credit and other factors.</v>
      </c>
      <c r="C78" s="786"/>
      <c r="D78" s="786"/>
      <c r="E78" s="786"/>
      <c r="F78" s="786"/>
      <c r="G78" s="786"/>
      <c r="H78" s="786"/>
      <c r="I78" s="786"/>
      <c r="J78" s="786"/>
      <c r="K78" s="786"/>
      <c r="L78" s="786"/>
      <c r="M78" s="786"/>
      <c r="N78" s="786"/>
      <c r="O78" s="786"/>
      <c r="P78" s="786"/>
      <c r="Q78" s="786"/>
      <c r="R78" s="786"/>
      <c r="S78" s="786"/>
      <c r="T78" s="786"/>
      <c r="U78" s="786"/>
    </row>
    <row r="79" spans="2:24" s="6" customFormat="1" ht="20.25" customHeight="1" x14ac:dyDescent="0.2">
      <c r="S79" s="221"/>
    </row>
    <row r="80" spans="2:24" s="6" customFormat="1" ht="23" x14ac:dyDescent="0.25">
      <c r="J80" s="269" t="str">
        <f>+Q2</f>
        <v/>
      </c>
      <c r="K80" s="269"/>
      <c r="L80" s="269"/>
      <c r="M80" s="269"/>
      <c r="N80" s="269"/>
      <c r="O80" s="269"/>
      <c r="S80" s="221"/>
      <c r="U80" s="270"/>
    </row>
    <row r="81" spans="1:52" s="6" customFormat="1" ht="20" x14ac:dyDescent="0.2">
      <c r="J81" s="841" t="str">
        <f>+Q4</f>
        <v/>
      </c>
      <c r="K81" s="841"/>
      <c r="L81" s="841"/>
      <c r="M81" s="841"/>
      <c r="N81" s="841"/>
      <c r="O81" s="841"/>
      <c r="S81" s="221"/>
      <c r="U81" s="270"/>
    </row>
    <row r="82" spans="1:52" s="6" customFormat="1" ht="20" x14ac:dyDescent="0.2">
      <c r="J82" s="841" t="str">
        <f>+Q5</f>
        <v/>
      </c>
      <c r="K82" s="841"/>
      <c r="L82" s="841"/>
      <c r="M82" s="841"/>
      <c r="N82" s="841"/>
      <c r="O82" s="841"/>
      <c r="Q82" s="6" t="str">
        <f>+Q15</f>
        <v>SALES PERSON</v>
      </c>
      <c r="S82" s="785" t="str">
        <f>+S15</f>
        <v/>
      </c>
      <c r="T82" s="785"/>
      <c r="U82" s="785"/>
    </row>
    <row r="83" spans="1:52" s="6" customFormat="1" ht="20" x14ac:dyDescent="0.2">
      <c r="J83" s="841" t="str">
        <f>+Q10</f>
        <v/>
      </c>
      <c r="K83" s="841"/>
      <c r="L83" s="841"/>
      <c r="M83" s="841"/>
      <c r="N83" s="841"/>
      <c r="O83" s="841"/>
      <c r="S83" s="221"/>
      <c r="U83" s="270"/>
    </row>
    <row r="84" spans="1:52" s="6" customFormat="1" ht="20" x14ac:dyDescent="0.2">
      <c r="S84" s="221"/>
      <c r="U84" s="270"/>
    </row>
    <row r="85" spans="1:52" s="6" customFormat="1" ht="20" x14ac:dyDescent="0.2">
      <c r="C85" s="842" t="str">
        <f>+C12</f>
        <v/>
      </c>
      <c r="D85" s="842"/>
      <c r="E85" s="842"/>
      <c r="F85" s="842"/>
      <c r="Q85" s="221" t="s">
        <v>304</v>
      </c>
      <c r="S85" s="842">
        <f>+'Costing Sheet'!$C$13</f>
        <v>0</v>
      </c>
      <c r="T85" s="842"/>
      <c r="U85" s="842"/>
    </row>
    <row r="86" spans="1:52" s="6" customFormat="1" ht="20" x14ac:dyDescent="0.2">
      <c r="C86" s="842" t="str">
        <f>+C13</f>
        <v xml:space="preserve">  </v>
      </c>
      <c r="D86" s="842"/>
      <c r="E86" s="842"/>
      <c r="F86" s="842"/>
      <c r="Q86" s="221" t="s">
        <v>305</v>
      </c>
      <c r="S86" s="843">
        <f>'Costing Sheet'!$C$11</f>
        <v>0</v>
      </c>
      <c r="T86" s="843"/>
      <c r="U86" s="843"/>
    </row>
    <row r="87" spans="1:52" s="6" customFormat="1" ht="23" thickBot="1" x14ac:dyDescent="0.35">
      <c r="B87" s="240"/>
      <c r="C87" s="273">
        <f>+'Costing Sheet'!C19</f>
        <v>0</v>
      </c>
      <c r="D87" s="274"/>
      <c r="E87" s="274"/>
      <c r="F87" s="852">
        <f>+'Costing Sheet'!E19</f>
        <v>0</v>
      </c>
      <c r="G87" s="852"/>
      <c r="H87" s="852"/>
      <c r="I87" s="852"/>
      <c r="J87" s="852"/>
      <c r="K87" s="852"/>
      <c r="L87" s="852"/>
      <c r="O87" s="6" t="str">
        <f>UPPER('Costing Sheet'!C17)</f>
        <v/>
      </c>
      <c r="Q87" s="898" t="str">
        <f>UPPER('Costing Sheet'!E17)</f>
        <v/>
      </c>
      <c r="R87" s="898"/>
      <c r="S87" s="898"/>
      <c r="V87" s="223"/>
    </row>
    <row r="88" spans="1:52" s="9" customFormat="1" ht="28" customHeight="1" thickBot="1" x14ac:dyDescent="0.25">
      <c r="A88" s="16"/>
      <c r="B88" s="853" t="s">
        <v>288</v>
      </c>
      <c r="C88" s="854"/>
      <c r="D88" s="854"/>
      <c r="E88" s="854"/>
      <c r="F88" s="854"/>
      <c r="G88" s="854"/>
      <c r="H88" s="854"/>
      <c r="I88" s="854"/>
      <c r="J88" s="854"/>
      <c r="K88" s="854"/>
      <c r="L88" s="854"/>
      <c r="M88" s="854"/>
      <c r="N88" s="855"/>
      <c r="O88" s="855"/>
      <c r="P88" s="855"/>
      <c r="Q88" s="855"/>
      <c r="R88" s="855"/>
      <c r="S88" s="855"/>
      <c r="T88" s="855"/>
      <c r="U88" s="856"/>
      <c r="AS88" s="16"/>
      <c r="AT88" s="16"/>
      <c r="AU88" s="16"/>
      <c r="AV88" s="16"/>
      <c r="AW88" s="16"/>
      <c r="AX88" s="16"/>
      <c r="AY88" s="16"/>
      <c r="AZ88" s="16"/>
    </row>
    <row r="89" spans="1:52" s="6" customFormat="1" ht="20" x14ac:dyDescent="0.2">
      <c r="B89" s="901" t="s">
        <v>289</v>
      </c>
      <c r="C89" s="783"/>
      <c r="D89" s="783"/>
      <c r="E89" s="783"/>
      <c r="F89" s="783"/>
      <c r="G89" s="783"/>
      <c r="H89" s="783"/>
      <c r="I89" s="215"/>
      <c r="J89" s="215"/>
      <c r="K89" s="215"/>
      <c r="L89" s="381">
        <f>+Calculations!B$310</f>
        <v>0</v>
      </c>
      <c r="M89" s="286"/>
      <c r="N89" s="899" t="s">
        <v>290</v>
      </c>
      <c r="O89" s="900"/>
      <c r="P89" s="900"/>
      <c r="Q89" s="900"/>
      <c r="R89" s="900"/>
      <c r="S89" s="279"/>
      <c r="T89" s="215"/>
      <c r="U89" s="280">
        <f>+Calculations!B$319</f>
        <v>0</v>
      </c>
    </row>
    <row r="90" spans="1:52" s="6" customFormat="1" ht="20" x14ac:dyDescent="0.2">
      <c r="B90" s="860" t="str">
        <f>IF(L90=0,"","LINE ITEM DISCOUNT")</f>
        <v/>
      </c>
      <c r="C90" s="785"/>
      <c r="D90" s="785"/>
      <c r="E90" s="785"/>
      <c r="F90" s="785"/>
      <c r="G90" s="785"/>
      <c r="H90" s="785"/>
      <c r="L90" s="281">
        <f>-Calculations!B$311</f>
        <v>0</v>
      </c>
      <c r="N90" s="844" t="s">
        <v>291</v>
      </c>
      <c r="O90" s="845"/>
      <c r="P90" s="845"/>
      <c r="Q90" s="845"/>
      <c r="R90" s="845"/>
      <c r="S90" s="221"/>
      <c r="U90" s="282">
        <f>+Calculations!B$386</f>
        <v>0</v>
      </c>
      <c r="V90" s="283"/>
    </row>
    <row r="91" spans="1:52" s="6" customFormat="1" ht="20" x14ac:dyDescent="0.2">
      <c r="B91" s="860" t="s">
        <v>2279</v>
      </c>
      <c r="C91" s="785"/>
      <c r="D91" s="785"/>
      <c r="E91" s="785"/>
      <c r="F91" s="785"/>
      <c r="G91" s="785"/>
      <c r="H91" s="785"/>
      <c r="L91" s="277">
        <f>+Calculations!B$312</f>
        <v>0</v>
      </c>
      <c r="N91" s="844" t="s">
        <v>293</v>
      </c>
      <c r="O91" s="845"/>
      <c r="P91" s="845"/>
      <c r="Q91" s="845"/>
      <c r="R91" s="845"/>
      <c r="S91" s="221"/>
      <c r="U91" s="282">
        <f>+Calculations!B$385</f>
        <v>0</v>
      </c>
    </row>
    <row r="92" spans="1:52" s="6" customFormat="1" ht="20" x14ac:dyDescent="0.2">
      <c r="B92" s="860" t="s">
        <v>294</v>
      </c>
      <c r="C92" s="785"/>
      <c r="D92" s="785"/>
      <c r="E92" s="785"/>
      <c r="F92" s="785"/>
      <c r="G92" s="785"/>
      <c r="H92" s="785"/>
      <c r="L92" s="284">
        <f>-Calculations!B$315</f>
        <v>0</v>
      </c>
      <c r="N92" s="844" t="s">
        <v>295</v>
      </c>
      <c r="O92" s="845"/>
      <c r="P92" s="845"/>
      <c r="Q92" s="845"/>
      <c r="R92" s="845"/>
      <c r="S92" s="221"/>
      <c r="U92" s="282">
        <f>+Calculations!B$439</f>
        <v>0</v>
      </c>
    </row>
    <row r="93" spans="1:52" s="6" customFormat="1" ht="20" x14ac:dyDescent="0.2">
      <c r="B93" s="860" t="s">
        <v>296</v>
      </c>
      <c r="C93" s="785"/>
      <c r="D93" s="785"/>
      <c r="E93" s="785"/>
      <c r="F93" s="785"/>
      <c r="G93" s="785"/>
      <c r="H93" s="785"/>
      <c r="L93" s="277">
        <f>+Calculations!B$316</f>
        <v>0</v>
      </c>
      <c r="N93" s="844" t="s">
        <v>297</v>
      </c>
      <c r="O93" s="845"/>
      <c r="P93" s="845"/>
      <c r="Q93" s="845"/>
      <c r="R93" s="845"/>
      <c r="S93" s="221"/>
      <c r="U93" s="285">
        <f>+'Costing Sheet'!Q15</f>
        <v>0</v>
      </c>
    </row>
    <row r="94" spans="1:52" s="6" customFormat="1" ht="20" x14ac:dyDescent="0.2">
      <c r="B94" s="844" t="s">
        <v>298</v>
      </c>
      <c r="C94" s="845"/>
      <c r="D94" s="845"/>
      <c r="E94" s="845"/>
      <c r="F94" s="845"/>
      <c r="G94" s="845"/>
      <c r="H94" s="845"/>
      <c r="L94" s="287">
        <f>+Calculations!B$302</f>
        <v>0</v>
      </c>
      <c r="M94" s="286"/>
      <c r="N94" s="844" t="s">
        <v>299</v>
      </c>
      <c r="O94" s="845"/>
      <c r="P94" s="845"/>
      <c r="Q94" s="845"/>
      <c r="R94" s="845"/>
      <c r="S94" s="221"/>
      <c r="U94" s="288">
        <f>+'Costing Sheet'!Q13</f>
        <v>0</v>
      </c>
      <c r="V94" s="16"/>
      <c r="W94" s="283"/>
    </row>
    <row r="95" spans="1:52" s="6" customFormat="1" ht="20" x14ac:dyDescent="0.2">
      <c r="B95" s="844"/>
      <c r="C95" s="845"/>
      <c r="D95" s="845"/>
      <c r="E95" s="845"/>
      <c r="F95" s="845"/>
      <c r="G95" s="845"/>
      <c r="H95" s="845"/>
      <c r="L95" s="289"/>
      <c r="M95" s="286"/>
      <c r="N95" s="844" t="str">
        <f>+Calculations!$B$403</f>
        <v xml:space="preserve"> SALES TAX</v>
      </c>
      <c r="O95" s="845"/>
      <c r="P95" s="845"/>
      <c r="Q95" s="845"/>
      <c r="R95" s="845"/>
      <c r="S95" s="221"/>
      <c r="U95" s="289">
        <f>+Calculations!$B$405</f>
        <v>0</v>
      </c>
      <c r="V95" s="283"/>
      <c r="X95" s="283"/>
    </row>
    <row r="96" spans="1:52" s="6" customFormat="1" ht="20" x14ac:dyDescent="0.2">
      <c r="B96" s="844" t="s">
        <v>300</v>
      </c>
      <c r="C96" s="845"/>
      <c r="D96" s="845"/>
      <c r="E96" s="845"/>
      <c r="F96" s="845"/>
      <c r="G96" s="845"/>
      <c r="H96" s="845"/>
      <c r="L96" s="282">
        <f>+'Costing Sheet'!Q$3</f>
        <v>0</v>
      </c>
      <c r="M96" s="286"/>
      <c r="N96" s="844" t="str">
        <f>+Calculations!$B$399</f>
        <v/>
      </c>
      <c r="O96" s="845"/>
      <c r="P96" s="845"/>
      <c r="Q96" s="845"/>
      <c r="R96" s="845"/>
      <c r="S96" s="224"/>
      <c r="U96" s="289">
        <f>+Calculations!$B$412</f>
        <v>0</v>
      </c>
      <c r="X96" s="283"/>
    </row>
    <row r="97" spans="2:22" s="6" customFormat="1" ht="47.25" customHeight="1" x14ac:dyDescent="0.2">
      <c r="B97" s="850" t="s">
        <v>301</v>
      </c>
      <c r="C97" s="851"/>
      <c r="D97" s="851"/>
      <c r="E97" s="851"/>
      <c r="F97" s="851"/>
      <c r="G97" s="851"/>
      <c r="H97" s="851"/>
      <c r="L97" s="282">
        <f>+'Costing Sheet'!Q$5</f>
        <v>0</v>
      </c>
      <c r="M97" s="286"/>
      <c r="N97" s="902" t="str">
        <f>+Calculations!$B$406</f>
        <v xml:space="preserve"> COUNTY SALES TAX  OUT OF STATE OR NO COUNTY WAS SPECIFIED FOR CUSTOMER</v>
      </c>
      <c r="O97" s="786"/>
      <c r="P97" s="786"/>
      <c r="Q97" s="786"/>
      <c r="R97" s="786"/>
      <c r="S97" s="224"/>
      <c r="U97" s="289">
        <f>+Calculations!$B$413</f>
        <v>0</v>
      </c>
    </row>
    <row r="98" spans="2:22" s="6" customFormat="1" ht="20.25" customHeight="1" x14ac:dyDescent="0.2">
      <c r="B98" s="904" t="str">
        <f>+Calculations!B640</f>
        <v/>
      </c>
      <c r="C98" s="905"/>
      <c r="D98" s="905"/>
      <c r="E98" s="905"/>
      <c r="F98" s="905"/>
      <c r="G98" s="905"/>
      <c r="H98" s="905"/>
      <c r="I98" s="905"/>
      <c r="L98" s="383">
        <f>+Calculations!B232</f>
        <v>0</v>
      </c>
      <c r="M98" s="286"/>
      <c r="N98" s="903" t="str">
        <f>+Calculations!$B$414</f>
        <v/>
      </c>
      <c r="O98" s="889"/>
      <c r="P98" s="889"/>
      <c r="Q98" s="889"/>
      <c r="R98" s="889"/>
      <c r="S98" s="224"/>
      <c r="U98" s="289">
        <f>+Calculations!$B$407</f>
        <v>0</v>
      </c>
    </row>
    <row r="99" spans="2:22" s="6" customFormat="1" ht="20.25" customHeight="1" x14ac:dyDescent="0.2">
      <c r="B99" s="904" t="str">
        <f>+Calculations!B641</f>
        <v/>
      </c>
      <c r="C99" s="905"/>
      <c r="D99" s="905"/>
      <c r="E99" s="905"/>
      <c r="F99" s="905"/>
      <c r="G99" s="905"/>
      <c r="H99" s="905"/>
      <c r="I99" s="905"/>
      <c r="L99" s="383">
        <f>+Calculations!B233</f>
        <v>0</v>
      </c>
      <c r="M99" s="286"/>
      <c r="N99" s="860" t="str">
        <f>Calculations!B651</f>
        <v/>
      </c>
      <c r="O99" s="785"/>
      <c r="P99" s="785"/>
      <c r="Q99" s="785"/>
      <c r="R99" s="785"/>
      <c r="S99" s="224"/>
      <c r="U99" s="294">
        <f>-Calculations!B$318</f>
        <v>0</v>
      </c>
    </row>
    <row r="100" spans="2:22" s="6" customFormat="1" ht="20.25" customHeight="1" x14ac:dyDescent="0.2">
      <c r="B100" s="904" t="str">
        <f>+Calculations!B642</f>
        <v/>
      </c>
      <c r="C100" s="905"/>
      <c r="D100" s="905"/>
      <c r="E100" s="905"/>
      <c r="F100" s="905"/>
      <c r="G100" s="905"/>
      <c r="H100" s="905"/>
      <c r="I100" s="905"/>
      <c r="L100" s="383">
        <f>+Calculations!B234</f>
        <v>0</v>
      </c>
      <c r="M100" s="286"/>
      <c r="N100" s="360"/>
      <c r="O100" s="863" t="str">
        <f>Calculations!$B$653</f>
        <v/>
      </c>
      <c r="P100" s="863"/>
      <c r="Q100" s="863"/>
      <c r="R100" s="223"/>
      <c r="S100" s="224"/>
      <c r="U100" s="289"/>
    </row>
    <row r="101" spans="2:22" s="6" customFormat="1" ht="20.25" customHeight="1" x14ac:dyDescent="0.2">
      <c r="B101" s="904" t="str">
        <f>+Calculations!B643</f>
        <v/>
      </c>
      <c r="C101" s="905"/>
      <c r="D101" s="905"/>
      <c r="E101" s="905"/>
      <c r="F101" s="905"/>
      <c r="G101" s="905"/>
      <c r="H101" s="905"/>
      <c r="I101" s="905"/>
      <c r="L101" s="383">
        <f>+Calculations!B235</f>
        <v>0</v>
      </c>
      <c r="M101" s="286"/>
      <c r="N101" s="360"/>
      <c r="O101" s="223"/>
      <c r="P101" s="223"/>
      <c r="Q101" s="223"/>
      <c r="R101" s="223"/>
      <c r="S101" s="224"/>
      <c r="U101" s="289"/>
    </row>
    <row r="102" spans="2:22" s="6" customFormat="1" ht="20.25" customHeight="1" x14ac:dyDescent="0.2">
      <c r="B102" s="904" t="str">
        <f>+Calculations!B644</f>
        <v/>
      </c>
      <c r="C102" s="905"/>
      <c r="D102" s="905"/>
      <c r="E102" s="905"/>
      <c r="F102" s="905"/>
      <c r="G102" s="905"/>
      <c r="H102" s="905"/>
      <c r="I102" s="905"/>
      <c r="L102" s="383">
        <f>+Calculations!B236</f>
        <v>0</v>
      </c>
      <c r="M102" s="286"/>
      <c r="N102" s="360"/>
      <c r="O102" s="223"/>
      <c r="P102" s="223"/>
      <c r="Q102" s="223"/>
      <c r="R102" s="223"/>
      <c r="S102" s="224"/>
      <c r="U102" s="289"/>
    </row>
    <row r="103" spans="2:22" s="6" customFormat="1" ht="20.25" customHeight="1" x14ac:dyDescent="0.2">
      <c r="B103" s="904" t="str">
        <f>+Calculations!B645</f>
        <v/>
      </c>
      <c r="C103" s="905"/>
      <c r="D103" s="905"/>
      <c r="E103" s="905"/>
      <c r="F103" s="905"/>
      <c r="G103" s="905"/>
      <c r="H103" s="905"/>
      <c r="I103" s="905"/>
      <c r="L103" s="383">
        <f>+Calculations!B237</f>
        <v>0</v>
      </c>
      <c r="M103" s="286"/>
      <c r="N103" s="360"/>
      <c r="O103" s="223"/>
      <c r="P103" s="223"/>
      <c r="Q103" s="223"/>
      <c r="R103" s="223"/>
      <c r="S103" s="224"/>
      <c r="U103" s="289"/>
    </row>
    <row r="104" spans="2:22" s="6" customFormat="1" ht="20.25" customHeight="1" x14ac:dyDescent="0.2">
      <c r="B104" s="904" t="str">
        <f>+Calculations!B646</f>
        <v/>
      </c>
      <c r="C104" s="905"/>
      <c r="D104" s="905"/>
      <c r="E104" s="905"/>
      <c r="F104" s="905"/>
      <c r="G104" s="905"/>
      <c r="H104" s="905"/>
      <c r="I104" s="905"/>
      <c r="L104" s="383">
        <f>+Calculations!B238</f>
        <v>0</v>
      </c>
      <c r="M104" s="286"/>
      <c r="N104" s="360"/>
      <c r="O104" s="223"/>
      <c r="P104" s="223"/>
      <c r="Q104" s="223"/>
      <c r="R104" s="223"/>
      <c r="S104" s="224"/>
      <c r="U104" s="289"/>
    </row>
    <row r="105" spans="2:22" s="6" customFormat="1" ht="20.25" customHeight="1" x14ac:dyDescent="0.2">
      <c r="B105" s="904" t="str">
        <f>+Calculations!B647</f>
        <v/>
      </c>
      <c r="C105" s="905"/>
      <c r="D105" s="905"/>
      <c r="E105" s="905"/>
      <c r="F105" s="905"/>
      <c r="G105" s="905"/>
      <c r="H105" s="905"/>
      <c r="I105" s="905"/>
      <c r="L105" s="383">
        <f>+Calculations!B239</f>
        <v>0</v>
      </c>
      <c r="M105" s="286"/>
      <c r="N105" s="360"/>
      <c r="O105" s="223"/>
      <c r="P105" s="223"/>
      <c r="Q105" s="223"/>
      <c r="R105" s="223"/>
      <c r="S105" s="224"/>
      <c r="U105" s="289"/>
    </row>
    <row r="106" spans="2:22" s="6" customFormat="1" ht="20.25" customHeight="1" x14ac:dyDescent="0.2">
      <c r="B106" s="904" t="str">
        <f>+Calculations!B648</f>
        <v/>
      </c>
      <c r="C106" s="905"/>
      <c r="D106" s="905"/>
      <c r="E106" s="905"/>
      <c r="F106" s="905"/>
      <c r="G106" s="905"/>
      <c r="H106" s="905"/>
      <c r="I106" s="905"/>
      <c r="L106" s="383">
        <f>+Calculations!B240</f>
        <v>0</v>
      </c>
      <c r="M106" s="286"/>
      <c r="N106" s="360"/>
      <c r="O106" s="223"/>
      <c r="P106" s="223"/>
      <c r="Q106" s="223"/>
      <c r="R106" s="223"/>
      <c r="S106" s="224"/>
      <c r="U106" s="289"/>
    </row>
    <row r="107" spans="2:22" s="6" customFormat="1" ht="20" x14ac:dyDescent="0.2">
      <c r="B107" s="904" t="str">
        <f>+Calculations!B649</f>
        <v/>
      </c>
      <c r="C107" s="905"/>
      <c r="D107" s="905"/>
      <c r="E107" s="905"/>
      <c r="F107" s="905"/>
      <c r="G107" s="905"/>
      <c r="H107" s="905"/>
      <c r="I107" s="905"/>
      <c r="L107" s="383">
        <f>+Calculations!B241</f>
        <v>0</v>
      </c>
      <c r="M107" s="286"/>
      <c r="N107" s="202"/>
      <c r="U107" s="222"/>
      <c r="V107" s="283"/>
    </row>
    <row r="108" spans="2:22" s="6" customFormat="1" ht="20" x14ac:dyDescent="0.2">
      <c r="B108" s="202"/>
      <c r="H108" s="385"/>
      <c r="L108" s="289"/>
      <c r="N108" s="202"/>
      <c r="U108" s="222"/>
    </row>
    <row r="109" spans="2:22" s="6" customFormat="1" ht="45" customHeight="1" x14ac:dyDescent="0.2">
      <c r="B109" s="296" t="s">
        <v>290</v>
      </c>
      <c r="C109" s="265"/>
      <c r="D109" s="265"/>
      <c r="E109" s="265"/>
      <c r="F109" s="265"/>
      <c r="G109" s="265"/>
      <c r="H109" s="297"/>
      <c r="L109" s="386">
        <f>+Calculations!B$319</f>
        <v>0</v>
      </c>
      <c r="M109" s="387"/>
      <c r="N109" s="862" t="str">
        <f>UPPER(_xlfn.CONCAT("TOTAL DUE FROM CUSTOMER",Calculations!$B$650))</f>
        <v>TOTAL DUE FROM CUSTOMER</v>
      </c>
      <c r="O109" s="863"/>
      <c r="P109" s="863"/>
      <c r="Q109" s="863"/>
      <c r="R109" s="863"/>
      <c r="S109" s="224"/>
      <c r="U109" s="300">
        <f>+Calculations!B$435</f>
        <v>0</v>
      </c>
      <c r="V109" s="283"/>
    </row>
    <row r="110" spans="2:22" s="6" customFormat="1" ht="9" customHeight="1" thickTop="1" thickBot="1" x14ac:dyDescent="0.25">
      <c r="B110" s="388"/>
      <c r="C110" s="389"/>
      <c r="D110" s="389"/>
      <c r="E110" s="389"/>
      <c r="F110" s="389"/>
      <c r="G110" s="389"/>
      <c r="H110" s="390"/>
      <c r="I110" s="231"/>
      <c r="J110" s="231"/>
      <c r="K110" s="231"/>
      <c r="L110" s="301"/>
      <c r="M110" s="302"/>
      <c r="N110" s="303"/>
      <c r="O110" s="302"/>
      <c r="P110" s="302"/>
      <c r="Q110" s="302"/>
      <c r="R110" s="302"/>
      <c r="S110" s="304"/>
      <c r="T110" s="305"/>
      <c r="U110" s="236"/>
    </row>
    <row r="111" spans="2:22" s="2" customFormat="1" ht="35.25" customHeight="1" thickBot="1" x14ac:dyDescent="0.3">
      <c r="B111" s="906" t="e">
        <f>Calculations!B$616</f>
        <v>#DIV/0!</v>
      </c>
      <c r="C111" s="907"/>
      <c r="D111" s="907"/>
      <c r="E111" s="907"/>
      <c r="F111" s="907"/>
      <c r="G111" s="907"/>
      <c r="H111" s="908" t="e">
        <f>IF(B111="","",Calculations!B$617)</f>
        <v>#DIV/0!</v>
      </c>
      <c r="I111" s="909"/>
      <c r="Q111" s="32"/>
      <c r="S111" s="306"/>
    </row>
    <row r="112" spans="2:22" customFormat="1" x14ac:dyDescent="0.2"/>
    <row r="113" spans="2:22" customFormat="1" x14ac:dyDescent="0.2"/>
    <row r="114" spans="2:22" customFormat="1" ht="24" customHeight="1" x14ac:dyDescent="0.2"/>
    <row r="115" spans="2:22" customFormat="1" ht="16" customHeight="1" x14ac:dyDescent="0.2"/>
    <row r="116" spans="2:22" customFormat="1" x14ac:dyDescent="0.2"/>
    <row r="117" spans="2:22" x14ac:dyDescent="0.2">
      <c r="B117" s="207"/>
      <c r="C117" s="207"/>
      <c r="D117" s="207"/>
      <c r="E117" s="207"/>
      <c r="G117" s="207"/>
      <c r="H117" s="207"/>
      <c r="I117" s="207"/>
      <c r="J117" s="207"/>
      <c r="K117" s="207"/>
      <c r="L117" s="207"/>
      <c r="M117" s="207"/>
      <c r="N117" s="207"/>
      <c r="O117" s="207"/>
      <c r="P117" s="207"/>
      <c r="R117" s="207"/>
      <c r="S117" s="308"/>
      <c r="T117" s="207"/>
      <c r="U117" s="207"/>
      <c r="V117" s="207"/>
    </row>
    <row r="118" spans="2:22" ht="17.25" customHeight="1" x14ac:dyDescent="0.2">
      <c r="B118" s="207"/>
      <c r="C118" s="207"/>
      <c r="D118" s="207"/>
      <c r="E118" s="207"/>
      <c r="F118" s="207"/>
      <c r="G118" s="207"/>
      <c r="H118" s="207"/>
      <c r="J118" s="24"/>
      <c r="K118" s="24"/>
      <c r="L118" s="24"/>
      <c r="M118" s="24"/>
      <c r="N118" s="24"/>
      <c r="O118" s="24"/>
      <c r="P118" s="207"/>
      <c r="Q118" s="207"/>
      <c r="R118" s="207"/>
      <c r="S118" s="308"/>
      <c r="T118" s="207"/>
      <c r="U118" s="207"/>
      <c r="V118" s="207"/>
    </row>
    <row r="132" ht="16" customHeight="1" x14ac:dyDescent="0.2"/>
  </sheetData>
  <sheetProtection selectLockedCells="1"/>
  <mergeCells count="120">
    <mergeCell ref="B5:J5"/>
    <mergeCell ref="B6:J6"/>
    <mergeCell ref="B7:J7"/>
    <mergeCell ref="B8:J8"/>
    <mergeCell ref="B9:J9"/>
    <mergeCell ref="K2:P5"/>
    <mergeCell ref="Q2:U2"/>
    <mergeCell ref="B3:C3"/>
    <mergeCell ref="R3:T3"/>
    <mergeCell ref="Q4:U4"/>
    <mergeCell ref="Q5:U6"/>
    <mergeCell ref="K6:P8"/>
    <mergeCell ref="R7:T7"/>
    <mergeCell ref="B2:J2"/>
    <mergeCell ref="B4:J4"/>
    <mergeCell ref="J57:T57"/>
    <mergeCell ref="K10:P10"/>
    <mergeCell ref="Q10:U10"/>
    <mergeCell ref="S11:U11"/>
    <mergeCell ref="C12:I12"/>
    <mergeCell ref="S12:U12"/>
    <mergeCell ref="S13:U13"/>
    <mergeCell ref="C13:I13"/>
    <mergeCell ref="C15:I15"/>
    <mergeCell ref="S15:U15"/>
    <mergeCell ref="C16:I16"/>
    <mergeCell ref="L16:O16"/>
    <mergeCell ref="C17:F17"/>
    <mergeCell ref="B19:U20"/>
    <mergeCell ref="U21:U22"/>
    <mergeCell ref="S21:S22"/>
    <mergeCell ref="Q21:Q22"/>
    <mergeCell ref="I23:I24"/>
    <mergeCell ref="J24:O24"/>
    <mergeCell ref="J25:T25"/>
    <mergeCell ref="B10:J10"/>
    <mergeCell ref="J83:O83"/>
    <mergeCell ref="I27:I28"/>
    <mergeCell ref="J28:S28"/>
    <mergeCell ref="J29:T29"/>
    <mergeCell ref="I31:I32"/>
    <mergeCell ref="J32:T32"/>
    <mergeCell ref="J33:T33"/>
    <mergeCell ref="I35:I36"/>
    <mergeCell ref="J36:T36"/>
    <mergeCell ref="J37:T37"/>
    <mergeCell ref="I39:I40"/>
    <mergeCell ref="J40:T40"/>
    <mergeCell ref="J41:T41"/>
    <mergeCell ref="I43:I44"/>
    <mergeCell ref="J44:T44"/>
    <mergeCell ref="J45:T45"/>
    <mergeCell ref="I47:I48"/>
    <mergeCell ref="J48:T48"/>
    <mergeCell ref="J49:T49"/>
    <mergeCell ref="I51:I52"/>
    <mergeCell ref="J52:T52"/>
    <mergeCell ref="J53:T53"/>
    <mergeCell ref="I55:I56"/>
    <mergeCell ref="J56:T56"/>
    <mergeCell ref="N76:Q76"/>
    <mergeCell ref="R76:U76"/>
    <mergeCell ref="B76:F76"/>
    <mergeCell ref="H76:L76"/>
    <mergeCell ref="B77:F77"/>
    <mergeCell ref="H77:K77"/>
    <mergeCell ref="B78:U78"/>
    <mergeCell ref="J81:O81"/>
    <mergeCell ref="J82:O82"/>
    <mergeCell ref="S82:U82"/>
    <mergeCell ref="I59:I60"/>
    <mergeCell ref="J60:T60"/>
    <mergeCell ref="J61:T61"/>
    <mergeCell ref="C62:U63"/>
    <mergeCell ref="B74:U74"/>
    <mergeCell ref="B75:F75"/>
    <mergeCell ref="R75:U75"/>
    <mergeCell ref="H75:L75"/>
    <mergeCell ref="N75:Q75"/>
    <mergeCell ref="B107:I107"/>
    <mergeCell ref="B111:G111"/>
    <mergeCell ref="H111:I111"/>
    <mergeCell ref="B98:I98"/>
    <mergeCell ref="N99:R99"/>
    <mergeCell ref="B99:I99"/>
    <mergeCell ref="B100:I100"/>
    <mergeCell ref="O100:Q100"/>
    <mergeCell ref="N109:R109"/>
    <mergeCell ref="B101:I101"/>
    <mergeCell ref="B102:I102"/>
    <mergeCell ref="B103:I103"/>
    <mergeCell ref="B104:I104"/>
    <mergeCell ref="B95:H95"/>
    <mergeCell ref="N95:R95"/>
    <mergeCell ref="B96:H96"/>
    <mergeCell ref="N96:R96"/>
    <mergeCell ref="N97:R97"/>
    <mergeCell ref="B97:H97"/>
    <mergeCell ref="N98:R98"/>
    <mergeCell ref="B105:I105"/>
    <mergeCell ref="B106:I106"/>
    <mergeCell ref="N90:R90"/>
    <mergeCell ref="B90:H90"/>
    <mergeCell ref="B91:H91"/>
    <mergeCell ref="N91:R91"/>
    <mergeCell ref="B92:H92"/>
    <mergeCell ref="N92:R92"/>
    <mergeCell ref="N93:R93"/>
    <mergeCell ref="B93:H93"/>
    <mergeCell ref="N94:R94"/>
    <mergeCell ref="B94:H94"/>
    <mergeCell ref="C85:F85"/>
    <mergeCell ref="S85:U85"/>
    <mergeCell ref="C86:F86"/>
    <mergeCell ref="S86:U86"/>
    <mergeCell ref="F87:L87"/>
    <mergeCell ref="Q87:S87"/>
    <mergeCell ref="B88:U88"/>
    <mergeCell ref="N89:R89"/>
    <mergeCell ref="B89:H89"/>
  </mergeCells>
  <printOptions horizontalCentered="1"/>
  <pageMargins left="0.2" right="0.2" top="0.2" bottom="0.2" header="0.05" footer="0.05"/>
  <pageSetup scale="39" fitToHeight="4" orientation="landscape" r:id="rId1"/>
  <rowBreaks count="1" manualBreakCount="1">
    <brk id="78" max="2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X125"/>
  <sheetViews>
    <sheetView showZeros="0" view="pageBreakPreview" zoomScale="60" zoomScaleNormal="80" workbookViewId="0">
      <selection activeCell="S13" sqref="S13:U13"/>
    </sheetView>
  </sheetViews>
  <sheetFormatPr baseColWidth="10" defaultColWidth="11" defaultRowHeight="16" x14ac:dyDescent="0.2"/>
  <cols>
    <col min="1" max="1" width="2.5" style="16" customWidth="1"/>
    <col min="2" max="2" width="3.33203125" style="16" customWidth="1"/>
    <col min="3" max="3" width="29.5" style="16" customWidth="1"/>
    <col min="4" max="4" width="1" style="16" customWidth="1"/>
    <col min="5" max="5" width="2" style="16" customWidth="1"/>
    <col min="6" max="6" width="26" style="16" customWidth="1"/>
    <col min="7" max="7" width="2" style="16" customWidth="1"/>
    <col min="8" max="8" width="1.5" style="16" customWidth="1"/>
    <col min="9" max="9" width="26.5" style="16" customWidth="1"/>
    <col min="10" max="10" width="3.5" style="16" customWidth="1"/>
    <col min="11" max="11" width="1" style="16" customWidth="1"/>
    <col min="12" max="12" width="30.5" style="16" customWidth="1"/>
    <col min="13" max="13" width="3" style="16" customWidth="1"/>
    <col min="14" max="14" width="2" style="16" customWidth="1"/>
    <col min="15" max="15" width="43" style="16" customWidth="1"/>
    <col min="16" max="16" width="4" style="16" customWidth="1"/>
    <col min="17" max="17" width="29" style="16" customWidth="1"/>
    <col min="18" max="18" width="5" style="16" customWidth="1"/>
    <col min="19" max="19" width="20.5" style="179" customWidth="1"/>
    <col min="20" max="20" width="4.5" style="16" customWidth="1"/>
    <col min="21" max="21" width="22.33203125" style="16" customWidth="1"/>
    <col min="22" max="22" width="1.5" style="16" customWidth="1"/>
    <col min="23" max="40" width="11" style="16"/>
    <col min="41" max="41" width="14.5" style="16" customWidth="1"/>
    <col min="42" max="16384" width="11" style="16"/>
  </cols>
  <sheetData>
    <row r="1" spans="2:21" ht="7" customHeight="1" thickBot="1" x14ac:dyDescent="0.25"/>
    <row r="2" spans="2:21" ht="19" customHeight="1" x14ac:dyDescent="0.2">
      <c r="B2" s="945" t="s">
        <v>2277</v>
      </c>
      <c r="C2" s="946"/>
      <c r="D2" s="946"/>
      <c r="E2" s="946"/>
      <c r="F2" s="946"/>
      <c r="G2" s="946"/>
      <c r="H2" s="946"/>
      <c r="I2" s="946"/>
      <c r="J2" s="947"/>
      <c r="K2" s="787" t="s">
        <v>267</v>
      </c>
      <c r="L2" s="787"/>
      <c r="M2" s="787"/>
      <c r="N2" s="787"/>
      <c r="O2" s="787"/>
      <c r="P2" s="788"/>
      <c r="Q2" s="882" t="str">
        <f>+Calculations!$B$568</f>
        <v/>
      </c>
      <c r="R2" s="882"/>
      <c r="S2" s="882"/>
      <c r="T2" s="882"/>
      <c r="U2" s="942"/>
    </row>
    <row r="3" spans="2:21" ht="3" customHeight="1" x14ac:dyDescent="0.2">
      <c r="B3" s="933"/>
      <c r="C3" s="934"/>
      <c r="D3" s="708"/>
      <c r="E3" s="708"/>
      <c r="F3" s="708"/>
      <c r="G3" s="5"/>
      <c r="H3" s="708"/>
      <c r="I3" s="5"/>
      <c r="J3" s="705"/>
      <c r="K3" s="789"/>
      <c r="L3" s="789"/>
      <c r="M3" s="789"/>
      <c r="N3" s="789"/>
      <c r="O3" s="789"/>
      <c r="P3" s="790"/>
      <c r="R3" s="943"/>
      <c r="S3" s="943"/>
      <c r="T3" s="943"/>
      <c r="U3" s="70"/>
    </row>
    <row r="4" spans="2:21" ht="22" customHeight="1" x14ac:dyDescent="0.2">
      <c r="B4" s="933" t="s">
        <v>2273</v>
      </c>
      <c r="C4" s="934"/>
      <c r="D4" s="934"/>
      <c r="E4" s="934"/>
      <c r="F4" s="934"/>
      <c r="G4" s="934"/>
      <c r="H4" s="934"/>
      <c r="I4" s="934"/>
      <c r="J4" s="935"/>
      <c r="K4" s="789"/>
      <c r="L4" s="789"/>
      <c r="M4" s="789"/>
      <c r="N4" s="789"/>
      <c r="O4" s="789"/>
      <c r="P4" s="790"/>
      <c r="Q4" s="883" t="str">
        <f>+Calculations!$B$569</f>
        <v/>
      </c>
      <c r="R4" s="883"/>
      <c r="S4" s="883"/>
      <c r="T4" s="883"/>
      <c r="U4" s="944"/>
    </row>
    <row r="5" spans="2:21" ht="9" customHeight="1" x14ac:dyDescent="0.2">
      <c r="B5" s="933"/>
      <c r="C5" s="934"/>
      <c r="D5" s="934"/>
      <c r="E5" s="934"/>
      <c r="F5" s="934"/>
      <c r="G5" s="934"/>
      <c r="H5" s="934"/>
      <c r="I5" s="934"/>
      <c r="J5" s="935"/>
      <c r="K5" s="789"/>
      <c r="L5" s="789"/>
      <c r="M5" s="789"/>
      <c r="N5" s="789"/>
      <c r="O5" s="789"/>
      <c r="P5" s="790"/>
      <c r="Q5" s="883" t="str">
        <f>Calculations!B570</f>
        <v/>
      </c>
      <c r="R5" s="883"/>
      <c r="S5" s="883"/>
      <c r="T5" s="883"/>
      <c r="U5" s="944"/>
    </row>
    <row r="6" spans="2:21" ht="16" customHeight="1" x14ac:dyDescent="0.2">
      <c r="B6" s="933" t="s">
        <v>2274</v>
      </c>
      <c r="C6" s="934"/>
      <c r="D6" s="934"/>
      <c r="E6" s="934"/>
      <c r="F6" s="934"/>
      <c r="G6" s="934"/>
      <c r="H6" s="934"/>
      <c r="I6" s="934"/>
      <c r="J6" s="935"/>
      <c r="K6" s="803" t="s">
        <v>268</v>
      </c>
      <c r="L6" s="803"/>
      <c r="M6" s="803"/>
      <c r="N6" s="803"/>
      <c r="O6" s="803"/>
      <c r="P6" s="804"/>
      <c r="Q6" s="883"/>
      <c r="R6" s="883"/>
      <c r="S6" s="883"/>
      <c r="T6" s="883"/>
      <c r="U6" s="944"/>
    </row>
    <row r="7" spans="2:21" ht="7" customHeight="1" x14ac:dyDescent="0.2">
      <c r="B7" s="933"/>
      <c r="C7" s="934"/>
      <c r="D7" s="934"/>
      <c r="E7" s="934"/>
      <c r="F7" s="934"/>
      <c r="G7" s="934"/>
      <c r="H7" s="934"/>
      <c r="I7" s="934"/>
      <c r="J7" s="935"/>
      <c r="K7" s="803"/>
      <c r="L7" s="803"/>
      <c r="M7" s="803"/>
      <c r="N7" s="803"/>
      <c r="O7" s="803"/>
      <c r="P7" s="804"/>
      <c r="R7" s="883"/>
      <c r="S7" s="883"/>
      <c r="T7" s="883"/>
      <c r="U7" s="394"/>
    </row>
    <row r="8" spans="2:21" ht="23.25" customHeight="1" x14ac:dyDescent="0.25">
      <c r="B8" s="933" t="s">
        <v>2275</v>
      </c>
      <c r="C8" s="934"/>
      <c r="D8" s="934"/>
      <c r="E8" s="934"/>
      <c r="F8" s="934"/>
      <c r="G8" s="934"/>
      <c r="H8" s="934"/>
      <c r="I8" s="934"/>
      <c r="J8" s="935"/>
      <c r="K8" s="185"/>
      <c r="L8" s="185"/>
      <c r="M8" s="185"/>
      <c r="N8" s="185"/>
      <c r="O8" s="185"/>
      <c r="P8" s="186"/>
      <c r="R8" s="313"/>
      <c r="S8" s="313"/>
      <c r="T8" s="313"/>
      <c r="U8" s="395"/>
    </row>
    <row r="9" spans="2:21" ht="7" customHeight="1" x14ac:dyDescent="0.25">
      <c r="B9" s="933"/>
      <c r="C9" s="934"/>
      <c r="D9" s="934"/>
      <c r="E9" s="934"/>
      <c r="F9" s="934"/>
      <c r="G9" s="934"/>
      <c r="H9" s="934"/>
      <c r="I9" s="934"/>
      <c r="J9" s="935"/>
      <c r="K9" s="185"/>
      <c r="L9" s="185"/>
      <c r="M9" s="185"/>
      <c r="N9" s="185"/>
      <c r="O9" s="185"/>
      <c r="P9" s="186"/>
      <c r="R9" s="313"/>
      <c r="S9" s="313"/>
      <c r="T9" s="313"/>
      <c r="U9" s="394"/>
    </row>
    <row r="10" spans="2:21" ht="20.25" customHeight="1" thickBot="1" x14ac:dyDescent="0.25">
      <c r="B10" s="939" t="s">
        <v>2276</v>
      </c>
      <c r="C10" s="940"/>
      <c r="D10" s="940"/>
      <c r="E10" s="940"/>
      <c r="F10" s="940"/>
      <c r="G10" s="940"/>
      <c r="H10" s="940"/>
      <c r="I10" s="940"/>
      <c r="J10" s="941"/>
      <c r="K10" s="884" t="str">
        <f>+Calculations!B572</f>
        <v>CRYSTALTRACTOR.COM</v>
      </c>
      <c r="L10" s="884"/>
      <c r="M10" s="884"/>
      <c r="N10" s="884"/>
      <c r="O10" s="884"/>
      <c r="P10" s="936"/>
      <c r="Q10" s="884" t="str">
        <f>Calculations!B571</f>
        <v/>
      </c>
      <c r="R10" s="884"/>
      <c r="S10" s="884"/>
      <c r="T10" s="884"/>
      <c r="U10" s="936"/>
    </row>
    <row r="11" spans="2:21" ht="20.25" customHeight="1" x14ac:dyDescent="0.2">
      <c r="B11" s="202" t="s">
        <v>269</v>
      </c>
      <c r="H11" s="21"/>
      <c r="I11" s="320"/>
      <c r="J11" s="320"/>
      <c r="K11" s="396"/>
      <c r="L11" s="397"/>
      <c r="M11" s="397"/>
      <c r="N11" s="397"/>
      <c r="O11" s="397"/>
      <c r="P11" s="397"/>
      <c r="Q11" s="6" t="s">
        <v>271</v>
      </c>
      <c r="R11" s="391"/>
      <c r="S11" s="937">
        <f>'Sales Input Sheet'!C11</f>
        <v>0</v>
      </c>
      <c r="T11" s="937"/>
      <c r="U11" s="938"/>
    </row>
    <row r="12" spans="2:21" ht="20" x14ac:dyDescent="0.2">
      <c r="B12" s="69"/>
      <c r="C12" s="889" t="str">
        <f>IF('Customer Input Screen'!I10&lt;&gt;"",UPPER('Customer Input Screen'!I10),"")</f>
        <v/>
      </c>
      <c r="D12" s="889"/>
      <c r="E12" s="889"/>
      <c r="F12" s="889"/>
      <c r="G12" s="889"/>
      <c r="H12" s="889"/>
      <c r="I12" s="889"/>
      <c r="L12" s="203" t="s">
        <v>270</v>
      </c>
      <c r="O12" s="205" t="str">
        <f>+'Customer Input Screen'!I22</f>
        <v/>
      </c>
      <c r="Q12" s="6" t="s">
        <v>304</v>
      </c>
      <c r="S12" s="842">
        <f>+'Costing Sheet'!$C$13</f>
        <v>0</v>
      </c>
      <c r="T12" s="842"/>
      <c r="U12" s="887"/>
    </row>
    <row r="13" spans="2:21" s="6" customFormat="1" ht="20" x14ac:dyDescent="0.2">
      <c r="B13" s="202"/>
      <c r="C13" s="889" t="str">
        <f>IF(Calculations!B3&lt;&gt;"",UPPER(Calculations!B3),"")</f>
        <v xml:space="preserve">  </v>
      </c>
      <c r="D13" s="889"/>
      <c r="E13" s="889"/>
      <c r="F13" s="889"/>
      <c r="G13" s="889"/>
      <c r="H13" s="889"/>
      <c r="I13" s="889"/>
      <c r="J13" s="203"/>
      <c r="K13" s="203"/>
      <c r="L13" s="203" t="s">
        <v>272</v>
      </c>
      <c r="M13" s="203"/>
      <c r="N13" s="203"/>
      <c r="O13" s="205" t="str">
        <f>+'Customer Input Screen'!I23</f>
        <v/>
      </c>
      <c r="P13" s="203"/>
      <c r="Q13" s="6" t="s">
        <v>305</v>
      </c>
      <c r="S13" s="843">
        <f>'Costing Sheet'!$C$11</f>
        <v>0</v>
      </c>
      <c r="T13" s="843"/>
      <c r="U13" s="888"/>
    </row>
    <row r="14" spans="2:21" s="6" customFormat="1" ht="3" customHeight="1" x14ac:dyDescent="0.2">
      <c r="B14" s="202"/>
      <c r="I14" s="203"/>
      <c r="J14" s="203"/>
      <c r="K14" s="203"/>
      <c r="M14" s="203"/>
      <c r="N14" s="203"/>
      <c r="P14" s="203"/>
      <c r="Q14" s="203"/>
      <c r="S14" s="204"/>
      <c r="T14" s="203"/>
      <c r="U14" s="321"/>
    </row>
    <row r="15" spans="2:21" s="6" customFormat="1" ht="22" customHeight="1" x14ac:dyDescent="0.2">
      <c r="B15" s="202"/>
      <c r="C15" s="889" t="str">
        <f>IF('Customer Input Screen'!I14&lt;&gt;"",UPPER('Customer Input Screen'!I14),"")</f>
        <v/>
      </c>
      <c r="D15" s="889"/>
      <c r="E15" s="889"/>
      <c r="F15" s="889"/>
      <c r="G15" s="889"/>
      <c r="H15" s="889"/>
      <c r="I15" s="889"/>
      <c r="J15" s="203"/>
      <c r="K15" s="203"/>
      <c r="L15" s="203" t="s">
        <v>274</v>
      </c>
      <c r="O15" s="205" t="str">
        <f>+'Customer Input Screen'!I24</f>
        <v/>
      </c>
      <c r="P15" s="203"/>
      <c r="Q15" s="6" t="s">
        <v>275</v>
      </c>
      <c r="R15" s="203"/>
      <c r="S15" s="842" t="str">
        <f>IF('Sales Input Sheet'!C15&lt;&gt;"",UPPER('Sales Input Sheet'!C15),"")</f>
        <v/>
      </c>
      <c r="T15" s="842"/>
      <c r="U15" s="887"/>
    </row>
    <row r="16" spans="2:21" s="6" customFormat="1" ht="20" x14ac:dyDescent="0.2">
      <c r="B16" s="202"/>
      <c r="C16" s="889" t="str">
        <f>IF('Customer Input Screen'!I15&lt;&gt;"",UPPER('Customer Input Screen'!I15),"")</f>
        <v/>
      </c>
      <c r="D16" s="889"/>
      <c r="E16" s="889"/>
      <c r="F16" s="889"/>
      <c r="G16" s="889"/>
      <c r="H16" s="889"/>
      <c r="I16" s="889"/>
      <c r="J16" s="203"/>
      <c r="K16" s="203"/>
      <c r="L16" s="785" t="str">
        <f>+Calculations!$B$602</f>
        <v/>
      </c>
      <c r="M16" s="785"/>
      <c r="N16" s="785"/>
      <c r="O16" s="785"/>
      <c r="P16" s="203"/>
      <c r="S16" s="204"/>
      <c r="T16" s="205"/>
      <c r="U16" s="206"/>
    </row>
    <row r="17" spans="2:21" s="6" customFormat="1" ht="28" customHeight="1" x14ac:dyDescent="0.2">
      <c r="B17" s="202"/>
      <c r="C17" s="785" t="str">
        <f>+Calculations!$B$601</f>
        <v/>
      </c>
      <c r="D17" s="785"/>
      <c r="E17" s="785"/>
      <c r="F17" s="785"/>
      <c r="J17" s="203"/>
      <c r="K17" s="203"/>
      <c r="L17" s="203" t="s">
        <v>276</v>
      </c>
      <c r="O17" s="6" t="str">
        <f>UPPER('Costing Sheet'!U19)</f>
        <v/>
      </c>
      <c r="P17" s="203"/>
      <c r="Q17" s="203"/>
      <c r="S17" s="204"/>
      <c r="T17" s="205"/>
      <c r="U17" s="206"/>
    </row>
    <row r="18" spans="2:21" s="6" customFormat="1" ht="7" customHeight="1" x14ac:dyDescent="0.2">
      <c r="B18" s="202"/>
      <c r="J18" s="203"/>
      <c r="K18" s="203"/>
      <c r="L18" s="203"/>
      <c r="P18" s="203"/>
      <c r="S18" s="204"/>
      <c r="T18" s="205"/>
      <c r="U18" s="206"/>
    </row>
    <row r="19" spans="2:21" ht="10" customHeight="1" thickBot="1" x14ac:dyDescent="0.25">
      <c r="B19" s="316"/>
      <c r="C19" s="114"/>
      <c r="D19" s="114"/>
      <c r="E19" s="114"/>
      <c r="F19" s="114"/>
      <c r="G19" s="114"/>
      <c r="H19" s="114"/>
      <c r="I19" s="114"/>
      <c r="J19" s="114"/>
      <c r="K19" s="114"/>
      <c r="L19" s="114"/>
      <c r="M19" s="114"/>
      <c r="N19" s="114"/>
      <c r="O19" s="114"/>
      <c r="P19" s="114"/>
      <c r="Q19" s="114"/>
      <c r="R19" s="114"/>
      <c r="S19" s="398"/>
      <c r="T19" s="114"/>
      <c r="U19" s="399"/>
    </row>
    <row r="20" spans="2:21" ht="16" customHeight="1" x14ac:dyDescent="0.2">
      <c r="B20" s="948" t="s">
        <v>337</v>
      </c>
      <c r="C20" s="949"/>
      <c r="D20" s="949"/>
      <c r="E20" s="949"/>
      <c r="F20" s="949"/>
      <c r="G20" s="949"/>
      <c r="H20" s="949"/>
      <c r="I20" s="949"/>
      <c r="J20" s="949"/>
      <c r="K20" s="949"/>
      <c r="L20" s="949"/>
      <c r="M20" s="949"/>
      <c r="N20" s="949"/>
      <c r="O20" s="949"/>
      <c r="P20" s="949"/>
      <c r="Q20" s="949"/>
      <c r="R20" s="949"/>
      <c r="S20" s="949"/>
      <c r="T20" s="949"/>
      <c r="U20" s="950"/>
    </row>
    <row r="21" spans="2:21" ht="17.25" customHeight="1" thickBot="1" x14ac:dyDescent="0.25">
      <c r="B21" s="951"/>
      <c r="C21" s="952"/>
      <c r="D21" s="952"/>
      <c r="E21" s="952"/>
      <c r="F21" s="952"/>
      <c r="G21" s="952"/>
      <c r="H21" s="952"/>
      <c r="I21" s="952"/>
      <c r="J21" s="952"/>
      <c r="K21" s="952"/>
      <c r="L21" s="952"/>
      <c r="M21" s="952"/>
      <c r="N21" s="952"/>
      <c r="O21" s="952"/>
      <c r="P21" s="952"/>
      <c r="Q21" s="952"/>
      <c r="R21" s="952"/>
      <c r="S21" s="952"/>
      <c r="T21" s="952"/>
      <c r="U21" s="953"/>
    </row>
    <row r="22" spans="2:21" s="6" customFormat="1" ht="20" x14ac:dyDescent="0.2">
      <c r="B22" s="208"/>
      <c r="C22" s="209"/>
      <c r="D22" s="209"/>
      <c r="E22" s="209"/>
      <c r="F22" s="209"/>
      <c r="G22" s="209"/>
      <c r="H22" s="209"/>
      <c r="I22" s="209"/>
      <c r="J22" s="209"/>
      <c r="K22" s="209"/>
      <c r="L22" s="209"/>
      <c r="M22" s="209"/>
      <c r="N22" s="209"/>
      <c r="O22" s="209"/>
      <c r="P22" s="209"/>
      <c r="Q22" s="779" t="s">
        <v>278</v>
      </c>
      <c r="R22" s="209"/>
      <c r="S22" s="777" t="s">
        <v>279</v>
      </c>
      <c r="T22" s="209"/>
      <c r="U22" s="781" t="s">
        <v>280</v>
      </c>
    </row>
    <row r="23" spans="2:21" s="6" customFormat="1" ht="25" customHeight="1" thickBot="1" x14ac:dyDescent="0.25">
      <c r="B23" s="210"/>
      <c r="C23" s="211" t="s">
        <v>281</v>
      </c>
      <c r="D23" s="212"/>
      <c r="E23" s="212"/>
      <c r="F23" s="213"/>
      <c r="G23" s="213"/>
      <c r="H23" s="212"/>
      <c r="I23" s="212" t="s">
        <v>105</v>
      </c>
      <c r="J23" s="212"/>
      <c r="K23" s="212"/>
      <c r="L23" s="212" t="s">
        <v>106</v>
      </c>
      <c r="M23" s="212"/>
      <c r="N23" s="212"/>
      <c r="O23" s="212" t="s">
        <v>282</v>
      </c>
      <c r="P23" s="212"/>
      <c r="Q23" s="780"/>
      <c r="R23" s="212"/>
      <c r="S23" s="778"/>
      <c r="T23" s="212"/>
      <c r="U23" s="782"/>
    </row>
    <row r="24" spans="2:21" s="6" customFormat="1" ht="21" customHeight="1" x14ac:dyDescent="0.2">
      <c r="B24" s="214"/>
      <c r="C24" s="215" t="str">
        <f>Calculations!B451</f>
        <v/>
      </c>
      <c r="D24" s="215"/>
      <c r="E24" s="215"/>
      <c r="F24" s="215"/>
      <c r="G24" s="215"/>
      <c r="H24" s="215"/>
      <c r="I24" s="783" t="str">
        <f>Calculations!B6</f>
        <v/>
      </c>
      <c r="J24" s="215"/>
      <c r="K24" s="215"/>
      <c r="L24" s="215" t="str">
        <f>Calculations!B7</f>
        <v/>
      </c>
      <c r="M24" s="215"/>
      <c r="N24" s="215"/>
      <c r="O24" s="215" t="str">
        <f>Calculations!B8</f>
        <v/>
      </c>
      <c r="P24" s="215"/>
      <c r="Q24" s="217">
        <f>+'Costing Sheet'!I$22</f>
        <v>0</v>
      </c>
      <c r="R24" s="217"/>
      <c r="S24" s="218">
        <f>-'Costing Sheet'!K$22</f>
        <v>0</v>
      </c>
      <c r="T24" s="217"/>
      <c r="U24" s="219">
        <f>+Calculations!B$526</f>
        <v>0</v>
      </c>
    </row>
    <row r="25" spans="2:21" s="6" customFormat="1" ht="20" x14ac:dyDescent="0.2">
      <c r="B25" s="202"/>
      <c r="I25" s="784"/>
      <c r="J25" s="785" t="str">
        <f>Calculations!B9</f>
        <v/>
      </c>
      <c r="K25" s="785"/>
      <c r="L25" s="785"/>
      <c r="M25" s="785"/>
      <c r="N25" s="785"/>
      <c r="O25" s="785"/>
      <c r="S25" s="221"/>
      <c r="U25" s="222"/>
    </row>
    <row r="26" spans="2:21" s="6" customFormat="1" ht="20" x14ac:dyDescent="0.2">
      <c r="B26" s="202"/>
      <c r="I26" s="223"/>
      <c r="J26" s="786" t="str">
        <f>+Calculations!B12</f>
        <v xml:space="preserve">    </v>
      </c>
      <c r="K26" s="786"/>
      <c r="L26" s="786"/>
      <c r="M26" s="786"/>
      <c r="N26" s="786"/>
      <c r="O26" s="786"/>
      <c r="P26" s="786"/>
      <c r="Q26" s="786"/>
      <c r="R26" s="786"/>
      <c r="S26" s="786"/>
      <c r="T26" s="786"/>
      <c r="U26" s="222"/>
    </row>
    <row r="27" spans="2:21" s="6" customFormat="1" ht="11.25" customHeight="1" x14ac:dyDescent="0.2">
      <c r="B27" s="202"/>
      <c r="I27" s="223"/>
      <c r="J27" s="223"/>
      <c r="K27" s="223"/>
      <c r="L27" s="223"/>
      <c r="M27" s="223"/>
      <c r="N27" s="223"/>
      <c r="O27" s="223"/>
      <c r="P27" s="223"/>
      <c r="Q27" s="223"/>
      <c r="R27" s="223"/>
      <c r="S27" s="224"/>
      <c r="T27" s="223"/>
      <c r="U27" s="222"/>
    </row>
    <row r="28" spans="2:21" s="6" customFormat="1" ht="20" x14ac:dyDescent="0.2">
      <c r="B28" s="202"/>
      <c r="C28" s="6" t="str">
        <f>Calculations!B452</f>
        <v/>
      </c>
      <c r="I28" s="786" t="str">
        <f>Calculations!B18</f>
        <v/>
      </c>
      <c r="L28" s="6" t="str">
        <f>Calculations!B19</f>
        <v/>
      </c>
      <c r="O28" s="6" t="str">
        <f>Calculations!B20</f>
        <v/>
      </c>
      <c r="Q28" s="225">
        <f>+'Costing Sheet'!I$23</f>
        <v>0</v>
      </c>
      <c r="R28" s="225"/>
      <c r="S28" s="221">
        <f>-'Costing Sheet'!K$23</f>
        <v>0</v>
      </c>
      <c r="T28" s="225"/>
      <c r="U28" s="226">
        <f>+Calculations!B$527</f>
        <v>0</v>
      </c>
    </row>
    <row r="29" spans="2:21" s="6" customFormat="1" ht="20" x14ac:dyDescent="0.2">
      <c r="B29" s="202"/>
      <c r="I29" s="786"/>
      <c r="J29" s="786" t="str">
        <f>Calculations!B21</f>
        <v/>
      </c>
      <c r="K29" s="786"/>
      <c r="L29" s="786"/>
      <c r="M29" s="786"/>
      <c r="N29" s="786"/>
      <c r="O29" s="786"/>
      <c r="P29" s="786"/>
      <c r="Q29" s="786"/>
      <c r="R29" s="786"/>
      <c r="S29" s="786"/>
      <c r="U29" s="222"/>
    </row>
    <row r="30" spans="2:21" s="6" customFormat="1" ht="20" x14ac:dyDescent="0.2">
      <c r="B30" s="202"/>
      <c r="I30" s="223"/>
      <c r="J30" s="786" t="str">
        <f>+Calculations!B24</f>
        <v/>
      </c>
      <c r="K30" s="786"/>
      <c r="L30" s="786"/>
      <c r="M30" s="786"/>
      <c r="N30" s="786"/>
      <c r="O30" s="786"/>
      <c r="P30" s="786"/>
      <c r="Q30" s="786"/>
      <c r="R30" s="786"/>
      <c r="S30" s="786"/>
      <c r="T30" s="786"/>
      <c r="U30" s="222"/>
    </row>
    <row r="31" spans="2:21" s="6" customFormat="1" ht="10" customHeight="1" x14ac:dyDescent="0.2">
      <c r="B31" s="202"/>
      <c r="I31" s="223"/>
      <c r="J31" s="223"/>
      <c r="K31" s="223"/>
      <c r="L31" s="223"/>
      <c r="M31" s="223"/>
      <c r="N31" s="223"/>
      <c r="O31" s="223"/>
      <c r="P31" s="223"/>
      <c r="Q31" s="223"/>
      <c r="R31" s="223"/>
      <c r="S31" s="224"/>
      <c r="T31" s="223"/>
      <c r="U31" s="222"/>
    </row>
    <row r="32" spans="2:21" s="6" customFormat="1" ht="20" x14ac:dyDescent="0.2">
      <c r="B32" s="202"/>
      <c r="C32" s="6" t="str">
        <f>Calculations!B453</f>
        <v/>
      </c>
      <c r="I32" s="786" t="str">
        <f>Calculations!B30</f>
        <v/>
      </c>
      <c r="L32" s="6" t="str">
        <f>Calculations!B31</f>
        <v/>
      </c>
      <c r="O32" s="6" t="str">
        <f>Calculations!B32</f>
        <v/>
      </c>
      <c r="Q32" s="225">
        <f>+'Costing Sheet'!I$24</f>
        <v>0</v>
      </c>
      <c r="R32" s="225"/>
      <c r="S32" s="221">
        <f>-'Costing Sheet'!K$24</f>
        <v>0</v>
      </c>
      <c r="T32" s="225"/>
      <c r="U32" s="226">
        <f>+Calculations!B$528</f>
        <v>0</v>
      </c>
    </row>
    <row r="33" spans="2:21" s="6" customFormat="1" ht="20" x14ac:dyDescent="0.2">
      <c r="B33" s="202"/>
      <c r="I33" s="786"/>
      <c r="J33" s="786" t="str">
        <f>Calculations!B33</f>
        <v/>
      </c>
      <c r="K33" s="786"/>
      <c r="L33" s="786"/>
      <c r="M33" s="786"/>
      <c r="N33" s="786"/>
      <c r="O33" s="786"/>
      <c r="P33" s="786"/>
      <c r="Q33" s="786"/>
      <c r="R33" s="786"/>
      <c r="S33" s="786"/>
      <c r="T33" s="786"/>
      <c r="U33" s="222"/>
    </row>
    <row r="34" spans="2:21" s="6" customFormat="1" ht="20" x14ac:dyDescent="0.2">
      <c r="B34" s="202"/>
      <c r="I34" s="223"/>
      <c r="J34" s="786" t="str">
        <f>+Calculations!B36</f>
        <v/>
      </c>
      <c r="K34" s="786"/>
      <c r="L34" s="786"/>
      <c r="M34" s="786"/>
      <c r="N34" s="786"/>
      <c r="O34" s="786"/>
      <c r="P34" s="786"/>
      <c r="Q34" s="786"/>
      <c r="R34" s="786"/>
      <c r="S34" s="786"/>
      <c r="T34" s="786"/>
      <c r="U34" s="222"/>
    </row>
    <row r="35" spans="2:21" s="6" customFormat="1" ht="9" customHeight="1" x14ac:dyDescent="0.2">
      <c r="B35" s="202"/>
      <c r="I35" s="223"/>
      <c r="J35" s="223"/>
      <c r="K35" s="223"/>
      <c r="L35" s="223"/>
      <c r="M35" s="223"/>
      <c r="N35" s="223"/>
      <c r="O35" s="223"/>
      <c r="P35" s="223"/>
      <c r="Q35" s="223"/>
      <c r="R35" s="223"/>
      <c r="S35" s="224"/>
      <c r="T35" s="223"/>
      <c r="U35" s="222"/>
    </row>
    <row r="36" spans="2:21" s="6" customFormat="1" ht="20" x14ac:dyDescent="0.2">
      <c r="B36" s="202"/>
      <c r="C36" s="6" t="str">
        <f>Calculations!B454</f>
        <v/>
      </c>
      <c r="I36" s="806" t="str">
        <f>Calculations!B42</f>
        <v/>
      </c>
      <c r="L36" s="6" t="str">
        <f>Calculations!B43</f>
        <v/>
      </c>
      <c r="O36" s="6" t="str">
        <f>Calculations!B44</f>
        <v/>
      </c>
      <c r="Q36" s="225">
        <f>+'Costing Sheet'!I$25</f>
        <v>0</v>
      </c>
      <c r="R36" s="225"/>
      <c r="S36" s="221">
        <f>-'Costing Sheet'!K$25</f>
        <v>0</v>
      </c>
      <c r="T36" s="225"/>
      <c r="U36" s="226">
        <f>+Calculations!B$529</f>
        <v>0</v>
      </c>
    </row>
    <row r="37" spans="2:21" s="6" customFormat="1" ht="20" x14ac:dyDescent="0.2">
      <c r="B37" s="202"/>
      <c r="I37" s="806"/>
      <c r="J37" s="786" t="str">
        <f>Calculations!B45</f>
        <v/>
      </c>
      <c r="K37" s="786"/>
      <c r="L37" s="786"/>
      <c r="M37" s="786"/>
      <c r="N37" s="786"/>
      <c r="O37" s="786"/>
      <c r="P37" s="786"/>
      <c r="Q37" s="786"/>
      <c r="R37" s="786"/>
      <c r="S37" s="786"/>
      <c r="T37" s="786"/>
      <c r="U37" s="222"/>
    </row>
    <row r="38" spans="2:21" s="6" customFormat="1" ht="20" x14ac:dyDescent="0.2">
      <c r="B38" s="202"/>
      <c r="I38" s="223"/>
      <c r="J38" s="786" t="str">
        <f>+Calculations!B48</f>
        <v/>
      </c>
      <c r="K38" s="786"/>
      <c r="L38" s="786"/>
      <c r="M38" s="786"/>
      <c r="N38" s="786"/>
      <c r="O38" s="786"/>
      <c r="P38" s="786"/>
      <c r="Q38" s="786"/>
      <c r="R38" s="786"/>
      <c r="S38" s="786"/>
      <c r="T38" s="786"/>
      <c r="U38" s="222"/>
    </row>
    <row r="39" spans="2:21" s="6" customFormat="1" ht="7" customHeight="1" x14ac:dyDescent="0.2">
      <c r="B39" s="202"/>
      <c r="I39" s="223"/>
      <c r="J39" s="223"/>
      <c r="K39" s="223"/>
      <c r="L39" s="223"/>
      <c r="M39" s="223"/>
      <c r="N39" s="223"/>
      <c r="O39" s="223"/>
      <c r="P39" s="223"/>
      <c r="Q39" s="223"/>
      <c r="R39" s="223"/>
      <c r="S39" s="224"/>
      <c r="T39" s="223"/>
      <c r="U39" s="222"/>
    </row>
    <row r="40" spans="2:21" s="6" customFormat="1" ht="20" x14ac:dyDescent="0.2">
      <c r="B40" s="202"/>
      <c r="C40" s="6" t="str">
        <f>Calculations!B455</f>
        <v/>
      </c>
      <c r="I40" s="786" t="str">
        <f>Calculations!B54</f>
        <v/>
      </c>
      <c r="L40" s="6" t="str">
        <f>Calculations!B55</f>
        <v/>
      </c>
      <c r="O40" s="6" t="str">
        <f>Calculations!B56</f>
        <v/>
      </c>
      <c r="Q40" s="225">
        <f>+'Costing Sheet'!I$26</f>
        <v>0</v>
      </c>
      <c r="R40" s="225"/>
      <c r="S40" s="221">
        <f>-'Costing Sheet'!K$26</f>
        <v>0</v>
      </c>
      <c r="T40" s="225"/>
      <c r="U40" s="226">
        <f>+Calculations!B$530</f>
        <v>0</v>
      </c>
    </row>
    <row r="41" spans="2:21" s="6" customFormat="1" ht="20" x14ac:dyDescent="0.2">
      <c r="B41" s="202"/>
      <c r="I41" s="786"/>
      <c r="J41" s="786" t="str">
        <f>Calculations!B57</f>
        <v/>
      </c>
      <c r="K41" s="786"/>
      <c r="L41" s="786"/>
      <c r="M41" s="786"/>
      <c r="N41" s="786"/>
      <c r="O41" s="786"/>
      <c r="P41" s="786"/>
      <c r="Q41" s="786"/>
      <c r="R41" s="786"/>
      <c r="S41" s="786"/>
      <c r="T41" s="786"/>
      <c r="U41" s="222"/>
    </row>
    <row r="42" spans="2:21" s="6" customFormat="1" ht="20" x14ac:dyDescent="0.2">
      <c r="B42" s="202"/>
      <c r="I42" s="223"/>
      <c r="J42" s="786" t="str">
        <f>+Calculations!B60</f>
        <v/>
      </c>
      <c r="K42" s="786"/>
      <c r="L42" s="786"/>
      <c r="M42" s="786"/>
      <c r="N42" s="786"/>
      <c r="O42" s="786"/>
      <c r="P42" s="786"/>
      <c r="Q42" s="786"/>
      <c r="R42" s="786"/>
      <c r="S42" s="786"/>
      <c r="T42" s="786"/>
      <c r="U42" s="222"/>
    </row>
    <row r="43" spans="2:21" s="6" customFormat="1" ht="6" customHeight="1" x14ac:dyDescent="0.2">
      <c r="B43" s="202"/>
      <c r="I43" s="223"/>
      <c r="J43" s="223"/>
      <c r="K43" s="223"/>
      <c r="L43" s="223"/>
      <c r="M43" s="223"/>
      <c r="N43" s="223"/>
      <c r="O43" s="223"/>
      <c r="P43" s="223"/>
      <c r="Q43" s="223"/>
      <c r="R43" s="223"/>
      <c r="S43" s="224"/>
      <c r="T43" s="223"/>
      <c r="U43" s="222"/>
    </row>
    <row r="44" spans="2:21" customFormat="1" ht="20" x14ac:dyDescent="0.2">
      <c r="B44" s="228"/>
      <c r="C44" s="6" t="str">
        <f>Calculations!B456</f>
        <v/>
      </c>
      <c r="D44" s="6"/>
      <c r="E44" s="6"/>
      <c r="F44" s="6"/>
      <c r="G44" s="6"/>
      <c r="H44" s="6"/>
      <c r="I44" s="786" t="str">
        <f>Calculations!B66</f>
        <v/>
      </c>
      <c r="J44" s="6"/>
      <c r="K44" s="6"/>
      <c r="L44" s="6" t="str">
        <f>Calculations!B67</f>
        <v/>
      </c>
      <c r="M44" s="6"/>
      <c r="N44" s="6"/>
      <c r="O44" s="6" t="str">
        <f>Calculations!B68</f>
        <v/>
      </c>
      <c r="P44" s="6"/>
      <c r="Q44" s="225">
        <f>+'Costing Sheet'!I$27</f>
        <v>0</v>
      </c>
      <c r="R44" s="225"/>
      <c r="S44" s="221">
        <f>-'Costing Sheet'!K$27</f>
        <v>0</v>
      </c>
      <c r="T44" s="225"/>
      <c r="U44" s="226">
        <f>+Calculations!B$531</f>
        <v>0</v>
      </c>
    </row>
    <row r="45" spans="2:21" customFormat="1" ht="20" x14ac:dyDescent="0.2">
      <c r="B45" s="228"/>
      <c r="C45" s="6"/>
      <c r="D45" s="6"/>
      <c r="E45" s="6"/>
      <c r="F45" s="6"/>
      <c r="G45" s="6"/>
      <c r="H45" s="6"/>
      <c r="I45" s="786"/>
      <c r="J45" s="786" t="str">
        <f>Calculations!B69</f>
        <v/>
      </c>
      <c r="K45" s="786"/>
      <c r="L45" s="786"/>
      <c r="M45" s="786"/>
      <c r="N45" s="786"/>
      <c r="O45" s="786"/>
      <c r="P45" s="786"/>
      <c r="Q45" s="786"/>
      <c r="R45" s="786"/>
      <c r="S45" s="786"/>
      <c r="T45" s="786"/>
      <c r="U45" s="222"/>
    </row>
    <row r="46" spans="2:21" customFormat="1" ht="20" x14ac:dyDescent="0.2">
      <c r="B46" s="228"/>
      <c r="C46" s="6"/>
      <c r="D46" s="6"/>
      <c r="E46" s="6"/>
      <c r="F46" s="6"/>
      <c r="G46" s="6"/>
      <c r="H46" s="6"/>
      <c r="I46" s="223"/>
      <c r="J46" s="806" t="str">
        <f>+Calculations!B72</f>
        <v/>
      </c>
      <c r="K46" s="786"/>
      <c r="L46" s="786"/>
      <c r="M46" s="786"/>
      <c r="N46" s="786"/>
      <c r="O46" s="786"/>
      <c r="P46" s="786"/>
      <c r="Q46" s="786"/>
      <c r="R46" s="786"/>
      <c r="S46" s="786"/>
      <c r="T46" s="786"/>
      <c r="U46" s="222"/>
    </row>
    <row r="47" spans="2:21" customFormat="1" ht="7" customHeight="1" x14ac:dyDescent="0.2">
      <c r="B47" s="228"/>
      <c r="C47" s="6"/>
      <c r="D47" s="6"/>
      <c r="E47" s="6"/>
      <c r="F47" s="6"/>
      <c r="G47" s="6"/>
      <c r="H47" s="6"/>
      <c r="I47" s="223"/>
      <c r="J47" s="227"/>
      <c r="K47" s="223"/>
      <c r="L47" s="223"/>
      <c r="M47" s="223"/>
      <c r="N47" s="223"/>
      <c r="O47" s="223"/>
      <c r="P47" s="223"/>
      <c r="Q47" s="223"/>
      <c r="R47" s="223"/>
      <c r="S47" s="224"/>
      <c r="T47" s="223"/>
      <c r="U47" s="222"/>
    </row>
    <row r="48" spans="2:21" customFormat="1" ht="20" x14ac:dyDescent="0.2">
      <c r="B48" s="228"/>
      <c r="C48" s="6" t="str">
        <f>Calculations!B457</f>
        <v/>
      </c>
      <c r="D48" s="6"/>
      <c r="E48" s="6"/>
      <c r="F48" s="6"/>
      <c r="G48" s="6"/>
      <c r="H48" s="6"/>
      <c r="I48" s="786" t="str">
        <f>Calculations!B78</f>
        <v/>
      </c>
      <c r="J48" s="6"/>
      <c r="K48" s="6"/>
      <c r="L48" s="6" t="str">
        <f>Calculations!B79</f>
        <v/>
      </c>
      <c r="M48" s="6"/>
      <c r="N48" s="6"/>
      <c r="O48" s="6" t="str">
        <f>Calculations!B80</f>
        <v/>
      </c>
      <c r="P48" s="6"/>
      <c r="Q48" s="225">
        <f>+'Costing Sheet'!I$28</f>
        <v>0</v>
      </c>
      <c r="R48" s="225"/>
      <c r="S48" s="221">
        <f>-'Costing Sheet'!K$28</f>
        <v>0</v>
      </c>
      <c r="T48" s="225"/>
      <c r="U48" s="226">
        <f>+Calculations!B$532</f>
        <v>0</v>
      </c>
    </row>
    <row r="49" spans="2:21" customFormat="1" ht="20" x14ac:dyDescent="0.2">
      <c r="B49" s="228"/>
      <c r="C49" s="6"/>
      <c r="D49" s="6"/>
      <c r="E49" s="6"/>
      <c r="F49" s="6"/>
      <c r="G49" s="6"/>
      <c r="H49" s="6"/>
      <c r="I49" s="786"/>
      <c r="J49" s="786" t="str">
        <f>Calculations!B81</f>
        <v/>
      </c>
      <c r="K49" s="786"/>
      <c r="L49" s="786"/>
      <c r="M49" s="786"/>
      <c r="N49" s="786"/>
      <c r="O49" s="786"/>
      <c r="P49" s="786"/>
      <c r="Q49" s="786"/>
      <c r="R49" s="786"/>
      <c r="S49" s="786"/>
      <c r="T49" s="786"/>
      <c r="U49" s="222"/>
    </row>
    <row r="50" spans="2:21" customFormat="1" ht="20" x14ac:dyDescent="0.2">
      <c r="B50" s="228"/>
      <c r="C50" s="6"/>
      <c r="D50" s="6"/>
      <c r="E50" s="6"/>
      <c r="F50" s="6"/>
      <c r="G50" s="6"/>
      <c r="H50" s="6"/>
      <c r="I50" s="223"/>
      <c r="J50" s="786" t="str">
        <f>+Calculations!B84</f>
        <v/>
      </c>
      <c r="K50" s="786"/>
      <c r="L50" s="786"/>
      <c r="M50" s="786"/>
      <c r="N50" s="786"/>
      <c r="O50" s="786"/>
      <c r="P50" s="786"/>
      <c r="Q50" s="786"/>
      <c r="R50" s="786"/>
      <c r="S50" s="786"/>
      <c r="T50" s="786"/>
      <c r="U50" s="222"/>
    </row>
    <row r="51" spans="2:21" customFormat="1" ht="7" customHeight="1" x14ac:dyDescent="0.2">
      <c r="B51" s="228"/>
      <c r="C51" s="6"/>
      <c r="D51" s="6"/>
      <c r="E51" s="6"/>
      <c r="F51" s="6"/>
      <c r="G51" s="6"/>
      <c r="H51" s="6"/>
      <c r="I51" s="223"/>
      <c r="J51" s="223"/>
      <c r="K51" s="223"/>
      <c r="L51" s="223"/>
      <c r="M51" s="223"/>
      <c r="N51" s="223"/>
      <c r="O51" s="223"/>
      <c r="P51" s="223"/>
      <c r="Q51" s="223"/>
      <c r="R51" s="223"/>
      <c r="S51" s="224"/>
      <c r="T51" s="223"/>
      <c r="U51" s="222"/>
    </row>
    <row r="52" spans="2:21" customFormat="1" ht="20" x14ac:dyDescent="0.2">
      <c r="B52" s="228"/>
      <c r="C52" s="6" t="str">
        <f>Calculations!B458</f>
        <v/>
      </c>
      <c r="D52" s="6"/>
      <c r="E52" s="6"/>
      <c r="F52" s="6"/>
      <c r="G52" s="6"/>
      <c r="H52" s="6"/>
      <c r="I52" s="786" t="str">
        <f>Calculations!B90</f>
        <v/>
      </c>
      <c r="J52" s="6"/>
      <c r="K52" s="6"/>
      <c r="L52" s="6" t="str">
        <f>Calculations!B91</f>
        <v/>
      </c>
      <c r="M52" s="6"/>
      <c r="N52" s="6"/>
      <c r="O52" s="6" t="str">
        <f>Calculations!B92</f>
        <v/>
      </c>
      <c r="P52" s="6"/>
      <c r="Q52" s="225">
        <f>+'Costing Sheet'!I$29</f>
        <v>0</v>
      </c>
      <c r="R52" s="225"/>
      <c r="S52" s="221">
        <f>-'Costing Sheet'!K$29</f>
        <v>0</v>
      </c>
      <c r="T52" s="225"/>
      <c r="U52" s="226">
        <f>+Calculations!B$533</f>
        <v>0</v>
      </c>
    </row>
    <row r="53" spans="2:21" customFormat="1" ht="20" x14ac:dyDescent="0.2">
      <c r="B53" s="228"/>
      <c r="C53" s="6"/>
      <c r="D53" s="6"/>
      <c r="E53" s="6"/>
      <c r="F53" s="6"/>
      <c r="G53" s="6"/>
      <c r="H53" s="6"/>
      <c r="I53" s="786"/>
      <c r="J53" s="786" t="str">
        <f>Calculations!B93</f>
        <v/>
      </c>
      <c r="K53" s="786"/>
      <c r="L53" s="786"/>
      <c r="M53" s="786"/>
      <c r="N53" s="786"/>
      <c r="O53" s="786"/>
      <c r="P53" s="786"/>
      <c r="Q53" s="786"/>
      <c r="R53" s="786"/>
      <c r="S53" s="786"/>
      <c r="T53" s="786"/>
      <c r="U53" s="222"/>
    </row>
    <row r="54" spans="2:21" customFormat="1" ht="20" x14ac:dyDescent="0.2">
      <c r="B54" s="228"/>
      <c r="C54" s="6"/>
      <c r="D54" s="6"/>
      <c r="E54" s="6"/>
      <c r="F54" s="6"/>
      <c r="G54" s="6"/>
      <c r="H54" s="6"/>
      <c r="I54" s="223"/>
      <c r="J54" s="786" t="str">
        <f>+Calculations!B96</f>
        <v/>
      </c>
      <c r="K54" s="786"/>
      <c r="L54" s="786"/>
      <c r="M54" s="786"/>
      <c r="N54" s="786"/>
      <c r="O54" s="786"/>
      <c r="P54" s="786"/>
      <c r="Q54" s="786"/>
      <c r="R54" s="786"/>
      <c r="S54" s="786"/>
      <c r="T54" s="786"/>
      <c r="U54" s="222"/>
    </row>
    <row r="55" spans="2:21" customFormat="1" ht="9" customHeight="1" x14ac:dyDescent="0.2">
      <c r="B55" s="228"/>
      <c r="C55" s="6"/>
      <c r="D55" s="6"/>
      <c r="E55" s="6"/>
      <c r="F55" s="6"/>
      <c r="G55" s="6"/>
      <c r="H55" s="6"/>
      <c r="I55" s="223"/>
      <c r="J55" s="223"/>
      <c r="K55" s="223"/>
      <c r="L55" s="223"/>
      <c r="M55" s="223"/>
      <c r="N55" s="223"/>
      <c r="O55" s="223"/>
      <c r="P55" s="223"/>
      <c r="Q55" s="223"/>
      <c r="R55" s="223"/>
      <c r="S55" s="224"/>
      <c r="T55" s="223"/>
      <c r="U55" s="222"/>
    </row>
    <row r="56" spans="2:21" customFormat="1" ht="20" x14ac:dyDescent="0.2">
      <c r="B56" s="228"/>
      <c r="C56" s="6" t="str">
        <f>Calculations!B459</f>
        <v/>
      </c>
      <c r="D56" s="6"/>
      <c r="E56" s="6"/>
      <c r="F56" s="6"/>
      <c r="G56" s="6"/>
      <c r="H56" s="6"/>
      <c r="I56" s="786" t="str">
        <f>Calculations!B102</f>
        <v/>
      </c>
      <c r="J56" s="6"/>
      <c r="K56" s="6"/>
      <c r="L56" s="6" t="str">
        <f>Calculations!B103</f>
        <v/>
      </c>
      <c r="M56" s="6"/>
      <c r="N56" s="6"/>
      <c r="O56" s="6" t="str">
        <f>Calculations!B104</f>
        <v/>
      </c>
      <c r="P56" s="6"/>
      <c r="Q56" s="225">
        <f>+'Costing Sheet'!I$30</f>
        <v>0</v>
      </c>
      <c r="R56" s="225"/>
      <c r="S56" s="221">
        <f>-'Costing Sheet'!K$30</f>
        <v>0</v>
      </c>
      <c r="T56" s="225"/>
      <c r="U56" s="226">
        <f>+Calculations!B$534</f>
        <v>0</v>
      </c>
    </row>
    <row r="57" spans="2:21" customFormat="1" ht="23.25" customHeight="1" x14ac:dyDescent="0.2">
      <c r="B57" s="228"/>
      <c r="C57" s="6"/>
      <c r="D57" s="6"/>
      <c r="E57" s="6"/>
      <c r="F57" s="6"/>
      <c r="G57" s="6"/>
      <c r="H57" s="6"/>
      <c r="I57" s="786"/>
      <c r="J57" s="786" t="str">
        <f>Calculations!B105</f>
        <v/>
      </c>
      <c r="K57" s="786"/>
      <c r="L57" s="786"/>
      <c r="M57" s="786"/>
      <c r="N57" s="786"/>
      <c r="O57" s="786"/>
      <c r="P57" s="786"/>
      <c r="Q57" s="786"/>
      <c r="R57" s="786"/>
      <c r="S57" s="786"/>
      <c r="T57" s="786"/>
      <c r="U57" s="222"/>
    </row>
    <row r="58" spans="2:21" customFormat="1" ht="21" customHeight="1" x14ac:dyDescent="0.2">
      <c r="B58" s="228"/>
      <c r="C58" s="6"/>
      <c r="D58" s="6"/>
      <c r="E58" s="6"/>
      <c r="F58" s="6"/>
      <c r="G58" s="6"/>
      <c r="H58" s="6"/>
      <c r="I58" s="223"/>
      <c r="J58" s="786" t="str">
        <f>+Calculations!B108</f>
        <v/>
      </c>
      <c r="K58" s="786"/>
      <c r="L58" s="786"/>
      <c r="M58" s="786"/>
      <c r="N58" s="786"/>
      <c r="O58" s="786"/>
      <c r="P58" s="786"/>
      <c r="Q58" s="786"/>
      <c r="R58" s="786"/>
      <c r="S58" s="786"/>
      <c r="T58" s="786"/>
      <c r="U58" s="222"/>
    </row>
    <row r="59" spans="2:21" customFormat="1" ht="8.25" customHeight="1" x14ac:dyDescent="0.2">
      <c r="B59" s="228"/>
      <c r="C59" s="6"/>
      <c r="D59" s="6"/>
      <c r="E59" s="6"/>
      <c r="F59" s="6"/>
      <c r="G59" s="6"/>
      <c r="H59" s="6"/>
      <c r="I59" s="223"/>
      <c r="J59" s="223"/>
      <c r="K59" s="223"/>
      <c r="L59" s="223"/>
      <c r="M59" s="223"/>
      <c r="N59" s="223"/>
      <c r="O59" s="223"/>
      <c r="P59" s="223"/>
      <c r="Q59" s="223"/>
      <c r="R59" s="223"/>
      <c r="S59" s="224"/>
      <c r="T59" s="223"/>
      <c r="U59" s="222"/>
    </row>
    <row r="60" spans="2:21" customFormat="1" ht="20" x14ac:dyDescent="0.2">
      <c r="B60" s="228"/>
      <c r="C60" s="6" t="str">
        <f>Calculations!B460</f>
        <v/>
      </c>
      <c r="D60" s="6"/>
      <c r="E60" s="6"/>
      <c r="F60" s="6"/>
      <c r="G60" s="6"/>
      <c r="H60" s="6"/>
      <c r="I60" s="786" t="str">
        <f>Calculations!B114</f>
        <v/>
      </c>
      <c r="J60" s="6"/>
      <c r="K60" s="6"/>
      <c r="L60" s="6" t="str">
        <f>Calculations!B115</f>
        <v/>
      </c>
      <c r="M60" s="6"/>
      <c r="N60" s="6"/>
      <c r="O60" s="6" t="str">
        <f>Calculations!B116</f>
        <v/>
      </c>
      <c r="P60" s="6"/>
      <c r="Q60" s="225">
        <f>+'Costing Sheet'!I$31</f>
        <v>0</v>
      </c>
      <c r="R60" s="225"/>
      <c r="S60" s="221">
        <f>-'Costing Sheet'!K$31</f>
        <v>0</v>
      </c>
      <c r="T60" s="225"/>
      <c r="U60" s="226">
        <f>+Calculations!B$535</f>
        <v>0</v>
      </c>
    </row>
    <row r="61" spans="2:21" customFormat="1" ht="20" x14ac:dyDescent="0.2">
      <c r="B61" s="228"/>
      <c r="C61" s="6"/>
      <c r="D61" s="6"/>
      <c r="E61" s="6"/>
      <c r="F61" s="6"/>
      <c r="G61" s="6"/>
      <c r="H61" s="6"/>
      <c r="I61" s="786"/>
      <c r="J61" s="786" t="str">
        <f>Calculations!B117</f>
        <v/>
      </c>
      <c r="K61" s="786"/>
      <c r="L61" s="786"/>
      <c r="M61" s="786"/>
      <c r="N61" s="786"/>
      <c r="O61" s="786"/>
      <c r="P61" s="786"/>
      <c r="Q61" s="786"/>
      <c r="R61" s="786"/>
      <c r="S61" s="786"/>
      <c r="T61" s="786"/>
      <c r="U61" s="222"/>
    </row>
    <row r="62" spans="2:21" customFormat="1" ht="20" x14ac:dyDescent="0.2">
      <c r="B62" s="228"/>
      <c r="C62" s="6"/>
      <c r="D62" s="6"/>
      <c r="E62" s="6"/>
      <c r="F62" s="6"/>
      <c r="G62" s="6"/>
      <c r="H62" s="6"/>
      <c r="I62" s="223"/>
      <c r="J62" s="786" t="str">
        <f>+Calculations!B120</f>
        <v/>
      </c>
      <c r="K62" s="786"/>
      <c r="L62" s="786"/>
      <c r="M62" s="786"/>
      <c r="N62" s="786"/>
      <c r="O62" s="786"/>
      <c r="P62" s="786"/>
      <c r="Q62" s="786"/>
      <c r="R62" s="786"/>
      <c r="S62" s="786"/>
      <c r="T62" s="786"/>
      <c r="U62" s="222"/>
    </row>
    <row r="63" spans="2:21" customFormat="1" ht="20.25" customHeight="1" x14ac:dyDescent="0.2">
      <c r="B63" s="228"/>
      <c r="C63" s="786" t="str">
        <f>UPPER('Sales Input Sheet'!E55)</f>
        <v/>
      </c>
      <c r="D63" s="786"/>
      <c r="E63" s="786"/>
      <c r="F63" s="786"/>
      <c r="G63" s="786"/>
      <c r="H63" s="786"/>
      <c r="I63" s="786"/>
      <c r="J63" s="786"/>
      <c r="K63" s="786"/>
      <c r="L63" s="786"/>
      <c r="M63" s="786"/>
      <c r="N63" s="786"/>
      <c r="O63" s="786"/>
      <c r="P63" s="786"/>
      <c r="Q63" s="786"/>
      <c r="R63" s="786"/>
      <c r="S63" s="786"/>
      <c r="T63" s="786"/>
      <c r="U63" s="807"/>
    </row>
    <row r="64" spans="2:21" customFormat="1" ht="20.25" customHeight="1" x14ac:dyDescent="0.2">
      <c r="B64" s="228"/>
      <c r="C64" s="786"/>
      <c r="D64" s="786"/>
      <c r="E64" s="786"/>
      <c r="F64" s="786"/>
      <c r="G64" s="786"/>
      <c r="H64" s="786"/>
      <c r="I64" s="786"/>
      <c r="J64" s="786"/>
      <c r="K64" s="786"/>
      <c r="L64" s="786"/>
      <c r="M64" s="786"/>
      <c r="N64" s="786"/>
      <c r="O64" s="786"/>
      <c r="P64" s="786"/>
      <c r="Q64" s="786"/>
      <c r="R64" s="786"/>
      <c r="S64" s="786"/>
      <c r="T64" s="786"/>
      <c r="U64" s="807"/>
    </row>
    <row r="65" spans="2:21" customFormat="1" ht="12" customHeight="1" thickBot="1" x14ac:dyDescent="0.25">
      <c r="B65" s="230"/>
      <c r="C65" s="231"/>
      <c r="D65" s="231"/>
      <c r="E65" s="231"/>
      <c r="F65" s="231"/>
      <c r="G65" s="231"/>
      <c r="H65" s="231"/>
      <c r="I65" s="231"/>
      <c r="J65" s="231"/>
      <c r="K65" s="231"/>
      <c r="L65" s="231"/>
      <c r="M65" s="231"/>
      <c r="N65" s="231"/>
      <c r="O65" s="231"/>
      <c r="P65" s="231"/>
      <c r="Q65" s="232"/>
      <c r="R65" s="232"/>
      <c r="S65" s="233"/>
      <c r="T65" s="232"/>
      <c r="U65" s="234"/>
    </row>
    <row r="66" spans="2:21" s="6" customFormat="1" ht="7" customHeight="1" thickBot="1" x14ac:dyDescent="0.25">
      <c r="B66" s="235"/>
      <c r="C66" s="231"/>
      <c r="D66" s="231"/>
      <c r="E66" s="231"/>
      <c r="F66" s="231"/>
      <c r="G66" s="231"/>
      <c r="H66" s="231"/>
      <c r="I66" s="231"/>
      <c r="J66" s="231"/>
      <c r="K66" s="231"/>
      <c r="L66" s="231"/>
      <c r="M66" s="231"/>
      <c r="N66" s="231"/>
      <c r="O66" s="231"/>
      <c r="P66" s="231"/>
      <c r="Q66" s="231"/>
      <c r="R66" s="231"/>
      <c r="S66" s="233"/>
      <c r="T66" s="231"/>
      <c r="U66" s="236"/>
    </row>
    <row r="67" spans="2:21" s="6" customFormat="1" ht="41.25" customHeight="1" thickBot="1" x14ac:dyDescent="0.25">
      <c r="B67" s="208" t="s">
        <v>283</v>
      </c>
      <c r="C67" s="209"/>
      <c r="D67" s="209"/>
      <c r="E67" s="209"/>
      <c r="F67" s="209"/>
      <c r="G67" s="209"/>
      <c r="H67" s="209"/>
      <c r="I67" s="209" t="s">
        <v>105</v>
      </c>
      <c r="J67" s="209"/>
      <c r="K67" s="209"/>
      <c r="L67" s="209" t="s">
        <v>106</v>
      </c>
      <c r="M67" s="209"/>
      <c r="N67" s="209"/>
      <c r="O67" s="209" t="s">
        <v>282</v>
      </c>
      <c r="P67" s="209"/>
      <c r="Q67" s="209" t="s">
        <v>284</v>
      </c>
      <c r="R67" s="209"/>
      <c r="S67" s="400" t="s">
        <v>331</v>
      </c>
      <c r="T67" s="209"/>
      <c r="U67" s="401" t="s">
        <v>296</v>
      </c>
    </row>
    <row r="68" spans="2:21" s="6" customFormat="1" ht="21" x14ac:dyDescent="0.2">
      <c r="B68" s="214"/>
      <c r="C68" s="215"/>
      <c r="D68" s="215"/>
      <c r="E68" s="215"/>
      <c r="F68" s="215"/>
      <c r="G68" s="215"/>
      <c r="H68" s="215"/>
      <c r="I68" s="215" t="str">
        <f>+Calculations!B504</f>
        <v/>
      </c>
      <c r="J68" s="215"/>
      <c r="K68" s="215"/>
      <c r="L68" s="215" t="str">
        <f>+Calculations!B506</f>
        <v/>
      </c>
      <c r="M68" s="215"/>
      <c r="N68" s="215"/>
      <c r="O68" s="215" t="str">
        <f>+Calculations!B502</f>
        <v/>
      </c>
      <c r="P68" s="215"/>
      <c r="Q68" s="239" t="str">
        <f>Calculations!B514</f>
        <v/>
      </c>
      <c r="R68" s="215"/>
      <c r="S68" s="217">
        <f>Calculations!B498</f>
        <v>0</v>
      </c>
      <c r="T68" s="217"/>
      <c r="U68" s="219">
        <f>Calculations!B500</f>
        <v>0</v>
      </c>
    </row>
    <row r="69" spans="2:21" s="6" customFormat="1" ht="21" x14ac:dyDescent="0.2">
      <c r="B69" s="202"/>
      <c r="I69" s="6" t="str">
        <f>+Calculations!B694</f>
        <v/>
      </c>
      <c r="L69" s="6" t="str">
        <f>+Calculations!B698</f>
        <v/>
      </c>
      <c r="O69" s="6" t="str">
        <f>+Calculations!B690</f>
        <v/>
      </c>
      <c r="Q69" s="240" t="str">
        <f>+Calculations!B678</f>
        <v/>
      </c>
      <c r="S69" s="225">
        <f>+Calculations!B682</f>
        <v>0</v>
      </c>
      <c r="T69" s="225"/>
      <c r="U69" s="226">
        <f>+Calculations!B686</f>
        <v>0</v>
      </c>
    </row>
    <row r="70" spans="2:21" s="6" customFormat="1" ht="21" x14ac:dyDescent="0.2">
      <c r="B70" s="202"/>
      <c r="I70" s="6" t="str">
        <f>+Calculations!B695</f>
        <v/>
      </c>
      <c r="L70" s="6" t="str">
        <f>+Calculations!B699</f>
        <v/>
      </c>
      <c r="O70" s="6" t="str">
        <f>+Calculations!B691</f>
        <v/>
      </c>
      <c r="Q70" s="240" t="str">
        <f>+Calculations!B679</f>
        <v/>
      </c>
      <c r="S70" s="225">
        <f>+Calculations!B683</f>
        <v>0</v>
      </c>
      <c r="T70" s="225"/>
      <c r="U70" s="226">
        <f>+Calculations!B687</f>
        <v>0</v>
      </c>
    </row>
    <row r="71" spans="2:21" s="6" customFormat="1" ht="21" x14ac:dyDescent="0.2">
      <c r="B71" s="202"/>
      <c r="I71" s="6" t="str">
        <f>+Calculations!B696</f>
        <v/>
      </c>
      <c r="L71" s="6" t="str">
        <f>+Calculations!B700</f>
        <v/>
      </c>
      <c r="O71" s="6" t="str">
        <f>+Calculations!B692</f>
        <v/>
      </c>
      <c r="Q71" s="240" t="str">
        <f>+Calculations!B680</f>
        <v/>
      </c>
      <c r="S71" s="225">
        <f>+Calculations!B684</f>
        <v>0</v>
      </c>
      <c r="T71" s="225"/>
      <c r="U71" s="226">
        <f>+Calculations!B688</f>
        <v>0</v>
      </c>
    </row>
    <row r="72" spans="2:21" s="6" customFormat="1" ht="21" x14ac:dyDescent="0.2">
      <c r="B72" s="202"/>
      <c r="I72" s="6" t="str">
        <f>+Calculations!B697</f>
        <v/>
      </c>
      <c r="L72" s="6" t="str">
        <f>+Calculations!B701</f>
        <v/>
      </c>
      <c r="O72" s="6" t="str">
        <f>+Calculations!B693</f>
        <v/>
      </c>
      <c r="Q72" s="240" t="str">
        <f>+Calculations!B681</f>
        <v/>
      </c>
      <c r="S72" s="225">
        <f>+Calculations!B685</f>
        <v>0</v>
      </c>
      <c r="T72" s="225"/>
      <c r="U72" s="226">
        <f>+Calculations!B689</f>
        <v>0</v>
      </c>
    </row>
    <row r="73" spans="2:21" s="6" customFormat="1" ht="21" customHeight="1" x14ac:dyDescent="0.2">
      <c r="B73" s="235"/>
      <c r="C73" s="231"/>
      <c r="D73" s="231"/>
      <c r="E73" s="231"/>
      <c r="F73" s="231"/>
      <c r="G73" s="231"/>
      <c r="H73" s="231"/>
      <c r="I73" s="231" t="str">
        <f>+Calculations!B505</f>
        <v/>
      </c>
      <c r="J73" s="231"/>
      <c r="K73" s="231"/>
      <c r="L73" s="231" t="str">
        <f>+Calculations!B507</f>
        <v/>
      </c>
      <c r="M73" s="231"/>
      <c r="N73" s="231"/>
      <c r="O73" s="231" t="str">
        <f>+Calculations!B503</f>
        <v/>
      </c>
      <c r="P73" s="231"/>
      <c r="Q73" s="241" t="str">
        <f>Calculations!B515</f>
        <v/>
      </c>
      <c r="R73" s="231"/>
      <c r="S73" s="232">
        <f>Calculations!B499</f>
        <v>0</v>
      </c>
      <c r="T73" s="232"/>
      <c r="U73" s="234">
        <f>Calculations!B501</f>
        <v>0</v>
      </c>
    </row>
    <row r="74" spans="2:21" s="6" customFormat="1" ht="10" customHeight="1" x14ac:dyDescent="0.2">
      <c r="S74" s="221"/>
    </row>
    <row r="75" spans="2:21" s="6" customFormat="1" ht="20" hidden="1" x14ac:dyDescent="0.2">
      <c r="S75" s="221"/>
    </row>
    <row r="76" spans="2:21" s="6" customFormat="1" ht="23" x14ac:dyDescent="0.25">
      <c r="J76" s="269" t="str">
        <f>+Q2</f>
        <v/>
      </c>
      <c r="K76" s="269"/>
      <c r="L76" s="269"/>
      <c r="M76" s="269"/>
      <c r="N76" s="269"/>
      <c r="O76" s="269"/>
      <c r="S76" s="221"/>
      <c r="U76" s="270"/>
    </row>
    <row r="77" spans="2:21" s="6" customFormat="1" ht="20" x14ac:dyDescent="0.2">
      <c r="J77" s="841" t="str">
        <f>+Q4</f>
        <v/>
      </c>
      <c r="K77" s="841"/>
      <c r="L77" s="841"/>
      <c r="M77" s="841"/>
      <c r="N77" s="841"/>
      <c r="O77" s="841"/>
      <c r="S77" s="221"/>
      <c r="U77" s="270"/>
    </row>
    <row r="78" spans="2:21" s="6" customFormat="1" ht="20" x14ac:dyDescent="0.2">
      <c r="J78" s="841" t="str">
        <f>+Q5</f>
        <v/>
      </c>
      <c r="K78" s="841"/>
      <c r="L78" s="841"/>
      <c r="M78" s="841"/>
      <c r="N78" s="841"/>
      <c r="O78" s="841"/>
      <c r="Q78" s="6" t="str">
        <f>+Q15</f>
        <v>SALES PERSON</v>
      </c>
      <c r="S78" s="785" t="str">
        <f>+S15</f>
        <v/>
      </c>
      <c r="T78" s="785"/>
      <c r="U78" s="785"/>
    </row>
    <row r="79" spans="2:21" s="6" customFormat="1" ht="20" x14ac:dyDescent="0.2">
      <c r="J79" s="841" t="str">
        <f>+Q10</f>
        <v/>
      </c>
      <c r="K79" s="841"/>
      <c r="L79" s="841"/>
      <c r="M79" s="841"/>
      <c r="N79" s="841"/>
      <c r="O79" s="841"/>
      <c r="S79" s="221"/>
      <c r="U79" s="270"/>
    </row>
    <row r="80" spans="2:21" s="6" customFormat="1" ht="20" x14ac:dyDescent="0.2">
      <c r="Q80" s="6" t="str">
        <f>+UPPER('Costing Sheet'!$C$17)</f>
        <v/>
      </c>
      <c r="S80" s="270"/>
    </row>
    <row r="81" spans="2:24" s="6" customFormat="1" ht="20" x14ac:dyDescent="0.2">
      <c r="C81" s="842" t="str">
        <f>+C12</f>
        <v/>
      </c>
      <c r="D81" s="842"/>
      <c r="E81" s="842"/>
      <c r="F81" s="842"/>
      <c r="Q81" s="221" t="s">
        <v>304</v>
      </c>
      <c r="S81" s="842">
        <f>+'Costing Sheet'!$C$13</f>
        <v>0</v>
      </c>
      <c r="T81" s="842"/>
      <c r="U81" s="842"/>
    </row>
    <row r="82" spans="2:24" s="6" customFormat="1" ht="20" x14ac:dyDescent="0.2">
      <c r="C82" s="842" t="str">
        <f>+C13</f>
        <v xml:space="preserve">  </v>
      </c>
      <c r="D82" s="842"/>
      <c r="E82" s="842"/>
      <c r="F82" s="842"/>
      <c r="Q82" s="221" t="s">
        <v>305</v>
      </c>
      <c r="S82" s="843">
        <f>'Costing Sheet'!$C$11</f>
        <v>0</v>
      </c>
      <c r="T82" s="843"/>
      <c r="U82" s="843"/>
    </row>
    <row r="83" spans="2:24" s="6" customFormat="1" ht="23" thickBot="1" x14ac:dyDescent="0.35">
      <c r="B83" s="240"/>
      <c r="C83" s="273">
        <f>+'Costing Sheet'!C19</f>
        <v>0</v>
      </c>
      <c r="D83" s="274"/>
      <c r="E83" s="274"/>
      <c r="F83" s="852">
        <f>+'Costing Sheet'!E19</f>
        <v>0</v>
      </c>
      <c r="G83" s="852"/>
      <c r="H83" s="852"/>
      <c r="I83" s="852"/>
      <c r="J83" s="852"/>
      <c r="K83" s="852"/>
      <c r="L83" s="852"/>
      <c r="O83" s="6" t="str">
        <f>UPPER('Costing Sheet'!C17)</f>
        <v/>
      </c>
      <c r="Q83" s="898" t="str">
        <f>UPPER('Costing Sheet'!E17)</f>
        <v/>
      </c>
      <c r="R83" s="898"/>
      <c r="S83" s="898"/>
      <c r="V83" s="223"/>
    </row>
    <row r="84" spans="2:24" s="6" customFormat="1" ht="28" customHeight="1" thickBot="1" x14ac:dyDescent="0.25">
      <c r="B84" s="954" t="s">
        <v>338</v>
      </c>
      <c r="C84" s="955"/>
      <c r="D84" s="955"/>
      <c r="E84" s="955"/>
      <c r="F84" s="955"/>
      <c r="G84" s="955"/>
      <c r="H84" s="955"/>
      <c r="I84" s="955"/>
      <c r="J84" s="955"/>
      <c r="K84" s="955"/>
      <c r="L84" s="955"/>
      <c r="M84" s="955"/>
      <c r="N84" s="955"/>
      <c r="O84" s="955"/>
      <c r="P84" s="955"/>
      <c r="Q84" s="955"/>
      <c r="R84" s="955"/>
      <c r="S84" s="955"/>
      <c r="T84" s="955"/>
      <c r="U84" s="956"/>
      <c r="V84" s="223"/>
    </row>
    <row r="85" spans="2:24" s="6" customFormat="1" ht="18" customHeight="1" x14ac:dyDescent="0.2">
      <c r="B85" s="214"/>
      <c r="C85" s="215"/>
      <c r="D85" s="215"/>
      <c r="E85" s="215"/>
      <c r="F85" s="354"/>
      <c r="I85" s="402"/>
      <c r="J85" s="215"/>
      <c r="K85" s="215"/>
      <c r="L85" s="354"/>
      <c r="O85" s="214"/>
      <c r="P85" s="215"/>
      <c r="Q85" s="403"/>
      <c r="R85" s="223"/>
      <c r="S85" s="404"/>
      <c r="T85" s="263"/>
      <c r="U85" s="403"/>
      <c r="V85" s="223"/>
    </row>
    <row r="86" spans="2:24" s="6" customFormat="1" ht="105" x14ac:dyDescent="0.2">
      <c r="B86" s="957" t="s">
        <v>289</v>
      </c>
      <c r="C86" s="958"/>
      <c r="D86" s="405"/>
      <c r="E86" s="406"/>
      <c r="F86" s="407">
        <f>+Calculations!B310</f>
        <v>0</v>
      </c>
      <c r="G86" s="408"/>
      <c r="H86" s="409"/>
      <c r="I86" s="959" t="s">
        <v>339</v>
      </c>
      <c r="J86" s="960"/>
      <c r="K86" s="409"/>
      <c r="L86" s="411">
        <f>+Calculations!B320</f>
        <v>0</v>
      </c>
      <c r="M86" s="409"/>
      <c r="N86" s="409"/>
      <c r="O86" s="412" t="s">
        <v>340</v>
      </c>
      <c r="P86" s="409"/>
      <c r="Q86" s="413">
        <f>Calculations!B437</f>
        <v>0</v>
      </c>
      <c r="R86" s="224"/>
      <c r="S86" s="414" t="s">
        <v>341</v>
      </c>
      <c r="T86" s="221"/>
      <c r="U86" s="415">
        <f>+Calculations!B436</f>
        <v>0</v>
      </c>
      <c r="V86" s="223"/>
    </row>
    <row r="87" spans="2:24" s="6" customFormat="1" ht="20.25" customHeight="1" x14ac:dyDescent="0.2">
      <c r="B87" s="961" t="str">
        <f>IF(F87=0,"","DISCOUNT")</f>
        <v/>
      </c>
      <c r="C87" s="962"/>
      <c r="D87" s="270"/>
      <c r="E87" s="409"/>
      <c r="F87" s="277">
        <f>-Calculations!B311</f>
        <v>0</v>
      </c>
      <c r="G87" s="408"/>
      <c r="H87" s="409"/>
      <c r="I87" s="417" t="s">
        <v>298</v>
      </c>
      <c r="J87" s="409"/>
      <c r="K87" s="409"/>
      <c r="L87" s="277">
        <f>+Calculations!B302</f>
        <v>0</v>
      </c>
      <c r="M87" s="409"/>
      <c r="N87" s="409"/>
      <c r="O87" s="418" t="s">
        <v>342</v>
      </c>
      <c r="P87" s="409"/>
      <c r="Q87" s="289">
        <f>+'Costing Sheet'!Q15</f>
        <v>0</v>
      </c>
      <c r="R87" s="221"/>
      <c r="S87" s="419"/>
      <c r="T87" s="221"/>
      <c r="U87" s="420"/>
    </row>
    <row r="88" spans="2:24" s="6" customFormat="1" ht="20.25" customHeight="1" x14ac:dyDescent="0.2">
      <c r="B88" s="957" t="str">
        <f>_xlfn.CONCAT("SELLING PRICE",IF(B87="",""," NET"))</f>
        <v>SELLING PRICE</v>
      </c>
      <c r="C88" s="958"/>
      <c r="D88" s="270"/>
      <c r="E88" s="409"/>
      <c r="F88" s="407">
        <f>+Calculations!B312</f>
        <v>0</v>
      </c>
      <c r="G88" s="421"/>
      <c r="H88" s="409"/>
      <c r="I88" s="417"/>
      <c r="J88" s="409"/>
      <c r="K88" s="409"/>
      <c r="L88" s="422"/>
      <c r="M88" s="409"/>
      <c r="N88" s="409"/>
      <c r="O88" s="417" t="s">
        <v>94</v>
      </c>
      <c r="P88" s="409"/>
      <c r="Q88" s="277">
        <f>+'Costing Sheet'!Q13</f>
        <v>0</v>
      </c>
      <c r="R88" s="221"/>
      <c r="S88" s="419" t="s">
        <v>343</v>
      </c>
      <c r="T88" s="221"/>
      <c r="U88" s="420"/>
    </row>
    <row r="89" spans="2:24" s="6" customFormat="1" ht="20.25" customHeight="1" x14ac:dyDescent="0.2">
      <c r="B89" s="961" t="s">
        <v>331</v>
      </c>
      <c r="C89" s="962"/>
      <c r="D89" s="270"/>
      <c r="E89" s="409"/>
      <c r="F89" s="277">
        <f>-Calculations!B315</f>
        <v>0</v>
      </c>
      <c r="G89" s="408"/>
      <c r="H89" s="409"/>
      <c r="I89" s="417" t="s">
        <v>300</v>
      </c>
      <c r="J89" s="409"/>
      <c r="K89" s="409"/>
      <c r="L89" s="277">
        <f>+'Costing Sheet'!Q3</f>
        <v>0</v>
      </c>
      <c r="M89" s="409"/>
      <c r="N89" s="409"/>
      <c r="O89" s="417" t="str">
        <f>+Calculations!B403</f>
        <v xml:space="preserve"> SALES TAX</v>
      </c>
      <c r="P89" s="409"/>
      <c r="Q89" s="422">
        <f>+Calculations!B405</f>
        <v>0</v>
      </c>
      <c r="R89" s="221"/>
      <c r="S89" s="862" t="s">
        <v>344</v>
      </c>
      <c r="T89" s="221"/>
      <c r="U89" s="963">
        <f>-'Costing Sheet'!Q17</f>
        <v>0</v>
      </c>
      <c r="X89" s="283"/>
    </row>
    <row r="90" spans="2:24" s="6" customFormat="1" ht="20.25" customHeight="1" x14ac:dyDescent="0.2">
      <c r="B90" s="961" t="s">
        <v>296</v>
      </c>
      <c r="C90" s="962"/>
      <c r="D90" s="270"/>
      <c r="E90" s="409"/>
      <c r="F90" s="423">
        <f>+Calculations!B316</f>
        <v>0</v>
      </c>
      <c r="G90" s="408"/>
      <c r="H90" s="409"/>
      <c r="I90" s="417" t="s">
        <v>301</v>
      </c>
      <c r="J90" s="409"/>
      <c r="K90" s="409"/>
      <c r="L90" s="277">
        <f>+'Costing Sheet'!Q5</f>
        <v>0</v>
      </c>
      <c r="M90" s="409"/>
      <c r="N90" s="409"/>
      <c r="O90" s="417" t="str">
        <f>+Calculations!B399</f>
        <v/>
      </c>
      <c r="P90" s="409"/>
      <c r="Q90" s="422">
        <f>+Calculations!B412</f>
        <v>0</v>
      </c>
      <c r="R90" s="221"/>
      <c r="S90" s="862"/>
      <c r="U90" s="963"/>
    </row>
    <row r="91" spans="2:24" s="6" customFormat="1" ht="40" customHeight="1" x14ac:dyDescent="0.2">
      <c r="B91" s="961" t="str">
        <f>+Calculations!B640</f>
        <v/>
      </c>
      <c r="C91" s="962"/>
      <c r="D91" s="270"/>
      <c r="E91" s="409"/>
      <c r="F91" s="424">
        <f>+Calculations!B232</f>
        <v>0</v>
      </c>
      <c r="G91" s="409"/>
      <c r="H91" s="409"/>
      <c r="I91" s="417" t="s">
        <v>291</v>
      </c>
      <c r="J91" s="409"/>
      <c r="K91" s="409"/>
      <c r="L91" s="277">
        <f>+Calculations!B386</f>
        <v>0</v>
      </c>
      <c r="M91" s="409"/>
      <c r="N91" s="409"/>
      <c r="O91" s="862" t="str">
        <f>+Calculations!B406</f>
        <v xml:space="preserve"> COUNTY SALES TAX  OUT OF STATE OR NO COUNTY WAS SPECIFIED FOR CUSTOMER</v>
      </c>
      <c r="P91" s="409"/>
      <c r="Q91" s="964">
        <f>+Calculations!B413</f>
        <v>0</v>
      </c>
      <c r="R91" s="221"/>
      <c r="S91" s="862"/>
      <c r="T91" s="221"/>
      <c r="U91" s="963"/>
    </row>
    <row r="92" spans="2:24" s="6" customFormat="1" ht="40" customHeight="1" x14ac:dyDescent="0.2">
      <c r="B92" s="961" t="str">
        <f>+Calculations!B641</f>
        <v/>
      </c>
      <c r="C92" s="962"/>
      <c r="D92" s="270"/>
      <c r="E92" s="409"/>
      <c r="F92" s="424">
        <f>+Calculations!B233</f>
        <v>0</v>
      </c>
      <c r="G92" s="409"/>
      <c r="H92" s="409"/>
      <c r="I92" s="417"/>
      <c r="J92" s="409"/>
      <c r="K92" s="409"/>
      <c r="L92" s="277"/>
      <c r="M92" s="409"/>
      <c r="N92" s="409"/>
      <c r="O92" s="862"/>
      <c r="P92" s="409"/>
      <c r="Q92" s="964"/>
      <c r="R92" s="221"/>
      <c r="S92" s="862"/>
      <c r="T92" s="221"/>
      <c r="U92" s="963"/>
    </row>
    <row r="93" spans="2:24" s="6" customFormat="1" ht="40" customHeight="1" x14ac:dyDescent="0.2">
      <c r="B93" s="961" t="str">
        <f>+Calculations!B642</f>
        <v/>
      </c>
      <c r="C93" s="962"/>
      <c r="D93" s="270"/>
      <c r="E93" s="409"/>
      <c r="F93" s="424">
        <f>+Calculations!B234</f>
        <v>0</v>
      </c>
      <c r="G93" s="409"/>
      <c r="H93" s="409"/>
      <c r="I93" s="417"/>
      <c r="J93" s="409"/>
      <c r="K93" s="409"/>
      <c r="L93" s="277"/>
      <c r="M93" s="409"/>
      <c r="N93" s="409"/>
      <c r="O93" s="862"/>
      <c r="P93" s="409"/>
      <c r="Q93" s="964"/>
      <c r="R93" s="221"/>
      <c r="S93" s="862"/>
      <c r="T93" s="221"/>
      <c r="U93" s="963"/>
    </row>
    <row r="94" spans="2:24" s="6" customFormat="1" ht="40" customHeight="1" x14ac:dyDescent="0.2">
      <c r="B94" s="961" t="str">
        <f>+Calculations!B643</f>
        <v/>
      </c>
      <c r="C94" s="962"/>
      <c r="D94" s="270"/>
      <c r="E94" s="409"/>
      <c r="F94" s="424">
        <f>+Calculations!B235</f>
        <v>0</v>
      </c>
      <c r="G94" s="409"/>
      <c r="H94" s="409"/>
      <c r="I94" s="417"/>
      <c r="J94" s="409"/>
      <c r="K94" s="409"/>
      <c r="L94" s="277"/>
      <c r="M94" s="409"/>
      <c r="N94" s="409"/>
      <c r="O94" s="862"/>
      <c r="P94" s="409"/>
      <c r="Q94" s="964"/>
      <c r="R94" s="221"/>
      <c r="S94" s="862" t="s">
        <v>345</v>
      </c>
      <c r="T94" s="221"/>
      <c r="U94" s="963">
        <f>-'Costing Sheet'!Q19</f>
        <v>0</v>
      </c>
    </row>
    <row r="95" spans="2:24" s="6" customFormat="1" ht="40" customHeight="1" x14ac:dyDescent="0.2">
      <c r="B95" s="961" t="str">
        <f>+Calculations!B644</f>
        <v/>
      </c>
      <c r="C95" s="962"/>
      <c r="D95" s="270"/>
      <c r="E95" s="409"/>
      <c r="F95" s="424">
        <f>+Calculations!B236</f>
        <v>0</v>
      </c>
      <c r="G95" s="409"/>
      <c r="H95" s="409"/>
      <c r="I95" s="417"/>
      <c r="J95" s="409"/>
      <c r="K95" s="409"/>
      <c r="L95" s="277"/>
      <c r="M95" s="409"/>
      <c r="N95" s="409"/>
      <c r="O95" s="417"/>
      <c r="P95" s="409"/>
      <c r="Q95" s="422"/>
      <c r="R95" s="221"/>
      <c r="S95" s="862"/>
      <c r="T95" s="221"/>
      <c r="U95" s="963"/>
    </row>
    <row r="96" spans="2:24" s="6" customFormat="1" ht="40" customHeight="1" x14ac:dyDescent="0.2">
      <c r="B96" s="961" t="str">
        <f>+Calculations!B645</f>
        <v/>
      </c>
      <c r="C96" s="962"/>
      <c r="D96" s="270"/>
      <c r="E96" s="409"/>
      <c r="F96" s="424">
        <f>+Calculations!B237</f>
        <v>0</v>
      </c>
      <c r="G96" s="409"/>
      <c r="H96" s="409"/>
      <c r="I96" s="417" t="s">
        <v>293</v>
      </c>
      <c r="J96" s="409"/>
      <c r="K96" s="409"/>
      <c r="L96" s="277">
        <f>+Calculations!B385</f>
        <v>0</v>
      </c>
      <c r="M96" s="409"/>
      <c r="N96" s="409"/>
      <c r="O96" s="862" t="str">
        <f>+Calculations!B414</f>
        <v/>
      </c>
      <c r="P96" s="409"/>
      <c r="Q96" s="964">
        <f>+Calculations!B407</f>
        <v>0</v>
      </c>
      <c r="R96" s="221"/>
      <c r="S96" s="862"/>
      <c r="T96" s="221"/>
      <c r="U96" s="963"/>
    </row>
    <row r="97" spans="2:24" s="6" customFormat="1" ht="40" customHeight="1" x14ac:dyDescent="0.2">
      <c r="B97" s="961" t="str">
        <f>+Calculations!B646</f>
        <v/>
      </c>
      <c r="C97" s="962"/>
      <c r="D97" s="270"/>
      <c r="E97" s="409"/>
      <c r="F97" s="424">
        <f>+Calculations!B238</f>
        <v>0</v>
      </c>
      <c r="G97" s="409"/>
      <c r="H97" s="409"/>
      <c r="I97" s="417"/>
      <c r="J97" s="409"/>
      <c r="K97" s="409"/>
      <c r="L97" s="277"/>
      <c r="M97" s="409"/>
      <c r="N97" s="409"/>
      <c r="O97" s="862"/>
      <c r="P97" s="409"/>
      <c r="Q97" s="964"/>
      <c r="R97" s="221"/>
      <c r="S97" s="862"/>
      <c r="T97" s="221"/>
      <c r="U97" s="963"/>
    </row>
    <row r="98" spans="2:24" s="6" customFormat="1" ht="40" customHeight="1" x14ac:dyDescent="0.2">
      <c r="B98" s="961" t="str">
        <f>+Calculations!B647</f>
        <v/>
      </c>
      <c r="C98" s="962"/>
      <c r="D98" s="270"/>
      <c r="E98" s="409"/>
      <c r="F98" s="424">
        <f>+Calculations!B239</f>
        <v>0</v>
      </c>
      <c r="G98" s="409"/>
      <c r="H98" s="409"/>
      <c r="I98" s="417"/>
      <c r="J98" s="409"/>
      <c r="K98" s="409"/>
      <c r="L98" s="277"/>
      <c r="M98" s="409"/>
      <c r="N98" s="409"/>
      <c r="O98" s="862"/>
      <c r="P98" s="409"/>
      <c r="Q98" s="964"/>
      <c r="R98" s="221"/>
      <c r="S98" s="419"/>
      <c r="T98" s="221"/>
      <c r="U98" s="420"/>
    </row>
    <row r="99" spans="2:24" s="6" customFormat="1" ht="40" customHeight="1" x14ac:dyDescent="0.2">
      <c r="B99" s="961" t="str">
        <f>+Calculations!B648</f>
        <v/>
      </c>
      <c r="C99" s="962"/>
      <c r="D99" s="270"/>
      <c r="E99" s="409"/>
      <c r="F99" s="424">
        <f>+Calculations!B240</f>
        <v>0</v>
      </c>
      <c r="G99" s="409"/>
      <c r="H99" s="409"/>
      <c r="I99" s="417"/>
      <c r="J99" s="409"/>
      <c r="K99" s="409"/>
      <c r="L99" s="277"/>
      <c r="M99" s="409"/>
      <c r="N99" s="409"/>
      <c r="O99" s="862"/>
      <c r="P99" s="409"/>
      <c r="Q99" s="964"/>
      <c r="R99" s="221"/>
      <c r="S99" s="419"/>
      <c r="T99" s="221"/>
      <c r="U99" s="420"/>
    </row>
    <row r="100" spans="2:24" s="6" customFormat="1" ht="40" customHeight="1" x14ac:dyDescent="0.2">
      <c r="B100" s="961" t="str">
        <f>+Calculations!B649</f>
        <v/>
      </c>
      <c r="C100" s="962"/>
      <c r="D100" s="270"/>
      <c r="E100" s="409"/>
      <c r="F100" s="424">
        <f>+Calculations!B241</f>
        <v>0</v>
      </c>
      <c r="G100" s="409"/>
      <c r="H100" s="409"/>
      <c r="I100" s="417"/>
      <c r="J100" s="409"/>
      <c r="K100" s="409"/>
      <c r="L100" s="277"/>
      <c r="M100" s="409"/>
      <c r="N100" s="409"/>
      <c r="O100" s="965" t="str">
        <f>Calculations!$B$653</f>
        <v/>
      </c>
      <c r="P100" s="966"/>
      <c r="Q100" s="967"/>
      <c r="R100" s="221"/>
      <c r="S100" s="419"/>
      <c r="T100" s="221"/>
      <c r="U100" s="420"/>
    </row>
    <row r="101" spans="2:24" s="6" customFormat="1" ht="48" customHeight="1" x14ac:dyDescent="0.2">
      <c r="B101" s="961" t="str">
        <f>+Calculations!B417</f>
        <v/>
      </c>
      <c r="C101" s="962"/>
      <c r="D101" s="270"/>
      <c r="E101" s="409"/>
      <c r="F101" s="425">
        <f>+Calculations!B421</f>
        <v>0</v>
      </c>
      <c r="G101" s="409"/>
      <c r="H101" s="409"/>
      <c r="I101" s="417" t="s">
        <v>346</v>
      </c>
      <c r="J101" s="409"/>
      <c r="K101" s="409"/>
      <c r="L101" s="426">
        <f>+Calculations!B439</f>
        <v>0</v>
      </c>
      <c r="M101" s="409"/>
      <c r="N101" s="409"/>
      <c r="O101" s="417" t="str">
        <f>Calculations!B651</f>
        <v/>
      </c>
      <c r="P101" s="427"/>
      <c r="Q101" s="426">
        <f>-Calculations!B318</f>
        <v>0</v>
      </c>
      <c r="R101" s="221"/>
      <c r="S101" s="419"/>
      <c r="T101" s="221"/>
      <c r="U101" s="428"/>
    </row>
    <row r="102" spans="2:24" s="6" customFormat="1" ht="90" customHeight="1" x14ac:dyDescent="0.2">
      <c r="B102" s="959" t="s">
        <v>339</v>
      </c>
      <c r="C102" s="960"/>
      <c r="D102" s="410"/>
      <c r="E102" s="429"/>
      <c r="F102" s="411">
        <f>+Calculations!B320</f>
        <v>0</v>
      </c>
      <c r="G102" s="430"/>
      <c r="H102" s="431"/>
      <c r="I102" s="414" t="s">
        <v>340</v>
      </c>
      <c r="J102" s="431"/>
      <c r="K102" s="431"/>
      <c r="L102" s="432">
        <f>+Calculations!B437</f>
        <v>0</v>
      </c>
      <c r="M102" s="431"/>
      <c r="N102" s="431"/>
      <c r="O102" s="414" t="s">
        <v>341</v>
      </c>
      <c r="P102" s="431"/>
      <c r="Q102" s="413">
        <f>+Calculations!B436</f>
        <v>0</v>
      </c>
      <c r="R102" s="304"/>
      <c r="S102" s="414" t="s">
        <v>347</v>
      </c>
      <c r="T102" s="429"/>
      <c r="U102" s="415">
        <f>+Calculations!B438</f>
        <v>0</v>
      </c>
      <c r="X102" s="283"/>
    </row>
    <row r="103" spans="2:24" s="1" customFormat="1" ht="20.25" customHeight="1" x14ac:dyDescent="0.2">
      <c r="B103" s="968" t="s">
        <v>303</v>
      </c>
      <c r="C103" s="968"/>
      <c r="D103" s="968"/>
      <c r="E103" s="968"/>
      <c r="F103" s="968"/>
      <c r="G103" s="968"/>
      <c r="H103" s="968"/>
      <c r="I103" s="968"/>
      <c r="J103" s="968"/>
      <c r="K103" s="968"/>
      <c r="L103" s="968"/>
      <c r="M103" s="968"/>
      <c r="N103" s="968"/>
      <c r="O103" s="968"/>
      <c r="P103" s="968"/>
      <c r="Q103" s="968"/>
      <c r="R103" s="968"/>
      <c r="S103" s="968"/>
      <c r="T103" s="968"/>
      <c r="U103" s="968"/>
    </row>
    <row r="104" spans="2:24" s="1" customFormat="1" ht="72" customHeight="1" x14ac:dyDescent="0.2">
      <c r="B104" s="861" t="s">
        <v>348</v>
      </c>
      <c r="C104" s="861"/>
      <c r="D104" s="861"/>
      <c r="E104" s="861"/>
      <c r="F104" s="861"/>
      <c r="G104" s="861"/>
      <c r="H104" s="861"/>
      <c r="I104" s="861"/>
      <c r="J104" s="861"/>
      <c r="K104" s="861"/>
      <c r="L104" s="861"/>
      <c r="M104" s="861"/>
      <c r="N104" s="861"/>
      <c r="O104" s="861"/>
      <c r="P104" s="861"/>
      <c r="Q104" s="861"/>
      <c r="R104" s="861"/>
      <c r="S104" s="861"/>
      <c r="T104" s="861"/>
      <c r="U104" s="861"/>
    </row>
    <row r="105" spans="2:24" s="1" customFormat="1" ht="37" customHeight="1" x14ac:dyDescent="0.2">
      <c r="B105" s="861" t="s">
        <v>349</v>
      </c>
      <c r="C105" s="861"/>
      <c r="D105" s="861"/>
      <c r="E105" s="861"/>
      <c r="F105" s="861"/>
      <c r="G105" s="861"/>
      <c r="H105" s="861"/>
      <c r="I105" s="861"/>
      <c r="J105" s="861"/>
      <c r="K105" s="861"/>
      <c r="L105" s="861"/>
      <c r="M105" s="861"/>
      <c r="N105" s="861"/>
      <c r="O105" s="861"/>
      <c r="P105" s="861"/>
      <c r="Q105" s="861"/>
      <c r="R105" s="861"/>
      <c r="S105" s="861"/>
      <c r="T105" s="861"/>
      <c r="U105" s="861"/>
    </row>
    <row r="106" spans="2:24" customFormat="1" x14ac:dyDescent="0.2"/>
    <row r="107" spans="2:24" customFormat="1" x14ac:dyDescent="0.2">
      <c r="B107" s="969" t="s">
        <v>350</v>
      </c>
      <c r="C107" s="969"/>
      <c r="D107" s="969"/>
      <c r="E107" s="969"/>
      <c r="F107" s="969"/>
      <c r="G107" s="969"/>
      <c r="H107" s="969"/>
      <c r="I107" s="969"/>
      <c r="J107" s="969"/>
      <c r="K107" s="969"/>
      <c r="L107" s="969"/>
      <c r="M107" s="969"/>
      <c r="N107" s="969"/>
      <c r="O107" s="969"/>
      <c r="P107" s="969"/>
      <c r="Q107" s="969"/>
      <c r="R107" s="969"/>
      <c r="S107" s="969"/>
      <c r="T107" s="969"/>
      <c r="U107" s="969"/>
    </row>
    <row r="108" spans="2:24" customFormat="1" ht="26.25" customHeight="1" x14ac:dyDescent="0.2">
      <c r="B108" s="969"/>
      <c r="C108" s="969"/>
      <c r="D108" s="969"/>
      <c r="E108" s="969"/>
      <c r="F108" s="969"/>
      <c r="G108" s="969"/>
      <c r="H108" s="969"/>
      <c r="I108" s="969"/>
      <c r="J108" s="969"/>
      <c r="K108" s="969"/>
      <c r="L108" s="969"/>
      <c r="M108" s="969"/>
      <c r="N108" s="969"/>
      <c r="O108" s="969"/>
      <c r="P108" s="969"/>
      <c r="Q108" s="969"/>
      <c r="R108" s="969"/>
      <c r="S108" s="969"/>
      <c r="T108" s="969"/>
      <c r="U108" s="969"/>
    </row>
    <row r="109" spans="2:24" customFormat="1" x14ac:dyDescent="0.2">
      <c r="B109" s="16" t="s">
        <v>351</v>
      </c>
      <c r="C109" s="16"/>
      <c r="D109" s="16"/>
      <c r="E109" s="16"/>
      <c r="F109" s="16"/>
      <c r="G109" s="16"/>
      <c r="H109" s="16"/>
      <c r="I109" s="178"/>
      <c r="J109" s="178"/>
      <c r="K109" s="178"/>
      <c r="L109" s="178"/>
      <c r="M109" s="178"/>
      <c r="N109" s="178"/>
      <c r="O109" s="178"/>
      <c r="P109" s="178"/>
      <c r="Q109" s="178"/>
      <c r="R109" s="178"/>
      <c r="S109" s="307"/>
      <c r="T109" s="178"/>
      <c r="U109" s="178"/>
    </row>
    <row r="110" spans="2:24" customFormat="1" x14ac:dyDescent="0.2">
      <c r="B110" s="16"/>
      <c r="C110" s="16"/>
      <c r="D110" s="16"/>
      <c r="E110" s="16"/>
      <c r="F110" s="16"/>
      <c r="G110" s="16"/>
      <c r="H110" s="16"/>
      <c r="I110" s="178"/>
      <c r="J110" s="178"/>
      <c r="K110" s="178"/>
      <c r="L110" s="178"/>
      <c r="M110" s="178"/>
      <c r="N110" s="178"/>
      <c r="O110" s="178"/>
      <c r="P110" s="178"/>
      <c r="Q110" s="178"/>
      <c r="R110" s="178"/>
      <c r="S110" s="307"/>
      <c r="T110" s="178"/>
      <c r="U110" s="178"/>
    </row>
    <row r="111" spans="2:24" customFormat="1" ht="17.25" customHeight="1" x14ac:dyDescent="0.2">
      <c r="B111" s="433"/>
      <c r="C111" s="433"/>
      <c r="D111" s="433"/>
      <c r="E111" s="433"/>
      <c r="F111" s="433"/>
      <c r="G111" s="433"/>
      <c r="H111" s="433"/>
      <c r="I111" s="434"/>
      <c r="J111" s="178"/>
      <c r="K111" s="178"/>
      <c r="L111" s="178"/>
      <c r="M111" s="178"/>
      <c r="N111" s="178"/>
      <c r="O111" s="178"/>
      <c r="P111" s="178"/>
      <c r="Q111" s="434"/>
      <c r="R111" s="434"/>
      <c r="S111" s="435"/>
      <c r="T111" s="434"/>
      <c r="U111" s="434"/>
    </row>
    <row r="112" spans="2:24" customFormat="1" x14ac:dyDescent="0.2">
      <c r="B112" s="16" t="s">
        <v>222</v>
      </c>
      <c r="C112" s="16"/>
      <c r="D112" s="16"/>
      <c r="E112" s="16"/>
      <c r="F112" s="16"/>
      <c r="G112" s="16"/>
      <c r="H112" s="16"/>
      <c r="I112" s="178"/>
      <c r="J112" s="178"/>
      <c r="K112" s="178"/>
      <c r="L112" s="178"/>
      <c r="M112" s="178"/>
      <c r="N112" s="178"/>
      <c r="O112" s="178"/>
      <c r="P112" s="178"/>
      <c r="Q112" s="178"/>
      <c r="R112" s="178"/>
      <c r="S112" s="307"/>
      <c r="T112" s="178"/>
      <c r="U112" s="178"/>
    </row>
    <row r="125" ht="16" customHeight="1" x14ac:dyDescent="0.2"/>
  </sheetData>
  <sheetProtection selectLockedCells="1"/>
  <mergeCells count="105">
    <mergeCell ref="B100:C100"/>
    <mergeCell ref="O100:Q100"/>
    <mergeCell ref="B101:C101"/>
    <mergeCell ref="B102:C102"/>
    <mergeCell ref="B103:U103"/>
    <mergeCell ref="B104:U104"/>
    <mergeCell ref="B105:U105"/>
    <mergeCell ref="B107:U108"/>
    <mergeCell ref="S94:S97"/>
    <mergeCell ref="B94:C94"/>
    <mergeCell ref="U94:U97"/>
    <mergeCell ref="B95:C95"/>
    <mergeCell ref="O96:O99"/>
    <mergeCell ref="Q96:Q99"/>
    <mergeCell ref="B96:C96"/>
    <mergeCell ref="B97:C97"/>
    <mergeCell ref="B98:C98"/>
    <mergeCell ref="B99:C99"/>
    <mergeCell ref="B87:C87"/>
    <mergeCell ref="B88:C88"/>
    <mergeCell ref="S89:S93"/>
    <mergeCell ref="U89:U93"/>
    <mergeCell ref="B89:C89"/>
    <mergeCell ref="B90:C90"/>
    <mergeCell ref="Q91:Q94"/>
    <mergeCell ref="B91:C91"/>
    <mergeCell ref="O91:O94"/>
    <mergeCell ref="B92:C92"/>
    <mergeCell ref="B93:C93"/>
    <mergeCell ref="S81:U81"/>
    <mergeCell ref="C81:F81"/>
    <mergeCell ref="S82:U82"/>
    <mergeCell ref="C82:F82"/>
    <mergeCell ref="Q83:S83"/>
    <mergeCell ref="F83:L83"/>
    <mergeCell ref="B84:U84"/>
    <mergeCell ref="B86:C86"/>
    <mergeCell ref="I86:J86"/>
    <mergeCell ref="J58:T58"/>
    <mergeCell ref="I60:I61"/>
    <mergeCell ref="J61:T61"/>
    <mergeCell ref="J62:T62"/>
    <mergeCell ref="C63:U64"/>
    <mergeCell ref="J77:O77"/>
    <mergeCell ref="J78:O78"/>
    <mergeCell ref="S78:U78"/>
    <mergeCell ref="J79:O79"/>
    <mergeCell ref="J46:T46"/>
    <mergeCell ref="I48:I49"/>
    <mergeCell ref="J49:T49"/>
    <mergeCell ref="J50:T50"/>
    <mergeCell ref="I52:I53"/>
    <mergeCell ref="J53:T53"/>
    <mergeCell ref="J54:T54"/>
    <mergeCell ref="I56:I57"/>
    <mergeCell ref="J57:T57"/>
    <mergeCell ref="B20:U21"/>
    <mergeCell ref="Q22:Q23"/>
    <mergeCell ref="S22:S23"/>
    <mergeCell ref="U22:U23"/>
    <mergeCell ref="J38:T38"/>
    <mergeCell ref="I40:I41"/>
    <mergeCell ref="J41:T41"/>
    <mergeCell ref="J42:T42"/>
    <mergeCell ref="I44:I45"/>
    <mergeCell ref="J45:T45"/>
    <mergeCell ref="I28:I29"/>
    <mergeCell ref="J29:S29"/>
    <mergeCell ref="J30:T30"/>
    <mergeCell ref="I32:I33"/>
    <mergeCell ref="J33:T33"/>
    <mergeCell ref="J34:T34"/>
    <mergeCell ref="I36:I37"/>
    <mergeCell ref="J37:T37"/>
    <mergeCell ref="I24:I25"/>
    <mergeCell ref="J25:O25"/>
    <mergeCell ref="J26:T26"/>
    <mergeCell ref="K2:P5"/>
    <mergeCell ref="Q2:U2"/>
    <mergeCell ref="B3:C3"/>
    <mergeCell ref="R3:T3"/>
    <mergeCell ref="Q4:U4"/>
    <mergeCell ref="Q5:U6"/>
    <mergeCell ref="K6:P7"/>
    <mergeCell ref="R7:T7"/>
    <mergeCell ref="B2:J2"/>
    <mergeCell ref="B4:J4"/>
    <mergeCell ref="B5:J5"/>
    <mergeCell ref="B6:J6"/>
    <mergeCell ref="B7:J7"/>
    <mergeCell ref="B8:J8"/>
    <mergeCell ref="B9:J9"/>
    <mergeCell ref="C15:I15"/>
    <mergeCell ref="S15:U15"/>
    <mergeCell ref="C16:I16"/>
    <mergeCell ref="L16:O16"/>
    <mergeCell ref="C17:F17"/>
    <mergeCell ref="K10:P10"/>
    <mergeCell ref="Q10:U10"/>
    <mergeCell ref="S11:U11"/>
    <mergeCell ref="C12:I12"/>
    <mergeCell ref="S12:U12"/>
    <mergeCell ref="C13:I13"/>
    <mergeCell ref="S13:U13"/>
    <mergeCell ref="B10:J10"/>
  </mergeCells>
  <printOptions horizontalCentered="1"/>
  <pageMargins left="0.2" right="0.2" top="0.2" bottom="0.2" header="0.3" footer="0.3"/>
  <pageSetup scale="43" fitToHeight="2" orientation="landscape" r:id="rId1"/>
  <rowBreaks count="1" manualBreakCount="1">
    <brk id="73"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A127"/>
  <sheetViews>
    <sheetView showZeros="0" view="pageBreakPreview" topLeftCell="B1" zoomScale="60" zoomScaleNormal="80" workbookViewId="0">
      <selection activeCell="S13" sqref="S13:U13"/>
    </sheetView>
  </sheetViews>
  <sheetFormatPr baseColWidth="10" defaultColWidth="11" defaultRowHeight="16" x14ac:dyDescent="0.2"/>
  <cols>
    <col min="1" max="1" width="2.5" style="16" customWidth="1"/>
    <col min="2" max="2" width="3.33203125" style="16" customWidth="1"/>
    <col min="3" max="3" width="29.5" style="16" customWidth="1"/>
    <col min="4" max="4" width="1" style="16" customWidth="1"/>
    <col min="5" max="5" width="2" style="16" customWidth="1"/>
    <col min="6" max="6" width="26" style="16" customWidth="1"/>
    <col min="7" max="7" width="2" style="16" customWidth="1"/>
    <col min="8" max="8" width="1.5" style="16" customWidth="1"/>
    <col min="9" max="9" width="26.5" style="16" customWidth="1"/>
    <col min="10" max="10" width="3.5" style="16" customWidth="1"/>
    <col min="11" max="11" width="1" style="16" customWidth="1"/>
    <col min="12" max="12" width="30.5" style="16" customWidth="1"/>
    <col min="13" max="13" width="3" style="16" customWidth="1"/>
    <col min="14" max="14" width="2" style="16" customWidth="1"/>
    <col min="15" max="15" width="43" style="16" customWidth="1"/>
    <col min="16" max="16" width="4" style="16" customWidth="1"/>
    <col min="17" max="17" width="29" style="16" customWidth="1"/>
    <col min="18" max="18" width="5" style="16" customWidth="1"/>
    <col min="19" max="19" width="20.5" style="179" customWidth="1"/>
    <col min="20" max="20" width="4.5" style="16" customWidth="1"/>
    <col min="21" max="21" width="22.33203125" style="16" customWidth="1"/>
    <col min="22" max="22" width="1.5" style="16" customWidth="1"/>
    <col min="23" max="40" width="11" style="16"/>
    <col min="41" max="41" width="14.5" style="16" customWidth="1"/>
    <col min="42" max="16384" width="11" style="16"/>
  </cols>
  <sheetData>
    <row r="1" spans="2:21" ht="7" customHeight="1" thickBot="1" x14ac:dyDescent="0.25"/>
    <row r="2" spans="2:21" ht="19" customHeight="1" x14ac:dyDescent="0.2">
      <c r="B2" s="945" t="s">
        <v>2277</v>
      </c>
      <c r="C2" s="946"/>
      <c r="D2" s="946"/>
      <c r="E2" s="946"/>
      <c r="F2" s="946"/>
      <c r="G2" s="946"/>
      <c r="H2" s="946"/>
      <c r="I2" s="946"/>
      <c r="J2" s="947"/>
      <c r="K2" s="787" t="s">
        <v>267</v>
      </c>
      <c r="L2" s="787"/>
      <c r="M2" s="787"/>
      <c r="N2" s="787"/>
      <c r="O2" s="787"/>
      <c r="P2" s="788"/>
      <c r="Q2" s="882" t="str">
        <f>+Calculations!$B$568</f>
        <v/>
      </c>
      <c r="R2" s="882"/>
      <c r="S2" s="882"/>
      <c r="T2" s="882"/>
      <c r="U2" s="942"/>
    </row>
    <row r="3" spans="2:21" ht="3" customHeight="1" x14ac:dyDescent="0.2">
      <c r="B3" s="933"/>
      <c r="C3" s="934"/>
      <c r="D3" s="708"/>
      <c r="E3" s="708"/>
      <c r="F3" s="708"/>
      <c r="G3" s="5"/>
      <c r="H3" s="708"/>
      <c r="I3" s="5"/>
      <c r="J3" s="705"/>
      <c r="K3" s="789"/>
      <c r="L3" s="789"/>
      <c r="M3" s="789"/>
      <c r="N3" s="789"/>
      <c r="O3" s="789"/>
      <c r="P3" s="790"/>
      <c r="R3" s="943"/>
      <c r="S3" s="943"/>
      <c r="T3" s="943"/>
      <c r="U3" s="70"/>
    </row>
    <row r="4" spans="2:21" ht="17.25" customHeight="1" x14ac:dyDescent="0.2">
      <c r="B4" s="933" t="s">
        <v>2273</v>
      </c>
      <c r="C4" s="934"/>
      <c r="D4" s="934"/>
      <c r="E4" s="934"/>
      <c r="F4" s="934"/>
      <c r="G4" s="934"/>
      <c r="H4" s="934"/>
      <c r="I4" s="934"/>
      <c r="J4" s="935"/>
      <c r="K4" s="789"/>
      <c r="L4" s="789"/>
      <c r="M4" s="789"/>
      <c r="N4" s="789"/>
      <c r="O4" s="789"/>
      <c r="P4" s="790"/>
      <c r="Q4" s="883" t="str">
        <f>+Calculations!$B$569</f>
        <v/>
      </c>
      <c r="R4" s="883"/>
      <c r="S4" s="883"/>
      <c r="T4" s="883"/>
      <c r="U4" s="944"/>
    </row>
    <row r="5" spans="2:21" ht="4" customHeight="1" x14ac:dyDescent="0.2">
      <c r="B5" s="933"/>
      <c r="C5" s="934"/>
      <c r="D5" s="934"/>
      <c r="E5" s="934"/>
      <c r="F5" s="934"/>
      <c r="G5" s="934"/>
      <c r="H5" s="934"/>
      <c r="I5" s="934"/>
      <c r="J5" s="935"/>
      <c r="K5" s="789"/>
      <c r="L5" s="789"/>
      <c r="M5" s="789"/>
      <c r="N5" s="789"/>
      <c r="O5" s="789"/>
      <c r="P5" s="790"/>
      <c r="Q5" s="883" t="str">
        <f>Calculations!B570</f>
        <v/>
      </c>
      <c r="R5" s="883"/>
      <c r="S5" s="883"/>
      <c r="T5" s="883"/>
      <c r="U5" s="944"/>
    </row>
    <row r="6" spans="2:21" ht="20.25" customHeight="1" x14ac:dyDescent="0.2">
      <c r="B6" s="933" t="s">
        <v>2274</v>
      </c>
      <c r="C6" s="934"/>
      <c r="D6" s="934"/>
      <c r="E6" s="934"/>
      <c r="F6" s="934"/>
      <c r="G6" s="934"/>
      <c r="H6" s="934"/>
      <c r="I6" s="934"/>
      <c r="J6" s="935"/>
      <c r="K6" s="803" t="s">
        <v>268</v>
      </c>
      <c r="L6" s="803"/>
      <c r="M6" s="803"/>
      <c r="N6" s="803"/>
      <c r="O6" s="803"/>
      <c r="P6" s="804"/>
      <c r="Q6" s="883"/>
      <c r="R6" s="883"/>
      <c r="S6" s="883"/>
      <c r="T6" s="883"/>
      <c r="U6" s="944"/>
    </row>
    <row r="7" spans="2:21" ht="20.25" customHeight="1" x14ac:dyDescent="0.2">
      <c r="B7" s="933" t="s">
        <v>2275</v>
      </c>
      <c r="C7" s="934"/>
      <c r="D7" s="934"/>
      <c r="E7" s="934"/>
      <c r="F7" s="934"/>
      <c r="G7" s="934"/>
      <c r="H7" s="934"/>
      <c r="I7" s="934"/>
      <c r="J7" s="935"/>
      <c r="K7" s="803"/>
      <c r="L7" s="803"/>
      <c r="M7" s="803"/>
      <c r="N7" s="803"/>
      <c r="O7" s="803"/>
      <c r="P7" s="804"/>
      <c r="R7" s="883"/>
      <c r="S7" s="883"/>
      <c r="T7" s="883"/>
      <c r="U7" s="395"/>
    </row>
    <row r="8" spans="2:21" ht="5.25" customHeight="1" x14ac:dyDescent="0.25">
      <c r="B8" s="933"/>
      <c r="C8" s="934"/>
      <c r="D8" s="934"/>
      <c r="E8" s="934"/>
      <c r="F8" s="934"/>
      <c r="G8" s="934"/>
      <c r="H8" s="934"/>
      <c r="I8" s="934"/>
      <c r="J8" s="935"/>
      <c r="K8" s="185"/>
      <c r="L8" s="185"/>
      <c r="M8" s="185"/>
      <c r="N8" s="185"/>
      <c r="O8" s="185"/>
      <c r="P8" s="186"/>
      <c r="R8" s="313"/>
      <c r="S8" s="313"/>
      <c r="T8" s="313"/>
      <c r="U8" s="394"/>
    </row>
    <row r="9" spans="2:21" ht="2.25" customHeight="1" x14ac:dyDescent="0.25">
      <c r="B9" s="933"/>
      <c r="C9" s="934"/>
      <c r="D9" s="934"/>
      <c r="E9" s="934"/>
      <c r="F9" s="934"/>
      <c r="G9" s="934"/>
      <c r="H9" s="934"/>
      <c r="I9" s="934"/>
      <c r="J9" s="935"/>
      <c r="K9" s="185"/>
      <c r="L9" s="185"/>
      <c r="M9" s="185"/>
      <c r="N9" s="185"/>
      <c r="O9" s="185"/>
      <c r="P9" s="186"/>
      <c r="R9" s="313"/>
      <c r="S9" s="313"/>
      <c r="T9" s="313"/>
      <c r="U9" s="394"/>
    </row>
    <row r="10" spans="2:21" ht="20.25" customHeight="1" thickBot="1" x14ac:dyDescent="0.25">
      <c r="B10" s="939" t="s">
        <v>2276</v>
      </c>
      <c r="C10" s="940"/>
      <c r="D10" s="940"/>
      <c r="E10" s="940"/>
      <c r="F10" s="940"/>
      <c r="G10" s="940"/>
      <c r="H10" s="940"/>
      <c r="I10" s="940"/>
      <c r="J10" s="941"/>
      <c r="K10" s="884" t="str">
        <f>+Calculations!B572</f>
        <v>CRYSTALTRACTOR.COM</v>
      </c>
      <c r="L10" s="884"/>
      <c r="M10" s="884"/>
      <c r="N10" s="884"/>
      <c r="O10" s="884"/>
      <c r="P10" s="936"/>
      <c r="Q10" s="884" t="str">
        <f>Calculations!B571</f>
        <v/>
      </c>
      <c r="R10" s="884"/>
      <c r="S10" s="884"/>
      <c r="T10" s="884"/>
      <c r="U10" s="936"/>
    </row>
    <row r="11" spans="2:21" ht="20.25" customHeight="1" x14ac:dyDescent="0.2">
      <c r="B11" s="202" t="s">
        <v>269</v>
      </c>
      <c r="H11" s="21"/>
      <c r="I11" s="320"/>
      <c r="J11" s="320"/>
      <c r="K11" s="396"/>
      <c r="L11" s="397"/>
      <c r="M11" s="397"/>
      <c r="N11" s="397"/>
      <c r="O11" s="397"/>
      <c r="P11" s="397"/>
      <c r="Q11" s="215" t="s">
        <v>271</v>
      </c>
      <c r="R11" s="215"/>
      <c r="S11" s="937">
        <f>'Sales Input Sheet'!C11</f>
        <v>0</v>
      </c>
      <c r="T11" s="937"/>
      <c r="U11" s="938"/>
    </row>
    <row r="12" spans="2:21" ht="20" x14ac:dyDescent="0.2">
      <c r="B12" s="69"/>
      <c r="C12" s="889" t="str">
        <f>IF('Customer Input Screen'!I10&lt;&gt;"",UPPER('Customer Input Screen'!I10),"")</f>
        <v/>
      </c>
      <c r="D12" s="889"/>
      <c r="E12" s="889"/>
      <c r="F12" s="889"/>
      <c r="G12" s="889"/>
      <c r="H12" s="889"/>
      <c r="I12" s="889"/>
      <c r="L12" s="203" t="s">
        <v>270</v>
      </c>
      <c r="O12" s="205" t="str">
        <f>+'Customer Input Screen'!I22</f>
        <v/>
      </c>
      <c r="Q12" s="6" t="s">
        <v>304</v>
      </c>
      <c r="R12" s="6"/>
      <c r="S12" s="842">
        <f>+'Costing Sheet'!$C$13</f>
        <v>0</v>
      </c>
      <c r="T12" s="842"/>
      <c r="U12" s="887"/>
    </row>
    <row r="13" spans="2:21" s="6" customFormat="1" ht="20" x14ac:dyDescent="0.2">
      <c r="B13" s="202"/>
      <c r="C13" s="889" t="str">
        <f>IF(Calculations!B3&lt;&gt;"",UPPER(Calculations!B3),"")</f>
        <v xml:space="preserve">  </v>
      </c>
      <c r="D13" s="889"/>
      <c r="E13" s="889"/>
      <c r="F13" s="889"/>
      <c r="G13" s="889"/>
      <c r="H13" s="889"/>
      <c r="I13" s="889"/>
      <c r="J13" s="203"/>
      <c r="K13" s="203"/>
      <c r="L13" s="203" t="s">
        <v>272</v>
      </c>
      <c r="M13" s="203"/>
      <c r="N13" s="203"/>
      <c r="O13" s="205" t="str">
        <f>+'Customer Input Screen'!I23</f>
        <v/>
      </c>
      <c r="P13" s="203"/>
      <c r="Q13" s="6" t="s">
        <v>305</v>
      </c>
      <c r="S13" s="843">
        <f>'Costing Sheet'!$C$11</f>
        <v>0</v>
      </c>
      <c r="T13" s="843"/>
      <c r="U13" s="888"/>
    </row>
    <row r="14" spans="2:21" s="6" customFormat="1" ht="3" customHeight="1" x14ac:dyDescent="0.2">
      <c r="B14" s="202"/>
      <c r="I14" s="203"/>
      <c r="J14" s="203"/>
      <c r="K14" s="203"/>
      <c r="M14" s="203"/>
      <c r="N14" s="203"/>
      <c r="P14" s="203"/>
      <c r="Q14" s="203"/>
      <c r="S14" s="204"/>
      <c r="T14" s="203"/>
      <c r="U14" s="321"/>
    </row>
    <row r="15" spans="2:21" s="6" customFormat="1" ht="22" customHeight="1" x14ac:dyDescent="0.2">
      <c r="B15" s="202"/>
      <c r="C15" s="889" t="str">
        <f>IF('Customer Input Screen'!I14&lt;&gt;"",UPPER('Customer Input Screen'!I14),"")</f>
        <v/>
      </c>
      <c r="D15" s="889"/>
      <c r="E15" s="889"/>
      <c r="F15" s="889"/>
      <c r="G15" s="889"/>
      <c r="H15" s="889"/>
      <c r="I15" s="889"/>
      <c r="J15" s="203"/>
      <c r="K15" s="203"/>
      <c r="L15" s="203" t="s">
        <v>274</v>
      </c>
      <c r="O15" s="205" t="str">
        <f>+'Customer Input Screen'!I24</f>
        <v/>
      </c>
      <c r="P15" s="203"/>
      <c r="Q15" s="6" t="s">
        <v>275</v>
      </c>
      <c r="R15" s="203"/>
      <c r="S15" s="842" t="str">
        <f>IF('Sales Input Sheet'!C15&lt;&gt;"",UPPER('Sales Input Sheet'!C15),"")</f>
        <v/>
      </c>
      <c r="T15" s="842"/>
      <c r="U15" s="887"/>
    </row>
    <row r="16" spans="2:21" s="6" customFormat="1" ht="20" x14ac:dyDescent="0.2">
      <c r="B16" s="202"/>
      <c r="C16" s="889" t="str">
        <f>IF('Customer Input Screen'!I15&lt;&gt;"",UPPER('Customer Input Screen'!I15),"")</f>
        <v/>
      </c>
      <c r="D16" s="889"/>
      <c r="E16" s="889"/>
      <c r="F16" s="889"/>
      <c r="G16" s="889"/>
      <c r="H16" s="889"/>
      <c r="I16" s="889"/>
      <c r="J16" s="203"/>
      <c r="K16" s="203"/>
      <c r="L16" s="785" t="str">
        <f>+Calculations!$B$602</f>
        <v/>
      </c>
      <c r="M16" s="785"/>
      <c r="N16" s="785"/>
      <c r="O16" s="785"/>
      <c r="P16" s="203"/>
      <c r="S16" s="204"/>
      <c r="T16" s="205"/>
      <c r="U16" s="206"/>
    </row>
    <row r="17" spans="2:21" s="6" customFormat="1" ht="28" customHeight="1" x14ac:dyDescent="0.2">
      <c r="B17" s="202"/>
      <c r="C17" s="785" t="str">
        <f>+Calculations!$B$601</f>
        <v/>
      </c>
      <c r="D17" s="785"/>
      <c r="E17" s="785"/>
      <c r="F17" s="785"/>
      <c r="J17" s="203"/>
      <c r="K17" s="203"/>
      <c r="L17" s="203" t="s">
        <v>276</v>
      </c>
      <c r="O17" s="6" t="str">
        <f>UPPER('Costing Sheet'!U19)</f>
        <v/>
      </c>
      <c r="P17" s="203"/>
      <c r="S17" s="204"/>
      <c r="T17" s="205"/>
      <c r="U17" s="206"/>
    </row>
    <row r="18" spans="2:21" s="6" customFormat="1" ht="7" customHeight="1" x14ac:dyDescent="0.2">
      <c r="B18" s="202"/>
      <c r="J18" s="203"/>
      <c r="K18" s="203"/>
      <c r="L18" s="203"/>
      <c r="P18" s="203"/>
      <c r="S18" s="204"/>
      <c r="T18" s="205"/>
      <c r="U18" s="206"/>
    </row>
    <row r="19" spans="2:21" ht="10" customHeight="1" thickBot="1" x14ac:dyDescent="0.25">
      <c r="B19" s="316"/>
      <c r="C19" s="114"/>
      <c r="D19" s="114"/>
      <c r="E19" s="114"/>
      <c r="F19" s="114"/>
      <c r="G19" s="114"/>
      <c r="H19" s="114"/>
      <c r="I19" s="114"/>
      <c r="J19" s="114"/>
      <c r="K19" s="114"/>
      <c r="L19" s="114"/>
      <c r="M19" s="114"/>
      <c r="N19" s="114"/>
      <c r="O19" s="114"/>
      <c r="P19" s="114"/>
      <c r="Q19" s="114"/>
      <c r="R19" s="114"/>
      <c r="S19" s="398"/>
      <c r="T19" s="114"/>
      <c r="U19" s="399"/>
    </row>
    <row r="20" spans="2:21" ht="16" customHeight="1" x14ac:dyDescent="0.2">
      <c r="B20" s="948" t="s">
        <v>352</v>
      </c>
      <c r="C20" s="949"/>
      <c r="D20" s="949"/>
      <c r="E20" s="949"/>
      <c r="F20" s="949"/>
      <c r="G20" s="949"/>
      <c r="H20" s="949"/>
      <c r="I20" s="949"/>
      <c r="J20" s="949"/>
      <c r="K20" s="949"/>
      <c r="L20" s="949"/>
      <c r="M20" s="949"/>
      <c r="N20" s="949"/>
      <c r="O20" s="949"/>
      <c r="P20" s="949"/>
      <c r="Q20" s="949"/>
      <c r="R20" s="949"/>
      <c r="S20" s="949"/>
      <c r="T20" s="949"/>
      <c r="U20" s="950"/>
    </row>
    <row r="21" spans="2:21" ht="17.25" customHeight="1" thickBot="1" x14ac:dyDescent="0.25">
      <c r="B21" s="951"/>
      <c r="C21" s="952"/>
      <c r="D21" s="952"/>
      <c r="E21" s="952"/>
      <c r="F21" s="952"/>
      <c r="G21" s="952"/>
      <c r="H21" s="952"/>
      <c r="I21" s="952"/>
      <c r="J21" s="952"/>
      <c r="K21" s="952"/>
      <c r="L21" s="952"/>
      <c r="M21" s="952"/>
      <c r="N21" s="952"/>
      <c r="O21" s="952"/>
      <c r="P21" s="952"/>
      <c r="Q21" s="952"/>
      <c r="R21" s="952"/>
      <c r="S21" s="952"/>
      <c r="T21" s="952"/>
      <c r="U21" s="953"/>
    </row>
    <row r="22" spans="2:21" s="6" customFormat="1" ht="20" x14ac:dyDescent="0.2">
      <c r="B22" s="208"/>
      <c r="C22" s="209"/>
      <c r="D22" s="209"/>
      <c r="E22" s="209"/>
      <c r="F22" s="209"/>
      <c r="G22" s="209"/>
      <c r="H22" s="209"/>
      <c r="I22" s="209"/>
      <c r="J22" s="209"/>
      <c r="K22" s="209"/>
      <c r="L22" s="209"/>
      <c r="M22" s="209"/>
      <c r="N22" s="209"/>
      <c r="O22" s="209"/>
      <c r="P22" s="209"/>
      <c r="Q22" s="779" t="s">
        <v>278</v>
      </c>
      <c r="R22" s="209"/>
      <c r="S22" s="777" t="s">
        <v>279</v>
      </c>
      <c r="T22" s="209"/>
      <c r="U22" s="781" t="s">
        <v>280</v>
      </c>
    </row>
    <row r="23" spans="2:21" s="6" customFormat="1" ht="25" customHeight="1" thickBot="1" x14ac:dyDescent="0.25">
      <c r="B23" s="210"/>
      <c r="C23" s="211" t="s">
        <v>281</v>
      </c>
      <c r="D23" s="212"/>
      <c r="E23" s="212"/>
      <c r="F23" s="213"/>
      <c r="G23" s="213"/>
      <c r="H23" s="212"/>
      <c r="I23" s="212" t="s">
        <v>105</v>
      </c>
      <c r="J23" s="212"/>
      <c r="K23" s="212"/>
      <c r="L23" s="212" t="s">
        <v>106</v>
      </c>
      <c r="M23" s="212"/>
      <c r="N23" s="212"/>
      <c r="O23" s="212" t="s">
        <v>282</v>
      </c>
      <c r="P23" s="212"/>
      <c r="Q23" s="780"/>
      <c r="R23" s="212"/>
      <c r="S23" s="778"/>
      <c r="T23" s="212"/>
      <c r="U23" s="782"/>
    </row>
    <row r="24" spans="2:21" s="6" customFormat="1" ht="21" customHeight="1" x14ac:dyDescent="0.2">
      <c r="B24" s="214"/>
      <c r="C24" s="215" t="str">
        <f>Calculations!B451</f>
        <v/>
      </c>
      <c r="D24" s="215"/>
      <c r="E24" s="215"/>
      <c r="F24" s="215"/>
      <c r="G24" s="215"/>
      <c r="H24" s="215"/>
      <c r="I24" s="783" t="str">
        <f>Calculations!B6</f>
        <v/>
      </c>
      <c r="J24" s="215"/>
      <c r="K24" s="215"/>
      <c r="L24" s="215" t="str">
        <f>Calculations!B7</f>
        <v/>
      </c>
      <c r="M24" s="215"/>
      <c r="N24" s="215"/>
      <c r="O24" s="215" t="str">
        <f>Calculations!B8</f>
        <v/>
      </c>
      <c r="P24" s="215"/>
      <c r="Q24" s="217">
        <f>+'Costing Sheet'!I$22</f>
        <v>0</v>
      </c>
      <c r="R24" s="217"/>
      <c r="S24" s="218">
        <f>-'Costing Sheet'!K$22</f>
        <v>0</v>
      </c>
      <c r="T24" s="217"/>
      <c r="U24" s="219">
        <f>+Calculations!B$526</f>
        <v>0</v>
      </c>
    </row>
    <row r="25" spans="2:21" s="6" customFormat="1" ht="20" x14ac:dyDescent="0.2">
      <c r="B25" s="202"/>
      <c r="I25" s="784"/>
      <c r="J25" s="785" t="str">
        <f>Calculations!B9</f>
        <v/>
      </c>
      <c r="K25" s="785"/>
      <c r="L25" s="785"/>
      <c r="M25" s="785"/>
      <c r="N25" s="785"/>
      <c r="O25" s="785"/>
      <c r="S25" s="221"/>
      <c r="U25" s="222"/>
    </row>
    <row r="26" spans="2:21" s="6" customFormat="1" ht="20" x14ac:dyDescent="0.2">
      <c r="B26" s="202"/>
      <c r="I26" s="223"/>
      <c r="J26" s="786" t="str">
        <f>+Calculations!B12</f>
        <v xml:space="preserve">    </v>
      </c>
      <c r="K26" s="786"/>
      <c r="L26" s="786"/>
      <c r="M26" s="786"/>
      <c r="N26" s="786"/>
      <c r="O26" s="786"/>
      <c r="P26" s="786"/>
      <c r="Q26" s="786"/>
      <c r="R26" s="786"/>
      <c r="S26" s="786"/>
      <c r="T26" s="786"/>
      <c r="U26" s="222"/>
    </row>
    <row r="27" spans="2:21" s="6" customFormat="1" ht="11.25" customHeight="1" x14ac:dyDescent="0.2">
      <c r="B27" s="202"/>
      <c r="I27" s="223"/>
      <c r="J27" s="223"/>
      <c r="K27" s="223"/>
      <c r="L27" s="223"/>
      <c r="M27" s="223"/>
      <c r="N27" s="223"/>
      <c r="O27" s="223"/>
      <c r="P27" s="223"/>
      <c r="Q27" s="223"/>
      <c r="R27" s="223"/>
      <c r="S27" s="224"/>
      <c r="T27" s="223"/>
      <c r="U27" s="222"/>
    </row>
    <row r="28" spans="2:21" s="6" customFormat="1" ht="20" x14ac:dyDescent="0.2">
      <c r="B28" s="202"/>
      <c r="C28" s="6" t="str">
        <f>Calculations!B452</f>
        <v/>
      </c>
      <c r="I28" s="786" t="str">
        <f>Calculations!B18</f>
        <v/>
      </c>
      <c r="L28" s="6" t="str">
        <f>Calculations!B19</f>
        <v/>
      </c>
      <c r="O28" s="6" t="str">
        <f>Calculations!B20</f>
        <v/>
      </c>
      <c r="Q28" s="225">
        <f>+'Costing Sheet'!I$23</f>
        <v>0</v>
      </c>
      <c r="R28" s="225"/>
      <c r="S28" s="221">
        <f>-'Costing Sheet'!K$23</f>
        <v>0</v>
      </c>
      <c r="T28" s="225"/>
      <c r="U28" s="226">
        <f>+Calculations!B$527</f>
        <v>0</v>
      </c>
    </row>
    <row r="29" spans="2:21" s="6" customFormat="1" ht="20" x14ac:dyDescent="0.2">
      <c r="B29" s="202"/>
      <c r="I29" s="786"/>
      <c r="J29" s="786" t="str">
        <f>Calculations!B21</f>
        <v/>
      </c>
      <c r="K29" s="786"/>
      <c r="L29" s="786"/>
      <c r="M29" s="786"/>
      <c r="N29" s="786"/>
      <c r="O29" s="786"/>
      <c r="P29" s="786"/>
      <c r="Q29" s="786"/>
      <c r="R29" s="786"/>
      <c r="S29" s="786"/>
      <c r="U29" s="222"/>
    </row>
    <row r="30" spans="2:21" s="6" customFormat="1" ht="20" x14ac:dyDescent="0.2">
      <c r="B30" s="202"/>
      <c r="I30" s="223"/>
      <c r="J30" s="786" t="str">
        <f>+Calculations!B24</f>
        <v/>
      </c>
      <c r="K30" s="786"/>
      <c r="L30" s="786"/>
      <c r="M30" s="786"/>
      <c r="N30" s="786"/>
      <c r="O30" s="786"/>
      <c r="P30" s="786"/>
      <c r="Q30" s="786"/>
      <c r="R30" s="786"/>
      <c r="S30" s="786"/>
      <c r="T30" s="786"/>
      <c r="U30" s="222"/>
    </row>
    <row r="31" spans="2:21" s="6" customFormat="1" ht="10" customHeight="1" x14ac:dyDescent="0.2">
      <c r="B31" s="202"/>
      <c r="I31" s="223"/>
      <c r="J31" s="223"/>
      <c r="K31" s="223"/>
      <c r="L31" s="223"/>
      <c r="M31" s="223"/>
      <c r="N31" s="223"/>
      <c r="O31" s="223"/>
      <c r="P31" s="223"/>
      <c r="Q31" s="223"/>
      <c r="R31" s="223"/>
      <c r="S31" s="224"/>
      <c r="T31" s="223"/>
      <c r="U31" s="222"/>
    </row>
    <row r="32" spans="2:21" s="6" customFormat="1" ht="20" x14ac:dyDescent="0.2">
      <c r="B32" s="202"/>
      <c r="C32" s="6" t="str">
        <f>Calculations!B453</f>
        <v/>
      </c>
      <c r="I32" s="786" t="str">
        <f>Calculations!B30</f>
        <v/>
      </c>
      <c r="L32" s="6" t="str">
        <f>Calculations!B31</f>
        <v/>
      </c>
      <c r="O32" s="6" t="str">
        <f>Calculations!B32</f>
        <v/>
      </c>
      <c r="Q32" s="225">
        <f>+'Costing Sheet'!I$24</f>
        <v>0</v>
      </c>
      <c r="R32" s="225"/>
      <c r="S32" s="221">
        <f>-'Costing Sheet'!K$24</f>
        <v>0</v>
      </c>
      <c r="T32" s="225"/>
      <c r="U32" s="226">
        <f>+Calculations!B$528</f>
        <v>0</v>
      </c>
    </row>
    <row r="33" spans="2:21" s="6" customFormat="1" ht="20" x14ac:dyDescent="0.2">
      <c r="B33" s="202"/>
      <c r="I33" s="786"/>
      <c r="J33" s="786" t="str">
        <f>Calculations!B33</f>
        <v/>
      </c>
      <c r="K33" s="786"/>
      <c r="L33" s="786"/>
      <c r="M33" s="786"/>
      <c r="N33" s="786"/>
      <c r="O33" s="786"/>
      <c r="P33" s="786"/>
      <c r="Q33" s="786"/>
      <c r="R33" s="786"/>
      <c r="S33" s="786"/>
      <c r="T33" s="786"/>
      <c r="U33" s="222"/>
    </row>
    <row r="34" spans="2:21" s="6" customFormat="1" ht="20" x14ac:dyDescent="0.2">
      <c r="B34" s="202"/>
      <c r="I34" s="223"/>
      <c r="J34" s="786" t="str">
        <f>+Calculations!B36</f>
        <v/>
      </c>
      <c r="K34" s="786"/>
      <c r="L34" s="786"/>
      <c r="M34" s="786"/>
      <c r="N34" s="786"/>
      <c r="O34" s="786"/>
      <c r="P34" s="786"/>
      <c r="Q34" s="786"/>
      <c r="R34" s="786"/>
      <c r="S34" s="786"/>
      <c r="T34" s="786"/>
      <c r="U34" s="222"/>
    </row>
    <row r="35" spans="2:21" s="6" customFormat="1" ht="9" customHeight="1" x14ac:dyDescent="0.2">
      <c r="B35" s="202"/>
      <c r="I35" s="223"/>
      <c r="J35" s="223"/>
      <c r="K35" s="223"/>
      <c r="L35" s="223"/>
      <c r="M35" s="223"/>
      <c r="N35" s="223"/>
      <c r="O35" s="223"/>
      <c r="P35" s="223"/>
      <c r="Q35" s="223"/>
      <c r="R35" s="223"/>
      <c r="S35" s="224"/>
      <c r="T35" s="223"/>
      <c r="U35" s="222"/>
    </row>
    <row r="36" spans="2:21" s="6" customFormat="1" ht="20" x14ac:dyDescent="0.2">
      <c r="B36" s="202"/>
      <c r="C36" s="6" t="str">
        <f>Calculations!B454</f>
        <v/>
      </c>
      <c r="I36" s="806" t="str">
        <f>Calculations!B42</f>
        <v/>
      </c>
      <c r="L36" s="6" t="str">
        <f>Calculations!B43</f>
        <v/>
      </c>
      <c r="O36" s="6" t="str">
        <f>Calculations!B44</f>
        <v/>
      </c>
      <c r="Q36" s="225">
        <f>+'Costing Sheet'!I$25</f>
        <v>0</v>
      </c>
      <c r="R36" s="225"/>
      <c r="S36" s="221">
        <f>-'Costing Sheet'!K$25</f>
        <v>0</v>
      </c>
      <c r="T36" s="225"/>
      <c r="U36" s="226">
        <f>+Calculations!B$529</f>
        <v>0</v>
      </c>
    </row>
    <row r="37" spans="2:21" s="6" customFormat="1" ht="20" x14ac:dyDescent="0.2">
      <c r="B37" s="202"/>
      <c r="I37" s="806"/>
      <c r="J37" s="786" t="str">
        <f>Calculations!B45</f>
        <v/>
      </c>
      <c r="K37" s="786"/>
      <c r="L37" s="786"/>
      <c r="M37" s="786"/>
      <c r="N37" s="786"/>
      <c r="O37" s="786"/>
      <c r="P37" s="786"/>
      <c r="Q37" s="786"/>
      <c r="R37" s="786"/>
      <c r="S37" s="786"/>
      <c r="T37" s="786"/>
      <c r="U37" s="222"/>
    </row>
    <row r="38" spans="2:21" s="6" customFormat="1" ht="20" x14ac:dyDescent="0.2">
      <c r="B38" s="202"/>
      <c r="I38" s="223"/>
      <c r="J38" s="786" t="str">
        <f>+Calculations!B48</f>
        <v/>
      </c>
      <c r="K38" s="786"/>
      <c r="L38" s="786"/>
      <c r="M38" s="786"/>
      <c r="N38" s="786"/>
      <c r="O38" s="786"/>
      <c r="P38" s="786"/>
      <c r="Q38" s="786"/>
      <c r="R38" s="786"/>
      <c r="S38" s="786"/>
      <c r="T38" s="786"/>
      <c r="U38" s="222"/>
    </row>
    <row r="39" spans="2:21" s="6" customFormat="1" ht="7" customHeight="1" x14ac:dyDescent="0.2">
      <c r="B39" s="202"/>
      <c r="I39" s="223"/>
      <c r="J39" s="223"/>
      <c r="K39" s="223"/>
      <c r="L39" s="223"/>
      <c r="M39" s="223"/>
      <c r="N39" s="223"/>
      <c r="O39" s="223"/>
      <c r="P39" s="223"/>
      <c r="Q39" s="223"/>
      <c r="R39" s="223"/>
      <c r="S39" s="224"/>
      <c r="T39" s="223"/>
      <c r="U39" s="222"/>
    </row>
    <row r="40" spans="2:21" s="6" customFormat="1" ht="20" x14ac:dyDescent="0.2">
      <c r="B40" s="202"/>
      <c r="C40" s="6" t="str">
        <f>Calculations!B455</f>
        <v/>
      </c>
      <c r="I40" s="786" t="str">
        <f>Calculations!B54</f>
        <v/>
      </c>
      <c r="L40" s="6" t="str">
        <f>Calculations!B55</f>
        <v/>
      </c>
      <c r="O40" s="6" t="str">
        <f>Calculations!B56</f>
        <v/>
      </c>
      <c r="Q40" s="225">
        <f>+'Costing Sheet'!I$26</f>
        <v>0</v>
      </c>
      <c r="R40" s="225"/>
      <c r="S40" s="221">
        <f>-'Costing Sheet'!K$26</f>
        <v>0</v>
      </c>
      <c r="T40" s="225"/>
      <c r="U40" s="226">
        <f>+Calculations!B$530</f>
        <v>0</v>
      </c>
    </row>
    <row r="41" spans="2:21" s="6" customFormat="1" ht="20" x14ac:dyDescent="0.2">
      <c r="B41" s="202"/>
      <c r="I41" s="786"/>
      <c r="J41" s="786" t="str">
        <f>Calculations!B57</f>
        <v/>
      </c>
      <c r="K41" s="786"/>
      <c r="L41" s="786"/>
      <c r="M41" s="786"/>
      <c r="N41" s="786"/>
      <c r="O41" s="786"/>
      <c r="P41" s="786"/>
      <c r="Q41" s="786"/>
      <c r="R41" s="786"/>
      <c r="S41" s="786"/>
      <c r="T41" s="786"/>
      <c r="U41" s="222"/>
    </row>
    <row r="42" spans="2:21" s="6" customFormat="1" ht="20" x14ac:dyDescent="0.2">
      <c r="B42" s="202"/>
      <c r="I42" s="223"/>
      <c r="J42" s="786" t="str">
        <f>+Calculations!B60</f>
        <v/>
      </c>
      <c r="K42" s="786"/>
      <c r="L42" s="786"/>
      <c r="M42" s="786"/>
      <c r="N42" s="786"/>
      <c r="O42" s="786"/>
      <c r="P42" s="786"/>
      <c r="Q42" s="786"/>
      <c r="R42" s="786"/>
      <c r="S42" s="786"/>
      <c r="T42" s="786"/>
      <c r="U42" s="222"/>
    </row>
    <row r="43" spans="2:21" s="6" customFormat="1" ht="6" customHeight="1" x14ac:dyDescent="0.2">
      <c r="B43" s="202"/>
      <c r="I43" s="223"/>
      <c r="J43" s="223"/>
      <c r="K43" s="223"/>
      <c r="L43" s="223"/>
      <c r="M43" s="223"/>
      <c r="N43" s="223"/>
      <c r="O43" s="223"/>
      <c r="P43" s="223"/>
      <c r="Q43" s="223"/>
      <c r="R43" s="223"/>
      <c r="S43" s="224"/>
      <c r="T43" s="223"/>
      <c r="U43" s="222"/>
    </row>
    <row r="44" spans="2:21" customFormat="1" ht="20" x14ac:dyDescent="0.2">
      <c r="B44" s="228"/>
      <c r="C44" s="6" t="str">
        <f>Calculations!B456</f>
        <v/>
      </c>
      <c r="D44" s="6"/>
      <c r="E44" s="6"/>
      <c r="F44" s="6"/>
      <c r="G44" s="6"/>
      <c r="H44" s="6"/>
      <c r="I44" s="786" t="str">
        <f>Calculations!B66</f>
        <v/>
      </c>
      <c r="J44" s="6"/>
      <c r="K44" s="6"/>
      <c r="L44" s="6" t="str">
        <f>Calculations!B67</f>
        <v/>
      </c>
      <c r="M44" s="6"/>
      <c r="N44" s="6"/>
      <c r="O44" s="6" t="str">
        <f>Calculations!B68</f>
        <v/>
      </c>
      <c r="P44" s="6"/>
      <c r="Q44" s="225">
        <f>+'Costing Sheet'!I$27</f>
        <v>0</v>
      </c>
      <c r="R44" s="225"/>
      <c r="S44" s="221">
        <f>-'Costing Sheet'!K$27</f>
        <v>0</v>
      </c>
      <c r="T44" s="225"/>
      <c r="U44" s="226">
        <f>+Calculations!B$531</f>
        <v>0</v>
      </c>
    </row>
    <row r="45" spans="2:21" customFormat="1" ht="20" x14ac:dyDescent="0.2">
      <c r="B45" s="228"/>
      <c r="C45" s="6"/>
      <c r="D45" s="6"/>
      <c r="E45" s="6"/>
      <c r="F45" s="6"/>
      <c r="G45" s="6"/>
      <c r="H45" s="6"/>
      <c r="I45" s="786"/>
      <c r="J45" s="786" t="str">
        <f>Calculations!B69</f>
        <v/>
      </c>
      <c r="K45" s="786"/>
      <c r="L45" s="786"/>
      <c r="M45" s="786"/>
      <c r="N45" s="786"/>
      <c r="O45" s="786"/>
      <c r="P45" s="786"/>
      <c r="Q45" s="786"/>
      <c r="R45" s="786"/>
      <c r="S45" s="786"/>
      <c r="T45" s="786"/>
      <c r="U45" s="222"/>
    </row>
    <row r="46" spans="2:21" customFormat="1" ht="20" x14ac:dyDescent="0.2">
      <c r="B46" s="228"/>
      <c r="C46" s="6"/>
      <c r="D46" s="6"/>
      <c r="E46" s="6"/>
      <c r="F46" s="6"/>
      <c r="G46" s="6"/>
      <c r="H46" s="6"/>
      <c r="I46" s="223"/>
      <c r="J46" s="806" t="str">
        <f>+Calculations!B72</f>
        <v/>
      </c>
      <c r="K46" s="786"/>
      <c r="L46" s="786"/>
      <c r="M46" s="786"/>
      <c r="N46" s="786"/>
      <c r="O46" s="786"/>
      <c r="P46" s="786"/>
      <c r="Q46" s="786"/>
      <c r="R46" s="786"/>
      <c r="S46" s="786"/>
      <c r="T46" s="786"/>
      <c r="U46" s="222"/>
    </row>
    <row r="47" spans="2:21" customFormat="1" ht="7" customHeight="1" x14ac:dyDescent="0.2">
      <c r="B47" s="228"/>
      <c r="C47" s="6"/>
      <c r="D47" s="6"/>
      <c r="E47" s="6"/>
      <c r="F47" s="6"/>
      <c r="G47" s="6"/>
      <c r="H47" s="6"/>
      <c r="I47" s="223"/>
      <c r="J47" s="227"/>
      <c r="K47" s="223"/>
      <c r="L47" s="223"/>
      <c r="M47" s="223"/>
      <c r="N47" s="223"/>
      <c r="O47" s="223"/>
      <c r="P47" s="223"/>
      <c r="Q47" s="223"/>
      <c r="R47" s="223"/>
      <c r="S47" s="224"/>
      <c r="T47" s="223"/>
      <c r="U47" s="222"/>
    </row>
    <row r="48" spans="2:21" customFormat="1" ht="20" x14ac:dyDescent="0.2">
      <c r="B48" s="228"/>
      <c r="C48" s="6" t="str">
        <f>Calculations!B457</f>
        <v/>
      </c>
      <c r="D48" s="6"/>
      <c r="E48" s="6"/>
      <c r="F48" s="6"/>
      <c r="G48" s="6"/>
      <c r="H48" s="6"/>
      <c r="I48" s="786" t="str">
        <f>Calculations!B78</f>
        <v/>
      </c>
      <c r="J48" s="6"/>
      <c r="K48" s="6"/>
      <c r="L48" s="6" t="str">
        <f>Calculations!B79</f>
        <v/>
      </c>
      <c r="M48" s="6"/>
      <c r="N48" s="6"/>
      <c r="O48" s="6" t="str">
        <f>Calculations!B80</f>
        <v/>
      </c>
      <c r="P48" s="6"/>
      <c r="Q48" s="225">
        <f>+'Costing Sheet'!I$28</f>
        <v>0</v>
      </c>
      <c r="R48" s="225"/>
      <c r="S48" s="221">
        <f>-'Costing Sheet'!K$28</f>
        <v>0</v>
      </c>
      <c r="T48" s="225"/>
      <c r="U48" s="226">
        <f>+Calculations!B$532</f>
        <v>0</v>
      </c>
    </row>
    <row r="49" spans="2:21" customFormat="1" ht="20" x14ac:dyDescent="0.2">
      <c r="B49" s="228"/>
      <c r="C49" s="6"/>
      <c r="D49" s="6"/>
      <c r="E49" s="6"/>
      <c r="F49" s="6"/>
      <c r="G49" s="6"/>
      <c r="H49" s="6"/>
      <c r="I49" s="786"/>
      <c r="J49" s="786" t="str">
        <f>Calculations!B81</f>
        <v/>
      </c>
      <c r="K49" s="786"/>
      <c r="L49" s="786"/>
      <c r="M49" s="786"/>
      <c r="N49" s="786"/>
      <c r="O49" s="786"/>
      <c r="P49" s="786"/>
      <c r="Q49" s="786"/>
      <c r="R49" s="786"/>
      <c r="S49" s="786"/>
      <c r="T49" s="786"/>
      <c r="U49" s="222"/>
    </row>
    <row r="50" spans="2:21" customFormat="1" ht="20" x14ac:dyDescent="0.2">
      <c r="B50" s="228"/>
      <c r="C50" s="6"/>
      <c r="D50" s="6"/>
      <c r="E50" s="6"/>
      <c r="F50" s="6"/>
      <c r="G50" s="6"/>
      <c r="H50" s="6"/>
      <c r="I50" s="223"/>
      <c r="J50" s="786" t="str">
        <f>+Calculations!B84</f>
        <v/>
      </c>
      <c r="K50" s="786"/>
      <c r="L50" s="786"/>
      <c r="M50" s="786"/>
      <c r="N50" s="786"/>
      <c r="O50" s="786"/>
      <c r="P50" s="786"/>
      <c r="Q50" s="786"/>
      <c r="R50" s="786"/>
      <c r="S50" s="786"/>
      <c r="T50" s="786"/>
      <c r="U50" s="222"/>
    </row>
    <row r="51" spans="2:21" customFormat="1" ht="7" customHeight="1" x14ac:dyDescent="0.2">
      <c r="B51" s="228"/>
      <c r="C51" s="6"/>
      <c r="D51" s="6"/>
      <c r="E51" s="6"/>
      <c r="F51" s="6"/>
      <c r="G51" s="6"/>
      <c r="H51" s="6"/>
      <c r="I51" s="223"/>
      <c r="J51" s="223"/>
      <c r="K51" s="223"/>
      <c r="L51" s="223"/>
      <c r="M51" s="223"/>
      <c r="N51" s="223"/>
      <c r="O51" s="223"/>
      <c r="P51" s="223"/>
      <c r="Q51" s="223"/>
      <c r="R51" s="223"/>
      <c r="S51" s="224"/>
      <c r="T51" s="223"/>
      <c r="U51" s="222"/>
    </row>
    <row r="52" spans="2:21" customFormat="1" ht="20" x14ac:dyDescent="0.2">
      <c r="B52" s="228"/>
      <c r="C52" s="6" t="str">
        <f>Calculations!B458</f>
        <v/>
      </c>
      <c r="D52" s="6"/>
      <c r="E52" s="6"/>
      <c r="F52" s="6"/>
      <c r="G52" s="6"/>
      <c r="H52" s="6"/>
      <c r="I52" s="786" t="str">
        <f>Calculations!B90</f>
        <v/>
      </c>
      <c r="J52" s="6"/>
      <c r="K52" s="6"/>
      <c r="L52" s="6" t="str">
        <f>Calculations!B91</f>
        <v/>
      </c>
      <c r="M52" s="6"/>
      <c r="N52" s="6"/>
      <c r="O52" s="6" t="str">
        <f>Calculations!B92</f>
        <v/>
      </c>
      <c r="P52" s="6"/>
      <c r="Q52" s="225">
        <f>+'Costing Sheet'!I$29</f>
        <v>0</v>
      </c>
      <c r="R52" s="225"/>
      <c r="S52" s="221">
        <f>-'Costing Sheet'!K$29</f>
        <v>0</v>
      </c>
      <c r="T52" s="225"/>
      <c r="U52" s="226">
        <f>+Calculations!B$533</f>
        <v>0</v>
      </c>
    </row>
    <row r="53" spans="2:21" customFormat="1" ht="20" x14ac:dyDescent="0.2">
      <c r="B53" s="228"/>
      <c r="C53" s="6"/>
      <c r="D53" s="6"/>
      <c r="E53" s="6"/>
      <c r="F53" s="6"/>
      <c r="G53" s="6"/>
      <c r="H53" s="6"/>
      <c r="I53" s="786"/>
      <c r="J53" s="786" t="str">
        <f>Calculations!B93</f>
        <v/>
      </c>
      <c r="K53" s="786"/>
      <c r="L53" s="786"/>
      <c r="M53" s="786"/>
      <c r="N53" s="786"/>
      <c r="O53" s="786"/>
      <c r="P53" s="786"/>
      <c r="Q53" s="786"/>
      <c r="R53" s="786"/>
      <c r="S53" s="786"/>
      <c r="T53" s="786"/>
      <c r="U53" s="222"/>
    </row>
    <row r="54" spans="2:21" customFormat="1" ht="20" x14ac:dyDescent="0.2">
      <c r="B54" s="228"/>
      <c r="C54" s="6"/>
      <c r="D54" s="6"/>
      <c r="E54" s="6"/>
      <c r="F54" s="6"/>
      <c r="G54" s="6"/>
      <c r="H54" s="6"/>
      <c r="I54" s="223"/>
      <c r="J54" s="786" t="str">
        <f>+Calculations!B96</f>
        <v/>
      </c>
      <c r="K54" s="786"/>
      <c r="L54" s="786"/>
      <c r="M54" s="786"/>
      <c r="N54" s="786"/>
      <c r="O54" s="786"/>
      <c r="P54" s="786"/>
      <c r="Q54" s="786"/>
      <c r="R54" s="786"/>
      <c r="S54" s="786"/>
      <c r="T54" s="786"/>
      <c r="U54" s="222"/>
    </row>
    <row r="55" spans="2:21" customFormat="1" ht="9" customHeight="1" x14ac:dyDescent="0.2">
      <c r="B55" s="228"/>
      <c r="C55" s="6"/>
      <c r="D55" s="6"/>
      <c r="E55" s="6"/>
      <c r="F55" s="6"/>
      <c r="G55" s="6"/>
      <c r="H55" s="6"/>
      <c r="I55" s="223"/>
      <c r="J55" s="223"/>
      <c r="K55" s="223"/>
      <c r="L55" s="223"/>
      <c r="M55" s="223"/>
      <c r="N55" s="223"/>
      <c r="O55" s="223"/>
      <c r="P55" s="223"/>
      <c r="Q55" s="223"/>
      <c r="R55" s="223"/>
      <c r="S55" s="224"/>
      <c r="T55" s="223"/>
      <c r="U55" s="222"/>
    </row>
    <row r="56" spans="2:21" customFormat="1" ht="20" x14ac:dyDescent="0.2">
      <c r="B56" s="228"/>
      <c r="C56" s="6" t="str">
        <f>Calculations!B459</f>
        <v/>
      </c>
      <c r="D56" s="6"/>
      <c r="E56" s="6"/>
      <c r="F56" s="6"/>
      <c r="G56" s="6"/>
      <c r="H56" s="6"/>
      <c r="I56" s="786" t="str">
        <f>Calculations!B102</f>
        <v/>
      </c>
      <c r="J56" s="6"/>
      <c r="K56" s="6"/>
      <c r="L56" s="6" t="str">
        <f>Calculations!B103</f>
        <v/>
      </c>
      <c r="M56" s="6"/>
      <c r="N56" s="6"/>
      <c r="O56" s="6" t="str">
        <f>Calculations!B104</f>
        <v/>
      </c>
      <c r="P56" s="6"/>
      <c r="Q56" s="225">
        <f>+'Costing Sheet'!I$30</f>
        <v>0</v>
      </c>
      <c r="R56" s="225"/>
      <c r="S56" s="221">
        <f>-'Costing Sheet'!K$30</f>
        <v>0</v>
      </c>
      <c r="T56" s="225"/>
      <c r="U56" s="226">
        <f>+Calculations!B$534</f>
        <v>0</v>
      </c>
    </row>
    <row r="57" spans="2:21" customFormat="1" ht="23.25" customHeight="1" x14ac:dyDescent="0.2">
      <c r="B57" s="228"/>
      <c r="C57" s="6"/>
      <c r="D57" s="6"/>
      <c r="E57" s="6"/>
      <c r="F57" s="6"/>
      <c r="G57" s="6"/>
      <c r="H57" s="6"/>
      <c r="I57" s="786"/>
      <c r="J57" s="786" t="str">
        <f>Calculations!B105</f>
        <v/>
      </c>
      <c r="K57" s="786"/>
      <c r="L57" s="786"/>
      <c r="M57" s="786"/>
      <c r="N57" s="786"/>
      <c r="O57" s="786"/>
      <c r="P57" s="786"/>
      <c r="Q57" s="786"/>
      <c r="R57" s="786"/>
      <c r="S57" s="786"/>
      <c r="T57" s="786"/>
      <c r="U57" s="222"/>
    </row>
    <row r="58" spans="2:21" customFormat="1" ht="21" customHeight="1" x14ac:dyDescent="0.2">
      <c r="B58" s="228"/>
      <c r="C58" s="6"/>
      <c r="D58" s="6"/>
      <c r="E58" s="6"/>
      <c r="F58" s="6"/>
      <c r="G58" s="6"/>
      <c r="H58" s="6"/>
      <c r="I58" s="223"/>
      <c r="J58" s="786" t="str">
        <f>+Calculations!B108</f>
        <v/>
      </c>
      <c r="K58" s="786"/>
      <c r="L58" s="786"/>
      <c r="M58" s="786"/>
      <c r="N58" s="786"/>
      <c r="O58" s="786"/>
      <c r="P58" s="786"/>
      <c r="Q58" s="786"/>
      <c r="R58" s="786"/>
      <c r="S58" s="786"/>
      <c r="T58" s="786"/>
      <c r="U58" s="222"/>
    </row>
    <row r="59" spans="2:21" customFormat="1" ht="8.25" customHeight="1" x14ac:dyDescent="0.2">
      <c r="B59" s="228"/>
      <c r="C59" s="6"/>
      <c r="D59" s="6"/>
      <c r="E59" s="6"/>
      <c r="F59" s="6"/>
      <c r="G59" s="6"/>
      <c r="H59" s="6"/>
      <c r="I59" s="223"/>
      <c r="J59" s="223"/>
      <c r="K59" s="223"/>
      <c r="L59" s="223"/>
      <c r="M59" s="223"/>
      <c r="N59" s="223"/>
      <c r="O59" s="223"/>
      <c r="P59" s="223"/>
      <c r="Q59" s="223"/>
      <c r="R59" s="223"/>
      <c r="S59" s="224"/>
      <c r="T59" s="223"/>
      <c r="U59" s="222"/>
    </row>
    <row r="60" spans="2:21" customFormat="1" ht="20" x14ac:dyDescent="0.2">
      <c r="B60" s="228"/>
      <c r="C60" s="6" t="str">
        <f>Calculations!B460</f>
        <v/>
      </c>
      <c r="D60" s="6"/>
      <c r="E60" s="6"/>
      <c r="F60" s="6"/>
      <c r="G60" s="6"/>
      <c r="H60" s="6"/>
      <c r="I60" s="786" t="str">
        <f>Calculations!B114</f>
        <v/>
      </c>
      <c r="J60" s="6"/>
      <c r="K60" s="6"/>
      <c r="L60" s="6" t="str">
        <f>Calculations!B115</f>
        <v/>
      </c>
      <c r="M60" s="6"/>
      <c r="N60" s="6"/>
      <c r="O60" s="6" t="str">
        <f>Calculations!B116</f>
        <v/>
      </c>
      <c r="P60" s="6"/>
      <c r="Q60" s="225">
        <f>+'Costing Sheet'!I$31</f>
        <v>0</v>
      </c>
      <c r="R60" s="225"/>
      <c r="S60" s="221">
        <f>-'Costing Sheet'!K$31</f>
        <v>0</v>
      </c>
      <c r="T60" s="225"/>
      <c r="U60" s="226">
        <f>+Calculations!B$535</f>
        <v>0</v>
      </c>
    </row>
    <row r="61" spans="2:21" customFormat="1" ht="20" x14ac:dyDescent="0.2">
      <c r="B61" s="228"/>
      <c r="C61" s="6"/>
      <c r="D61" s="6"/>
      <c r="E61" s="6"/>
      <c r="F61" s="6"/>
      <c r="G61" s="6"/>
      <c r="H61" s="6"/>
      <c r="I61" s="786"/>
      <c r="J61" s="786" t="str">
        <f>Calculations!B117</f>
        <v/>
      </c>
      <c r="K61" s="786"/>
      <c r="L61" s="786"/>
      <c r="M61" s="786"/>
      <c r="N61" s="786"/>
      <c r="O61" s="786"/>
      <c r="P61" s="786"/>
      <c r="Q61" s="786"/>
      <c r="R61" s="786"/>
      <c r="S61" s="786"/>
      <c r="T61" s="786"/>
      <c r="U61" s="222"/>
    </row>
    <row r="62" spans="2:21" customFormat="1" ht="20" x14ac:dyDescent="0.2">
      <c r="B62" s="228"/>
      <c r="C62" s="6"/>
      <c r="D62" s="6"/>
      <c r="E62" s="6"/>
      <c r="F62" s="6"/>
      <c r="G62" s="6"/>
      <c r="H62" s="6"/>
      <c r="I62" s="223"/>
      <c r="J62" s="786" t="str">
        <f>+Calculations!B120</f>
        <v/>
      </c>
      <c r="K62" s="786"/>
      <c r="L62" s="786"/>
      <c r="M62" s="786"/>
      <c r="N62" s="786"/>
      <c r="O62" s="786"/>
      <c r="P62" s="786"/>
      <c r="Q62" s="786"/>
      <c r="R62" s="786"/>
      <c r="S62" s="786"/>
      <c r="T62" s="786"/>
      <c r="U62" s="222"/>
    </row>
    <row r="63" spans="2:21" customFormat="1" ht="20.25" customHeight="1" x14ac:dyDescent="0.2">
      <c r="B63" s="228"/>
      <c r="C63" s="786" t="str">
        <f>UPPER('Sales Input Sheet'!E55)</f>
        <v/>
      </c>
      <c r="D63" s="786"/>
      <c r="E63" s="786"/>
      <c r="F63" s="786"/>
      <c r="G63" s="786"/>
      <c r="H63" s="786"/>
      <c r="I63" s="786"/>
      <c r="J63" s="786"/>
      <c r="K63" s="786"/>
      <c r="L63" s="786"/>
      <c r="M63" s="786"/>
      <c r="N63" s="786"/>
      <c r="O63" s="786"/>
      <c r="P63" s="786"/>
      <c r="Q63" s="786"/>
      <c r="R63" s="786"/>
      <c r="S63" s="786"/>
      <c r="T63" s="786"/>
      <c r="U63" s="807"/>
    </row>
    <row r="64" spans="2:21" customFormat="1" ht="20.25" customHeight="1" x14ac:dyDescent="0.2">
      <c r="B64" s="228"/>
      <c r="C64" s="786"/>
      <c r="D64" s="786"/>
      <c r="E64" s="786"/>
      <c r="F64" s="786"/>
      <c r="G64" s="786"/>
      <c r="H64" s="786"/>
      <c r="I64" s="786"/>
      <c r="J64" s="786"/>
      <c r="K64" s="786"/>
      <c r="L64" s="786"/>
      <c r="M64" s="786"/>
      <c r="N64" s="786"/>
      <c r="O64" s="786"/>
      <c r="P64" s="786"/>
      <c r="Q64" s="786"/>
      <c r="R64" s="786"/>
      <c r="S64" s="786"/>
      <c r="T64" s="786"/>
      <c r="U64" s="807"/>
    </row>
    <row r="65" spans="2:21" customFormat="1" ht="12" customHeight="1" thickBot="1" x14ac:dyDescent="0.25">
      <c r="B65" s="230"/>
      <c r="C65" s="231"/>
      <c r="D65" s="231"/>
      <c r="E65" s="231"/>
      <c r="F65" s="231"/>
      <c r="G65" s="231"/>
      <c r="H65" s="231"/>
      <c r="I65" s="231"/>
      <c r="J65" s="231"/>
      <c r="K65" s="231"/>
      <c r="L65" s="231"/>
      <c r="M65" s="231"/>
      <c r="N65" s="231"/>
      <c r="O65" s="231"/>
      <c r="P65" s="231"/>
      <c r="Q65" s="232"/>
      <c r="R65" s="232"/>
      <c r="S65" s="233"/>
      <c r="T65" s="232"/>
      <c r="U65" s="234"/>
    </row>
    <row r="66" spans="2:21" s="6" customFormat="1" ht="7" customHeight="1" thickBot="1" x14ac:dyDescent="0.25">
      <c r="B66" s="235"/>
      <c r="C66" s="231"/>
      <c r="D66" s="231"/>
      <c r="E66" s="231"/>
      <c r="F66" s="231"/>
      <c r="G66" s="231"/>
      <c r="H66" s="231"/>
      <c r="I66" s="231"/>
      <c r="J66" s="231"/>
      <c r="K66" s="231"/>
      <c r="L66" s="231"/>
      <c r="M66" s="231"/>
      <c r="N66" s="231"/>
      <c r="O66" s="231"/>
      <c r="P66" s="231"/>
      <c r="Q66" s="231"/>
      <c r="R66" s="231"/>
      <c r="S66" s="233"/>
      <c r="T66" s="231"/>
      <c r="U66" s="236"/>
    </row>
    <row r="67" spans="2:21" s="6" customFormat="1" ht="41.25" customHeight="1" thickBot="1" x14ac:dyDescent="0.25">
      <c r="B67" s="208" t="s">
        <v>283</v>
      </c>
      <c r="C67" s="209"/>
      <c r="D67" s="209"/>
      <c r="E67" s="209"/>
      <c r="F67" s="209"/>
      <c r="G67" s="209"/>
      <c r="H67" s="209"/>
      <c r="I67" s="209" t="s">
        <v>105</v>
      </c>
      <c r="J67" s="209"/>
      <c r="K67" s="209"/>
      <c r="L67" s="209" t="s">
        <v>106</v>
      </c>
      <c r="M67" s="209"/>
      <c r="N67" s="209"/>
      <c r="O67" s="209" t="s">
        <v>282</v>
      </c>
      <c r="P67" s="209"/>
      <c r="Q67" s="209" t="s">
        <v>284</v>
      </c>
      <c r="R67" s="209"/>
      <c r="S67" s="400" t="s">
        <v>331</v>
      </c>
      <c r="T67" s="209"/>
      <c r="U67" s="401" t="s">
        <v>296</v>
      </c>
    </row>
    <row r="68" spans="2:21" s="6" customFormat="1" ht="21" x14ac:dyDescent="0.2">
      <c r="B68" s="214"/>
      <c r="C68" s="215"/>
      <c r="D68" s="215"/>
      <c r="E68" s="215"/>
      <c r="F68" s="215"/>
      <c r="G68" s="215"/>
      <c r="H68" s="215"/>
      <c r="I68" s="215" t="str">
        <f>+Calculations!B504</f>
        <v/>
      </c>
      <c r="J68" s="215"/>
      <c r="K68" s="215"/>
      <c r="L68" s="215" t="str">
        <f>+Calculations!B506</f>
        <v/>
      </c>
      <c r="M68" s="215"/>
      <c r="N68" s="215"/>
      <c r="O68" s="215" t="str">
        <f>+Calculations!B502</f>
        <v/>
      </c>
      <c r="P68" s="215"/>
      <c r="Q68" s="239" t="str">
        <f>Calculations!B514</f>
        <v/>
      </c>
      <c r="R68" s="215"/>
      <c r="S68" s="217">
        <f>Calculations!B498</f>
        <v>0</v>
      </c>
      <c r="T68" s="217"/>
      <c r="U68" s="219">
        <f>Calculations!B500</f>
        <v>0</v>
      </c>
    </row>
    <row r="69" spans="2:21" s="6" customFormat="1" ht="21" x14ac:dyDescent="0.2">
      <c r="B69" s="202"/>
      <c r="I69" s="6" t="str">
        <f>+Calculations!B694</f>
        <v/>
      </c>
      <c r="L69" s="6" t="str">
        <f>+Calculations!B698</f>
        <v/>
      </c>
      <c r="O69" s="6" t="str">
        <f>+Calculations!B690</f>
        <v/>
      </c>
      <c r="Q69" s="240" t="str">
        <f>+Calculations!B678</f>
        <v/>
      </c>
      <c r="S69" s="225">
        <f>+Calculations!B682</f>
        <v>0</v>
      </c>
      <c r="T69" s="225"/>
      <c r="U69" s="226">
        <f>+Calculations!B686</f>
        <v>0</v>
      </c>
    </row>
    <row r="70" spans="2:21" s="6" customFormat="1" ht="21" x14ac:dyDescent="0.2">
      <c r="B70" s="202"/>
      <c r="I70" s="6" t="str">
        <f>+Calculations!B695</f>
        <v/>
      </c>
      <c r="L70" s="6" t="str">
        <f>+Calculations!B699</f>
        <v/>
      </c>
      <c r="O70" s="6" t="str">
        <f>+Calculations!B691</f>
        <v/>
      </c>
      <c r="Q70" s="240" t="str">
        <f>+Calculations!B679</f>
        <v/>
      </c>
      <c r="S70" s="225">
        <f>+Calculations!B683</f>
        <v>0</v>
      </c>
      <c r="T70" s="225"/>
      <c r="U70" s="226">
        <f>+Calculations!B687</f>
        <v>0</v>
      </c>
    </row>
    <row r="71" spans="2:21" s="6" customFormat="1" ht="21" x14ac:dyDescent="0.2">
      <c r="B71" s="202"/>
      <c r="I71" s="6" t="str">
        <f>+Calculations!B696</f>
        <v/>
      </c>
      <c r="L71" s="6" t="str">
        <f>+Calculations!B700</f>
        <v/>
      </c>
      <c r="O71" s="6" t="str">
        <f>+Calculations!B692</f>
        <v/>
      </c>
      <c r="Q71" s="240" t="str">
        <f>+Calculations!B680</f>
        <v/>
      </c>
      <c r="S71" s="225">
        <f>+Calculations!B684</f>
        <v>0</v>
      </c>
      <c r="T71" s="225"/>
      <c r="U71" s="226">
        <f>+Calculations!B688</f>
        <v>0</v>
      </c>
    </row>
    <row r="72" spans="2:21" s="6" customFormat="1" ht="21" x14ac:dyDescent="0.2">
      <c r="B72" s="202"/>
      <c r="I72" s="6" t="str">
        <f>+Calculations!B697</f>
        <v/>
      </c>
      <c r="L72" s="6" t="str">
        <f>+Calculations!B701</f>
        <v/>
      </c>
      <c r="O72" s="6" t="str">
        <f>+Calculations!B693</f>
        <v/>
      </c>
      <c r="Q72" s="240" t="str">
        <f>+Calculations!B681</f>
        <v/>
      </c>
      <c r="S72" s="225">
        <f>+Calculations!B685</f>
        <v>0</v>
      </c>
      <c r="T72" s="225"/>
      <c r="U72" s="226">
        <f>+Calculations!B689</f>
        <v>0</v>
      </c>
    </row>
    <row r="73" spans="2:21" s="6" customFormat="1" ht="24" customHeight="1" x14ac:dyDescent="0.2">
      <c r="B73" s="235"/>
      <c r="C73" s="231"/>
      <c r="D73" s="231"/>
      <c r="E73" s="231"/>
      <c r="F73" s="231"/>
      <c r="G73" s="231"/>
      <c r="H73" s="231"/>
      <c r="I73" s="231" t="str">
        <f>+Calculations!B505</f>
        <v/>
      </c>
      <c r="J73" s="231"/>
      <c r="K73" s="231"/>
      <c r="L73" s="231" t="str">
        <f>+Calculations!B507</f>
        <v/>
      </c>
      <c r="M73" s="231"/>
      <c r="N73" s="231"/>
      <c r="O73" s="231" t="str">
        <f>+Calculations!B503</f>
        <v/>
      </c>
      <c r="P73" s="231"/>
      <c r="Q73" s="241" t="str">
        <f>Calculations!B515</f>
        <v/>
      </c>
      <c r="R73" s="231"/>
      <c r="S73" s="232">
        <f>Calculations!B499</f>
        <v>0</v>
      </c>
      <c r="T73" s="232"/>
      <c r="U73" s="234">
        <f>Calculations!B501</f>
        <v>0</v>
      </c>
    </row>
    <row r="74" spans="2:21" s="6" customFormat="1" ht="5.25" customHeight="1" x14ac:dyDescent="0.2">
      <c r="S74" s="221"/>
    </row>
    <row r="75" spans="2:21" s="6" customFormat="1" ht="8.25" customHeight="1" x14ac:dyDescent="0.2">
      <c r="S75" s="221"/>
    </row>
    <row r="76" spans="2:21" s="6" customFormat="1" ht="23" x14ac:dyDescent="0.25">
      <c r="J76" s="269" t="str">
        <f>+Q2</f>
        <v/>
      </c>
      <c r="K76" s="269"/>
      <c r="L76" s="269"/>
      <c r="M76" s="269"/>
      <c r="N76" s="269"/>
      <c r="O76" s="269"/>
      <c r="S76" s="221"/>
      <c r="U76" s="270"/>
    </row>
    <row r="77" spans="2:21" s="6" customFormat="1" ht="20" x14ac:dyDescent="0.2">
      <c r="J77" s="841" t="str">
        <f>+Q4</f>
        <v/>
      </c>
      <c r="K77" s="841"/>
      <c r="L77" s="841"/>
      <c r="M77" s="841"/>
      <c r="N77" s="841"/>
      <c r="O77" s="841"/>
      <c r="S77" s="221"/>
      <c r="U77" s="270"/>
    </row>
    <row r="78" spans="2:21" s="6" customFormat="1" ht="20" x14ac:dyDescent="0.2">
      <c r="J78" s="841" t="str">
        <f>+Q5</f>
        <v/>
      </c>
      <c r="K78" s="841"/>
      <c r="L78" s="841"/>
      <c r="M78" s="841"/>
      <c r="N78" s="841"/>
      <c r="O78" s="841"/>
      <c r="Q78" s="6" t="str">
        <f>+Q15</f>
        <v>SALES PERSON</v>
      </c>
      <c r="S78" s="785" t="str">
        <f>+S15</f>
        <v/>
      </c>
      <c r="T78" s="785"/>
      <c r="U78" s="785"/>
    </row>
    <row r="79" spans="2:21" s="6" customFormat="1" ht="20" x14ac:dyDescent="0.2">
      <c r="J79" s="841" t="str">
        <f>+Q10</f>
        <v/>
      </c>
      <c r="K79" s="841"/>
      <c r="L79" s="841"/>
      <c r="M79" s="841"/>
      <c r="N79" s="841"/>
      <c r="O79" s="841"/>
      <c r="S79" s="221"/>
      <c r="U79" s="270"/>
    </row>
    <row r="80" spans="2:21" s="6" customFormat="1" ht="20" x14ac:dyDescent="0.2">
      <c r="Q80" s="6" t="str">
        <f>+UPPER('Costing Sheet'!$C$17)</f>
        <v/>
      </c>
      <c r="S80" s="270"/>
    </row>
    <row r="81" spans="2:24" s="6" customFormat="1" ht="20" x14ac:dyDescent="0.2">
      <c r="C81" s="842" t="str">
        <f>+C12</f>
        <v/>
      </c>
      <c r="D81" s="842"/>
      <c r="E81" s="842"/>
      <c r="F81" s="842"/>
      <c r="Q81" s="221" t="s">
        <v>304</v>
      </c>
      <c r="S81" s="842">
        <f>+'Costing Sheet'!$C$13</f>
        <v>0</v>
      </c>
      <c r="T81" s="842"/>
      <c r="U81" s="842"/>
    </row>
    <row r="82" spans="2:24" s="6" customFormat="1" ht="20" x14ac:dyDescent="0.2">
      <c r="C82" s="842" t="str">
        <f>+C13</f>
        <v xml:space="preserve">  </v>
      </c>
      <c r="D82" s="842"/>
      <c r="E82" s="842"/>
      <c r="F82" s="842"/>
      <c r="Q82" s="221" t="s">
        <v>305</v>
      </c>
      <c r="S82" s="843">
        <f>'Costing Sheet'!$C$11</f>
        <v>0</v>
      </c>
      <c r="T82" s="843"/>
      <c r="U82" s="843"/>
    </row>
    <row r="83" spans="2:24" s="6" customFormat="1" ht="23" thickBot="1" x14ac:dyDescent="0.35">
      <c r="B83" s="240"/>
      <c r="C83" s="273">
        <f>+'Costing Sheet'!C19</f>
        <v>0</v>
      </c>
      <c r="D83" s="274"/>
      <c r="E83" s="274"/>
      <c r="F83" s="852">
        <f>+'Costing Sheet'!E19</f>
        <v>0</v>
      </c>
      <c r="G83" s="852"/>
      <c r="H83" s="852"/>
      <c r="I83" s="852"/>
      <c r="J83" s="852"/>
      <c r="K83" s="852"/>
      <c r="L83" s="852"/>
      <c r="O83" s="6" t="str">
        <f>UPPER('Costing Sheet'!C17)</f>
        <v/>
      </c>
      <c r="Q83" s="898" t="str">
        <f>UPPER('Costing Sheet'!E17)</f>
        <v/>
      </c>
      <c r="R83" s="898"/>
      <c r="S83" s="898"/>
      <c r="V83" s="223"/>
    </row>
    <row r="84" spans="2:24" s="6" customFormat="1" ht="28" customHeight="1" thickBot="1" x14ac:dyDescent="0.25">
      <c r="B84" s="954" t="s">
        <v>353</v>
      </c>
      <c r="C84" s="955"/>
      <c r="D84" s="955"/>
      <c r="E84" s="955"/>
      <c r="F84" s="955"/>
      <c r="G84" s="955"/>
      <c r="H84" s="955"/>
      <c r="I84" s="955"/>
      <c r="J84" s="955"/>
      <c r="K84" s="955"/>
      <c r="L84" s="955"/>
      <c r="M84" s="955"/>
      <c r="N84" s="955"/>
      <c r="O84" s="955"/>
      <c r="P84" s="955"/>
      <c r="Q84" s="955"/>
      <c r="R84" s="955"/>
      <c r="S84" s="955"/>
      <c r="T84" s="955"/>
      <c r="U84" s="956"/>
      <c r="V84" s="223"/>
    </row>
    <row r="85" spans="2:24" s="6" customFormat="1" ht="18" customHeight="1" x14ac:dyDescent="0.2">
      <c r="B85" s="214"/>
      <c r="C85" s="215"/>
      <c r="D85" s="215"/>
      <c r="E85" s="215"/>
      <c r="F85" s="354"/>
      <c r="I85" s="402"/>
      <c r="J85" s="215"/>
      <c r="K85" s="215"/>
      <c r="L85" s="354"/>
      <c r="O85" s="214"/>
      <c r="P85" s="215"/>
      <c r="Q85" s="403"/>
      <c r="R85" s="223"/>
      <c r="S85" s="404"/>
      <c r="T85" s="263"/>
      <c r="U85" s="403"/>
      <c r="V85" s="223"/>
    </row>
    <row r="86" spans="2:24" s="6" customFormat="1" ht="105" x14ac:dyDescent="0.2">
      <c r="B86" s="957" t="s">
        <v>289</v>
      </c>
      <c r="C86" s="958"/>
      <c r="D86" s="405"/>
      <c r="E86" s="406"/>
      <c r="F86" s="407">
        <f>+Calculations!B310</f>
        <v>0</v>
      </c>
      <c r="G86" s="408"/>
      <c r="H86" s="409"/>
      <c r="I86" s="959" t="s">
        <v>339</v>
      </c>
      <c r="J86" s="960"/>
      <c r="K86" s="409"/>
      <c r="L86" s="411">
        <f>+Calculations!B320</f>
        <v>0</v>
      </c>
      <c r="M86" s="409"/>
      <c r="N86" s="409"/>
      <c r="O86" s="412" t="s">
        <v>340</v>
      </c>
      <c r="P86" s="409"/>
      <c r="Q86" s="413">
        <f>Calculations!B437</f>
        <v>0</v>
      </c>
      <c r="R86" s="224"/>
      <c r="S86" s="414" t="s">
        <v>341</v>
      </c>
      <c r="T86" s="221"/>
      <c r="U86" s="415">
        <f>+Calculations!B436</f>
        <v>0</v>
      </c>
      <c r="V86" s="223"/>
    </row>
    <row r="87" spans="2:24" s="6" customFormat="1" ht="20.25" customHeight="1" x14ac:dyDescent="0.2">
      <c r="B87" s="961" t="str">
        <f>IF(F87=0,"","DISCOUNT")</f>
        <v/>
      </c>
      <c r="C87" s="962"/>
      <c r="D87" s="270"/>
      <c r="E87" s="409"/>
      <c r="F87" s="277">
        <f>-Calculations!B311</f>
        <v>0</v>
      </c>
      <c r="G87" s="408"/>
      <c r="H87" s="409"/>
      <c r="I87" s="417" t="s">
        <v>298</v>
      </c>
      <c r="J87" s="409"/>
      <c r="K87" s="409"/>
      <c r="L87" s="277">
        <f>+Calculations!B302</f>
        <v>0</v>
      </c>
      <c r="M87" s="409"/>
      <c r="N87" s="409"/>
      <c r="O87" s="418" t="s">
        <v>342</v>
      </c>
      <c r="P87" s="409"/>
      <c r="Q87" s="289">
        <f>+'Costing Sheet'!Q15</f>
        <v>0</v>
      </c>
      <c r="R87" s="221"/>
      <c r="S87" s="419"/>
      <c r="T87" s="221"/>
      <c r="U87" s="420"/>
    </row>
    <row r="88" spans="2:24" s="6" customFormat="1" ht="20.25" customHeight="1" x14ac:dyDescent="0.2">
      <c r="B88" s="957" t="str">
        <f>_xlfn.CONCAT("SELLING PRICE",IF(B87="",""," NET"))</f>
        <v>SELLING PRICE</v>
      </c>
      <c r="C88" s="958"/>
      <c r="D88" s="270"/>
      <c r="E88" s="409"/>
      <c r="F88" s="407">
        <f>+Calculations!B312</f>
        <v>0</v>
      </c>
      <c r="G88" s="421"/>
      <c r="H88" s="409"/>
      <c r="I88" s="417"/>
      <c r="J88" s="409"/>
      <c r="K88" s="409"/>
      <c r="L88" s="422"/>
      <c r="M88" s="409"/>
      <c r="N88" s="409"/>
      <c r="O88" s="417" t="s">
        <v>94</v>
      </c>
      <c r="P88" s="409"/>
      <c r="Q88" s="277">
        <f>+'Costing Sheet'!Q13</f>
        <v>0</v>
      </c>
      <c r="R88" s="221"/>
      <c r="S88" s="419" t="s">
        <v>343</v>
      </c>
      <c r="T88" s="221"/>
      <c r="U88" s="420"/>
    </row>
    <row r="89" spans="2:24" s="6" customFormat="1" ht="20.25" customHeight="1" x14ac:dyDescent="0.2">
      <c r="B89" s="961" t="s">
        <v>331</v>
      </c>
      <c r="C89" s="962"/>
      <c r="D89" s="270"/>
      <c r="E89" s="409"/>
      <c r="F89" s="277">
        <f>-Calculations!B315</f>
        <v>0</v>
      </c>
      <c r="G89" s="408"/>
      <c r="H89" s="409"/>
      <c r="I89" s="417" t="s">
        <v>300</v>
      </c>
      <c r="J89" s="409"/>
      <c r="K89" s="409"/>
      <c r="L89" s="277">
        <f>+'Costing Sheet'!Q3</f>
        <v>0</v>
      </c>
      <c r="M89" s="409"/>
      <c r="N89" s="409"/>
      <c r="O89" s="417" t="str">
        <f>+Calculations!B403</f>
        <v xml:space="preserve"> SALES TAX</v>
      </c>
      <c r="P89" s="409"/>
      <c r="Q89" s="422">
        <f>+Calculations!B405</f>
        <v>0</v>
      </c>
      <c r="R89" s="221"/>
      <c r="S89" s="862" t="s">
        <v>344</v>
      </c>
      <c r="T89" s="221"/>
      <c r="U89" s="963">
        <f>-'Costing Sheet'!Q17</f>
        <v>0</v>
      </c>
      <c r="X89" s="283"/>
    </row>
    <row r="90" spans="2:24" s="6" customFormat="1" ht="20.25" customHeight="1" x14ac:dyDescent="0.2">
      <c r="B90" s="961" t="s">
        <v>296</v>
      </c>
      <c r="C90" s="962"/>
      <c r="D90" s="270"/>
      <c r="E90" s="409"/>
      <c r="F90" s="277">
        <f>+Calculations!B316</f>
        <v>0</v>
      </c>
      <c r="G90" s="408"/>
      <c r="H90" s="409"/>
      <c r="I90" s="417" t="s">
        <v>301</v>
      </c>
      <c r="J90" s="409"/>
      <c r="K90" s="409"/>
      <c r="L90" s="277">
        <f>+'Costing Sheet'!Q5</f>
        <v>0</v>
      </c>
      <c r="M90" s="409"/>
      <c r="N90" s="409"/>
      <c r="O90" s="417" t="str">
        <f>+Calculations!B399</f>
        <v/>
      </c>
      <c r="P90" s="409"/>
      <c r="Q90" s="422">
        <f>+Calculations!B412</f>
        <v>0</v>
      </c>
      <c r="R90" s="221"/>
      <c r="S90" s="862"/>
      <c r="U90" s="963"/>
    </row>
    <row r="91" spans="2:24" s="6" customFormat="1" ht="40" customHeight="1" x14ac:dyDescent="0.2">
      <c r="B91" s="961" t="str">
        <f>+Calculations!B640</f>
        <v/>
      </c>
      <c r="C91" s="962"/>
      <c r="D91" s="270"/>
      <c r="E91" s="409"/>
      <c r="F91" s="424">
        <f>+Calculations!B232</f>
        <v>0</v>
      </c>
      <c r="G91" s="409"/>
      <c r="H91" s="409"/>
      <c r="I91" s="417" t="s">
        <v>291</v>
      </c>
      <c r="J91" s="409"/>
      <c r="K91" s="409"/>
      <c r="L91" s="277">
        <f>+Calculations!B386</f>
        <v>0</v>
      </c>
      <c r="M91" s="409"/>
      <c r="N91" s="409"/>
      <c r="O91" s="862" t="str">
        <f>+Calculations!B406</f>
        <v xml:space="preserve"> COUNTY SALES TAX  OUT OF STATE OR NO COUNTY WAS SPECIFIED FOR CUSTOMER</v>
      </c>
      <c r="P91" s="409"/>
      <c r="Q91" s="964">
        <f>+Calculations!B413</f>
        <v>0</v>
      </c>
      <c r="R91" s="221"/>
      <c r="S91" s="862"/>
      <c r="T91" s="221"/>
      <c r="U91" s="963"/>
    </row>
    <row r="92" spans="2:24" s="6" customFormat="1" ht="40" customHeight="1" x14ac:dyDescent="0.2">
      <c r="B92" s="961" t="str">
        <f>+Calculations!B641</f>
        <v/>
      </c>
      <c r="C92" s="962"/>
      <c r="D92" s="270"/>
      <c r="E92" s="409"/>
      <c r="F92" s="424">
        <f>+Calculations!B233</f>
        <v>0</v>
      </c>
      <c r="G92" s="409"/>
      <c r="H92" s="409"/>
      <c r="I92" s="417"/>
      <c r="J92" s="409"/>
      <c r="K92" s="409"/>
      <c r="L92" s="277"/>
      <c r="M92" s="409"/>
      <c r="N92" s="409"/>
      <c r="O92" s="862"/>
      <c r="P92" s="409"/>
      <c r="Q92" s="964"/>
      <c r="R92" s="221"/>
      <c r="S92" s="862"/>
      <c r="T92" s="221"/>
      <c r="U92" s="963"/>
    </row>
    <row r="93" spans="2:24" s="6" customFormat="1" ht="40" customHeight="1" x14ac:dyDescent="0.2">
      <c r="B93" s="961" t="str">
        <f>+Calculations!B642</f>
        <v/>
      </c>
      <c r="C93" s="962"/>
      <c r="D93" s="270"/>
      <c r="E93" s="409"/>
      <c r="F93" s="424">
        <f>+Calculations!B234</f>
        <v>0</v>
      </c>
      <c r="G93" s="409"/>
      <c r="H93" s="409"/>
      <c r="I93" s="417"/>
      <c r="J93" s="409"/>
      <c r="K93" s="409"/>
      <c r="L93" s="277"/>
      <c r="M93" s="409"/>
      <c r="N93" s="409"/>
      <c r="O93" s="862"/>
      <c r="P93" s="409"/>
      <c r="Q93" s="964"/>
      <c r="R93" s="221"/>
      <c r="S93" s="862"/>
      <c r="T93" s="221"/>
      <c r="U93" s="963"/>
    </row>
    <row r="94" spans="2:24" s="6" customFormat="1" ht="40" customHeight="1" x14ac:dyDescent="0.2">
      <c r="B94" s="961" t="str">
        <f>+Calculations!B643</f>
        <v/>
      </c>
      <c r="C94" s="962"/>
      <c r="D94" s="270"/>
      <c r="E94" s="409"/>
      <c r="F94" s="424">
        <f>+Calculations!B235</f>
        <v>0</v>
      </c>
      <c r="G94" s="409"/>
      <c r="H94" s="409"/>
      <c r="I94" s="417"/>
      <c r="J94" s="409"/>
      <c r="K94" s="409"/>
      <c r="L94" s="277"/>
      <c r="M94" s="409"/>
      <c r="N94" s="409"/>
      <c r="O94" s="862"/>
      <c r="P94" s="409"/>
      <c r="Q94" s="964"/>
      <c r="R94" s="221"/>
      <c r="S94" s="862" t="s">
        <v>345</v>
      </c>
      <c r="T94" s="221"/>
      <c r="U94" s="963">
        <f>-'Costing Sheet'!Q19</f>
        <v>0</v>
      </c>
    </row>
    <row r="95" spans="2:24" s="6" customFormat="1" ht="40" customHeight="1" x14ac:dyDescent="0.2">
      <c r="B95" s="961" t="str">
        <f>+Calculations!B644</f>
        <v/>
      </c>
      <c r="C95" s="962"/>
      <c r="D95" s="270"/>
      <c r="E95" s="409"/>
      <c r="F95" s="424">
        <f>+Calculations!B236</f>
        <v>0</v>
      </c>
      <c r="G95" s="409"/>
      <c r="H95" s="409"/>
      <c r="I95" s="417"/>
      <c r="J95" s="409"/>
      <c r="K95" s="409"/>
      <c r="L95" s="277"/>
      <c r="M95" s="409"/>
      <c r="N95" s="409"/>
      <c r="O95" s="417"/>
      <c r="P95" s="409"/>
      <c r="Q95" s="422"/>
      <c r="R95" s="221"/>
      <c r="S95" s="862"/>
      <c r="T95" s="221"/>
      <c r="U95" s="963"/>
    </row>
    <row r="96" spans="2:24" s="6" customFormat="1" ht="40" customHeight="1" x14ac:dyDescent="0.2">
      <c r="B96" s="961" t="str">
        <f>+Calculations!B645</f>
        <v/>
      </c>
      <c r="C96" s="962"/>
      <c r="D96" s="270"/>
      <c r="E96" s="409"/>
      <c r="F96" s="424">
        <f>+Calculations!B237</f>
        <v>0</v>
      </c>
      <c r="G96" s="409"/>
      <c r="H96" s="409"/>
      <c r="I96" s="417" t="s">
        <v>293</v>
      </c>
      <c r="J96" s="409"/>
      <c r="K96" s="409"/>
      <c r="L96" s="277">
        <f>+Calculations!B385</f>
        <v>0</v>
      </c>
      <c r="M96" s="409"/>
      <c r="N96" s="409"/>
      <c r="O96" s="862" t="str">
        <f>+Calculations!B414</f>
        <v/>
      </c>
      <c r="P96" s="409"/>
      <c r="Q96" s="964">
        <f>+Calculations!B407</f>
        <v>0</v>
      </c>
      <c r="R96" s="221"/>
      <c r="S96" s="862"/>
      <c r="T96" s="221"/>
      <c r="U96" s="963"/>
    </row>
    <row r="97" spans="1:53" s="6" customFormat="1" ht="40" customHeight="1" x14ac:dyDescent="0.2">
      <c r="B97" s="961" t="str">
        <f>+Calculations!B646</f>
        <v/>
      </c>
      <c r="C97" s="962"/>
      <c r="D97" s="270"/>
      <c r="E97" s="409"/>
      <c r="F97" s="424">
        <f>+Calculations!B238</f>
        <v>0</v>
      </c>
      <c r="G97" s="409"/>
      <c r="H97" s="409"/>
      <c r="I97" s="417"/>
      <c r="J97" s="409"/>
      <c r="K97" s="409"/>
      <c r="L97" s="277"/>
      <c r="M97" s="409"/>
      <c r="N97" s="409"/>
      <c r="O97" s="862"/>
      <c r="P97" s="409"/>
      <c r="Q97" s="964"/>
      <c r="R97" s="221"/>
      <c r="S97" s="862"/>
      <c r="T97" s="221"/>
      <c r="U97" s="963"/>
    </row>
    <row r="98" spans="1:53" s="6" customFormat="1" ht="40" customHeight="1" x14ac:dyDescent="0.2">
      <c r="B98" s="961" t="str">
        <f>+Calculations!B647</f>
        <v/>
      </c>
      <c r="C98" s="962"/>
      <c r="D98" s="270"/>
      <c r="E98" s="409"/>
      <c r="F98" s="424">
        <f>+Calculations!B239</f>
        <v>0</v>
      </c>
      <c r="G98" s="409"/>
      <c r="H98" s="409"/>
      <c r="I98" s="417"/>
      <c r="J98" s="409"/>
      <c r="K98" s="409"/>
      <c r="L98" s="277"/>
      <c r="M98" s="409"/>
      <c r="N98" s="409"/>
      <c r="O98" s="862"/>
      <c r="P98" s="409"/>
      <c r="Q98" s="964"/>
      <c r="R98" s="221"/>
      <c r="S98" s="419"/>
      <c r="T98" s="221"/>
      <c r="U98" s="420"/>
    </row>
    <row r="99" spans="1:53" s="6" customFormat="1" ht="40" customHeight="1" x14ac:dyDescent="0.2">
      <c r="B99" s="961" t="str">
        <f>+Calculations!B648</f>
        <v/>
      </c>
      <c r="C99" s="962"/>
      <c r="D99" s="270"/>
      <c r="E99" s="409"/>
      <c r="F99" s="424">
        <f>+Calculations!B240</f>
        <v>0</v>
      </c>
      <c r="G99" s="409"/>
      <c r="H99" s="409"/>
      <c r="I99" s="417"/>
      <c r="J99" s="409"/>
      <c r="K99" s="409"/>
      <c r="L99" s="277"/>
      <c r="M99" s="409"/>
      <c r="N99" s="409"/>
      <c r="O99" s="862"/>
      <c r="P99" s="409"/>
      <c r="Q99" s="964"/>
      <c r="R99" s="221"/>
      <c r="S99" s="419"/>
      <c r="T99" s="221"/>
      <c r="U99" s="420"/>
    </row>
    <row r="100" spans="1:53" s="6" customFormat="1" ht="40" customHeight="1" x14ac:dyDescent="0.2">
      <c r="B100" s="961" t="str">
        <f>+Calculations!B649</f>
        <v/>
      </c>
      <c r="C100" s="962"/>
      <c r="D100" s="270"/>
      <c r="E100" s="409"/>
      <c r="F100" s="424">
        <f>+Calculations!B241</f>
        <v>0</v>
      </c>
      <c r="G100" s="409"/>
      <c r="H100" s="409"/>
      <c r="I100" s="417"/>
      <c r="J100" s="409"/>
      <c r="K100" s="409"/>
      <c r="L100" s="277"/>
      <c r="M100" s="409"/>
      <c r="N100" s="409"/>
      <c r="O100" s="965" t="str">
        <f>Calculations!$B$653</f>
        <v/>
      </c>
      <c r="P100" s="966"/>
      <c r="Q100" s="967"/>
      <c r="R100" s="221"/>
      <c r="S100" s="419"/>
      <c r="T100" s="221"/>
      <c r="U100" s="420"/>
    </row>
    <row r="101" spans="1:53" s="6" customFormat="1" ht="45" customHeight="1" x14ac:dyDescent="0.2">
      <c r="B101" s="961" t="str">
        <f>+Calculations!B417</f>
        <v/>
      </c>
      <c r="C101" s="962"/>
      <c r="D101" s="270"/>
      <c r="E101" s="409"/>
      <c r="F101" s="425">
        <f>+Calculations!B421</f>
        <v>0</v>
      </c>
      <c r="G101" s="409"/>
      <c r="H101" s="409"/>
      <c r="I101" s="417" t="s">
        <v>346</v>
      </c>
      <c r="J101" s="409"/>
      <c r="K101" s="409"/>
      <c r="L101" s="426">
        <f>+Calculations!B439</f>
        <v>0</v>
      </c>
      <c r="M101" s="409"/>
      <c r="N101" s="409"/>
      <c r="O101" s="417" t="str">
        <f>Calculations!B651</f>
        <v/>
      </c>
      <c r="P101" s="427"/>
      <c r="Q101" s="426">
        <f>-Calculations!B318</f>
        <v>0</v>
      </c>
      <c r="R101" s="221"/>
      <c r="S101" s="419"/>
      <c r="T101" s="221"/>
      <c r="U101" s="428"/>
    </row>
    <row r="102" spans="1:53" s="6" customFormat="1" ht="90" customHeight="1" x14ac:dyDescent="0.2">
      <c r="B102" s="959" t="s">
        <v>339</v>
      </c>
      <c r="C102" s="960"/>
      <c r="D102" s="410"/>
      <c r="E102" s="429"/>
      <c r="F102" s="411">
        <f>+Calculations!B320</f>
        <v>0</v>
      </c>
      <c r="G102" s="430"/>
      <c r="H102" s="431"/>
      <c r="I102" s="414" t="s">
        <v>340</v>
      </c>
      <c r="J102" s="431"/>
      <c r="K102" s="431"/>
      <c r="L102" s="432">
        <f>+Calculations!B437</f>
        <v>0</v>
      </c>
      <c r="M102" s="431"/>
      <c r="N102" s="431"/>
      <c r="O102" s="414" t="s">
        <v>341</v>
      </c>
      <c r="P102" s="431"/>
      <c r="Q102" s="413">
        <f>+Calculations!B436</f>
        <v>0</v>
      </c>
      <c r="R102" s="304"/>
      <c r="S102" s="414" t="s">
        <v>347</v>
      </c>
      <c r="T102" s="429"/>
      <c r="U102" s="415">
        <f>+Calculations!B438</f>
        <v>0</v>
      </c>
      <c r="X102" s="283"/>
    </row>
    <row r="103" spans="1:53" s="1" customFormat="1" ht="20.25" customHeight="1" x14ac:dyDescent="0.2">
      <c r="B103" s="968" t="s">
        <v>303</v>
      </c>
      <c r="C103" s="968"/>
      <c r="D103" s="968"/>
      <c r="E103" s="968"/>
      <c r="F103" s="968"/>
      <c r="G103" s="968"/>
      <c r="H103" s="968"/>
      <c r="I103" s="968"/>
      <c r="J103" s="968"/>
      <c r="K103" s="968"/>
      <c r="L103" s="968"/>
      <c r="M103" s="968"/>
      <c r="N103" s="968"/>
      <c r="O103" s="968"/>
      <c r="P103" s="968"/>
      <c r="Q103" s="968"/>
      <c r="R103" s="968"/>
      <c r="S103" s="968"/>
      <c r="T103" s="968"/>
      <c r="U103" s="968"/>
    </row>
    <row r="104" spans="1:53" s="1" customFormat="1" ht="72" customHeight="1" x14ac:dyDescent="0.2">
      <c r="B104" s="861" t="s">
        <v>348</v>
      </c>
      <c r="C104" s="861"/>
      <c r="D104" s="861"/>
      <c r="E104" s="861"/>
      <c r="F104" s="861"/>
      <c r="G104" s="861"/>
      <c r="H104" s="861"/>
      <c r="I104" s="861"/>
      <c r="J104" s="861"/>
      <c r="K104" s="861"/>
      <c r="L104" s="861"/>
      <c r="M104" s="861"/>
      <c r="N104" s="861"/>
      <c r="O104" s="861"/>
      <c r="P104" s="861"/>
      <c r="Q104" s="861"/>
      <c r="R104" s="861"/>
      <c r="S104" s="861"/>
      <c r="T104" s="861"/>
      <c r="U104" s="861"/>
    </row>
    <row r="105" spans="1:53" s="1" customFormat="1" ht="37" customHeight="1" x14ac:dyDescent="0.2">
      <c r="B105" s="861" t="s">
        <v>354</v>
      </c>
      <c r="C105" s="861"/>
      <c r="D105" s="861"/>
      <c r="E105" s="861"/>
      <c r="F105" s="861"/>
      <c r="G105" s="861"/>
      <c r="H105" s="861"/>
      <c r="I105" s="861"/>
      <c r="J105" s="861"/>
      <c r="K105" s="861"/>
      <c r="L105" s="861"/>
      <c r="M105" s="861"/>
      <c r="N105" s="861"/>
      <c r="O105" s="861"/>
      <c r="P105" s="861"/>
      <c r="Q105" s="861"/>
      <c r="R105" s="861"/>
      <c r="S105" s="861"/>
      <c r="T105" s="861"/>
      <c r="U105" s="861"/>
    </row>
    <row r="106" spans="1:53" s="9" customFormat="1" x14ac:dyDescent="0.2">
      <c r="A106" s="16"/>
      <c r="B106" s="436"/>
      <c r="C106" s="436"/>
      <c r="D106" s="436"/>
      <c r="E106" s="436"/>
      <c r="F106" s="436"/>
      <c r="G106" s="436"/>
      <c r="H106" s="436"/>
      <c r="I106" s="437"/>
      <c r="J106" s="437"/>
      <c r="K106" s="437"/>
      <c r="L106" s="107"/>
      <c r="M106" s="16"/>
      <c r="N106" s="437"/>
      <c r="O106" s="437"/>
      <c r="P106" s="437"/>
      <c r="Q106" s="437"/>
      <c r="R106" s="437"/>
      <c r="S106" s="438"/>
      <c r="T106" s="437"/>
      <c r="U106" s="437"/>
      <c r="AT106" s="16"/>
      <c r="AU106" s="16"/>
      <c r="AV106" s="16"/>
      <c r="AW106" s="16"/>
      <c r="AX106" s="16"/>
      <c r="AY106" s="16"/>
      <c r="AZ106" s="16"/>
      <c r="BA106" s="16"/>
    </row>
    <row r="107" spans="1:53" s="9" customFormat="1" x14ac:dyDescent="0.2">
      <c r="A107" s="16"/>
      <c r="B107" s="16" t="s">
        <v>351</v>
      </c>
      <c r="C107" s="16"/>
      <c r="D107" s="16"/>
      <c r="E107" s="16"/>
      <c r="F107" s="16"/>
      <c r="G107" s="16"/>
      <c r="H107" s="16"/>
      <c r="I107" s="178"/>
      <c r="J107" s="178"/>
      <c r="K107" s="178"/>
      <c r="L107" s="178"/>
      <c r="M107" s="178"/>
      <c r="N107" s="178"/>
      <c r="O107" s="178"/>
      <c r="P107" s="178"/>
      <c r="Q107" s="178"/>
      <c r="R107" s="178"/>
      <c r="S107" s="307"/>
      <c r="T107" s="178"/>
      <c r="U107" s="178"/>
      <c r="AT107" s="16"/>
      <c r="AU107" s="16"/>
      <c r="AV107" s="16"/>
      <c r="AW107" s="16"/>
      <c r="AX107" s="16"/>
      <c r="AY107" s="16"/>
      <c r="AZ107" s="16"/>
      <c r="BA107" s="16"/>
    </row>
    <row r="108" spans="1:53" s="9" customFormat="1" x14ac:dyDescent="0.2">
      <c r="A108" s="16"/>
      <c r="B108" s="16" t="str">
        <f>'Customer Input Screen'!C32</f>
        <v>[Customer Signature]</v>
      </c>
      <c r="C108" s="16"/>
      <c r="D108" s="16"/>
      <c r="E108" s="16"/>
      <c r="F108" s="16"/>
      <c r="G108" s="16"/>
      <c r="H108" s="16"/>
      <c r="I108" s="178"/>
      <c r="J108" s="178"/>
      <c r="K108" s="178"/>
      <c r="L108" s="178"/>
      <c r="M108" s="178"/>
      <c r="N108" s="178"/>
      <c r="O108" s="178"/>
      <c r="P108" s="178"/>
      <c r="Q108" s="178" t="str">
        <f>'Customer Input Screen'!C33</f>
        <v>[Company Signature]</v>
      </c>
      <c r="R108" s="178"/>
      <c r="S108" s="307"/>
      <c r="T108" s="178"/>
      <c r="U108" s="178"/>
      <c r="AT108" s="16"/>
      <c r="AU108" s="16"/>
      <c r="AV108" s="16"/>
      <c r="AW108" s="16"/>
      <c r="AX108" s="16"/>
      <c r="AY108" s="16"/>
      <c r="AZ108" s="16"/>
      <c r="BA108" s="16"/>
    </row>
    <row r="109" spans="1:53" ht="24" customHeight="1" x14ac:dyDescent="0.2">
      <c r="B109" s="433"/>
      <c r="C109" s="433"/>
      <c r="D109" s="433"/>
      <c r="E109" s="433"/>
      <c r="F109" s="433"/>
      <c r="G109" s="433"/>
      <c r="H109" s="433"/>
      <c r="I109" s="434"/>
      <c r="J109" s="178"/>
      <c r="K109" s="178"/>
      <c r="L109" s="178"/>
      <c r="M109" s="178"/>
      <c r="N109" s="178"/>
      <c r="O109" s="178"/>
      <c r="P109" s="178"/>
      <c r="Q109" s="434"/>
      <c r="R109" s="434"/>
      <c r="S109" s="435"/>
      <c r="T109" s="434"/>
      <c r="U109" s="434"/>
    </row>
    <row r="110" spans="1:53" ht="16" customHeight="1" x14ac:dyDescent="0.2">
      <c r="B110" s="16" t="s">
        <v>222</v>
      </c>
      <c r="I110" s="178"/>
      <c r="J110" s="178"/>
      <c r="K110" s="178"/>
      <c r="L110" s="178"/>
      <c r="M110" s="178"/>
      <c r="N110" s="178"/>
      <c r="O110" s="178"/>
      <c r="P110" s="178"/>
      <c r="Q110" s="178" t="s">
        <v>355</v>
      </c>
      <c r="R110" s="178"/>
      <c r="S110" s="307"/>
      <c r="T110" s="178"/>
      <c r="U110" s="178"/>
      <c r="V110" s="207"/>
    </row>
    <row r="111" spans="1:53" x14ac:dyDescent="0.2">
      <c r="V111" s="207"/>
    </row>
    <row r="112" spans="1:53" x14ac:dyDescent="0.2">
      <c r="B112" s="207"/>
      <c r="C112" s="207"/>
      <c r="D112" s="207"/>
      <c r="E112" s="207"/>
      <c r="G112" s="207"/>
      <c r="H112" s="207"/>
      <c r="I112" s="207"/>
      <c r="J112" s="207"/>
      <c r="K112" s="207"/>
      <c r="L112" s="207"/>
      <c r="M112" s="207"/>
      <c r="N112" s="207"/>
      <c r="O112" s="207"/>
      <c r="P112" s="207"/>
      <c r="R112" s="207"/>
      <c r="S112" s="308"/>
      <c r="T112" s="207"/>
      <c r="U112" s="207"/>
      <c r="V112" s="207"/>
    </row>
    <row r="113" spans="2:22" ht="17.25" customHeight="1" x14ac:dyDescent="0.2">
      <c r="B113" s="207"/>
      <c r="C113" s="439"/>
      <c r="D113" s="439"/>
      <c r="E113" s="439"/>
      <c r="F113" s="439"/>
      <c r="G113" s="439"/>
      <c r="H113" s="439"/>
      <c r="I113" s="439"/>
      <c r="J113" s="439"/>
      <c r="K113" s="439"/>
      <c r="L113" s="439"/>
      <c r="M113" s="439"/>
      <c r="N113" s="439"/>
      <c r="O113" s="439"/>
      <c r="P113" s="439"/>
      <c r="Q113" s="439"/>
      <c r="R113" s="439"/>
      <c r="S113" s="439"/>
      <c r="T113" s="439"/>
      <c r="U113" s="439"/>
      <c r="V113" s="207"/>
    </row>
    <row r="114" spans="2:22" ht="13" customHeight="1" x14ac:dyDescent="0.2">
      <c r="C114" s="439"/>
      <c r="D114" s="439"/>
      <c r="E114" s="439"/>
      <c r="F114" s="439"/>
      <c r="G114" s="439"/>
      <c r="H114" s="439"/>
      <c r="I114" s="439"/>
      <c r="J114" s="439"/>
      <c r="K114" s="439"/>
      <c r="L114" s="439"/>
      <c r="M114" s="439"/>
      <c r="N114" s="439"/>
      <c r="O114" s="439"/>
      <c r="P114" s="439"/>
      <c r="Q114" s="439"/>
      <c r="R114" s="439"/>
      <c r="S114" s="439"/>
      <c r="T114" s="439"/>
      <c r="U114" s="439"/>
    </row>
    <row r="127" spans="2:22" ht="16" customHeight="1" x14ac:dyDescent="0.2"/>
  </sheetData>
  <sheetProtection selectLockedCells="1"/>
  <mergeCells count="104">
    <mergeCell ref="B2:J2"/>
    <mergeCell ref="B4:J4"/>
    <mergeCell ref="B5:J5"/>
    <mergeCell ref="B6:J6"/>
    <mergeCell ref="B7:J7"/>
    <mergeCell ref="B8:J8"/>
    <mergeCell ref="B9:J9"/>
    <mergeCell ref="Q83:S83"/>
    <mergeCell ref="F83:L83"/>
    <mergeCell ref="J50:T50"/>
    <mergeCell ref="I52:I53"/>
    <mergeCell ref="J53:T53"/>
    <mergeCell ref="J54:T54"/>
    <mergeCell ref="I56:I57"/>
    <mergeCell ref="J57:T57"/>
    <mergeCell ref="J58:T58"/>
    <mergeCell ref="I60:I61"/>
    <mergeCell ref="J61:T61"/>
    <mergeCell ref="J26:T26"/>
    <mergeCell ref="K2:P5"/>
    <mergeCell ref="Q2:U2"/>
    <mergeCell ref="B3:C3"/>
    <mergeCell ref="R3:T3"/>
    <mergeCell ref="Q4:U4"/>
    <mergeCell ref="B84:U84"/>
    <mergeCell ref="J62:T62"/>
    <mergeCell ref="C63:U64"/>
    <mergeCell ref="J77:O77"/>
    <mergeCell ref="S78:U78"/>
    <mergeCell ref="J78:O78"/>
    <mergeCell ref="J79:O79"/>
    <mergeCell ref="C81:F81"/>
    <mergeCell ref="S81:U81"/>
    <mergeCell ref="S82:U82"/>
    <mergeCell ref="C82:F82"/>
    <mergeCell ref="O100:Q100"/>
    <mergeCell ref="B100:C100"/>
    <mergeCell ref="B101:C101"/>
    <mergeCell ref="B102:C102"/>
    <mergeCell ref="B103:U103"/>
    <mergeCell ref="B104:U104"/>
    <mergeCell ref="B105:U105"/>
    <mergeCell ref="I28:I29"/>
    <mergeCell ref="J29:S29"/>
    <mergeCell ref="J30:T30"/>
    <mergeCell ref="I32:I33"/>
    <mergeCell ref="J33:T33"/>
    <mergeCell ref="J34:T34"/>
    <mergeCell ref="I36:I37"/>
    <mergeCell ref="J37:T37"/>
    <mergeCell ref="J38:T38"/>
    <mergeCell ref="I40:I41"/>
    <mergeCell ref="J41:T41"/>
    <mergeCell ref="J42:T42"/>
    <mergeCell ref="I44:I45"/>
    <mergeCell ref="J45:T45"/>
    <mergeCell ref="J46:T46"/>
    <mergeCell ref="I48:I49"/>
    <mergeCell ref="J49:T49"/>
    <mergeCell ref="I86:J86"/>
    <mergeCell ref="B86:C86"/>
    <mergeCell ref="B87:C87"/>
    <mergeCell ref="B88:C88"/>
    <mergeCell ref="S89:S93"/>
    <mergeCell ref="U89:U93"/>
    <mergeCell ref="B89:C89"/>
    <mergeCell ref="B90:C90"/>
    <mergeCell ref="O91:O94"/>
    <mergeCell ref="B91:C91"/>
    <mergeCell ref="Q91:Q94"/>
    <mergeCell ref="B92:C92"/>
    <mergeCell ref="B93:C93"/>
    <mergeCell ref="B94:C94"/>
    <mergeCell ref="S94:S97"/>
    <mergeCell ref="U94:U97"/>
    <mergeCell ref="B95:C95"/>
    <mergeCell ref="O96:O99"/>
    <mergeCell ref="Q96:Q99"/>
    <mergeCell ref="B96:C96"/>
    <mergeCell ref="B97:C97"/>
    <mergeCell ref="B98:C98"/>
    <mergeCell ref="B99:C99"/>
    <mergeCell ref="Q5:U6"/>
    <mergeCell ref="K6:P7"/>
    <mergeCell ref="R7:T7"/>
    <mergeCell ref="C16:I16"/>
    <mergeCell ref="L16:O16"/>
    <mergeCell ref="C17:F17"/>
    <mergeCell ref="B20:U21"/>
    <mergeCell ref="Q22:Q23"/>
    <mergeCell ref="U22:U23"/>
    <mergeCell ref="S22:S23"/>
    <mergeCell ref="I24:I25"/>
    <mergeCell ref="J25:O25"/>
    <mergeCell ref="Q10:U10"/>
    <mergeCell ref="K10:P10"/>
    <mergeCell ref="S11:U11"/>
    <mergeCell ref="C12:I12"/>
    <mergeCell ref="S12:U12"/>
    <mergeCell ref="C13:I13"/>
    <mergeCell ref="S13:U13"/>
    <mergeCell ref="B10:J10"/>
    <mergeCell ref="S15:U15"/>
    <mergeCell ref="C15:I15"/>
  </mergeCells>
  <printOptions horizontalCentered="1"/>
  <pageMargins left="0.2" right="0.2" top="0.2" bottom="0.2" header="0" footer="0"/>
  <pageSetup scale="43" fitToHeight="2" orientation="landscape" r:id="rId1"/>
  <rowBreaks count="1" manualBreakCount="1">
    <brk id="75"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DA991-B735-4D4E-87E5-A27137B89B85}">
  <dimension ref="A1:BA127"/>
  <sheetViews>
    <sheetView showZeros="0" view="pageBreakPreview" topLeftCell="A32" zoomScale="80" zoomScaleNormal="80" zoomScaleSheetLayoutView="80" workbookViewId="0">
      <selection activeCell="U76" sqref="U76"/>
    </sheetView>
  </sheetViews>
  <sheetFormatPr baseColWidth="10" defaultColWidth="11" defaultRowHeight="16" x14ac:dyDescent="0.2"/>
  <cols>
    <col min="1" max="1" width="2.5" style="16" customWidth="1"/>
    <col min="2" max="2" width="3.33203125" style="16" customWidth="1"/>
    <col min="3" max="3" width="29.5" style="16" customWidth="1"/>
    <col min="4" max="4" width="1" style="16" customWidth="1"/>
    <col min="5" max="5" width="2" style="16" customWidth="1"/>
    <col min="6" max="6" width="26" style="16" customWidth="1"/>
    <col min="7" max="7" width="2" style="16" customWidth="1"/>
    <col min="8" max="8" width="1.5" style="16" customWidth="1"/>
    <col min="9" max="9" width="26.5" style="16" customWidth="1"/>
    <col min="10" max="10" width="3.5" style="16" customWidth="1"/>
    <col min="11" max="11" width="1" style="16" customWidth="1"/>
    <col min="12" max="12" width="30.5" style="16" customWidth="1"/>
    <col min="13" max="13" width="3" style="16" customWidth="1"/>
    <col min="14" max="14" width="2" style="16" customWidth="1"/>
    <col min="15" max="15" width="43" style="16" customWidth="1"/>
    <col min="16" max="16" width="4" style="16" customWidth="1"/>
    <col min="17" max="17" width="29" style="16" customWidth="1"/>
    <col min="18" max="18" width="5" style="16" customWidth="1"/>
    <col min="19" max="19" width="20.5" style="179" customWidth="1"/>
    <col min="20" max="20" width="4.5" style="16" customWidth="1"/>
    <col min="21" max="21" width="22.33203125" style="16" customWidth="1"/>
    <col min="22" max="22" width="1.5" style="16" customWidth="1"/>
    <col min="23" max="40" width="11" style="16"/>
    <col min="41" max="41" width="14.5" style="16" customWidth="1"/>
    <col min="42" max="16384" width="11" style="16"/>
  </cols>
  <sheetData>
    <row r="1" spans="2:21" ht="7" customHeight="1" thickBot="1" x14ac:dyDescent="0.25"/>
    <row r="2" spans="2:21" ht="19" customHeight="1" x14ac:dyDescent="0.2">
      <c r="B2" s="945" t="s">
        <v>2277</v>
      </c>
      <c r="C2" s="946"/>
      <c r="D2" s="946"/>
      <c r="E2" s="946"/>
      <c r="F2" s="946"/>
      <c r="G2" s="946"/>
      <c r="H2" s="946"/>
      <c r="I2" s="946"/>
      <c r="J2" s="947"/>
      <c r="K2" s="787" t="s">
        <v>267</v>
      </c>
      <c r="L2" s="787"/>
      <c r="M2" s="787"/>
      <c r="N2" s="787"/>
      <c r="O2" s="787"/>
      <c r="P2" s="788"/>
      <c r="Q2" s="882" t="str">
        <f>+Calculations!$B$568</f>
        <v/>
      </c>
      <c r="R2" s="882"/>
      <c r="S2" s="882"/>
      <c r="T2" s="882"/>
      <c r="U2" s="942"/>
    </row>
    <row r="3" spans="2:21" ht="3" customHeight="1" x14ac:dyDescent="0.2">
      <c r="B3" s="933"/>
      <c r="C3" s="934"/>
      <c r="D3" s="708"/>
      <c r="E3" s="708"/>
      <c r="F3" s="708"/>
      <c r="G3" s="5"/>
      <c r="H3" s="708"/>
      <c r="I3" s="5"/>
      <c r="J3" s="705"/>
      <c r="K3" s="789"/>
      <c r="L3" s="789"/>
      <c r="M3" s="789"/>
      <c r="N3" s="789"/>
      <c r="O3" s="789"/>
      <c r="P3" s="790"/>
      <c r="R3" s="943"/>
      <c r="S3" s="943"/>
      <c r="T3" s="943"/>
      <c r="U3" s="70"/>
    </row>
    <row r="4" spans="2:21" ht="18" customHeight="1" x14ac:dyDescent="0.2">
      <c r="B4" s="933" t="s">
        <v>2273</v>
      </c>
      <c r="C4" s="934"/>
      <c r="D4" s="934"/>
      <c r="E4" s="934"/>
      <c r="F4" s="934"/>
      <c r="G4" s="934"/>
      <c r="H4" s="934"/>
      <c r="I4" s="934"/>
      <c r="J4" s="935"/>
      <c r="K4" s="789"/>
      <c r="L4" s="789"/>
      <c r="M4" s="789"/>
      <c r="N4" s="789"/>
      <c r="O4" s="789"/>
      <c r="P4" s="790"/>
      <c r="Q4" s="883" t="str">
        <f>+Calculations!$B$569</f>
        <v/>
      </c>
      <c r="R4" s="883"/>
      <c r="S4" s="883"/>
      <c r="T4" s="883"/>
      <c r="U4" s="944"/>
    </row>
    <row r="5" spans="2:21" ht="4" customHeight="1" x14ac:dyDescent="0.2">
      <c r="B5" s="933"/>
      <c r="C5" s="934"/>
      <c r="D5" s="934"/>
      <c r="E5" s="934"/>
      <c r="F5" s="934"/>
      <c r="G5" s="934"/>
      <c r="H5" s="934"/>
      <c r="I5" s="934"/>
      <c r="J5" s="935"/>
      <c r="K5" s="789"/>
      <c r="L5" s="789"/>
      <c r="M5" s="789"/>
      <c r="N5" s="789"/>
      <c r="O5" s="789"/>
      <c r="P5" s="790"/>
      <c r="Q5" s="883" t="str">
        <f>Calculations!B570</f>
        <v/>
      </c>
      <c r="R5" s="883"/>
      <c r="S5" s="883"/>
      <c r="T5" s="883"/>
      <c r="U5" s="944"/>
    </row>
    <row r="6" spans="2:21" ht="17" x14ac:dyDescent="0.2">
      <c r="B6" s="933" t="s">
        <v>2274</v>
      </c>
      <c r="C6" s="934"/>
      <c r="D6" s="934"/>
      <c r="E6" s="934"/>
      <c r="F6" s="934"/>
      <c r="G6" s="934"/>
      <c r="H6" s="934"/>
      <c r="I6" s="934"/>
      <c r="J6" s="935"/>
      <c r="K6" s="803" t="s">
        <v>268</v>
      </c>
      <c r="L6" s="803"/>
      <c r="M6" s="803"/>
      <c r="N6" s="803"/>
      <c r="O6" s="803"/>
      <c r="P6" s="804"/>
      <c r="Q6" s="883"/>
      <c r="R6" s="883"/>
      <c r="S6" s="883"/>
      <c r="T6" s="883"/>
      <c r="U6" s="944"/>
    </row>
    <row r="7" spans="2:21" ht="20.25" customHeight="1" x14ac:dyDescent="0.2">
      <c r="B7" s="933" t="s">
        <v>2275</v>
      </c>
      <c r="C7" s="934"/>
      <c r="D7" s="934"/>
      <c r="E7" s="934"/>
      <c r="F7" s="934"/>
      <c r="G7" s="934"/>
      <c r="H7" s="934"/>
      <c r="I7" s="934"/>
      <c r="J7" s="935"/>
      <c r="K7" s="803"/>
      <c r="L7" s="803"/>
      <c r="M7" s="803"/>
      <c r="N7" s="803"/>
      <c r="O7" s="803"/>
      <c r="P7" s="804"/>
      <c r="R7" s="883"/>
      <c r="S7" s="883"/>
      <c r="T7" s="883"/>
      <c r="U7" s="395"/>
    </row>
    <row r="8" spans="2:21" ht="1" hidden="1" customHeight="1" x14ac:dyDescent="0.25">
      <c r="B8" s="933"/>
      <c r="C8" s="934"/>
      <c r="D8" s="934"/>
      <c r="E8" s="934"/>
      <c r="F8" s="934"/>
      <c r="G8" s="934"/>
      <c r="H8" s="934"/>
      <c r="I8" s="934"/>
      <c r="J8" s="935"/>
      <c r="K8" s="185"/>
      <c r="L8" s="185"/>
      <c r="M8" s="185"/>
      <c r="N8" s="185"/>
      <c r="O8" s="185"/>
      <c r="P8" s="186"/>
      <c r="R8" s="313"/>
      <c r="S8" s="313"/>
      <c r="T8" s="313"/>
      <c r="U8" s="394"/>
    </row>
    <row r="9" spans="2:21" ht="3.75" customHeight="1" x14ac:dyDescent="0.25">
      <c r="B9" s="933"/>
      <c r="C9" s="934"/>
      <c r="D9" s="934"/>
      <c r="E9" s="934"/>
      <c r="F9" s="934"/>
      <c r="G9" s="934"/>
      <c r="H9" s="934"/>
      <c r="I9" s="934"/>
      <c r="J9" s="935"/>
      <c r="K9" s="185"/>
      <c r="L9" s="185"/>
      <c r="M9" s="185"/>
      <c r="N9" s="185"/>
      <c r="O9" s="185"/>
      <c r="P9" s="186"/>
      <c r="R9" s="313"/>
      <c r="S9" s="313"/>
      <c r="T9" s="313"/>
      <c r="U9" s="394"/>
    </row>
    <row r="10" spans="2:21" ht="20.25" customHeight="1" thickBot="1" x14ac:dyDescent="0.25">
      <c r="B10" s="939" t="s">
        <v>2276</v>
      </c>
      <c r="C10" s="940"/>
      <c r="D10" s="940"/>
      <c r="E10" s="940"/>
      <c r="F10" s="940"/>
      <c r="G10" s="940"/>
      <c r="H10" s="940"/>
      <c r="I10" s="940"/>
      <c r="J10" s="941"/>
      <c r="K10" s="884" t="str">
        <f>+Calculations!B572</f>
        <v>CRYSTALTRACTOR.COM</v>
      </c>
      <c r="L10" s="884"/>
      <c r="M10" s="884"/>
      <c r="N10" s="884"/>
      <c r="O10" s="884"/>
      <c r="P10" s="936"/>
      <c r="Q10" s="884" t="str">
        <f>Calculations!B571</f>
        <v/>
      </c>
      <c r="R10" s="884"/>
      <c r="S10" s="884"/>
      <c r="T10" s="884"/>
      <c r="U10" s="936"/>
    </row>
    <row r="11" spans="2:21" ht="20.25" customHeight="1" x14ac:dyDescent="0.2">
      <c r="B11" s="202" t="s">
        <v>269</v>
      </c>
      <c r="H11" s="21"/>
      <c r="I11" s="320"/>
      <c r="J11" s="320"/>
      <c r="K11" s="396"/>
      <c r="L11" s="397"/>
      <c r="M11" s="397"/>
      <c r="N11" s="397"/>
      <c r="O11" s="397"/>
      <c r="P11" s="397"/>
      <c r="Q11" s="215" t="s">
        <v>271</v>
      </c>
      <c r="R11" s="215"/>
      <c r="S11" s="937">
        <f>'Sales Input Sheet'!C11</f>
        <v>0</v>
      </c>
      <c r="T11" s="937"/>
      <c r="U11" s="938"/>
    </row>
    <row r="12" spans="2:21" ht="20" x14ac:dyDescent="0.2">
      <c r="B12" s="69"/>
      <c r="C12" s="889" t="str">
        <f>IF('Customer Input Screen'!I10&lt;&gt;"",UPPER('Customer Input Screen'!I10),"")</f>
        <v/>
      </c>
      <c r="D12" s="889"/>
      <c r="E12" s="889"/>
      <c r="F12" s="889"/>
      <c r="G12" s="889"/>
      <c r="H12" s="889"/>
      <c r="I12" s="889"/>
      <c r="L12" s="203" t="s">
        <v>270</v>
      </c>
      <c r="O12" s="205" t="str">
        <f>+'Customer Input Screen'!I22</f>
        <v/>
      </c>
      <c r="Q12" s="6" t="s">
        <v>304</v>
      </c>
      <c r="R12" s="6"/>
      <c r="S12" s="842">
        <f>+'Costing Sheet'!$C$13</f>
        <v>0</v>
      </c>
      <c r="T12" s="842"/>
      <c r="U12" s="887"/>
    </row>
    <row r="13" spans="2:21" s="6" customFormat="1" ht="20" x14ac:dyDescent="0.2">
      <c r="B13" s="202"/>
      <c r="C13" s="889" t="str">
        <f>IF(Calculations!B3&lt;&gt;"",UPPER(Calculations!B3),"")</f>
        <v xml:space="preserve">  </v>
      </c>
      <c r="D13" s="889"/>
      <c r="E13" s="889"/>
      <c r="F13" s="889"/>
      <c r="G13" s="889"/>
      <c r="H13" s="889"/>
      <c r="I13" s="889"/>
      <c r="J13" s="203"/>
      <c r="K13" s="203"/>
      <c r="L13" s="203" t="s">
        <v>272</v>
      </c>
      <c r="M13" s="203"/>
      <c r="N13" s="203"/>
      <c r="O13" s="205" t="str">
        <f>+'Customer Input Screen'!I23</f>
        <v/>
      </c>
      <c r="P13" s="203"/>
      <c r="Q13" s="6" t="s">
        <v>305</v>
      </c>
      <c r="S13" s="843">
        <f>'Costing Sheet'!$C$11</f>
        <v>0</v>
      </c>
      <c r="T13" s="843"/>
      <c r="U13" s="888"/>
    </row>
    <row r="14" spans="2:21" s="6" customFormat="1" ht="3" customHeight="1" x14ac:dyDescent="0.2">
      <c r="B14" s="202"/>
      <c r="I14" s="203"/>
      <c r="J14" s="203"/>
      <c r="K14" s="203"/>
      <c r="M14" s="203"/>
      <c r="N14" s="203"/>
      <c r="P14" s="203"/>
      <c r="Q14" s="203"/>
      <c r="S14" s="204"/>
      <c r="T14" s="203"/>
      <c r="U14" s="321"/>
    </row>
    <row r="15" spans="2:21" s="6" customFormat="1" ht="22" customHeight="1" x14ac:dyDescent="0.2">
      <c r="B15" s="202"/>
      <c r="C15" s="889" t="str">
        <f>IF('Customer Input Screen'!I14&lt;&gt;"",UPPER('Customer Input Screen'!I14),"")</f>
        <v/>
      </c>
      <c r="D15" s="889"/>
      <c r="E15" s="889"/>
      <c r="F15" s="889"/>
      <c r="G15" s="889"/>
      <c r="H15" s="889"/>
      <c r="I15" s="889"/>
      <c r="J15" s="203"/>
      <c r="K15" s="203"/>
      <c r="L15" s="203" t="s">
        <v>274</v>
      </c>
      <c r="O15" s="205" t="str">
        <f>+'Customer Input Screen'!I24</f>
        <v/>
      </c>
      <c r="P15" s="203"/>
      <c r="Q15" s="6" t="s">
        <v>275</v>
      </c>
      <c r="R15" s="203"/>
      <c r="S15" s="842" t="str">
        <f>IF('Sales Input Sheet'!C15&lt;&gt;"",UPPER('Sales Input Sheet'!C15),"")</f>
        <v/>
      </c>
      <c r="T15" s="842"/>
      <c r="U15" s="887"/>
    </row>
    <row r="16" spans="2:21" s="6" customFormat="1" ht="20" x14ac:dyDescent="0.2">
      <c r="B16" s="202"/>
      <c r="C16" s="889" t="str">
        <f>IF('Customer Input Screen'!I15&lt;&gt;"",UPPER('Customer Input Screen'!I15),"")</f>
        <v/>
      </c>
      <c r="D16" s="889"/>
      <c r="E16" s="889"/>
      <c r="F16" s="889"/>
      <c r="G16" s="889"/>
      <c r="H16" s="889"/>
      <c r="I16" s="889"/>
      <c r="J16" s="203"/>
      <c r="K16" s="203"/>
      <c r="L16" s="785" t="str">
        <f>+Calculations!$B$602</f>
        <v/>
      </c>
      <c r="M16" s="785"/>
      <c r="N16" s="785"/>
      <c r="O16" s="785"/>
      <c r="P16" s="203"/>
      <c r="S16" s="204"/>
      <c r="T16" s="205"/>
      <c r="U16" s="206"/>
    </row>
    <row r="17" spans="2:21" s="6" customFormat="1" ht="28" customHeight="1" x14ac:dyDescent="0.2">
      <c r="B17" s="202"/>
      <c r="C17" s="785" t="str">
        <f>+Calculations!$B$601</f>
        <v/>
      </c>
      <c r="D17" s="785"/>
      <c r="E17" s="785"/>
      <c r="F17" s="785"/>
      <c r="J17" s="203"/>
      <c r="K17" s="203"/>
      <c r="L17" s="203" t="s">
        <v>276</v>
      </c>
      <c r="O17" s="6" t="str">
        <f>UPPER('Costing Sheet'!U19)</f>
        <v/>
      </c>
      <c r="P17" s="203"/>
      <c r="S17" s="204"/>
      <c r="T17" s="205"/>
      <c r="U17" s="206"/>
    </row>
    <row r="18" spans="2:21" s="6" customFormat="1" ht="7" customHeight="1" x14ac:dyDescent="0.2">
      <c r="B18" s="202"/>
      <c r="J18" s="203"/>
      <c r="K18" s="203"/>
      <c r="L18" s="203"/>
      <c r="P18" s="203"/>
      <c r="S18" s="204"/>
      <c r="T18" s="205"/>
      <c r="U18" s="206"/>
    </row>
    <row r="19" spans="2:21" ht="10" customHeight="1" thickBot="1" x14ac:dyDescent="0.25">
      <c r="B19" s="316"/>
      <c r="C19" s="114"/>
      <c r="D19" s="114"/>
      <c r="E19" s="114"/>
      <c r="F19" s="114"/>
      <c r="G19" s="114"/>
      <c r="H19" s="114"/>
      <c r="I19" s="114"/>
      <c r="J19" s="114"/>
      <c r="K19" s="114"/>
      <c r="L19" s="114"/>
      <c r="M19" s="114"/>
      <c r="N19" s="114"/>
      <c r="O19" s="114"/>
      <c r="P19" s="114"/>
      <c r="Q19" s="114"/>
      <c r="R19" s="114"/>
      <c r="S19" s="398"/>
      <c r="T19" s="114"/>
      <c r="U19" s="399"/>
    </row>
    <row r="20" spans="2:21" ht="16" customHeight="1" x14ac:dyDescent="0.2">
      <c r="B20" s="948" t="s">
        <v>352</v>
      </c>
      <c r="C20" s="949"/>
      <c r="D20" s="949"/>
      <c r="E20" s="949"/>
      <c r="F20" s="949"/>
      <c r="G20" s="949"/>
      <c r="H20" s="949"/>
      <c r="I20" s="949"/>
      <c r="J20" s="949"/>
      <c r="K20" s="949"/>
      <c r="L20" s="949"/>
      <c r="M20" s="949"/>
      <c r="N20" s="949"/>
      <c r="O20" s="949"/>
      <c r="P20" s="949"/>
      <c r="Q20" s="949"/>
      <c r="R20" s="949"/>
      <c r="S20" s="949"/>
      <c r="T20" s="949"/>
      <c r="U20" s="950"/>
    </row>
    <row r="21" spans="2:21" ht="17.25" customHeight="1" thickBot="1" x14ac:dyDescent="0.25">
      <c r="B21" s="951"/>
      <c r="C21" s="952"/>
      <c r="D21" s="952"/>
      <c r="E21" s="952"/>
      <c r="F21" s="952"/>
      <c r="G21" s="952"/>
      <c r="H21" s="952"/>
      <c r="I21" s="952"/>
      <c r="J21" s="952"/>
      <c r="K21" s="952"/>
      <c r="L21" s="952"/>
      <c r="M21" s="952"/>
      <c r="N21" s="952"/>
      <c r="O21" s="952"/>
      <c r="P21" s="952"/>
      <c r="Q21" s="952"/>
      <c r="R21" s="952"/>
      <c r="S21" s="952"/>
      <c r="T21" s="952"/>
      <c r="U21" s="953"/>
    </row>
    <row r="22" spans="2:21" s="6" customFormat="1" ht="20" x14ac:dyDescent="0.2">
      <c r="B22" s="208"/>
      <c r="C22" s="209"/>
      <c r="D22" s="209"/>
      <c r="E22" s="209"/>
      <c r="F22" s="209"/>
      <c r="G22" s="209"/>
      <c r="H22" s="209"/>
      <c r="I22" s="209"/>
      <c r="J22" s="209"/>
      <c r="K22" s="209"/>
      <c r="L22" s="209"/>
      <c r="M22" s="209"/>
      <c r="N22" s="209"/>
      <c r="O22" s="209"/>
      <c r="P22" s="209"/>
      <c r="Q22" s="779" t="s">
        <v>278</v>
      </c>
      <c r="R22" s="209"/>
      <c r="S22" s="777" t="s">
        <v>279</v>
      </c>
      <c r="T22" s="209"/>
      <c r="U22" s="781" t="s">
        <v>280</v>
      </c>
    </row>
    <row r="23" spans="2:21" s="6" customFormat="1" ht="25" customHeight="1" thickBot="1" x14ac:dyDescent="0.25">
      <c r="B23" s="210"/>
      <c r="C23" s="211" t="s">
        <v>281</v>
      </c>
      <c r="D23" s="212"/>
      <c r="E23" s="212"/>
      <c r="F23" s="213"/>
      <c r="G23" s="213"/>
      <c r="H23" s="212"/>
      <c r="I23" s="212" t="s">
        <v>105</v>
      </c>
      <c r="J23" s="212"/>
      <c r="K23" s="212"/>
      <c r="L23" s="212" t="s">
        <v>106</v>
      </c>
      <c r="M23" s="212"/>
      <c r="N23" s="212"/>
      <c r="O23" s="212" t="s">
        <v>282</v>
      </c>
      <c r="P23" s="212"/>
      <c r="Q23" s="780"/>
      <c r="R23" s="212"/>
      <c r="S23" s="778"/>
      <c r="T23" s="212"/>
      <c r="U23" s="782"/>
    </row>
    <row r="24" spans="2:21" s="6" customFormat="1" ht="21" customHeight="1" x14ac:dyDescent="0.2">
      <c r="B24" s="214"/>
      <c r="C24" s="215" t="str">
        <f>Calculations!B451</f>
        <v/>
      </c>
      <c r="D24" s="215"/>
      <c r="E24" s="215"/>
      <c r="F24" s="215"/>
      <c r="G24" s="215"/>
      <c r="H24" s="215"/>
      <c r="I24" s="783" t="str">
        <f>Calculations!B6</f>
        <v/>
      </c>
      <c r="J24" s="215"/>
      <c r="K24" s="215"/>
      <c r="L24" s="215" t="str">
        <f>Calculations!B7</f>
        <v/>
      </c>
      <c r="M24" s="215"/>
      <c r="N24" s="215"/>
      <c r="O24" s="215" t="str">
        <f>Calculations!B8</f>
        <v/>
      </c>
      <c r="P24" s="215"/>
      <c r="Q24" s="217">
        <f>+'Costing Sheet'!I$22+SUM(Invoice!F91:F100)-SUM(F91:F100)</f>
        <v>0</v>
      </c>
      <c r="R24" s="217"/>
      <c r="S24" s="218">
        <f>-'Costing Sheet'!K$22</f>
        <v>0</v>
      </c>
      <c r="T24" s="217"/>
      <c r="U24" s="219">
        <f>+Calculations!B$526+SUM(Invoice!F91:F100)-SUM(F91:F100)</f>
        <v>0</v>
      </c>
    </row>
    <row r="25" spans="2:21" s="6" customFormat="1" ht="20" x14ac:dyDescent="0.2">
      <c r="B25" s="202"/>
      <c r="I25" s="784"/>
      <c r="J25" s="785" t="str">
        <f>Calculations!B9</f>
        <v/>
      </c>
      <c r="K25" s="785"/>
      <c r="L25" s="785"/>
      <c r="M25" s="785"/>
      <c r="N25" s="785"/>
      <c r="O25" s="785"/>
      <c r="S25" s="221"/>
      <c r="U25" s="222"/>
    </row>
    <row r="26" spans="2:21" s="6" customFormat="1" ht="20" x14ac:dyDescent="0.2">
      <c r="B26" s="202"/>
      <c r="I26" s="223"/>
      <c r="J26" s="786" t="str">
        <f>+Calculations!B12</f>
        <v xml:space="preserve">    </v>
      </c>
      <c r="K26" s="786"/>
      <c r="L26" s="786"/>
      <c r="M26" s="786"/>
      <c r="N26" s="786"/>
      <c r="O26" s="786"/>
      <c r="P26" s="786"/>
      <c r="Q26" s="786"/>
      <c r="R26" s="786"/>
      <c r="S26" s="786"/>
      <c r="T26" s="786"/>
      <c r="U26" s="222"/>
    </row>
    <row r="27" spans="2:21" s="6" customFormat="1" ht="11.25" customHeight="1" x14ac:dyDescent="0.2">
      <c r="B27" s="202"/>
      <c r="I27" s="223"/>
      <c r="J27" s="223"/>
      <c r="K27" s="223"/>
      <c r="L27" s="223"/>
      <c r="M27" s="223"/>
      <c r="N27" s="223"/>
      <c r="O27" s="223"/>
      <c r="P27" s="223"/>
      <c r="Q27" s="223"/>
      <c r="R27" s="223"/>
      <c r="S27" s="224"/>
      <c r="T27" s="223"/>
      <c r="U27" s="222"/>
    </row>
    <row r="28" spans="2:21" s="6" customFormat="1" ht="20" x14ac:dyDescent="0.2">
      <c r="B28" s="202"/>
      <c r="C28" s="6" t="str">
        <f>Calculations!B452</f>
        <v/>
      </c>
      <c r="I28" s="786" t="str">
        <f>Calculations!B18</f>
        <v/>
      </c>
      <c r="L28" s="6" t="str">
        <f>Calculations!B19</f>
        <v/>
      </c>
      <c r="O28" s="6" t="str">
        <f>Calculations!B20</f>
        <v/>
      </c>
      <c r="Q28" s="225">
        <f>+'Costing Sheet'!I$23</f>
        <v>0</v>
      </c>
      <c r="R28" s="225"/>
      <c r="S28" s="221">
        <f>-'Costing Sheet'!K$23</f>
        <v>0</v>
      </c>
      <c r="T28" s="225"/>
      <c r="U28" s="226">
        <f>+Calculations!B$527</f>
        <v>0</v>
      </c>
    </row>
    <row r="29" spans="2:21" s="6" customFormat="1" ht="20" x14ac:dyDescent="0.2">
      <c r="B29" s="202"/>
      <c r="I29" s="786"/>
      <c r="J29" s="786" t="str">
        <f>Calculations!B21</f>
        <v/>
      </c>
      <c r="K29" s="786"/>
      <c r="L29" s="786"/>
      <c r="M29" s="786"/>
      <c r="N29" s="786"/>
      <c r="O29" s="786"/>
      <c r="P29" s="786"/>
      <c r="Q29" s="786"/>
      <c r="R29" s="786"/>
      <c r="S29" s="786"/>
      <c r="U29" s="222"/>
    </row>
    <row r="30" spans="2:21" s="6" customFormat="1" ht="20" x14ac:dyDescent="0.2">
      <c r="B30" s="202"/>
      <c r="I30" s="223"/>
      <c r="J30" s="786" t="str">
        <f>+Calculations!B24</f>
        <v/>
      </c>
      <c r="K30" s="786"/>
      <c r="L30" s="786"/>
      <c r="M30" s="786"/>
      <c r="N30" s="786"/>
      <c r="O30" s="786"/>
      <c r="P30" s="786"/>
      <c r="Q30" s="786"/>
      <c r="R30" s="786"/>
      <c r="S30" s="786"/>
      <c r="T30" s="786"/>
      <c r="U30" s="222"/>
    </row>
    <row r="31" spans="2:21" s="6" customFormat="1" ht="10" customHeight="1" x14ac:dyDescent="0.2">
      <c r="B31" s="202"/>
      <c r="I31" s="223"/>
      <c r="J31" s="223"/>
      <c r="K31" s="223"/>
      <c r="L31" s="223"/>
      <c r="M31" s="223"/>
      <c r="N31" s="223"/>
      <c r="O31" s="223"/>
      <c r="P31" s="223"/>
      <c r="Q31" s="223"/>
      <c r="R31" s="223"/>
      <c r="S31" s="224"/>
      <c r="T31" s="223"/>
      <c r="U31" s="222"/>
    </row>
    <row r="32" spans="2:21" s="6" customFormat="1" ht="20" x14ac:dyDescent="0.2">
      <c r="B32" s="202"/>
      <c r="C32" s="6" t="str">
        <f>Calculations!B453</f>
        <v/>
      </c>
      <c r="I32" s="786" t="str">
        <f>Calculations!B30</f>
        <v/>
      </c>
      <c r="L32" s="6" t="str">
        <f>Calculations!B31</f>
        <v/>
      </c>
      <c r="O32" s="6" t="str">
        <f>Calculations!B32</f>
        <v/>
      </c>
      <c r="Q32" s="225">
        <f>+'Costing Sheet'!I$24</f>
        <v>0</v>
      </c>
      <c r="R32" s="225"/>
      <c r="S32" s="221">
        <f>-'Costing Sheet'!K$24</f>
        <v>0</v>
      </c>
      <c r="T32" s="225"/>
      <c r="U32" s="226">
        <f>+Calculations!B$528</f>
        <v>0</v>
      </c>
    </row>
    <row r="33" spans="2:21" s="6" customFormat="1" ht="20" x14ac:dyDescent="0.2">
      <c r="B33" s="202"/>
      <c r="I33" s="786"/>
      <c r="J33" s="786" t="str">
        <f>Calculations!B33</f>
        <v/>
      </c>
      <c r="K33" s="786"/>
      <c r="L33" s="786"/>
      <c r="M33" s="786"/>
      <c r="N33" s="786"/>
      <c r="O33" s="786"/>
      <c r="P33" s="786"/>
      <c r="Q33" s="786"/>
      <c r="R33" s="786"/>
      <c r="S33" s="786"/>
      <c r="T33" s="786"/>
      <c r="U33" s="222"/>
    </row>
    <row r="34" spans="2:21" s="6" customFormat="1" ht="20" x14ac:dyDescent="0.2">
      <c r="B34" s="202"/>
      <c r="I34" s="223"/>
      <c r="J34" s="786" t="str">
        <f>+Calculations!B36</f>
        <v/>
      </c>
      <c r="K34" s="786"/>
      <c r="L34" s="786"/>
      <c r="M34" s="786"/>
      <c r="N34" s="786"/>
      <c r="O34" s="786"/>
      <c r="P34" s="786"/>
      <c r="Q34" s="786"/>
      <c r="R34" s="786"/>
      <c r="S34" s="786"/>
      <c r="T34" s="786"/>
      <c r="U34" s="222"/>
    </row>
    <row r="35" spans="2:21" s="6" customFormat="1" ht="9" customHeight="1" x14ac:dyDescent="0.2">
      <c r="B35" s="202"/>
      <c r="I35" s="223"/>
      <c r="J35" s="223"/>
      <c r="K35" s="223"/>
      <c r="L35" s="223"/>
      <c r="M35" s="223"/>
      <c r="N35" s="223"/>
      <c r="O35" s="223"/>
      <c r="P35" s="223"/>
      <c r="Q35" s="223"/>
      <c r="R35" s="223"/>
      <c r="S35" s="224"/>
      <c r="T35" s="223"/>
      <c r="U35" s="222"/>
    </row>
    <row r="36" spans="2:21" s="6" customFormat="1" ht="20" x14ac:dyDescent="0.2">
      <c r="B36" s="202"/>
      <c r="C36" s="6" t="str">
        <f>Calculations!B454</f>
        <v/>
      </c>
      <c r="I36" s="806" t="str">
        <f>Calculations!B42</f>
        <v/>
      </c>
      <c r="L36" s="6" t="str">
        <f>Calculations!B43</f>
        <v/>
      </c>
      <c r="O36" s="6" t="str">
        <f>Calculations!B44</f>
        <v/>
      </c>
      <c r="Q36" s="225">
        <f>+'Costing Sheet'!I$25</f>
        <v>0</v>
      </c>
      <c r="R36" s="225"/>
      <c r="S36" s="221">
        <f>-'Costing Sheet'!K$25</f>
        <v>0</v>
      </c>
      <c r="T36" s="225"/>
      <c r="U36" s="226">
        <f>+Calculations!B$529</f>
        <v>0</v>
      </c>
    </row>
    <row r="37" spans="2:21" s="6" customFormat="1" ht="20" x14ac:dyDescent="0.2">
      <c r="B37" s="202"/>
      <c r="I37" s="806"/>
      <c r="J37" s="786" t="str">
        <f>Calculations!B45</f>
        <v/>
      </c>
      <c r="K37" s="786"/>
      <c r="L37" s="786"/>
      <c r="M37" s="786"/>
      <c r="N37" s="786"/>
      <c r="O37" s="786"/>
      <c r="P37" s="786"/>
      <c r="Q37" s="786"/>
      <c r="R37" s="786"/>
      <c r="S37" s="786"/>
      <c r="T37" s="786"/>
      <c r="U37" s="222"/>
    </row>
    <row r="38" spans="2:21" s="6" customFormat="1" ht="20" x14ac:dyDescent="0.2">
      <c r="B38" s="202"/>
      <c r="I38" s="223"/>
      <c r="J38" s="786" t="str">
        <f>+Calculations!B48</f>
        <v/>
      </c>
      <c r="K38" s="786"/>
      <c r="L38" s="786"/>
      <c r="M38" s="786"/>
      <c r="N38" s="786"/>
      <c r="O38" s="786"/>
      <c r="P38" s="786"/>
      <c r="Q38" s="786"/>
      <c r="R38" s="786"/>
      <c r="S38" s="786"/>
      <c r="T38" s="786"/>
      <c r="U38" s="222"/>
    </row>
    <row r="39" spans="2:21" s="6" customFormat="1" ht="7" customHeight="1" x14ac:dyDescent="0.2">
      <c r="B39" s="202"/>
      <c r="I39" s="223"/>
      <c r="J39" s="223"/>
      <c r="K39" s="223"/>
      <c r="L39" s="223"/>
      <c r="M39" s="223"/>
      <c r="N39" s="223"/>
      <c r="O39" s="223"/>
      <c r="P39" s="223"/>
      <c r="Q39" s="223"/>
      <c r="R39" s="223"/>
      <c r="S39" s="224"/>
      <c r="T39" s="223"/>
      <c r="U39" s="222"/>
    </row>
    <row r="40" spans="2:21" s="6" customFormat="1" ht="20" x14ac:dyDescent="0.2">
      <c r="B40" s="202"/>
      <c r="C40" s="6" t="str">
        <f>Calculations!B455</f>
        <v/>
      </c>
      <c r="I40" s="786" t="str">
        <f>Calculations!B54</f>
        <v/>
      </c>
      <c r="L40" s="6" t="str">
        <f>Calculations!B55</f>
        <v/>
      </c>
      <c r="O40" s="6" t="str">
        <f>Calculations!B56</f>
        <v/>
      </c>
      <c r="Q40" s="225">
        <f>+'Costing Sheet'!I$26</f>
        <v>0</v>
      </c>
      <c r="R40" s="225"/>
      <c r="S40" s="221">
        <f>-'Costing Sheet'!K$26</f>
        <v>0</v>
      </c>
      <c r="T40" s="225"/>
      <c r="U40" s="226">
        <f>+Calculations!B$530</f>
        <v>0</v>
      </c>
    </row>
    <row r="41" spans="2:21" s="6" customFormat="1" ht="20" x14ac:dyDescent="0.2">
      <c r="B41" s="202"/>
      <c r="I41" s="786"/>
      <c r="J41" s="786" t="str">
        <f>Calculations!B57</f>
        <v/>
      </c>
      <c r="K41" s="786"/>
      <c r="L41" s="786"/>
      <c r="M41" s="786"/>
      <c r="N41" s="786"/>
      <c r="O41" s="786"/>
      <c r="P41" s="786"/>
      <c r="Q41" s="786"/>
      <c r="R41" s="786"/>
      <c r="S41" s="786"/>
      <c r="T41" s="786"/>
      <c r="U41" s="222"/>
    </row>
    <row r="42" spans="2:21" s="6" customFormat="1" ht="20" x14ac:dyDescent="0.2">
      <c r="B42" s="202"/>
      <c r="I42" s="223"/>
      <c r="J42" s="786" t="str">
        <f>+Calculations!B60</f>
        <v/>
      </c>
      <c r="K42" s="786"/>
      <c r="L42" s="786"/>
      <c r="M42" s="786"/>
      <c r="N42" s="786"/>
      <c r="O42" s="786"/>
      <c r="P42" s="786"/>
      <c r="Q42" s="786"/>
      <c r="R42" s="786"/>
      <c r="S42" s="786"/>
      <c r="T42" s="786"/>
      <c r="U42" s="222"/>
    </row>
    <row r="43" spans="2:21" s="6" customFormat="1" ht="6" customHeight="1" x14ac:dyDescent="0.2">
      <c r="B43" s="202"/>
      <c r="I43" s="223"/>
      <c r="J43" s="223"/>
      <c r="K43" s="223"/>
      <c r="L43" s="223"/>
      <c r="M43" s="223"/>
      <c r="N43" s="223"/>
      <c r="O43" s="223"/>
      <c r="P43" s="223"/>
      <c r="Q43" s="223"/>
      <c r="R43" s="223"/>
      <c r="S43" s="224"/>
      <c r="T43" s="223"/>
      <c r="U43" s="222"/>
    </row>
    <row r="44" spans="2:21" customFormat="1" ht="20" x14ac:dyDescent="0.2">
      <c r="B44" s="228"/>
      <c r="C44" s="6" t="str">
        <f>Calculations!B456</f>
        <v/>
      </c>
      <c r="D44" s="6"/>
      <c r="E44" s="6"/>
      <c r="F44" s="6"/>
      <c r="G44" s="6"/>
      <c r="H44" s="6"/>
      <c r="I44" s="786" t="str">
        <f>Calculations!B66</f>
        <v/>
      </c>
      <c r="J44" s="6"/>
      <c r="K44" s="6"/>
      <c r="L44" s="6" t="str">
        <f>Calculations!B67</f>
        <v/>
      </c>
      <c r="M44" s="6"/>
      <c r="N44" s="6"/>
      <c r="O44" s="6" t="str">
        <f>Calculations!B68</f>
        <v/>
      </c>
      <c r="P44" s="6"/>
      <c r="Q44" s="225">
        <f>+'Costing Sheet'!I$27</f>
        <v>0</v>
      </c>
      <c r="R44" s="225"/>
      <c r="S44" s="221">
        <f>-'Costing Sheet'!K$27</f>
        <v>0</v>
      </c>
      <c r="T44" s="225"/>
      <c r="U44" s="226">
        <f>+Calculations!B$531</f>
        <v>0</v>
      </c>
    </row>
    <row r="45" spans="2:21" customFormat="1" ht="20" x14ac:dyDescent="0.2">
      <c r="B45" s="228"/>
      <c r="C45" s="6"/>
      <c r="D45" s="6"/>
      <c r="E45" s="6"/>
      <c r="F45" s="6"/>
      <c r="G45" s="6"/>
      <c r="H45" s="6"/>
      <c r="I45" s="786"/>
      <c r="J45" s="786" t="str">
        <f>Calculations!B69</f>
        <v/>
      </c>
      <c r="K45" s="786"/>
      <c r="L45" s="786"/>
      <c r="M45" s="786"/>
      <c r="N45" s="786"/>
      <c r="O45" s="786"/>
      <c r="P45" s="786"/>
      <c r="Q45" s="786"/>
      <c r="R45" s="786"/>
      <c r="S45" s="786"/>
      <c r="T45" s="786"/>
      <c r="U45" s="222"/>
    </row>
    <row r="46" spans="2:21" customFormat="1" ht="20" x14ac:dyDescent="0.2">
      <c r="B46" s="228"/>
      <c r="C46" s="6"/>
      <c r="D46" s="6"/>
      <c r="E46" s="6"/>
      <c r="F46" s="6"/>
      <c r="G46" s="6"/>
      <c r="H46" s="6"/>
      <c r="I46" s="223"/>
      <c r="J46" s="806" t="str">
        <f>+Calculations!B72</f>
        <v/>
      </c>
      <c r="K46" s="786"/>
      <c r="L46" s="786"/>
      <c r="M46" s="786"/>
      <c r="N46" s="786"/>
      <c r="O46" s="786"/>
      <c r="P46" s="786"/>
      <c r="Q46" s="786"/>
      <c r="R46" s="786"/>
      <c r="S46" s="786"/>
      <c r="T46" s="786"/>
      <c r="U46" s="222"/>
    </row>
    <row r="47" spans="2:21" customFormat="1" ht="7" customHeight="1" x14ac:dyDescent="0.2">
      <c r="B47" s="228"/>
      <c r="C47" s="6"/>
      <c r="D47" s="6"/>
      <c r="E47" s="6"/>
      <c r="F47" s="6"/>
      <c r="G47" s="6"/>
      <c r="H47" s="6"/>
      <c r="I47" s="223"/>
      <c r="J47" s="227"/>
      <c r="K47" s="223"/>
      <c r="L47" s="223"/>
      <c r="M47" s="223"/>
      <c r="N47" s="223"/>
      <c r="O47" s="223"/>
      <c r="P47" s="223"/>
      <c r="Q47" s="223"/>
      <c r="R47" s="223"/>
      <c r="S47" s="224"/>
      <c r="T47" s="223"/>
      <c r="U47" s="222"/>
    </row>
    <row r="48" spans="2:21" customFormat="1" ht="20" x14ac:dyDescent="0.2">
      <c r="B48" s="228"/>
      <c r="C48" s="6" t="str">
        <f>Calculations!B457</f>
        <v/>
      </c>
      <c r="D48" s="6"/>
      <c r="E48" s="6"/>
      <c r="F48" s="6"/>
      <c r="G48" s="6"/>
      <c r="H48" s="6"/>
      <c r="I48" s="786" t="str">
        <f>Calculations!B78</f>
        <v/>
      </c>
      <c r="J48" s="6"/>
      <c r="K48" s="6"/>
      <c r="L48" s="6" t="str">
        <f>Calculations!B79</f>
        <v/>
      </c>
      <c r="M48" s="6"/>
      <c r="N48" s="6"/>
      <c r="O48" s="6" t="str">
        <f>Calculations!B80</f>
        <v/>
      </c>
      <c r="P48" s="6"/>
      <c r="Q48" s="225">
        <f>+'Costing Sheet'!I$28</f>
        <v>0</v>
      </c>
      <c r="R48" s="225"/>
      <c r="S48" s="221">
        <f>-'Costing Sheet'!K$28</f>
        <v>0</v>
      </c>
      <c r="T48" s="225"/>
      <c r="U48" s="226">
        <f>+Calculations!B$532</f>
        <v>0</v>
      </c>
    </row>
    <row r="49" spans="2:21" customFormat="1" ht="20" x14ac:dyDescent="0.2">
      <c r="B49" s="228"/>
      <c r="C49" s="6"/>
      <c r="D49" s="6"/>
      <c r="E49" s="6"/>
      <c r="F49" s="6"/>
      <c r="G49" s="6"/>
      <c r="H49" s="6"/>
      <c r="I49" s="786"/>
      <c r="J49" s="786" t="str">
        <f>Calculations!B81</f>
        <v/>
      </c>
      <c r="K49" s="786"/>
      <c r="L49" s="786"/>
      <c r="M49" s="786"/>
      <c r="N49" s="786"/>
      <c r="O49" s="786"/>
      <c r="P49" s="786"/>
      <c r="Q49" s="786"/>
      <c r="R49" s="786"/>
      <c r="S49" s="786"/>
      <c r="T49" s="786"/>
      <c r="U49" s="222"/>
    </row>
    <row r="50" spans="2:21" customFormat="1" ht="20" x14ac:dyDescent="0.2">
      <c r="B50" s="228"/>
      <c r="C50" s="6"/>
      <c r="D50" s="6"/>
      <c r="E50" s="6"/>
      <c r="F50" s="6"/>
      <c r="G50" s="6"/>
      <c r="H50" s="6"/>
      <c r="I50" s="223"/>
      <c r="J50" s="786" t="str">
        <f>+Calculations!B84</f>
        <v/>
      </c>
      <c r="K50" s="786"/>
      <c r="L50" s="786"/>
      <c r="M50" s="786"/>
      <c r="N50" s="786"/>
      <c r="O50" s="786"/>
      <c r="P50" s="786"/>
      <c r="Q50" s="786"/>
      <c r="R50" s="786"/>
      <c r="S50" s="786"/>
      <c r="T50" s="786"/>
      <c r="U50" s="222"/>
    </row>
    <row r="51" spans="2:21" customFormat="1" ht="7" customHeight="1" x14ac:dyDescent="0.2">
      <c r="B51" s="228"/>
      <c r="C51" s="6"/>
      <c r="D51" s="6"/>
      <c r="E51" s="6"/>
      <c r="F51" s="6"/>
      <c r="G51" s="6"/>
      <c r="H51" s="6"/>
      <c r="I51" s="223"/>
      <c r="J51" s="223"/>
      <c r="K51" s="223"/>
      <c r="L51" s="223"/>
      <c r="M51" s="223"/>
      <c r="N51" s="223"/>
      <c r="O51" s="223"/>
      <c r="P51" s="223"/>
      <c r="Q51" s="223"/>
      <c r="R51" s="223"/>
      <c r="S51" s="224"/>
      <c r="T51" s="223"/>
      <c r="U51" s="222"/>
    </row>
    <row r="52" spans="2:21" customFormat="1" ht="20" x14ac:dyDescent="0.2">
      <c r="B52" s="228"/>
      <c r="C52" s="6" t="str">
        <f>Calculations!B458</f>
        <v/>
      </c>
      <c r="D52" s="6"/>
      <c r="E52" s="6"/>
      <c r="F52" s="6"/>
      <c r="G52" s="6"/>
      <c r="H52" s="6"/>
      <c r="I52" s="786" t="str">
        <f>Calculations!B90</f>
        <v/>
      </c>
      <c r="J52" s="6"/>
      <c r="K52" s="6"/>
      <c r="L52" s="6" t="str">
        <f>Calculations!B91</f>
        <v/>
      </c>
      <c r="M52" s="6"/>
      <c r="N52" s="6"/>
      <c r="O52" s="6" t="str">
        <f>Calculations!B92</f>
        <v/>
      </c>
      <c r="P52" s="6"/>
      <c r="Q52" s="225">
        <f>+'Costing Sheet'!I$29</f>
        <v>0</v>
      </c>
      <c r="R52" s="225"/>
      <c r="S52" s="221">
        <f>-'Costing Sheet'!K$29</f>
        <v>0</v>
      </c>
      <c r="T52" s="225"/>
      <c r="U52" s="226">
        <f>+Calculations!B$533</f>
        <v>0</v>
      </c>
    </row>
    <row r="53" spans="2:21" customFormat="1" ht="20" x14ac:dyDescent="0.2">
      <c r="B53" s="228"/>
      <c r="C53" s="6"/>
      <c r="D53" s="6"/>
      <c r="E53" s="6"/>
      <c r="F53" s="6"/>
      <c r="G53" s="6"/>
      <c r="H53" s="6"/>
      <c r="I53" s="786"/>
      <c r="J53" s="786" t="str">
        <f>Calculations!B93</f>
        <v/>
      </c>
      <c r="K53" s="786"/>
      <c r="L53" s="786"/>
      <c r="M53" s="786"/>
      <c r="N53" s="786"/>
      <c r="O53" s="786"/>
      <c r="P53" s="786"/>
      <c r="Q53" s="786"/>
      <c r="R53" s="786"/>
      <c r="S53" s="786"/>
      <c r="T53" s="786"/>
      <c r="U53" s="222"/>
    </row>
    <row r="54" spans="2:21" customFormat="1" ht="20" x14ac:dyDescent="0.2">
      <c r="B54" s="228"/>
      <c r="C54" s="6"/>
      <c r="D54" s="6"/>
      <c r="E54" s="6"/>
      <c r="F54" s="6"/>
      <c r="G54" s="6"/>
      <c r="H54" s="6"/>
      <c r="I54" s="223"/>
      <c r="J54" s="786" t="str">
        <f>+Calculations!B96</f>
        <v/>
      </c>
      <c r="K54" s="786"/>
      <c r="L54" s="786"/>
      <c r="M54" s="786"/>
      <c r="N54" s="786"/>
      <c r="O54" s="786"/>
      <c r="P54" s="786"/>
      <c r="Q54" s="786"/>
      <c r="R54" s="786"/>
      <c r="S54" s="786"/>
      <c r="T54" s="786"/>
      <c r="U54" s="222"/>
    </row>
    <row r="55" spans="2:21" customFormat="1" ht="9" customHeight="1" x14ac:dyDescent="0.2">
      <c r="B55" s="228"/>
      <c r="C55" s="6"/>
      <c r="D55" s="6"/>
      <c r="E55" s="6"/>
      <c r="F55" s="6"/>
      <c r="G55" s="6"/>
      <c r="H55" s="6"/>
      <c r="I55" s="223"/>
      <c r="J55" s="223"/>
      <c r="K55" s="223"/>
      <c r="L55" s="223"/>
      <c r="M55" s="223"/>
      <c r="N55" s="223"/>
      <c r="O55" s="223"/>
      <c r="P55" s="223"/>
      <c r="Q55" s="223"/>
      <c r="R55" s="223"/>
      <c r="S55" s="224"/>
      <c r="T55" s="223"/>
      <c r="U55" s="222"/>
    </row>
    <row r="56" spans="2:21" customFormat="1" ht="20" x14ac:dyDescent="0.2">
      <c r="B56" s="228"/>
      <c r="C56" s="6" t="str">
        <f>Calculations!B459</f>
        <v/>
      </c>
      <c r="D56" s="6"/>
      <c r="E56" s="6"/>
      <c r="F56" s="6"/>
      <c r="G56" s="6"/>
      <c r="H56" s="6"/>
      <c r="I56" s="786" t="str">
        <f>Calculations!B102</f>
        <v/>
      </c>
      <c r="J56" s="6"/>
      <c r="K56" s="6"/>
      <c r="L56" s="6" t="str">
        <f>Calculations!B103</f>
        <v/>
      </c>
      <c r="M56" s="6"/>
      <c r="N56" s="6"/>
      <c r="O56" s="6" t="str">
        <f>Calculations!B104</f>
        <v/>
      </c>
      <c r="P56" s="6"/>
      <c r="Q56" s="225">
        <f>+'Costing Sheet'!I$30</f>
        <v>0</v>
      </c>
      <c r="R56" s="225"/>
      <c r="S56" s="221">
        <f>-'Costing Sheet'!K$30</f>
        <v>0</v>
      </c>
      <c r="T56" s="225"/>
      <c r="U56" s="226">
        <f>+Calculations!B$534</f>
        <v>0</v>
      </c>
    </row>
    <row r="57" spans="2:21" customFormat="1" ht="23.25" customHeight="1" x14ac:dyDescent="0.2">
      <c r="B57" s="228"/>
      <c r="C57" s="6"/>
      <c r="D57" s="6"/>
      <c r="E57" s="6"/>
      <c r="F57" s="6"/>
      <c r="G57" s="6"/>
      <c r="H57" s="6"/>
      <c r="I57" s="786"/>
      <c r="J57" s="786" t="str">
        <f>Calculations!B105</f>
        <v/>
      </c>
      <c r="K57" s="786"/>
      <c r="L57" s="786"/>
      <c r="M57" s="786"/>
      <c r="N57" s="786"/>
      <c r="O57" s="786"/>
      <c r="P57" s="786"/>
      <c r="Q57" s="786"/>
      <c r="R57" s="786"/>
      <c r="S57" s="786"/>
      <c r="T57" s="786"/>
      <c r="U57" s="222"/>
    </row>
    <row r="58" spans="2:21" customFormat="1" ht="21" customHeight="1" x14ac:dyDescent="0.2">
      <c r="B58" s="228"/>
      <c r="C58" s="6"/>
      <c r="D58" s="6"/>
      <c r="E58" s="6"/>
      <c r="F58" s="6"/>
      <c r="G58" s="6"/>
      <c r="H58" s="6"/>
      <c r="I58" s="223"/>
      <c r="J58" s="786" t="str">
        <f>+Calculations!B108</f>
        <v/>
      </c>
      <c r="K58" s="786"/>
      <c r="L58" s="786"/>
      <c r="M58" s="786"/>
      <c r="N58" s="786"/>
      <c r="O58" s="786"/>
      <c r="P58" s="786"/>
      <c r="Q58" s="786"/>
      <c r="R58" s="786"/>
      <c r="S58" s="786"/>
      <c r="T58" s="786"/>
      <c r="U58" s="222"/>
    </row>
    <row r="59" spans="2:21" customFormat="1" ht="8.25" customHeight="1" x14ac:dyDescent="0.2">
      <c r="B59" s="228"/>
      <c r="C59" s="6"/>
      <c r="D59" s="6"/>
      <c r="E59" s="6"/>
      <c r="F59" s="6"/>
      <c r="G59" s="6"/>
      <c r="H59" s="6"/>
      <c r="I59" s="223"/>
      <c r="J59" s="223"/>
      <c r="K59" s="223"/>
      <c r="L59" s="223"/>
      <c r="M59" s="223"/>
      <c r="N59" s="223"/>
      <c r="O59" s="223"/>
      <c r="P59" s="223"/>
      <c r="Q59" s="223"/>
      <c r="R59" s="223"/>
      <c r="S59" s="224"/>
      <c r="T59" s="223"/>
      <c r="U59" s="222"/>
    </row>
    <row r="60" spans="2:21" customFormat="1" ht="20" x14ac:dyDescent="0.2">
      <c r="B60" s="228"/>
      <c r="C60" s="6" t="str">
        <f>Calculations!B460</f>
        <v/>
      </c>
      <c r="D60" s="6"/>
      <c r="E60" s="6"/>
      <c r="F60" s="6"/>
      <c r="G60" s="6"/>
      <c r="H60" s="6"/>
      <c r="I60" s="786" t="str">
        <f>Calculations!B114</f>
        <v/>
      </c>
      <c r="J60" s="6"/>
      <c r="K60" s="6"/>
      <c r="L60" s="6" t="str">
        <f>Calculations!B115</f>
        <v/>
      </c>
      <c r="M60" s="6"/>
      <c r="N60" s="6"/>
      <c r="O60" s="6" t="str">
        <f>Calculations!B116</f>
        <v/>
      </c>
      <c r="P60" s="6"/>
      <c r="Q60" s="225">
        <f>+'Costing Sheet'!I$31</f>
        <v>0</v>
      </c>
      <c r="R60" s="225"/>
      <c r="S60" s="221">
        <f>-'Costing Sheet'!K$31</f>
        <v>0</v>
      </c>
      <c r="T60" s="225"/>
      <c r="U60" s="226">
        <f>+Calculations!B$535</f>
        <v>0</v>
      </c>
    </row>
    <row r="61" spans="2:21" customFormat="1" ht="20" x14ac:dyDescent="0.2">
      <c r="B61" s="228"/>
      <c r="C61" s="6"/>
      <c r="D61" s="6"/>
      <c r="E61" s="6"/>
      <c r="F61" s="6"/>
      <c r="G61" s="6"/>
      <c r="H61" s="6"/>
      <c r="I61" s="786"/>
      <c r="J61" s="786" t="str">
        <f>Calculations!B117</f>
        <v/>
      </c>
      <c r="K61" s="786"/>
      <c r="L61" s="786"/>
      <c r="M61" s="786"/>
      <c r="N61" s="786"/>
      <c r="O61" s="786"/>
      <c r="P61" s="786"/>
      <c r="Q61" s="786"/>
      <c r="R61" s="786"/>
      <c r="S61" s="786"/>
      <c r="T61" s="786"/>
      <c r="U61" s="222"/>
    </row>
    <row r="62" spans="2:21" customFormat="1" ht="20" x14ac:dyDescent="0.2">
      <c r="B62" s="228"/>
      <c r="C62" s="6"/>
      <c r="D62" s="6"/>
      <c r="E62" s="6"/>
      <c r="F62" s="6"/>
      <c r="G62" s="6"/>
      <c r="H62" s="6"/>
      <c r="I62" s="223"/>
      <c r="J62" s="786" t="str">
        <f>+Calculations!B120</f>
        <v/>
      </c>
      <c r="K62" s="786"/>
      <c r="L62" s="786"/>
      <c r="M62" s="786"/>
      <c r="N62" s="786"/>
      <c r="O62" s="786"/>
      <c r="P62" s="786"/>
      <c r="Q62" s="786"/>
      <c r="R62" s="786"/>
      <c r="S62" s="786"/>
      <c r="T62" s="786"/>
      <c r="U62" s="222"/>
    </row>
    <row r="63" spans="2:21" customFormat="1" ht="20.25" customHeight="1" x14ac:dyDescent="0.2">
      <c r="B63" s="228"/>
      <c r="C63" s="786" t="str">
        <f>UPPER('Sales Input Sheet'!E55)</f>
        <v/>
      </c>
      <c r="D63" s="786"/>
      <c r="E63" s="786"/>
      <c r="F63" s="786"/>
      <c r="G63" s="786"/>
      <c r="H63" s="786"/>
      <c r="I63" s="786"/>
      <c r="J63" s="786"/>
      <c r="K63" s="786"/>
      <c r="L63" s="786"/>
      <c r="M63" s="786"/>
      <c r="N63" s="786"/>
      <c r="O63" s="786"/>
      <c r="P63" s="786"/>
      <c r="Q63" s="786"/>
      <c r="R63" s="786"/>
      <c r="S63" s="786"/>
      <c r="T63" s="786"/>
      <c r="U63" s="807"/>
    </row>
    <row r="64" spans="2:21" customFormat="1" ht="20.25" customHeight="1" x14ac:dyDescent="0.2">
      <c r="B64" s="228"/>
      <c r="C64" s="786"/>
      <c r="D64" s="786"/>
      <c r="E64" s="786"/>
      <c r="F64" s="786"/>
      <c r="G64" s="786"/>
      <c r="H64" s="786"/>
      <c r="I64" s="786"/>
      <c r="J64" s="786"/>
      <c r="K64" s="786"/>
      <c r="L64" s="786"/>
      <c r="M64" s="786"/>
      <c r="N64" s="786"/>
      <c r="O64" s="786"/>
      <c r="P64" s="786"/>
      <c r="Q64" s="786"/>
      <c r="R64" s="786"/>
      <c r="S64" s="786"/>
      <c r="T64" s="786"/>
      <c r="U64" s="807"/>
    </row>
    <row r="65" spans="2:21" customFormat="1" ht="12" customHeight="1" thickBot="1" x14ac:dyDescent="0.25">
      <c r="B65" s="230"/>
      <c r="C65" s="231"/>
      <c r="D65" s="231"/>
      <c r="E65" s="231"/>
      <c r="F65" s="231"/>
      <c r="G65" s="231"/>
      <c r="H65" s="231"/>
      <c r="I65" s="231"/>
      <c r="J65" s="231"/>
      <c r="K65" s="231"/>
      <c r="L65" s="231"/>
      <c r="M65" s="231"/>
      <c r="N65" s="231"/>
      <c r="O65" s="231"/>
      <c r="P65" s="231"/>
      <c r="Q65" s="232"/>
      <c r="R65" s="232"/>
      <c r="S65" s="233"/>
      <c r="T65" s="232"/>
      <c r="U65" s="234"/>
    </row>
    <row r="66" spans="2:21" s="6" customFormat="1" ht="7" customHeight="1" thickBot="1" x14ac:dyDescent="0.25">
      <c r="B66" s="235"/>
      <c r="C66" s="231"/>
      <c r="D66" s="231"/>
      <c r="E66" s="231"/>
      <c r="F66" s="231"/>
      <c r="G66" s="231"/>
      <c r="H66" s="231"/>
      <c r="I66" s="231"/>
      <c r="J66" s="231"/>
      <c r="K66" s="231"/>
      <c r="L66" s="231"/>
      <c r="M66" s="231"/>
      <c r="N66" s="231"/>
      <c r="O66" s="231"/>
      <c r="P66" s="231"/>
      <c r="Q66" s="231"/>
      <c r="R66" s="231"/>
      <c r="S66" s="233"/>
      <c r="T66" s="231"/>
      <c r="U66" s="236"/>
    </row>
    <row r="67" spans="2:21" s="6" customFormat="1" ht="41.25" customHeight="1" thickBot="1" x14ac:dyDescent="0.25">
      <c r="B67" s="208" t="s">
        <v>283</v>
      </c>
      <c r="C67" s="209"/>
      <c r="D67" s="209"/>
      <c r="E67" s="209"/>
      <c r="F67" s="209"/>
      <c r="G67" s="209"/>
      <c r="H67" s="209"/>
      <c r="I67" s="209" t="s">
        <v>105</v>
      </c>
      <c r="J67" s="209"/>
      <c r="K67" s="209"/>
      <c r="L67" s="209" t="s">
        <v>106</v>
      </c>
      <c r="M67" s="209"/>
      <c r="N67" s="209"/>
      <c r="O67" s="209" t="s">
        <v>282</v>
      </c>
      <c r="P67" s="209"/>
      <c r="Q67" s="209" t="s">
        <v>284</v>
      </c>
      <c r="R67" s="209"/>
      <c r="S67" s="400" t="s">
        <v>331</v>
      </c>
      <c r="T67" s="209"/>
      <c r="U67" s="401" t="s">
        <v>296</v>
      </c>
    </row>
    <row r="68" spans="2:21" s="6" customFormat="1" ht="21" x14ac:dyDescent="0.2">
      <c r="B68" s="214"/>
      <c r="C68" s="215"/>
      <c r="D68" s="215"/>
      <c r="E68" s="215"/>
      <c r="F68" s="215"/>
      <c r="G68" s="215"/>
      <c r="H68" s="215"/>
      <c r="I68" s="215" t="str">
        <f>+Calculations!B504</f>
        <v/>
      </c>
      <c r="J68" s="215"/>
      <c r="K68" s="215"/>
      <c r="L68" s="215" t="str">
        <f>+Calculations!B506</f>
        <v/>
      </c>
      <c r="M68" s="215"/>
      <c r="N68" s="215"/>
      <c r="O68" s="215" t="str">
        <f>+Calculations!B502</f>
        <v/>
      </c>
      <c r="P68" s="215"/>
      <c r="Q68" s="239" t="str">
        <f>Calculations!B514</f>
        <v/>
      </c>
      <c r="R68" s="215"/>
      <c r="S68" s="217">
        <f>Calculations!B498</f>
        <v>0</v>
      </c>
      <c r="T68" s="217"/>
      <c r="U68" s="219">
        <f>Calculations!B500</f>
        <v>0</v>
      </c>
    </row>
    <row r="69" spans="2:21" s="6" customFormat="1" ht="21" x14ac:dyDescent="0.2">
      <c r="B69" s="202"/>
      <c r="I69" s="6" t="str">
        <f>+Calculations!B694</f>
        <v/>
      </c>
      <c r="L69" s="6" t="str">
        <f>+Calculations!B698</f>
        <v/>
      </c>
      <c r="O69" s="6" t="str">
        <f>+Calculations!B690</f>
        <v/>
      </c>
      <c r="Q69" s="240" t="str">
        <f>+Calculations!B678</f>
        <v/>
      </c>
      <c r="S69" s="225">
        <f>+Calculations!B682</f>
        <v>0</v>
      </c>
      <c r="T69" s="225"/>
      <c r="U69" s="226">
        <f>+Calculations!B686</f>
        <v>0</v>
      </c>
    </row>
    <row r="70" spans="2:21" s="6" customFormat="1" ht="21" x14ac:dyDescent="0.2">
      <c r="B70" s="202"/>
      <c r="I70" s="6" t="str">
        <f>+Calculations!B695</f>
        <v/>
      </c>
      <c r="L70" s="6" t="str">
        <f>+Calculations!B699</f>
        <v/>
      </c>
      <c r="O70" s="6" t="str">
        <f>+Calculations!B691</f>
        <v/>
      </c>
      <c r="Q70" s="240" t="str">
        <f>+Calculations!B679</f>
        <v/>
      </c>
      <c r="S70" s="225">
        <f>+Calculations!B683</f>
        <v>0</v>
      </c>
      <c r="T70" s="225"/>
      <c r="U70" s="226">
        <f>+Calculations!B687</f>
        <v>0</v>
      </c>
    </row>
    <row r="71" spans="2:21" s="6" customFormat="1" ht="21" x14ac:dyDescent="0.2">
      <c r="B71" s="202"/>
      <c r="I71" s="6" t="str">
        <f>+Calculations!B696</f>
        <v/>
      </c>
      <c r="L71" s="6" t="str">
        <f>+Calculations!B700</f>
        <v/>
      </c>
      <c r="O71" s="6" t="str">
        <f>+Calculations!B692</f>
        <v/>
      </c>
      <c r="Q71" s="240" t="str">
        <f>+Calculations!B680</f>
        <v/>
      </c>
      <c r="S71" s="225">
        <f>+Calculations!B684</f>
        <v>0</v>
      </c>
      <c r="T71" s="225"/>
      <c r="U71" s="226">
        <f>+Calculations!B688</f>
        <v>0</v>
      </c>
    </row>
    <row r="72" spans="2:21" s="6" customFormat="1" ht="21" x14ac:dyDescent="0.2">
      <c r="B72" s="202"/>
      <c r="I72" s="6" t="str">
        <f>+Calculations!B697</f>
        <v/>
      </c>
      <c r="L72" s="6" t="str">
        <f>+Calculations!B701</f>
        <v/>
      </c>
      <c r="O72" s="6" t="str">
        <f>+Calculations!B693</f>
        <v/>
      </c>
      <c r="Q72" s="240" t="str">
        <f>+Calculations!B681</f>
        <v/>
      </c>
      <c r="S72" s="225">
        <f>+Calculations!B685</f>
        <v>0</v>
      </c>
      <c r="T72" s="225"/>
      <c r="U72" s="226">
        <f>+Calculations!B689</f>
        <v>0</v>
      </c>
    </row>
    <row r="73" spans="2:21" s="6" customFormat="1" ht="24" customHeight="1" thickBot="1" x14ac:dyDescent="0.25">
      <c r="B73" s="235"/>
      <c r="C73" s="231"/>
      <c r="D73" s="231"/>
      <c r="E73" s="231"/>
      <c r="F73" s="231"/>
      <c r="G73" s="231"/>
      <c r="H73" s="231"/>
      <c r="I73" s="231" t="str">
        <f>+Calculations!B505</f>
        <v/>
      </c>
      <c r="J73" s="231"/>
      <c r="K73" s="231"/>
      <c r="L73" s="231" t="str">
        <f>+Calculations!B507</f>
        <v/>
      </c>
      <c r="M73" s="231"/>
      <c r="N73" s="231"/>
      <c r="O73" s="231" t="str">
        <f>+Calculations!B503</f>
        <v/>
      </c>
      <c r="P73" s="231"/>
      <c r="Q73" s="241" t="str">
        <f>Calculations!B515</f>
        <v/>
      </c>
      <c r="R73" s="231"/>
      <c r="S73" s="232">
        <f>Calculations!B499</f>
        <v>0</v>
      </c>
      <c r="T73" s="232"/>
      <c r="U73" s="234">
        <f>Calculations!B501</f>
        <v>0</v>
      </c>
    </row>
    <row r="74" spans="2:21" s="6" customFormat="1" ht="5.25" customHeight="1" x14ac:dyDescent="0.2">
      <c r="S74" s="221"/>
    </row>
    <row r="75" spans="2:21" s="6" customFormat="1" ht="8.25" customHeight="1" x14ac:dyDescent="0.2">
      <c r="S75" s="221"/>
    </row>
    <row r="76" spans="2:21" s="6" customFormat="1" ht="23" x14ac:dyDescent="0.25">
      <c r="J76" s="269" t="str">
        <f>+Q2</f>
        <v/>
      </c>
      <c r="K76" s="269"/>
      <c r="L76" s="269"/>
      <c r="M76" s="269"/>
      <c r="N76" s="269"/>
      <c r="O76" s="269"/>
      <c r="S76" s="221"/>
      <c r="U76" s="270"/>
    </row>
    <row r="77" spans="2:21" s="6" customFormat="1" ht="20" x14ac:dyDescent="0.2">
      <c r="J77" s="841" t="str">
        <f>+Q4</f>
        <v/>
      </c>
      <c r="K77" s="841"/>
      <c r="L77" s="841"/>
      <c r="M77" s="841"/>
      <c r="N77" s="841"/>
      <c r="O77" s="841"/>
      <c r="S77" s="221"/>
      <c r="U77" s="270"/>
    </row>
    <row r="78" spans="2:21" s="6" customFormat="1" ht="20" x14ac:dyDescent="0.2">
      <c r="J78" s="841" t="str">
        <f>+Q5</f>
        <v/>
      </c>
      <c r="K78" s="841"/>
      <c r="L78" s="841"/>
      <c r="M78" s="841"/>
      <c r="N78" s="841"/>
      <c r="O78" s="841"/>
      <c r="Q78" s="6" t="str">
        <f>+Q15</f>
        <v>SALES PERSON</v>
      </c>
      <c r="S78" s="785" t="str">
        <f>+S15</f>
        <v/>
      </c>
      <c r="T78" s="785"/>
      <c r="U78" s="785"/>
    </row>
    <row r="79" spans="2:21" s="6" customFormat="1" ht="20" x14ac:dyDescent="0.2">
      <c r="J79" s="841" t="str">
        <f>+Q10</f>
        <v/>
      </c>
      <c r="K79" s="841"/>
      <c r="L79" s="841"/>
      <c r="M79" s="841"/>
      <c r="N79" s="841"/>
      <c r="O79" s="841"/>
      <c r="S79" s="221"/>
      <c r="U79" s="270"/>
    </row>
    <row r="80" spans="2:21" s="6" customFormat="1" ht="20" x14ac:dyDescent="0.2">
      <c r="Q80" s="6" t="str">
        <f>+UPPER('Costing Sheet'!$C$17)</f>
        <v/>
      </c>
      <c r="S80" s="270"/>
    </row>
    <row r="81" spans="2:24" s="6" customFormat="1" ht="20" x14ac:dyDescent="0.2">
      <c r="C81" s="842" t="str">
        <f>+C12</f>
        <v/>
      </c>
      <c r="D81" s="842"/>
      <c r="E81" s="842"/>
      <c r="F81" s="842"/>
      <c r="Q81" s="221" t="s">
        <v>304</v>
      </c>
      <c r="S81" s="842">
        <f>+'Costing Sheet'!$C$13</f>
        <v>0</v>
      </c>
      <c r="T81" s="842"/>
      <c r="U81" s="842"/>
    </row>
    <row r="82" spans="2:24" s="6" customFormat="1" ht="20" x14ac:dyDescent="0.2">
      <c r="C82" s="842" t="str">
        <f>+C13</f>
        <v xml:space="preserve">  </v>
      </c>
      <c r="D82" s="842"/>
      <c r="E82" s="842"/>
      <c r="F82" s="842"/>
      <c r="Q82" s="221" t="s">
        <v>305</v>
      </c>
      <c r="S82" s="843">
        <f>'Costing Sheet'!$C$11</f>
        <v>0</v>
      </c>
      <c r="T82" s="843"/>
      <c r="U82" s="843"/>
    </row>
    <row r="83" spans="2:24" s="6" customFormat="1" ht="23" thickBot="1" x14ac:dyDescent="0.35">
      <c r="B83" s="240"/>
      <c r="C83" s="273">
        <f>+'Costing Sheet'!C19</f>
        <v>0</v>
      </c>
      <c r="D83" s="274"/>
      <c r="E83" s="274"/>
      <c r="F83" s="852">
        <f>+'Costing Sheet'!E19</f>
        <v>0</v>
      </c>
      <c r="G83" s="852"/>
      <c r="H83" s="852"/>
      <c r="I83" s="852"/>
      <c r="J83" s="852"/>
      <c r="K83" s="852"/>
      <c r="L83" s="852"/>
      <c r="O83" s="6" t="str">
        <f>UPPER('Costing Sheet'!C17)</f>
        <v/>
      </c>
      <c r="Q83" s="898" t="str">
        <f>UPPER('Costing Sheet'!E17)</f>
        <v/>
      </c>
      <c r="R83" s="898"/>
      <c r="S83" s="898"/>
      <c r="V83" s="223"/>
    </row>
    <row r="84" spans="2:24" s="6" customFormat="1" ht="28" customHeight="1" thickBot="1" x14ac:dyDescent="0.25">
      <c r="B84" s="954" t="s">
        <v>353</v>
      </c>
      <c r="C84" s="955"/>
      <c r="D84" s="955"/>
      <c r="E84" s="955"/>
      <c r="F84" s="955"/>
      <c r="G84" s="955"/>
      <c r="H84" s="955"/>
      <c r="I84" s="955"/>
      <c r="J84" s="955"/>
      <c r="K84" s="955"/>
      <c r="L84" s="955"/>
      <c r="M84" s="955"/>
      <c r="N84" s="955"/>
      <c r="O84" s="955"/>
      <c r="P84" s="955"/>
      <c r="Q84" s="955"/>
      <c r="R84" s="955"/>
      <c r="S84" s="955"/>
      <c r="T84" s="955"/>
      <c r="U84" s="956"/>
      <c r="V84" s="223"/>
    </row>
    <row r="85" spans="2:24" s="6" customFormat="1" ht="18" customHeight="1" x14ac:dyDescent="0.2">
      <c r="B85" s="214"/>
      <c r="C85" s="215"/>
      <c r="D85" s="215"/>
      <c r="E85" s="215"/>
      <c r="F85" s="354"/>
      <c r="I85" s="402"/>
      <c r="J85" s="215"/>
      <c r="K85" s="215"/>
      <c r="L85" s="354"/>
      <c r="O85" s="214"/>
      <c r="P85" s="215"/>
      <c r="Q85" s="403"/>
      <c r="R85" s="223"/>
      <c r="S85" s="404"/>
      <c r="T85" s="263"/>
      <c r="U85" s="403"/>
      <c r="V85" s="223"/>
    </row>
    <row r="86" spans="2:24" s="6" customFormat="1" ht="106" thickBot="1" x14ac:dyDescent="0.25">
      <c r="B86" s="957" t="s">
        <v>289</v>
      </c>
      <c r="C86" s="958"/>
      <c r="D86" s="405"/>
      <c r="E86" s="406"/>
      <c r="F86" s="407">
        <f>+Calculations!B310+SUM(Invoice!F91:F100)-SUM(F91:F100)</f>
        <v>0</v>
      </c>
      <c r="G86" s="408"/>
      <c r="H86" s="409"/>
      <c r="I86" s="959" t="s">
        <v>339</v>
      </c>
      <c r="J86" s="960"/>
      <c r="K86" s="409"/>
      <c r="L86" s="411">
        <f>+Calculations!B320</f>
        <v>0</v>
      </c>
      <c r="M86" s="409"/>
      <c r="N86" s="409"/>
      <c r="O86" s="412" t="s">
        <v>340</v>
      </c>
      <c r="P86" s="409"/>
      <c r="Q86" s="413">
        <f>Calculations!B437</f>
        <v>0</v>
      </c>
      <c r="R86" s="224"/>
      <c r="S86" s="414" t="s">
        <v>341</v>
      </c>
      <c r="T86" s="221"/>
      <c r="U86" s="415">
        <f>+Calculations!B436</f>
        <v>0</v>
      </c>
      <c r="V86" s="223"/>
    </row>
    <row r="87" spans="2:24" s="6" customFormat="1" ht="20.25" customHeight="1" x14ac:dyDescent="0.2">
      <c r="B87" s="961" t="str">
        <f>IF(F87=0,"","DISCOUNT")</f>
        <v/>
      </c>
      <c r="C87" s="962"/>
      <c r="D87" s="270"/>
      <c r="E87" s="409"/>
      <c r="F87" s="277">
        <f>-Calculations!B311</f>
        <v>0</v>
      </c>
      <c r="G87" s="408"/>
      <c r="H87" s="409"/>
      <c r="I87" s="417" t="s">
        <v>298</v>
      </c>
      <c r="J87" s="409"/>
      <c r="K87" s="409"/>
      <c r="L87" s="277">
        <f>+Calculations!B302</f>
        <v>0</v>
      </c>
      <c r="M87" s="409"/>
      <c r="N87" s="409"/>
      <c r="O87" s="418" t="s">
        <v>342</v>
      </c>
      <c r="P87" s="409"/>
      <c r="Q87" s="289">
        <f>+'Costing Sheet'!Q15</f>
        <v>0</v>
      </c>
      <c r="R87" s="221"/>
      <c r="S87" s="419"/>
      <c r="T87" s="221"/>
      <c r="U87" s="420"/>
    </row>
    <row r="88" spans="2:24" s="6" customFormat="1" ht="20.25" customHeight="1" x14ac:dyDescent="0.2">
      <c r="B88" s="957" t="str">
        <f>_xlfn.CONCAT("SELLING PRICE",IF(B87="",""," NET"))</f>
        <v>SELLING PRICE</v>
      </c>
      <c r="C88" s="958"/>
      <c r="D88" s="270"/>
      <c r="E88" s="409"/>
      <c r="F88" s="407">
        <f>+Calculations!B312+SUM(Invoice!F91:F100)-SUM(F91:F100)</f>
        <v>0</v>
      </c>
      <c r="G88" s="421"/>
      <c r="H88" s="409"/>
      <c r="I88" s="417"/>
      <c r="J88" s="409"/>
      <c r="K88" s="409"/>
      <c r="L88" s="422"/>
      <c r="M88" s="409"/>
      <c r="N88" s="409"/>
      <c r="O88" s="417" t="s">
        <v>94</v>
      </c>
      <c r="P88" s="409"/>
      <c r="Q88" s="277">
        <f>+'Costing Sheet'!Q13</f>
        <v>0</v>
      </c>
      <c r="R88" s="221"/>
      <c r="S88" s="419" t="s">
        <v>343</v>
      </c>
      <c r="T88" s="221"/>
      <c r="U88" s="420"/>
    </row>
    <row r="89" spans="2:24" s="6" customFormat="1" ht="20.25" customHeight="1" x14ac:dyDescent="0.2">
      <c r="B89" s="961" t="s">
        <v>331</v>
      </c>
      <c r="C89" s="962"/>
      <c r="D89" s="270"/>
      <c r="E89" s="409"/>
      <c r="F89" s="277">
        <f>-Calculations!B315</f>
        <v>0</v>
      </c>
      <c r="G89" s="408"/>
      <c r="H89" s="409"/>
      <c r="I89" s="417" t="s">
        <v>300</v>
      </c>
      <c r="J89" s="409"/>
      <c r="K89" s="409"/>
      <c r="L89" s="277">
        <f>+'Costing Sheet'!Q3</f>
        <v>0</v>
      </c>
      <c r="M89" s="409"/>
      <c r="N89" s="409"/>
      <c r="O89" s="417" t="str">
        <f>+Calculations!B403</f>
        <v xml:space="preserve"> SALES TAX</v>
      </c>
      <c r="P89" s="409"/>
      <c r="Q89" s="422">
        <f>+Calculations!B405</f>
        <v>0</v>
      </c>
      <c r="R89" s="221"/>
      <c r="S89" s="862" t="s">
        <v>344</v>
      </c>
      <c r="T89" s="221"/>
      <c r="U89" s="963">
        <f>-'Costing Sheet'!Q17</f>
        <v>0</v>
      </c>
      <c r="X89" s="283"/>
    </row>
    <row r="90" spans="2:24" s="6" customFormat="1" ht="20.25" customHeight="1" x14ac:dyDescent="0.2">
      <c r="B90" s="961" t="s">
        <v>296</v>
      </c>
      <c r="C90" s="962"/>
      <c r="D90" s="270"/>
      <c r="E90" s="409"/>
      <c r="F90" s="277">
        <f>+Calculations!B316</f>
        <v>0</v>
      </c>
      <c r="G90" s="408"/>
      <c r="H90" s="409"/>
      <c r="I90" s="417" t="s">
        <v>301</v>
      </c>
      <c r="J90" s="409"/>
      <c r="K90" s="409"/>
      <c r="L90" s="277">
        <f>+'Costing Sheet'!Q5</f>
        <v>0</v>
      </c>
      <c r="M90" s="409"/>
      <c r="N90" s="409"/>
      <c r="O90" s="417" t="str">
        <f>+Calculations!B399</f>
        <v/>
      </c>
      <c r="P90" s="409"/>
      <c r="Q90" s="422">
        <f>+Calculations!B412</f>
        <v>0</v>
      </c>
      <c r="R90" s="221"/>
      <c r="S90" s="862"/>
      <c r="U90" s="963"/>
    </row>
    <row r="91" spans="2:24" s="6" customFormat="1" ht="40" customHeight="1" x14ac:dyDescent="0.2">
      <c r="B91" s="961" t="str">
        <f>IF(ISNUMBER(SEARCH("Kubota",Calculations!B640)),Calculations!B640,"")</f>
        <v/>
      </c>
      <c r="C91" s="962"/>
      <c r="D91" s="270"/>
      <c r="E91" s="409"/>
      <c r="F91" s="424" t="str">
        <f>IF(B91="","",+Calculations!B232)</f>
        <v/>
      </c>
      <c r="G91" s="409"/>
      <c r="H91" s="409"/>
      <c r="I91" s="417" t="s">
        <v>291</v>
      </c>
      <c r="J91" s="409"/>
      <c r="K91" s="409"/>
      <c r="L91" s="277">
        <f>+Calculations!B386</f>
        <v>0</v>
      </c>
      <c r="M91" s="409"/>
      <c r="N91" s="409"/>
      <c r="O91" s="862" t="str">
        <f>+Calculations!B406</f>
        <v xml:space="preserve"> COUNTY SALES TAX  OUT OF STATE OR NO COUNTY WAS SPECIFIED FOR CUSTOMER</v>
      </c>
      <c r="P91" s="409"/>
      <c r="Q91" s="964">
        <f>+Calculations!B413</f>
        <v>0</v>
      </c>
      <c r="R91" s="221"/>
      <c r="S91" s="862"/>
      <c r="T91" s="221"/>
      <c r="U91" s="963"/>
    </row>
    <row r="92" spans="2:24" s="6" customFormat="1" ht="40" customHeight="1" x14ac:dyDescent="0.2">
      <c r="B92" s="961" t="str">
        <f>IF(ISNUMBER(SEARCH("Kubota",Calculations!B641)),Calculations!B641,"")</f>
        <v/>
      </c>
      <c r="C92" s="962"/>
      <c r="D92" s="270"/>
      <c r="E92" s="409"/>
      <c r="F92" s="424" t="str">
        <f>IF(B92="","",+Calculations!B233)</f>
        <v/>
      </c>
      <c r="G92" s="409"/>
      <c r="H92" s="409"/>
      <c r="I92" s="417"/>
      <c r="J92" s="409"/>
      <c r="K92" s="409"/>
      <c r="L92" s="277"/>
      <c r="M92" s="409"/>
      <c r="N92" s="409"/>
      <c r="O92" s="862"/>
      <c r="P92" s="409"/>
      <c r="Q92" s="964"/>
      <c r="R92" s="221"/>
      <c r="S92" s="862"/>
      <c r="T92" s="221"/>
      <c r="U92" s="963"/>
    </row>
    <row r="93" spans="2:24" s="6" customFormat="1" ht="40" customHeight="1" x14ac:dyDescent="0.2">
      <c r="B93" s="961" t="str">
        <f>IF(ISNUMBER(SEARCH("Kubota",Calculations!B642)),Calculations!B642,"")</f>
        <v/>
      </c>
      <c r="C93" s="962"/>
      <c r="D93" s="270"/>
      <c r="E93" s="409"/>
      <c r="F93" s="424" t="str">
        <f>IF(B93="","",+Calculations!B234)</f>
        <v/>
      </c>
      <c r="G93" s="409"/>
      <c r="H93" s="409"/>
      <c r="I93" s="417"/>
      <c r="J93" s="409"/>
      <c r="K93" s="409"/>
      <c r="L93" s="277"/>
      <c r="M93" s="409"/>
      <c r="N93" s="409"/>
      <c r="O93" s="862"/>
      <c r="P93" s="409"/>
      <c r="Q93" s="964"/>
      <c r="R93" s="221"/>
      <c r="S93" s="862"/>
      <c r="T93" s="221"/>
      <c r="U93" s="963"/>
    </row>
    <row r="94" spans="2:24" s="6" customFormat="1" ht="40" customHeight="1" x14ac:dyDescent="0.2">
      <c r="B94" s="961" t="str">
        <f>IF(ISNUMBER(SEARCH("Kubota",Calculations!B643)),Calculations!B643,"")</f>
        <v/>
      </c>
      <c r="C94" s="962"/>
      <c r="D94" s="270"/>
      <c r="E94" s="409"/>
      <c r="F94" s="424" t="str">
        <f>IF(B94="","",+Calculations!B235)</f>
        <v/>
      </c>
      <c r="G94" s="409"/>
      <c r="H94" s="409"/>
      <c r="I94" s="417"/>
      <c r="J94" s="409"/>
      <c r="K94" s="409"/>
      <c r="L94" s="277"/>
      <c r="M94" s="409"/>
      <c r="N94" s="409"/>
      <c r="O94" s="862"/>
      <c r="P94" s="409"/>
      <c r="Q94" s="964"/>
      <c r="R94" s="221"/>
      <c r="S94" s="862" t="s">
        <v>345</v>
      </c>
      <c r="T94" s="221"/>
      <c r="U94" s="963">
        <f>-'Costing Sheet'!Q19</f>
        <v>0</v>
      </c>
    </row>
    <row r="95" spans="2:24" s="6" customFormat="1" ht="40" customHeight="1" x14ac:dyDescent="0.2">
      <c r="B95" s="961" t="str">
        <f>IF(ISNUMBER(SEARCH("Kubota",Calculations!B644)),Calculations!B644,"")</f>
        <v/>
      </c>
      <c r="C95" s="962"/>
      <c r="D95" s="270"/>
      <c r="E95" s="409"/>
      <c r="F95" s="424" t="str">
        <f>IF(B95="","",+Calculations!B236)</f>
        <v/>
      </c>
      <c r="G95" s="409"/>
      <c r="H95" s="409"/>
      <c r="I95" s="417"/>
      <c r="J95" s="409"/>
      <c r="K95" s="409"/>
      <c r="L95" s="277"/>
      <c r="M95" s="409"/>
      <c r="N95" s="409"/>
      <c r="O95" s="417"/>
      <c r="P95" s="409"/>
      <c r="Q95" s="422"/>
      <c r="R95" s="221"/>
      <c r="S95" s="862"/>
      <c r="T95" s="221"/>
      <c r="U95" s="963"/>
    </row>
    <row r="96" spans="2:24" s="6" customFormat="1" ht="40" customHeight="1" x14ac:dyDescent="0.2">
      <c r="B96" s="961" t="str">
        <f>IF(ISNUMBER(SEARCH("Kubota",Calculations!B645)),Calculations!B645,"")</f>
        <v/>
      </c>
      <c r="C96" s="962"/>
      <c r="D96" s="270"/>
      <c r="E96" s="409"/>
      <c r="F96" s="424" t="str">
        <f>IF(B96="","",+Calculations!B237)</f>
        <v/>
      </c>
      <c r="G96" s="409"/>
      <c r="H96" s="409"/>
      <c r="I96" s="417" t="s">
        <v>293</v>
      </c>
      <c r="J96" s="409"/>
      <c r="K96" s="409"/>
      <c r="L96" s="277">
        <f>+Calculations!B385</f>
        <v>0</v>
      </c>
      <c r="M96" s="409"/>
      <c r="N96" s="409"/>
      <c r="O96" s="862" t="str">
        <f>+Calculations!B414</f>
        <v/>
      </c>
      <c r="P96" s="409"/>
      <c r="Q96" s="964">
        <f>+Calculations!B407</f>
        <v>0</v>
      </c>
      <c r="R96" s="221"/>
      <c r="S96" s="862"/>
      <c r="T96" s="221"/>
      <c r="U96" s="963"/>
    </row>
    <row r="97" spans="1:53" s="6" customFormat="1" ht="40" customHeight="1" x14ac:dyDescent="0.2">
      <c r="B97" s="961" t="str">
        <f>IF(ISNUMBER(SEARCH("Kubota",Calculations!B646)),Calculations!B646,"")</f>
        <v/>
      </c>
      <c r="C97" s="962"/>
      <c r="D97" s="270"/>
      <c r="E97" s="409"/>
      <c r="F97" s="424" t="str">
        <f>IF(B97="","",+Calculations!B238)</f>
        <v/>
      </c>
      <c r="G97" s="409"/>
      <c r="H97" s="409"/>
      <c r="I97" s="417"/>
      <c r="J97" s="409"/>
      <c r="K97" s="409"/>
      <c r="L97" s="277"/>
      <c r="M97" s="409"/>
      <c r="N97" s="409"/>
      <c r="O97" s="862"/>
      <c r="P97" s="409"/>
      <c r="Q97" s="964"/>
      <c r="R97" s="221"/>
      <c r="S97" s="862"/>
      <c r="T97" s="221"/>
      <c r="U97" s="963"/>
    </row>
    <row r="98" spans="1:53" s="6" customFormat="1" ht="40" customHeight="1" x14ac:dyDescent="0.2">
      <c r="B98" s="961" t="str">
        <f>IF(ISNUMBER(SEARCH("Kubota",Calculations!B647)),Calculations!B647,"")</f>
        <v/>
      </c>
      <c r="C98" s="962"/>
      <c r="D98" s="270"/>
      <c r="E98" s="409"/>
      <c r="F98" s="424" t="str">
        <f>IF(B98="","",+Calculations!B239)</f>
        <v/>
      </c>
      <c r="G98" s="409"/>
      <c r="H98" s="409"/>
      <c r="I98" s="417"/>
      <c r="J98" s="409"/>
      <c r="K98" s="409"/>
      <c r="L98" s="277"/>
      <c r="M98" s="409"/>
      <c r="N98" s="409"/>
      <c r="O98" s="862"/>
      <c r="P98" s="409"/>
      <c r="Q98" s="964"/>
      <c r="R98" s="221"/>
      <c r="S98" s="419"/>
      <c r="T98" s="221"/>
      <c r="U98" s="420"/>
    </row>
    <row r="99" spans="1:53" s="6" customFormat="1" ht="40" customHeight="1" x14ac:dyDescent="0.2">
      <c r="B99" s="961" t="str">
        <f>IF(ISNUMBER(SEARCH("Kubota",Calculations!B648)),Calculations!B648,"")</f>
        <v/>
      </c>
      <c r="C99" s="962"/>
      <c r="D99" s="270"/>
      <c r="E99" s="409"/>
      <c r="F99" s="424" t="str">
        <f>IF(B99="","",+Calculations!B240)</f>
        <v/>
      </c>
      <c r="G99" s="409"/>
      <c r="H99" s="409"/>
      <c r="I99" s="417"/>
      <c r="J99" s="409"/>
      <c r="K99" s="409"/>
      <c r="L99" s="277"/>
      <c r="M99" s="409"/>
      <c r="N99" s="409"/>
      <c r="O99" s="862"/>
      <c r="P99" s="409"/>
      <c r="Q99" s="964"/>
      <c r="R99" s="221"/>
      <c r="S99" s="419"/>
      <c r="T99" s="221"/>
      <c r="U99" s="420"/>
    </row>
    <row r="100" spans="1:53" s="6" customFormat="1" ht="40" customHeight="1" x14ac:dyDescent="0.2">
      <c r="B100" s="961" t="str">
        <f>IF(ISNUMBER(SEARCH("Kubota",Calculations!B649)),Calculations!B649,"")</f>
        <v/>
      </c>
      <c r="C100" s="962"/>
      <c r="D100" s="270"/>
      <c r="E100" s="409"/>
      <c r="F100" s="424" t="str">
        <f>IF(B100="","",+Calculations!B241)</f>
        <v/>
      </c>
      <c r="G100" s="409"/>
      <c r="H100" s="409"/>
      <c r="I100" s="417"/>
      <c r="J100" s="409"/>
      <c r="K100" s="409"/>
      <c r="L100" s="277"/>
      <c r="M100" s="409"/>
      <c r="N100" s="409"/>
      <c r="O100" s="965" t="str">
        <f>Calculations!$B$653</f>
        <v/>
      </c>
      <c r="P100" s="966"/>
      <c r="Q100" s="967"/>
      <c r="R100" s="221"/>
      <c r="S100" s="419"/>
      <c r="T100" s="221"/>
      <c r="U100" s="420"/>
    </row>
    <row r="101" spans="1:53" s="6" customFormat="1" ht="45" customHeight="1" thickBot="1" x14ac:dyDescent="0.25">
      <c r="B101" s="961" t="str">
        <f>+Calculations!B417</f>
        <v/>
      </c>
      <c r="C101" s="962"/>
      <c r="D101" s="270"/>
      <c r="E101" s="409"/>
      <c r="F101" s="425">
        <f>+Calculations!B421</f>
        <v>0</v>
      </c>
      <c r="G101" s="409"/>
      <c r="H101" s="409"/>
      <c r="I101" s="417" t="s">
        <v>346</v>
      </c>
      <c r="J101" s="409"/>
      <c r="K101" s="409"/>
      <c r="L101" s="426">
        <f>+Calculations!B439</f>
        <v>0</v>
      </c>
      <c r="M101" s="409"/>
      <c r="N101" s="409"/>
      <c r="O101" s="417" t="str">
        <f>Calculations!B651</f>
        <v/>
      </c>
      <c r="P101" s="427"/>
      <c r="Q101" s="426">
        <f>-Calculations!B318</f>
        <v>0</v>
      </c>
      <c r="R101" s="221"/>
      <c r="S101" s="419"/>
      <c r="T101" s="221"/>
      <c r="U101" s="428"/>
    </row>
    <row r="102" spans="1:53" s="6" customFormat="1" ht="90" customHeight="1" thickBot="1" x14ac:dyDescent="0.25">
      <c r="B102" s="959" t="s">
        <v>339</v>
      </c>
      <c r="C102" s="960"/>
      <c r="D102" s="410"/>
      <c r="E102" s="429"/>
      <c r="F102" s="411">
        <f>+Calculations!B320</f>
        <v>0</v>
      </c>
      <c r="G102" s="430"/>
      <c r="H102" s="431"/>
      <c r="I102" s="414" t="s">
        <v>340</v>
      </c>
      <c r="J102" s="431"/>
      <c r="K102" s="431"/>
      <c r="L102" s="432">
        <f>+Calculations!B437</f>
        <v>0</v>
      </c>
      <c r="M102" s="431"/>
      <c r="N102" s="431"/>
      <c r="O102" s="414" t="s">
        <v>341</v>
      </c>
      <c r="P102" s="431"/>
      <c r="Q102" s="413">
        <f>+Calculations!B436</f>
        <v>0</v>
      </c>
      <c r="R102" s="304"/>
      <c r="S102" s="414" t="s">
        <v>347</v>
      </c>
      <c r="T102" s="429"/>
      <c r="U102" s="415">
        <f>+Calculations!B438</f>
        <v>0</v>
      </c>
      <c r="X102" s="283"/>
    </row>
    <row r="103" spans="1:53" s="1" customFormat="1" ht="20.25" customHeight="1" x14ac:dyDescent="0.2">
      <c r="B103" s="968" t="s">
        <v>303</v>
      </c>
      <c r="C103" s="968"/>
      <c r="D103" s="968"/>
      <c r="E103" s="968"/>
      <c r="F103" s="968"/>
      <c r="G103" s="968"/>
      <c r="H103" s="968"/>
      <c r="I103" s="968"/>
      <c r="J103" s="968"/>
      <c r="K103" s="968"/>
      <c r="L103" s="968"/>
      <c r="M103" s="968"/>
      <c r="N103" s="968"/>
      <c r="O103" s="968"/>
      <c r="P103" s="968"/>
      <c r="Q103" s="968"/>
      <c r="R103" s="968"/>
      <c r="S103" s="968"/>
      <c r="T103" s="968"/>
      <c r="U103" s="968"/>
    </row>
    <row r="104" spans="1:53" s="1" customFormat="1" ht="72" customHeight="1" x14ac:dyDescent="0.2">
      <c r="B104" s="861" t="s">
        <v>348</v>
      </c>
      <c r="C104" s="861"/>
      <c r="D104" s="861"/>
      <c r="E104" s="861"/>
      <c r="F104" s="861"/>
      <c r="G104" s="861"/>
      <c r="H104" s="861"/>
      <c r="I104" s="861"/>
      <c r="J104" s="861"/>
      <c r="K104" s="861"/>
      <c r="L104" s="861"/>
      <c r="M104" s="861"/>
      <c r="N104" s="861"/>
      <c r="O104" s="861"/>
      <c r="P104" s="861"/>
      <c r="Q104" s="861"/>
      <c r="R104" s="861"/>
      <c r="S104" s="861"/>
      <c r="T104" s="861"/>
      <c r="U104" s="861"/>
    </row>
    <row r="105" spans="1:53" s="1" customFormat="1" ht="37" customHeight="1" x14ac:dyDescent="0.2">
      <c r="B105" s="861" t="s">
        <v>354</v>
      </c>
      <c r="C105" s="861"/>
      <c r="D105" s="861"/>
      <c r="E105" s="861"/>
      <c r="F105" s="861"/>
      <c r="G105" s="861"/>
      <c r="H105" s="861"/>
      <c r="I105" s="861"/>
      <c r="J105" s="861"/>
      <c r="K105" s="861"/>
      <c r="L105" s="861"/>
      <c r="M105" s="861"/>
      <c r="N105" s="861"/>
      <c r="O105" s="861"/>
      <c r="P105" s="861"/>
      <c r="Q105" s="861"/>
      <c r="R105" s="861"/>
      <c r="S105" s="861"/>
      <c r="T105" s="861"/>
      <c r="U105" s="861"/>
    </row>
    <row r="106" spans="1:53" s="9" customFormat="1" x14ac:dyDescent="0.2">
      <c r="A106" s="16"/>
      <c r="B106" s="436"/>
      <c r="C106" s="436"/>
      <c r="D106" s="436"/>
      <c r="E106" s="436"/>
      <c r="F106" s="436"/>
      <c r="G106" s="436"/>
      <c r="H106" s="436"/>
      <c r="I106" s="437"/>
      <c r="J106" s="437"/>
      <c r="K106" s="437"/>
      <c r="L106" s="107"/>
      <c r="M106" s="16"/>
      <c r="N106" s="437"/>
      <c r="O106" s="437"/>
      <c r="P106" s="437"/>
      <c r="Q106" s="437"/>
      <c r="R106" s="437"/>
      <c r="S106" s="438"/>
      <c r="T106" s="437"/>
      <c r="U106" s="437"/>
      <c r="AT106" s="16"/>
      <c r="AU106" s="16"/>
      <c r="AV106" s="16"/>
      <c r="AW106" s="16"/>
      <c r="AX106" s="16"/>
      <c r="AY106" s="16"/>
      <c r="AZ106" s="16"/>
      <c r="BA106" s="16"/>
    </row>
    <row r="107" spans="1:53" s="9" customFormat="1" x14ac:dyDescent="0.2">
      <c r="A107" s="16"/>
      <c r="B107" s="16" t="s">
        <v>351</v>
      </c>
      <c r="C107" s="16"/>
      <c r="D107" s="16"/>
      <c r="E107" s="16"/>
      <c r="F107" s="16"/>
      <c r="G107" s="16"/>
      <c r="H107" s="16"/>
      <c r="I107" s="178"/>
      <c r="J107" s="178"/>
      <c r="K107" s="178"/>
      <c r="L107" s="178"/>
      <c r="M107" s="178"/>
      <c r="N107" s="178"/>
      <c r="O107" s="178"/>
      <c r="P107" s="178"/>
      <c r="Q107" s="178"/>
      <c r="R107" s="178"/>
      <c r="S107" s="307"/>
      <c r="T107" s="178"/>
      <c r="U107" s="178"/>
      <c r="AT107" s="16"/>
      <c r="AU107" s="16"/>
      <c r="AV107" s="16"/>
      <c r="AW107" s="16"/>
      <c r="AX107" s="16"/>
      <c r="AY107" s="16"/>
      <c r="AZ107" s="16"/>
      <c r="BA107" s="16"/>
    </row>
    <row r="108" spans="1:53" s="9" customFormat="1" x14ac:dyDescent="0.2">
      <c r="A108" s="16"/>
      <c r="B108" s="16" t="str">
        <f>'Customer Input Screen'!C32</f>
        <v>[Customer Signature]</v>
      </c>
      <c r="C108" s="16"/>
      <c r="D108" s="16"/>
      <c r="E108" s="16"/>
      <c r="F108" s="16"/>
      <c r="G108" s="16"/>
      <c r="H108" s="16"/>
      <c r="I108" s="178"/>
      <c r="J108" s="178"/>
      <c r="K108" s="178"/>
      <c r="L108" s="178"/>
      <c r="M108" s="178"/>
      <c r="N108" s="178"/>
      <c r="O108" s="178"/>
      <c r="P108" s="178"/>
      <c r="Q108" s="178" t="str">
        <f>'Customer Input Screen'!C33</f>
        <v>[Company Signature]</v>
      </c>
      <c r="R108" s="178"/>
      <c r="S108" s="307"/>
      <c r="T108" s="178"/>
      <c r="U108" s="178"/>
      <c r="AT108" s="16"/>
      <c r="AU108" s="16"/>
      <c r="AV108" s="16"/>
      <c r="AW108" s="16"/>
      <c r="AX108" s="16"/>
      <c r="AY108" s="16"/>
      <c r="AZ108" s="16"/>
      <c r="BA108" s="16"/>
    </row>
    <row r="109" spans="1:53" ht="24" customHeight="1" x14ac:dyDescent="0.2">
      <c r="B109" s="433"/>
      <c r="C109" s="433"/>
      <c r="D109" s="433"/>
      <c r="E109" s="433"/>
      <c r="F109" s="433"/>
      <c r="G109" s="433"/>
      <c r="H109" s="433"/>
      <c r="I109" s="434"/>
      <c r="J109" s="178"/>
      <c r="K109" s="178"/>
      <c r="L109" s="178"/>
      <c r="M109" s="178"/>
      <c r="N109" s="178"/>
      <c r="O109" s="178"/>
      <c r="P109" s="178"/>
      <c r="Q109" s="434"/>
      <c r="R109" s="434"/>
      <c r="S109" s="435"/>
      <c r="T109" s="434"/>
      <c r="U109" s="434"/>
    </row>
    <row r="110" spans="1:53" ht="16" customHeight="1" x14ac:dyDescent="0.2">
      <c r="B110" s="16" t="s">
        <v>222</v>
      </c>
      <c r="I110" s="178"/>
      <c r="J110" s="178"/>
      <c r="K110" s="178"/>
      <c r="L110" s="178"/>
      <c r="M110" s="178"/>
      <c r="N110" s="178"/>
      <c r="O110" s="178"/>
      <c r="P110" s="178"/>
      <c r="Q110" s="178" t="s">
        <v>355</v>
      </c>
      <c r="R110" s="178"/>
      <c r="S110" s="307"/>
      <c r="T110" s="178"/>
      <c r="U110" s="178"/>
      <c r="V110" s="207"/>
    </row>
    <row r="111" spans="1:53" x14ac:dyDescent="0.2">
      <c r="V111" s="207"/>
    </row>
    <row r="112" spans="1:53" x14ac:dyDescent="0.2">
      <c r="B112" s="207"/>
      <c r="C112" s="207"/>
      <c r="D112" s="207"/>
      <c r="E112" s="207"/>
      <c r="G112" s="207"/>
      <c r="H112" s="207"/>
      <c r="I112" s="207"/>
      <c r="J112" s="207"/>
      <c r="K112" s="207"/>
      <c r="L112" s="207"/>
      <c r="M112" s="207"/>
      <c r="N112" s="207"/>
      <c r="O112" s="207"/>
      <c r="P112" s="207"/>
      <c r="R112" s="207"/>
      <c r="S112" s="308"/>
      <c r="T112" s="207"/>
      <c r="U112" s="207"/>
      <c r="V112" s="207"/>
    </row>
    <row r="113" spans="2:22" ht="17.25" customHeight="1" x14ac:dyDescent="0.2">
      <c r="B113" s="207"/>
      <c r="C113" s="439"/>
      <c r="D113" s="439"/>
      <c r="E113" s="439"/>
      <c r="F113" s="439"/>
      <c r="G113" s="439"/>
      <c r="H113" s="439"/>
      <c r="I113" s="439"/>
      <c r="J113" s="439"/>
      <c r="K113" s="439"/>
      <c r="L113" s="439"/>
      <c r="M113" s="439"/>
      <c r="N113" s="439"/>
      <c r="O113" s="439"/>
      <c r="P113" s="439"/>
      <c r="Q113" s="439"/>
      <c r="R113" s="439"/>
      <c r="S113" s="439"/>
      <c r="T113" s="439"/>
      <c r="U113" s="439"/>
      <c r="V113" s="207"/>
    </row>
    <row r="114" spans="2:22" ht="13" customHeight="1" x14ac:dyDescent="0.2">
      <c r="C114" s="439"/>
      <c r="D114" s="439"/>
      <c r="E114" s="439"/>
      <c r="F114" s="439"/>
      <c r="G114" s="439"/>
      <c r="H114" s="439"/>
      <c r="I114" s="439"/>
      <c r="J114" s="439"/>
      <c r="K114" s="439"/>
      <c r="L114" s="439"/>
      <c r="M114" s="439"/>
      <c r="N114" s="439"/>
      <c r="O114" s="439"/>
      <c r="P114" s="439"/>
      <c r="Q114" s="439"/>
      <c r="R114" s="439"/>
      <c r="S114" s="439"/>
      <c r="T114" s="439"/>
      <c r="U114" s="439"/>
    </row>
    <row r="127" spans="2:22" ht="16" customHeight="1" x14ac:dyDescent="0.2"/>
  </sheetData>
  <sheetProtection selectLockedCells="1"/>
  <mergeCells count="104">
    <mergeCell ref="B105:U105"/>
    <mergeCell ref="B100:C100"/>
    <mergeCell ref="O100:Q100"/>
    <mergeCell ref="B101:C101"/>
    <mergeCell ref="B102:C102"/>
    <mergeCell ref="B103:U103"/>
    <mergeCell ref="B104:U104"/>
    <mergeCell ref="B94:C94"/>
    <mergeCell ref="S94:S97"/>
    <mergeCell ref="U94:U97"/>
    <mergeCell ref="B95:C95"/>
    <mergeCell ref="B96:C96"/>
    <mergeCell ref="O96:O99"/>
    <mergeCell ref="Q96:Q99"/>
    <mergeCell ref="B97:C97"/>
    <mergeCell ref="B98:C98"/>
    <mergeCell ref="B99:C99"/>
    <mergeCell ref="B88:C88"/>
    <mergeCell ref="B89:C89"/>
    <mergeCell ref="S89:S93"/>
    <mergeCell ref="U89:U93"/>
    <mergeCell ref="B90:C90"/>
    <mergeCell ref="B91:C91"/>
    <mergeCell ref="O91:O94"/>
    <mergeCell ref="Q91:Q94"/>
    <mergeCell ref="B92:C92"/>
    <mergeCell ref="B93:C93"/>
    <mergeCell ref="F83:L83"/>
    <mergeCell ref="Q83:S83"/>
    <mergeCell ref="B84:U84"/>
    <mergeCell ref="B86:C86"/>
    <mergeCell ref="I86:J86"/>
    <mergeCell ref="B87:C87"/>
    <mergeCell ref="J78:O78"/>
    <mergeCell ref="S78:U78"/>
    <mergeCell ref="J79:O79"/>
    <mergeCell ref="C81:F81"/>
    <mergeCell ref="S81:U81"/>
    <mergeCell ref="C82:F82"/>
    <mergeCell ref="S82:U82"/>
    <mergeCell ref="J58:T58"/>
    <mergeCell ref="I60:I61"/>
    <mergeCell ref="J61:T61"/>
    <mergeCell ref="J62:T62"/>
    <mergeCell ref="C63:U64"/>
    <mergeCell ref="J77:O77"/>
    <mergeCell ref="J50:T50"/>
    <mergeCell ref="I52:I53"/>
    <mergeCell ref="J53:T53"/>
    <mergeCell ref="J54:T54"/>
    <mergeCell ref="I56:I57"/>
    <mergeCell ref="J57:T57"/>
    <mergeCell ref="J42:T42"/>
    <mergeCell ref="I44:I45"/>
    <mergeCell ref="J45:T45"/>
    <mergeCell ref="J46:T46"/>
    <mergeCell ref="I48:I49"/>
    <mergeCell ref="J49:T49"/>
    <mergeCell ref="J34:T34"/>
    <mergeCell ref="I36:I37"/>
    <mergeCell ref="J37:T37"/>
    <mergeCell ref="J38:T38"/>
    <mergeCell ref="I40:I41"/>
    <mergeCell ref="J41:T41"/>
    <mergeCell ref="J26:T26"/>
    <mergeCell ref="I28:I29"/>
    <mergeCell ref="J29:S29"/>
    <mergeCell ref="J30:T30"/>
    <mergeCell ref="I32:I33"/>
    <mergeCell ref="J33:T33"/>
    <mergeCell ref="C17:F17"/>
    <mergeCell ref="B20:U21"/>
    <mergeCell ref="Q22:Q23"/>
    <mergeCell ref="S22:S23"/>
    <mergeCell ref="U22:U23"/>
    <mergeCell ref="I24:I25"/>
    <mergeCell ref="J25:O25"/>
    <mergeCell ref="C13:I13"/>
    <mergeCell ref="S13:U13"/>
    <mergeCell ref="C15:I15"/>
    <mergeCell ref="S15:U15"/>
    <mergeCell ref="C16:I16"/>
    <mergeCell ref="L16:O16"/>
    <mergeCell ref="R7:T7"/>
    <mergeCell ref="B10:J10"/>
    <mergeCell ref="K10:P10"/>
    <mergeCell ref="Q10:U10"/>
    <mergeCell ref="S11:U11"/>
    <mergeCell ref="C12:I12"/>
    <mergeCell ref="S12:U12"/>
    <mergeCell ref="B7:J7"/>
    <mergeCell ref="B8:J8"/>
    <mergeCell ref="B9:J9"/>
    <mergeCell ref="K2:P5"/>
    <mergeCell ref="Q2:U2"/>
    <mergeCell ref="B3:C3"/>
    <mergeCell ref="R3:T3"/>
    <mergeCell ref="Q4:U4"/>
    <mergeCell ref="Q5:U6"/>
    <mergeCell ref="K6:P7"/>
    <mergeCell ref="B2:J2"/>
    <mergeCell ref="B4:J4"/>
    <mergeCell ref="B5:J5"/>
    <mergeCell ref="B6:J6"/>
  </mergeCells>
  <printOptions horizontalCentered="1"/>
  <pageMargins left="0.2" right="0.2" top="0.2" bottom="0.2" header="0" footer="0"/>
  <pageSetup scale="43" fitToHeight="2" orientation="landscape" r:id="rId1"/>
  <rowBreaks count="1" manualBreakCount="1">
    <brk id="75"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Z58"/>
  <sheetViews>
    <sheetView showZeros="0" view="pageBreakPreview" zoomScale="59" zoomScaleNormal="80" zoomScaleSheetLayoutView="59" workbookViewId="0">
      <selection activeCell="C25" sqref="C25:T25"/>
    </sheetView>
  </sheetViews>
  <sheetFormatPr baseColWidth="10" defaultColWidth="11" defaultRowHeight="16" x14ac:dyDescent="0.2"/>
  <cols>
    <col min="1" max="1" width="2" style="16" customWidth="1"/>
    <col min="2" max="2" width="3.33203125" style="16" customWidth="1"/>
    <col min="3" max="3" width="23" style="16" customWidth="1"/>
    <col min="4" max="4" width="1.5" style="16" customWidth="1"/>
    <col min="5" max="5" width="23" style="16" customWidth="1"/>
    <col min="6" max="6" width="2" style="16" customWidth="1"/>
    <col min="7" max="7" width="1.5" style="16" customWidth="1"/>
    <col min="8" max="8" width="16" style="16" customWidth="1"/>
    <col min="9" max="9" width="3.5" style="16" customWidth="1"/>
    <col min="10" max="10" width="1" style="16" customWidth="1"/>
    <col min="11" max="11" width="21" style="16" customWidth="1"/>
    <col min="12" max="12" width="3" style="16" customWidth="1"/>
    <col min="13" max="13" width="2" style="16" customWidth="1"/>
    <col min="14" max="14" width="12.5" style="16" customWidth="1"/>
    <col min="15" max="15" width="4" style="16" customWidth="1"/>
    <col min="16" max="16" width="10.5" style="16" customWidth="1"/>
    <col min="17" max="17" width="3" style="16" customWidth="1"/>
    <col min="18" max="18" width="27.5" style="16" customWidth="1"/>
    <col min="19" max="19" width="4.5" style="16" customWidth="1"/>
    <col min="20" max="20" width="35" style="16" customWidth="1"/>
    <col min="21" max="21" width="1.5" style="16" customWidth="1"/>
    <col min="22" max="39" width="11" style="16"/>
    <col min="40" max="40" width="14.5" style="16" customWidth="1"/>
    <col min="41" max="16384" width="11" style="16"/>
  </cols>
  <sheetData>
    <row r="1" spans="1:23" ht="22" customHeight="1" x14ac:dyDescent="0.2">
      <c r="B1" s="991" t="s">
        <v>2287</v>
      </c>
      <c r="C1" s="992"/>
      <c r="D1" s="992"/>
      <c r="E1" s="992"/>
      <c r="F1" s="992"/>
      <c r="G1" s="992"/>
      <c r="H1" s="992"/>
      <c r="I1" s="992"/>
      <c r="J1" s="993"/>
      <c r="K1" s="986" t="s">
        <v>267</v>
      </c>
      <c r="L1" s="787"/>
      <c r="M1" s="787"/>
      <c r="N1" s="787"/>
      <c r="O1" s="787"/>
      <c r="P1" s="787"/>
      <c r="Q1" s="788"/>
      <c r="R1" s="988" t="str">
        <f>+Calculations!B568</f>
        <v/>
      </c>
      <c r="S1" s="988"/>
      <c r="T1" s="989"/>
      <c r="U1" s="393"/>
      <c r="V1" s="393"/>
      <c r="W1" s="393"/>
    </row>
    <row r="2" spans="1:23" ht="9" customHeight="1" x14ac:dyDescent="0.2">
      <c r="B2" s="970"/>
      <c r="C2" s="971"/>
      <c r="D2" s="442"/>
      <c r="E2" s="442"/>
      <c r="F2" s="442"/>
      <c r="H2" s="442"/>
      <c r="J2" s="70"/>
      <c r="K2" s="987"/>
      <c r="L2" s="789"/>
      <c r="M2" s="789"/>
      <c r="N2" s="789"/>
      <c r="O2" s="789"/>
      <c r="P2" s="789"/>
      <c r="Q2" s="790"/>
      <c r="R2" s="393"/>
      <c r="S2" s="393"/>
      <c r="T2" s="441"/>
      <c r="U2" s="393"/>
      <c r="V2" s="393"/>
      <c r="W2" s="393"/>
    </row>
    <row r="3" spans="1:23" ht="16" customHeight="1" x14ac:dyDescent="0.2">
      <c r="B3" s="973" t="s">
        <v>2273</v>
      </c>
      <c r="C3" s="974"/>
      <c r="D3" s="974"/>
      <c r="E3" s="974"/>
      <c r="F3" s="974"/>
      <c r="G3" s="974"/>
      <c r="H3" s="974"/>
      <c r="I3" s="974"/>
      <c r="J3" s="975"/>
      <c r="K3" s="987"/>
      <c r="L3" s="789"/>
      <c r="M3" s="789"/>
      <c r="N3" s="789"/>
      <c r="O3" s="789"/>
      <c r="P3" s="789"/>
      <c r="Q3" s="790"/>
      <c r="R3" s="883" t="str">
        <f>+Calculations!B569</f>
        <v/>
      </c>
      <c r="S3" s="883"/>
      <c r="T3" s="944"/>
      <c r="U3" s="313"/>
      <c r="V3" s="313"/>
      <c r="W3" s="313"/>
    </row>
    <row r="4" spans="1:23" ht="7" customHeight="1" x14ac:dyDescent="0.2">
      <c r="B4" s="970"/>
      <c r="C4" s="971"/>
      <c r="D4" s="971"/>
      <c r="E4" s="971"/>
      <c r="F4" s="971"/>
      <c r="G4" s="971"/>
      <c r="H4" s="971"/>
      <c r="I4" s="971"/>
      <c r="J4" s="972"/>
      <c r="K4" s="987"/>
      <c r="L4" s="789"/>
      <c r="M4" s="789"/>
      <c r="N4" s="789"/>
      <c r="O4" s="789"/>
      <c r="P4" s="789"/>
      <c r="Q4" s="790"/>
      <c r="R4" s="313"/>
      <c r="S4" s="313"/>
      <c r="T4" s="315"/>
      <c r="U4" s="313"/>
      <c r="V4" s="313"/>
      <c r="W4" s="313"/>
    </row>
    <row r="5" spans="1:23" ht="20.25" customHeight="1" x14ac:dyDescent="0.2">
      <c r="B5" s="973" t="s">
        <v>2274</v>
      </c>
      <c r="C5" s="974"/>
      <c r="D5" s="974"/>
      <c r="E5" s="974"/>
      <c r="F5" s="974"/>
      <c r="G5" s="974"/>
      <c r="H5" s="974"/>
      <c r="I5" s="974"/>
      <c r="J5" s="975"/>
      <c r="K5" s="987"/>
      <c r="L5" s="789"/>
      <c r="M5" s="789"/>
      <c r="N5" s="789"/>
      <c r="O5" s="789"/>
      <c r="P5" s="789"/>
      <c r="Q5" s="790"/>
      <c r="R5" s="883" t="str">
        <f>+Calculations!B570</f>
        <v/>
      </c>
      <c r="S5" s="883"/>
      <c r="T5" s="944"/>
      <c r="U5" s="313"/>
      <c r="V5" s="313"/>
      <c r="W5" s="313"/>
    </row>
    <row r="6" spans="1:23" ht="3" customHeight="1" x14ac:dyDescent="0.2">
      <c r="B6" s="970"/>
      <c r="C6" s="971"/>
      <c r="D6" s="971"/>
      <c r="E6" s="971"/>
      <c r="F6" s="971"/>
      <c r="G6" s="971"/>
      <c r="H6" s="971"/>
      <c r="I6" s="971"/>
      <c r="J6" s="972"/>
      <c r="K6" s="440"/>
      <c r="L6" s="182"/>
      <c r="M6" s="182"/>
      <c r="N6" s="182"/>
      <c r="O6" s="182"/>
      <c r="P6" s="182"/>
      <c r="Q6" s="183"/>
      <c r="R6" s="313"/>
      <c r="S6" s="313"/>
      <c r="T6" s="315"/>
      <c r="U6" s="313"/>
      <c r="V6" s="313"/>
      <c r="W6" s="313"/>
    </row>
    <row r="7" spans="1:23" ht="3" customHeight="1" x14ac:dyDescent="0.2">
      <c r="B7" s="970"/>
      <c r="C7" s="971"/>
      <c r="D7" s="971"/>
      <c r="E7" s="971"/>
      <c r="F7" s="971"/>
      <c r="G7" s="971"/>
      <c r="H7" s="971"/>
      <c r="I7" s="971"/>
      <c r="J7" s="972"/>
      <c r="K7" s="440"/>
      <c r="L7" s="182"/>
      <c r="M7" s="182"/>
      <c r="N7" s="182"/>
      <c r="O7" s="182"/>
      <c r="P7" s="182"/>
      <c r="Q7" s="183"/>
      <c r="R7" s="313"/>
      <c r="S7" s="313"/>
      <c r="T7" s="315"/>
      <c r="U7" s="313"/>
      <c r="V7" s="313"/>
      <c r="W7" s="313"/>
    </row>
    <row r="8" spans="1:23" ht="25" x14ac:dyDescent="0.25">
      <c r="B8" s="973" t="s">
        <v>2275</v>
      </c>
      <c r="C8" s="974"/>
      <c r="D8" s="974"/>
      <c r="E8" s="974"/>
      <c r="F8" s="974"/>
      <c r="G8" s="974"/>
      <c r="H8" s="974"/>
      <c r="I8" s="974"/>
      <c r="J8" s="975"/>
      <c r="K8" s="802" t="s">
        <v>268</v>
      </c>
      <c r="L8" s="803"/>
      <c r="M8" s="803"/>
      <c r="N8" s="803"/>
      <c r="O8" s="803"/>
      <c r="P8" s="803"/>
      <c r="Q8" s="804"/>
      <c r="R8" s="883" t="str">
        <f>+Calculations!B571</f>
        <v/>
      </c>
      <c r="S8" s="883"/>
      <c r="T8" s="944"/>
      <c r="U8" s="313"/>
      <c r="V8" s="313"/>
      <c r="W8" s="313"/>
    </row>
    <row r="9" spans="1:23" ht="21" customHeight="1" thickBot="1" x14ac:dyDescent="0.25">
      <c r="B9" s="976" t="s">
        <v>2276</v>
      </c>
      <c r="C9" s="768"/>
      <c r="D9" s="768"/>
      <c r="E9" s="768"/>
      <c r="F9" s="768"/>
      <c r="G9" s="768"/>
      <c r="H9" s="768"/>
      <c r="I9" s="768"/>
      <c r="J9" s="769"/>
      <c r="K9" s="990" t="str">
        <f>+Calculations!B572</f>
        <v>CRYSTALTRACTOR.COM</v>
      </c>
      <c r="L9" s="884"/>
      <c r="M9" s="884"/>
      <c r="N9" s="884"/>
      <c r="O9" s="884"/>
      <c r="P9" s="884"/>
      <c r="Q9" s="936"/>
      <c r="R9" s="114"/>
      <c r="S9" s="317"/>
      <c r="T9" s="319"/>
      <c r="U9" s="313"/>
      <c r="V9" s="313"/>
      <c r="W9" s="313"/>
    </row>
    <row r="10" spans="1:23" ht="18" x14ac:dyDescent="0.2">
      <c r="C10" s="442"/>
      <c r="D10" s="442"/>
      <c r="E10" s="442"/>
      <c r="F10" s="442"/>
      <c r="G10" s="442"/>
      <c r="H10" s="442"/>
      <c r="I10" s="313"/>
      <c r="J10" s="313"/>
      <c r="Q10" s="442"/>
      <c r="R10" s="883"/>
      <c r="S10" s="883"/>
      <c r="T10" s="883"/>
      <c r="U10" s="313"/>
      <c r="V10" s="313"/>
      <c r="W10" s="313"/>
    </row>
    <row r="11" spans="1:23" ht="20" x14ac:dyDescent="0.2">
      <c r="A11" s="6"/>
      <c r="B11" s="6"/>
      <c r="C11" s="6" t="s">
        <v>92</v>
      </c>
      <c r="D11" s="6"/>
      <c r="E11" s="6">
        <f>+'Costing Sheet'!C13</f>
        <v>0</v>
      </c>
      <c r="F11" s="6"/>
      <c r="G11" s="271"/>
      <c r="H11" s="271"/>
      <c r="I11" s="271"/>
      <c r="J11" s="271"/>
      <c r="K11" s="271"/>
      <c r="L11" s="271"/>
      <c r="M11" s="271"/>
      <c r="N11" s="271"/>
      <c r="O11" s="271"/>
      <c r="P11" s="271"/>
      <c r="Q11" s="271"/>
      <c r="R11" s="271"/>
      <c r="S11" s="271"/>
      <c r="T11" s="271"/>
    </row>
    <row r="12" spans="1:23" ht="20.25" customHeight="1" x14ac:dyDescent="0.2">
      <c r="A12" s="6"/>
      <c r="B12" s="6"/>
      <c r="C12" s="6" t="s">
        <v>87</v>
      </c>
      <c r="D12" s="6"/>
      <c r="E12" s="843">
        <f>'Costing Sheet'!C11</f>
        <v>0</v>
      </c>
      <c r="F12" s="843"/>
      <c r="G12" s="843"/>
      <c r="H12" s="843"/>
      <c r="I12" s="272"/>
      <c r="J12" s="272"/>
      <c r="K12" s="203"/>
      <c r="L12" s="203"/>
      <c r="M12" s="203"/>
      <c r="N12" s="443" t="s">
        <v>92</v>
      </c>
      <c r="O12" s="203"/>
      <c r="Q12" s="203"/>
      <c r="R12" s="203">
        <f>+'Costing Sheet'!C13</f>
        <v>0</v>
      </c>
      <c r="S12" s="203"/>
      <c r="T12" s="6"/>
    </row>
    <row r="13" spans="1:23" ht="20.25" customHeight="1" x14ac:dyDescent="0.2">
      <c r="A13" s="6"/>
      <c r="B13" s="6"/>
      <c r="C13" s="6"/>
      <c r="D13" s="6"/>
      <c r="E13" s="6"/>
      <c r="F13" s="6"/>
      <c r="G13" s="271"/>
      <c r="H13" s="272"/>
      <c r="I13" s="272"/>
      <c r="J13" s="272"/>
      <c r="K13" s="203"/>
      <c r="L13" s="203"/>
      <c r="M13" s="203"/>
      <c r="N13" s="6" t="s">
        <v>46</v>
      </c>
      <c r="O13" s="203"/>
      <c r="Q13" s="6"/>
      <c r="R13" s="203" t="str">
        <f>IF('Sales Input Sheet'!C15&lt;&gt;"",UPPER('Sales Input Sheet'!C15),"")</f>
        <v/>
      </c>
      <c r="S13" s="203"/>
      <c r="T13" s="6"/>
    </row>
    <row r="14" spans="1:23" ht="20" x14ac:dyDescent="0.2">
      <c r="A14" s="6"/>
      <c r="B14" s="6"/>
      <c r="C14" s="889" t="str">
        <f>IF('Customer Input Screen'!I10&lt;&gt;"",UPPER('Customer Input Screen'!I10),"")</f>
        <v/>
      </c>
      <c r="D14" s="889"/>
      <c r="E14" s="889"/>
      <c r="F14" s="889"/>
      <c r="G14" s="889"/>
      <c r="H14" s="889"/>
      <c r="I14" s="6"/>
      <c r="J14" s="6"/>
      <c r="K14" s="6"/>
      <c r="L14" s="6"/>
      <c r="M14" s="6"/>
      <c r="N14" s="6"/>
      <c r="O14" s="6"/>
      <c r="P14" s="6"/>
      <c r="Q14" s="6"/>
      <c r="R14" s="6"/>
      <c r="S14" s="6"/>
      <c r="T14" s="6"/>
    </row>
    <row r="15" spans="1:23" ht="20" x14ac:dyDescent="0.2">
      <c r="A15" s="6"/>
      <c r="B15" s="6"/>
      <c r="C15" s="889" t="str">
        <f>IF(Calculations!B3&lt;&gt;"",UPPER(Calculations!B3),"")</f>
        <v xml:space="preserve">  </v>
      </c>
      <c r="D15" s="889"/>
      <c r="E15" s="889"/>
      <c r="F15" s="889"/>
      <c r="G15" s="889"/>
      <c r="H15" s="889"/>
      <c r="I15" s="203"/>
      <c r="J15" s="203"/>
      <c r="K15" s="203"/>
      <c r="L15" s="203"/>
      <c r="M15" s="203"/>
      <c r="N15" s="203"/>
      <c r="O15" s="203"/>
      <c r="P15" s="203"/>
      <c r="Q15" s="6"/>
      <c r="R15" s="6"/>
      <c r="S15" s="6"/>
      <c r="T15" s="6"/>
    </row>
    <row r="16" spans="1:23" ht="19" customHeight="1" x14ac:dyDescent="0.2">
      <c r="A16" s="6"/>
      <c r="B16" s="6"/>
      <c r="C16" s="889" t="str">
        <f>IF('Customer Input Screen'!I14&lt;&gt;"",UPPER('Customer Input Screen'!I14),"")</f>
        <v/>
      </c>
      <c r="D16" s="889"/>
      <c r="E16" s="889"/>
      <c r="F16" s="889"/>
      <c r="G16" s="889"/>
      <c r="H16" s="889"/>
      <c r="I16" s="203"/>
      <c r="J16" s="203"/>
      <c r="K16" s="203"/>
      <c r="L16" s="203"/>
      <c r="M16" s="203"/>
      <c r="N16" s="203"/>
      <c r="O16" s="203"/>
      <c r="P16" s="203"/>
      <c r="Q16" s="6"/>
      <c r="R16" s="6"/>
      <c r="S16" s="6"/>
      <c r="T16" s="6"/>
    </row>
    <row r="17" spans="1:52" ht="20" x14ac:dyDescent="0.2">
      <c r="A17" s="6"/>
      <c r="B17" s="6"/>
      <c r="C17" s="889" t="str">
        <f>IF('Customer Input Screen'!I15&lt;&gt;"",UPPER('Customer Input Screen'!I15),"")</f>
        <v/>
      </c>
      <c r="D17" s="889"/>
      <c r="E17" s="889"/>
      <c r="F17" s="889"/>
      <c r="G17" s="889"/>
      <c r="H17" s="889"/>
      <c r="I17" s="203"/>
      <c r="J17" s="203"/>
      <c r="K17" s="203"/>
      <c r="L17" s="6"/>
      <c r="M17" s="6"/>
      <c r="N17" s="6"/>
      <c r="O17" s="203"/>
      <c r="P17" s="203"/>
      <c r="Q17" s="890"/>
      <c r="R17" s="890"/>
      <c r="S17" s="890"/>
      <c r="T17" s="890"/>
    </row>
    <row r="18" spans="1:52" ht="20" x14ac:dyDescent="0.2">
      <c r="A18" s="6"/>
      <c r="B18" s="6"/>
      <c r="C18" s="785" t="str">
        <f>+Calculations!$B$601</f>
        <v/>
      </c>
      <c r="D18" s="785"/>
      <c r="E18" s="785"/>
      <c r="F18" s="785"/>
      <c r="G18" s="322"/>
      <c r="H18" s="322"/>
      <c r="I18" s="203"/>
      <c r="J18" s="203"/>
      <c r="K18" s="203"/>
      <c r="L18" s="6"/>
      <c r="M18" s="6"/>
      <c r="N18" s="6"/>
      <c r="O18" s="203"/>
      <c r="P18" s="203"/>
      <c r="Q18" s="890"/>
      <c r="R18" s="890"/>
      <c r="S18" s="890"/>
      <c r="T18" s="890"/>
    </row>
    <row r="19" spans="1:52" ht="12" customHeight="1" thickBot="1" x14ac:dyDescent="0.25">
      <c r="A19" s="6"/>
      <c r="B19" s="6"/>
      <c r="C19" s="6"/>
      <c r="D19" s="6"/>
      <c r="E19" s="6"/>
      <c r="F19" s="6"/>
      <c r="G19" s="6"/>
      <c r="H19" s="6"/>
      <c r="I19" s="6"/>
      <c r="J19" s="6"/>
      <c r="K19" s="6"/>
      <c r="L19" s="6"/>
      <c r="M19" s="6"/>
      <c r="N19" s="6"/>
      <c r="O19" s="6"/>
      <c r="P19" s="6"/>
      <c r="Q19" s="6"/>
      <c r="R19" s="6"/>
      <c r="S19" s="6"/>
      <c r="T19" s="6"/>
      <c r="U19" s="14"/>
    </row>
    <row r="20" spans="1:52" ht="2.25" customHeight="1" x14ac:dyDescent="0.2">
      <c r="A20" s="6"/>
      <c r="B20" s="977" t="s">
        <v>356</v>
      </c>
      <c r="C20" s="978"/>
      <c r="D20" s="978"/>
      <c r="E20" s="978"/>
      <c r="F20" s="978"/>
      <c r="G20" s="978"/>
      <c r="H20" s="978"/>
      <c r="I20" s="978"/>
      <c r="J20" s="978"/>
      <c r="K20" s="978"/>
      <c r="L20" s="978"/>
      <c r="M20" s="978"/>
      <c r="N20" s="978"/>
      <c r="O20" s="978"/>
      <c r="P20" s="978"/>
      <c r="Q20" s="978"/>
      <c r="R20" s="978"/>
      <c r="S20" s="978"/>
      <c r="T20" s="979"/>
      <c r="U20" s="14"/>
    </row>
    <row r="21" spans="1:52" ht="20" x14ac:dyDescent="0.2">
      <c r="A21" s="6"/>
      <c r="B21" s="980"/>
      <c r="C21" s="981"/>
      <c r="D21" s="981"/>
      <c r="E21" s="981"/>
      <c r="F21" s="981"/>
      <c r="G21" s="981"/>
      <c r="H21" s="981"/>
      <c r="I21" s="981"/>
      <c r="J21" s="981"/>
      <c r="K21" s="981"/>
      <c r="L21" s="981"/>
      <c r="M21" s="981"/>
      <c r="N21" s="981"/>
      <c r="O21" s="981"/>
      <c r="P21" s="981"/>
      <c r="Q21" s="981"/>
      <c r="R21" s="981"/>
      <c r="S21" s="981"/>
      <c r="T21" s="982"/>
    </row>
    <row r="22" spans="1:52" ht="21" thickBot="1" x14ac:dyDescent="0.25">
      <c r="A22" s="6"/>
      <c r="B22" s="983"/>
      <c r="C22" s="984"/>
      <c r="D22" s="984"/>
      <c r="E22" s="984"/>
      <c r="F22" s="984"/>
      <c r="G22" s="984"/>
      <c r="H22" s="984"/>
      <c r="I22" s="984"/>
      <c r="J22" s="984"/>
      <c r="K22" s="984"/>
      <c r="L22" s="984"/>
      <c r="M22" s="984"/>
      <c r="N22" s="984"/>
      <c r="O22" s="984"/>
      <c r="P22" s="984"/>
      <c r="Q22" s="984"/>
      <c r="R22" s="984"/>
      <c r="S22" s="984"/>
      <c r="T22" s="985"/>
    </row>
    <row r="23" spans="1:52" s="1" customFormat="1" ht="26.25" customHeight="1" x14ac:dyDescent="0.2">
      <c r="A23" s="6"/>
      <c r="B23" s="994" t="str">
        <f>Calculations!B561</f>
        <v>THIS IS TO CERTIFY THAT THE ITEMS IDENTIFIED BELOW, PURCHASED ON OR AFTER JANUARY 0, 1900 FROM  ARE PURCHASED, LEASED, LICENSED, OR RENTED FOR THE FOLLOWING PURPOSE. THIS IS NOT INTENDED TO BE AN EXHAUSTIVE LIST:</v>
      </c>
      <c r="C23" s="840"/>
      <c r="D23" s="840"/>
      <c r="E23" s="840"/>
      <c r="F23" s="840"/>
      <c r="G23" s="840"/>
      <c r="H23" s="840"/>
      <c r="I23" s="840"/>
      <c r="J23" s="840"/>
      <c r="K23" s="840"/>
      <c r="L23" s="840"/>
      <c r="M23" s="840"/>
      <c r="N23" s="840"/>
      <c r="O23" s="840"/>
      <c r="P23" s="840"/>
      <c r="Q23" s="840"/>
      <c r="R23" s="840"/>
      <c r="S23" s="840"/>
      <c r="T23" s="995"/>
      <c r="AS23" s="16"/>
      <c r="AT23" s="16"/>
      <c r="AU23" s="16"/>
      <c r="AV23" s="16"/>
      <c r="AW23" s="16"/>
      <c r="AX23" s="16"/>
      <c r="AY23" s="16"/>
      <c r="AZ23" s="16"/>
    </row>
    <row r="24" spans="1:52" s="1" customFormat="1" ht="50.25" customHeight="1" x14ac:dyDescent="0.2">
      <c r="A24" s="6"/>
      <c r="B24" s="902"/>
      <c r="C24" s="786"/>
      <c r="D24" s="786"/>
      <c r="E24" s="786"/>
      <c r="F24" s="786"/>
      <c r="G24" s="786"/>
      <c r="H24" s="786"/>
      <c r="I24" s="786"/>
      <c r="J24" s="786"/>
      <c r="K24" s="786"/>
      <c r="L24" s="786"/>
      <c r="M24" s="786"/>
      <c r="N24" s="786"/>
      <c r="O24" s="786"/>
      <c r="P24" s="786"/>
      <c r="Q24" s="786"/>
      <c r="R24" s="786"/>
      <c r="S24" s="786"/>
      <c r="T24" s="807"/>
      <c r="AS24" s="16"/>
      <c r="AT24" s="16"/>
      <c r="AU24" s="16"/>
      <c r="AV24" s="16"/>
      <c r="AW24" s="16"/>
      <c r="AX24" s="16"/>
      <c r="AY24" s="16"/>
      <c r="AZ24" s="16"/>
    </row>
    <row r="25" spans="1:52" s="10" customFormat="1" ht="126" customHeight="1" x14ac:dyDescent="0.2">
      <c r="A25" s="322"/>
      <c r="B25" s="384"/>
      <c r="C25" s="786" t="str">
        <f>IF(OR('Costing Sheet'!M$3="",'Costing Sheet'!M$3="no"),"",IFERROR(VLOOKUP('Costing Sheet'!M7,'Tax Exemption Cert table'!A$2:B$15,2,FALSE),""))</f>
        <v/>
      </c>
      <c r="D25" s="786"/>
      <c r="E25" s="786"/>
      <c r="F25" s="786"/>
      <c r="G25" s="786"/>
      <c r="H25" s="786"/>
      <c r="I25" s="786"/>
      <c r="J25" s="786"/>
      <c r="K25" s="786"/>
      <c r="L25" s="786"/>
      <c r="M25" s="786"/>
      <c r="N25" s="786"/>
      <c r="O25" s="786"/>
      <c r="P25" s="786"/>
      <c r="Q25" s="786"/>
      <c r="R25" s="786"/>
      <c r="S25" s="786"/>
      <c r="T25" s="807"/>
    </row>
    <row r="26" spans="1:52" s="10" customFormat="1" ht="20" x14ac:dyDescent="0.2">
      <c r="A26" s="322"/>
      <c r="B26" s="384"/>
      <c r="C26" s="223"/>
      <c r="D26" s="223"/>
      <c r="E26" s="223"/>
      <c r="F26" s="223"/>
      <c r="G26" s="223"/>
      <c r="H26" s="223"/>
      <c r="I26" s="223"/>
      <c r="J26" s="223"/>
      <c r="K26" s="223"/>
      <c r="L26" s="223"/>
      <c r="M26" s="223"/>
      <c r="N26" s="223"/>
      <c r="O26" s="223"/>
      <c r="P26" s="223"/>
      <c r="Q26" s="223"/>
      <c r="R26" s="223"/>
      <c r="S26" s="223"/>
      <c r="T26" s="445"/>
    </row>
    <row r="27" spans="1:52" s="10" customFormat="1" ht="127" customHeight="1" x14ac:dyDescent="0.2">
      <c r="A27" s="322"/>
      <c r="B27" s="384"/>
      <c r="C27" s="786" t="str">
        <f>IF(OR('Costing Sheet'!M$3="",'Costing Sheet'!M$3="no"),"",IFERROR(VLOOKUP('Costing Sheet'!M9,'Tax Exemption Cert table'!A$2:B$15,2,FALSE),""))</f>
        <v/>
      </c>
      <c r="D27" s="786"/>
      <c r="E27" s="786"/>
      <c r="F27" s="786"/>
      <c r="G27" s="786"/>
      <c r="H27" s="786"/>
      <c r="I27" s="786"/>
      <c r="J27" s="786"/>
      <c r="K27" s="786"/>
      <c r="L27" s="786"/>
      <c r="M27" s="786"/>
      <c r="N27" s="786"/>
      <c r="O27" s="786"/>
      <c r="P27" s="786"/>
      <c r="Q27" s="786"/>
      <c r="R27" s="786"/>
      <c r="S27" s="786"/>
      <c r="T27" s="807"/>
    </row>
    <row r="28" spans="1:52" s="10" customFormat="1" ht="20" x14ac:dyDescent="0.2">
      <c r="A28" s="322"/>
      <c r="B28" s="384"/>
      <c r="C28" s="223"/>
      <c r="D28" s="223"/>
      <c r="E28" s="223"/>
      <c r="F28" s="223"/>
      <c r="G28" s="223"/>
      <c r="H28" s="223"/>
      <c r="I28" s="223"/>
      <c r="J28" s="223"/>
      <c r="K28" s="223"/>
      <c r="L28" s="223"/>
      <c r="M28" s="223"/>
      <c r="N28" s="223"/>
      <c r="O28" s="223"/>
      <c r="P28" s="223"/>
      <c r="Q28" s="223"/>
      <c r="R28" s="223"/>
      <c r="S28" s="223"/>
      <c r="T28" s="445"/>
    </row>
    <row r="29" spans="1:52" s="11" customFormat="1" ht="127" customHeight="1" x14ac:dyDescent="0.2">
      <c r="A29" s="322"/>
      <c r="B29" s="384"/>
      <c r="C29" s="786" t="str">
        <f>IF(OR('Costing Sheet'!M$3="",'Costing Sheet'!M$3="no"),"",IFERROR(VLOOKUP('Costing Sheet'!M11,'Tax Exemption Cert table'!A$2:B$15,2,FALSE),""))</f>
        <v/>
      </c>
      <c r="D29" s="786"/>
      <c r="E29" s="786"/>
      <c r="F29" s="786"/>
      <c r="G29" s="786"/>
      <c r="H29" s="786"/>
      <c r="I29" s="786"/>
      <c r="J29" s="786"/>
      <c r="K29" s="786"/>
      <c r="L29" s="786"/>
      <c r="M29" s="786"/>
      <c r="N29" s="786"/>
      <c r="O29" s="786"/>
      <c r="P29" s="786"/>
      <c r="Q29" s="786"/>
      <c r="R29" s="786"/>
      <c r="S29" s="786"/>
      <c r="T29" s="807"/>
      <c r="AS29" s="10"/>
      <c r="AT29" s="10"/>
      <c r="AU29" s="10"/>
      <c r="AV29" s="10"/>
      <c r="AW29" s="10"/>
      <c r="AX29" s="10"/>
      <c r="AY29" s="10"/>
      <c r="AZ29" s="10"/>
    </row>
    <row r="30" spans="1:52" s="11" customFormat="1" ht="20" x14ac:dyDescent="0.2">
      <c r="A30" s="322"/>
      <c r="B30" s="384"/>
      <c r="C30" s="223"/>
      <c r="D30" s="223"/>
      <c r="E30" s="223"/>
      <c r="F30" s="223"/>
      <c r="G30" s="223"/>
      <c r="H30" s="223"/>
      <c r="I30" s="223"/>
      <c r="J30" s="223"/>
      <c r="K30" s="223"/>
      <c r="L30" s="223"/>
      <c r="M30" s="223"/>
      <c r="N30" s="223"/>
      <c r="O30" s="223"/>
      <c r="P30" s="223"/>
      <c r="Q30" s="223"/>
      <c r="R30" s="223"/>
      <c r="S30" s="223"/>
      <c r="T30" s="445"/>
      <c r="AS30" s="10"/>
      <c r="AT30" s="10"/>
      <c r="AU30" s="10"/>
      <c r="AV30" s="10"/>
      <c r="AW30" s="10"/>
      <c r="AX30" s="10"/>
      <c r="AY30" s="10"/>
      <c r="AZ30" s="10"/>
    </row>
    <row r="31" spans="1:52" s="11" customFormat="1" ht="127" customHeight="1" x14ac:dyDescent="0.2">
      <c r="A31" s="322"/>
      <c r="B31" s="384"/>
      <c r="C31" s="786" t="str">
        <f>IF(OR('Costing Sheet'!M$3="",'Costing Sheet'!M$3="no"),"",IFERROR(VLOOKUP('Costing Sheet'!M13,'Tax Exemption Cert table'!A$2:B$15,2,FALSE),""))</f>
        <v/>
      </c>
      <c r="D31" s="786"/>
      <c r="E31" s="786"/>
      <c r="F31" s="786"/>
      <c r="G31" s="786"/>
      <c r="H31" s="786"/>
      <c r="I31" s="786"/>
      <c r="J31" s="786"/>
      <c r="K31" s="786"/>
      <c r="L31" s="786"/>
      <c r="M31" s="786"/>
      <c r="N31" s="786"/>
      <c r="O31" s="786"/>
      <c r="P31" s="786"/>
      <c r="Q31" s="786"/>
      <c r="R31" s="786"/>
      <c r="S31" s="786"/>
      <c r="T31" s="807"/>
      <c r="AS31" s="10"/>
      <c r="AT31" s="10"/>
      <c r="AU31" s="10"/>
      <c r="AV31" s="10"/>
      <c r="AW31" s="10"/>
      <c r="AX31" s="10"/>
      <c r="AY31" s="10"/>
      <c r="AZ31" s="10"/>
    </row>
    <row r="32" spans="1:52" s="11" customFormat="1" ht="20" x14ac:dyDescent="0.2">
      <c r="A32" s="322"/>
      <c r="B32" s="384"/>
      <c r="C32" s="223"/>
      <c r="D32" s="223"/>
      <c r="E32" s="223"/>
      <c r="F32" s="223"/>
      <c r="G32" s="223"/>
      <c r="H32" s="223"/>
      <c r="I32" s="223"/>
      <c r="J32" s="223"/>
      <c r="K32" s="223"/>
      <c r="L32" s="223"/>
      <c r="M32" s="223"/>
      <c r="N32" s="223"/>
      <c r="O32" s="223"/>
      <c r="P32" s="223"/>
      <c r="Q32" s="223"/>
      <c r="R32" s="223"/>
      <c r="S32" s="223"/>
      <c r="T32" s="445"/>
      <c r="AS32" s="10"/>
      <c r="AT32" s="10"/>
      <c r="AU32" s="10"/>
      <c r="AV32" s="10"/>
      <c r="AW32" s="10"/>
      <c r="AX32" s="10"/>
      <c r="AY32" s="10"/>
      <c r="AZ32" s="10"/>
    </row>
    <row r="33" spans="1:52" s="10" customFormat="1" ht="126" customHeight="1" x14ac:dyDescent="0.2">
      <c r="A33" s="322"/>
      <c r="B33" s="384"/>
      <c r="C33" s="786" t="str">
        <f>IF(OR('Costing Sheet'!M$3="",'Costing Sheet'!M$3="no"),"",IFERROR(VLOOKUP('Costing Sheet'!M15,'Tax Exemption Cert table'!A$2:B$15,2,FALSE),""))</f>
        <v/>
      </c>
      <c r="D33" s="786"/>
      <c r="E33" s="786"/>
      <c r="F33" s="786"/>
      <c r="G33" s="786"/>
      <c r="H33" s="786"/>
      <c r="I33" s="786"/>
      <c r="J33" s="786"/>
      <c r="K33" s="786"/>
      <c r="L33" s="786"/>
      <c r="M33" s="786"/>
      <c r="N33" s="786"/>
      <c r="O33" s="786"/>
      <c r="P33" s="786"/>
      <c r="Q33" s="786"/>
      <c r="R33" s="786"/>
      <c r="S33" s="786"/>
      <c r="T33" s="807"/>
    </row>
    <row r="34" spans="1:52" s="10" customFormat="1" ht="20" x14ac:dyDescent="0.2">
      <c r="A34" s="322"/>
      <c r="B34" s="384"/>
      <c r="C34" s="322"/>
      <c r="D34" s="322"/>
      <c r="E34" s="322"/>
      <c r="F34" s="322"/>
      <c r="G34" s="322"/>
      <c r="H34" s="322"/>
      <c r="I34" s="322"/>
      <c r="J34" s="322"/>
      <c r="K34" s="322"/>
      <c r="L34" s="322"/>
      <c r="M34" s="322"/>
      <c r="N34" s="322"/>
      <c r="O34" s="322"/>
      <c r="P34" s="322"/>
      <c r="Q34" s="322"/>
      <c r="R34" s="322"/>
      <c r="S34" s="322"/>
      <c r="T34" s="445"/>
    </row>
    <row r="35" spans="1:52" ht="20" x14ac:dyDescent="0.2">
      <c r="A35" s="6"/>
      <c r="B35" s="996" t="s">
        <v>357</v>
      </c>
      <c r="C35" s="997"/>
      <c r="D35" s="997"/>
      <c r="E35" s="997"/>
      <c r="F35" s="6"/>
      <c r="G35" s="6"/>
      <c r="H35" s="446" t="str">
        <f>+'Customer Input Screen'!I25</f>
        <v/>
      </c>
      <c r="I35" s="6"/>
      <c r="J35" s="6"/>
      <c r="K35" s="6"/>
      <c r="L35" s="6"/>
      <c r="M35" s="6"/>
      <c r="N35" s="6"/>
      <c r="O35" s="6"/>
      <c r="P35" s="6"/>
      <c r="Q35" s="6"/>
      <c r="R35" s="6"/>
      <c r="S35" s="6"/>
      <c r="T35" s="222"/>
    </row>
    <row r="36" spans="1:52" ht="21" thickBot="1" x14ac:dyDescent="0.25">
      <c r="A36" s="6"/>
      <c r="B36" s="235"/>
      <c r="C36" s="231"/>
      <c r="D36" s="231"/>
      <c r="E36" s="231"/>
      <c r="F36" s="231"/>
      <c r="G36" s="231"/>
      <c r="H36" s="231"/>
      <c r="I36" s="231"/>
      <c r="J36" s="231"/>
      <c r="K36" s="231"/>
      <c r="L36" s="231"/>
      <c r="M36" s="231"/>
      <c r="N36" s="231"/>
      <c r="O36" s="231"/>
      <c r="P36" s="231"/>
      <c r="Q36" s="231"/>
      <c r="R36" s="231"/>
      <c r="S36" s="231"/>
      <c r="T36" s="236"/>
    </row>
    <row r="37" spans="1:52" s="9" customFormat="1" ht="112" customHeight="1" x14ac:dyDescent="0.2">
      <c r="A37" s="6"/>
      <c r="B37" s="840" t="s">
        <v>358</v>
      </c>
      <c r="C37" s="840"/>
      <c r="D37" s="840"/>
      <c r="E37" s="840"/>
      <c r="F37" s="840"/>
      <c r="G37" s="840"/>
      <c r="H37" s="840"/>
      <c r="I37" s="840"/>
      <c r="J37" s="840"/>
      <c r="K37" s="840"/>
      <c r="L37" s="840"/>
      <c r="M37" s="840"/>
      <c r="N37" s="840"/>
      <c r="O37" s="840"/>
      <c r="P37" s="840"/>
      <c r="Q37" s="840"/>
      <c r="R37" s="840"/>
      <c r="S37" s="840"/>
      <c r="T37" s="840"/>
      <c r="AS37" s="16"/>
      <c r="AT37" s="16"/>
      <c r="AU37" s="16"/>
      <c r="AV37" s="16"/>
      <c r="AW37" s="16"/>
      <c r="AX37" s="16"/>
      <c r="AY37" s="16"/>
      <c r="AZ37" s="16"/>
    </row>
    <row r="38" spans="1:52" s="9" customFormat="1" ht="20" x14ac:dyDescent="0.2">
      <c r="A38" s="6"/>
      <c r="B38" s="6"/>
      <c r="C38" s="6"/>
      <c r="D38" s="6"/>
      <c r="E38" s="6"/>
      <c r="F38" s="6"/>
      <c r="G38" s="6"/>
      <c r="H38" s="447"/>
      <c r="I38" s="447"/>
      <c r="J38" s="447"/>
      <c r="K38" s="447"/>
      <c r="L38" s="447"/>
      <c r="M38" s="447"/>
      <c r="N38" s="447"/>
      <c r="O38" s="447"/>
      <c r="P38" s="6"/>
      <c r="Q38" s="6"/>
      <c r="R38" s="6"/>
      <c r="S38" s="6"/>
      <c r="T38" s="6"/>
      <c r="AS38" s="16"/>
      <c r="AT38" s="16"/>
      <c r="AU38" s="16"/>
      <c r="AV38" s="16"/>
      <c r="AW38" s="16"/>
      <c r="AX38" s="16"/>
      <c r="AY38" s="16"/>
      <c r="AZ38" s="16"/>
    </row>
    <row r="39" spans="1:52" s="9" customFormat="1" ht="20" x14ac:dyDescent="0.2">
      <c r="A39" s="6"/>
      <c r="B39" s="6" t="str" cm="1">
        <f t="array" ref="B39:D39">'Finance Declination'!Q40:S40</f>
        <v>[Customer Signature]</v>
      </c>
      <c r="C39" s="6">
        <v>0</v>
      </c>
      <c r="D39" s="6">
        <v>0</v>
      </c>
      <c r="E39" s="6"/>
      <c r="F39" s="6"/>
      <c r="G39" s="6"/>
      <c r="H39" s="447"/>
      <c r="I39" s="447"/>
      <c r="J39" s="447"/>
      <c r="K39" s="447"/>
      <c r="L39" s="447"/>
      <c r="M39" s="447"/>
      <c r="N39" s="447"/>
      <c r="O39" s="447"/>
      <c r="P39" s="6"/>
      <c r="Q39" s="6"/>
      <c r="R39" s="6"/>
      <c r="S39" s="6"/>
      <c r="T39" s="6"/>
      <c r="AS39" s="16"/>
      <c r="AT39" s="16"/>
      <c r="AU39" s="16"/>
      <c r="AV39" s="16"/>
      <c r="AW39" s="16"/>
      <c r="AX39" s="16"/>
      <c r="AY39" s="16"/>
      <c r="AZ39" s="16"/>
    </row>
    <row r="40" spans="1:52" ht="24" customHeight="1" x14ac:dyDescent="0.2">
      <c r="A40" s="6"/>
      <c r="B40" s="448"/>
      <c r="C40" s="448"/>
      <c r="D40" s="448"/>
      <c r="E40" s="448"/>
      <c r="F40" s="448"/>
      <c r="G40" s="448"/>
      <c r="H40" s="449"/>
      <c r="I40" s="447"/>
      <c r="J40" s="447"/>
      <c r="K40" s="447"/>
      <c r="L40" s="447"/>
      <c r="M40" s="447"/>
      <c r="N40" s="447"/>
      <c r="O40" s="447"/>
      <c r="P40" s="6"/>
      <c r="Q40" s="6"/>
      <c r="R40" s="6"/>
      <c r="S40" s="6"/>
      <c r="T40" s="6"/>
    </row>
    <row r="41" spans="1:52" ht="16" customHeight="1" x14ac:dyDescent="0.2">
      <c r="A41" s="6"/>
      <c r="B41" s="6" t="s">
        <v>222</v>
      </c>
      <c r="C41" s="6"/>
      <c r="D41" s="6"/>
      <c r="E41" s="6"/>
      <c r="F41" s="6"/>
      <c r="G41" s="6"/>
      <c r="H41" s="447"/>
      <c r="I41" s="447"/>
      <c r="J41" s="447"/>
      <c r="K41" s="447"/>
      <c r="L41" s="447"/>
      <c r="M41" s="447"/>
      <c r="N41" s="447"/>
      <c r="O41" s="447"/>
      <c r="P41" s="6"/>
      <c r="Q41" s="6"/>
      <c r="R41" s="6"/>
      <c r="S41" s="6"/>
      <c r="T41" s="6"/>
      <c r="U41" s="207"/>
    </row>
    <row r="42" spans="1:52" ht="20" x14ac:dyDescent="0.2">
      <c r="A42" s="6"/>
      <c r="B42" s="6"/>
      <c r="C42" s="6"/>
      <c r="D42" s="6"/>
      <c r="E42" s="6"/>
      <c r="F42" s="6"/>
      <c r="G42" s="6"/>
      <c r="H42" s="6"/>
      <c r="I42" s="6"/>
      <c r="J42" s="6"/>
      <c r="K42" s="6"/>
      <c r="L42" s="6"/>
      <c r="M42" s="6"/>
      <c r="N42" s="6"/>
      <c r="O42" s="6"/>
      <c r="P42" s="6"/>
      <c r="Q42" s="6"/>
      <c r="R42" s="6"/>
      <c r="S42" s="6"/>
      <c r="T42" s="6"/>
      <c r="U42" s="207"/>
    </row>
    <row r="43" spans="1:52" ht="20" x14ac:dyDescent="0.2">
      <c r="A43" s="6"/>
      <c r="B43" s="223"/>
      <c r="C43" s="223"/>
      <c r="D43" s="223"/>
      <c r="E43" s="223"/>
      <c r="F43" s="223"/>
      <c r="G43" s="223"/>
      <c r="H43" s="223"/>
      <c r="I43" s="223"/>
      <c r="J43" s="223"/>
      <c r="K43" s="223"/>
      <c r="L43" s="223"/>
      <c r="M43" s="223"/>
      <c r="N43" s="223"/>
      <c r="O43" s="223"/>
      <c r="P43" s="223"/>
      <c r="Q43" s="223"/>
      <c r="R43" s="223"/>
      <c r="S43" s="223"/>
      <c r="T43" s="223"/>
      <c r="U43" s="207"/>
    </row>
    <row r="44" spans="1:52" ht="17.25" customHeight="1" x14ac:dyDescent="0.2">
      <c r="A44" s="6"/>
      <c r="B44" s="223"/>
      <c r="C44" s="223"/>
      <c r="D44" s="223"/>
      <c r="E44" s="223"/>
      <c r="F44" s="223"/>
      <c r="G44" s="223"/>
      <c r="H44" s="223"/>
      <c r="I44" s="223"/>
      <c r="J44" s="223"/>
      <c r="K44" s="223"/>
      <c r="L44" s="223"/>
      <c r="M44" s="223"/>
      <c r="N44" s="223"/>
      <c r="O44" s="223"/>
      <c r="P44" s="223"/>
      <c r="Q44" s="223"/>
      <c r="R44" s="223"/>
      <c r="S44" s="223"/>
      <c r="T44" s="223"/>
      <c r="U44" s="207"/>
    </row>
    <row r="45" spans="1:52" ht="20" x14ac:dyDescent="0.2">
      <c r="A45" s="6"/>
      <c r="B45" s="6"/>
      <c r="C45" s="6"/>
      <c r="D45" s="6"/>
      <c r="E45" s="6"/>
      <c r="F45" s="6"/>
      <c r="G45" s="6"/>
      <c r="H45" s="6"/>
      <c r="I45" s="6"/>
      <c r="J45" s="6"/>
      <c r="K45" s="6"/>
      <c r="L45" s="6"/>
      <c r="M45" s="6"/>
      <c r="N45" s="6"/>
      <c r="O45" s="6"/>
      <c r="P45" s="6"/>
      <c r="Q45" s="6"/>
      <c r="R45" s="6"/>
      <c r="S45" s="6"/>
      <c r="T45" s="6"/>
    </row>
    <row r="46" spans="1:52" ht="20" x14ac:dyDescent="0.2">
      <c r="A46" s="6"/>
      <c r="B46" s="6"/>
      <c r="C46" s="6"/>
      <c r="D46" s="6"/>
      <c r="E46" s="6"/>
      <c r="F46" s="6"/>
      <c r="G46" s="6"/>
      <c r="H46" s="6"/>
      <c r="I46" s="6"/>
      <c r="J46" s="6"/>
      <c r="K46" s="6"/>
      <c r="L46" s="6"/>
      <c r="M46" s="6"/>
      <c r="N46" s="6"/>
      <c r="O46" s="6"/>
      <c r="P46" s="6"/>
      <c r="Q46" s="6"/>
      <c r="R46" s="6"/>
      <c r="S46" s="6"/>
      <c r="T46" s="6"/>
    </row>
    <row r="58" ht="16" customHeight="1" x14ac:dyDescent="0.2"/>
  </sheetData>
  <sheetProtection selectLockedCells="1"/>
  <mergeCells count="34">
    <mergeCell ref="B37:T37"/>
    <mergeCell ref="B23:T24"/>
    <mergeCell ref="B35:E35"/>
    <mergeCell ref="C25:T25"/>
    <mergeCell ref="C27:T27"/>
    <mergeCell ref="C29:T29"/>
    <mergeCell ref="C31:T31"/>
    <mergeCell ref="C33:T33"/>
    <mergeCell ref="B20:T22"/>
    <mergeCell ref="Q17:T17"/>
    <mergeCell ref="Q18:T18"/>
    <mergeCell ref="C16:H16"/>
    <mergeCell ref="K1:Q5"/>
    <mergeCell ref="K8:Q8"/>
    <mergeCell ref="C14:H14"/>
    <mergeCell ref="C15:H15"/>
    <mergeCell ref="C17:H17"/>
    <mergeCell ref="R1:T1"/>
    <mergeCell ref="R3:T3"/>
    <mergeCell ref="R5:T5"/>
    <mergeCell ref="R8:T8"/>
    <mergeCell ref="R10:T10"/>
    <mergeCell ref="K9:Q9"/>
    <mergeCell ref="B1:J1"/>
    <mergeCell ref="B2:C2"/>
    <mergeCell ref="B3:J3"/>
    <mergeCell ref="B4:J4"/>
    <mergeCell ref="B5:J5"/>
    <mergeCell ref="B6:J6"/>
    <mergeCell ref="B7:J7"/>
    <mergeCell ref="B8:J8"/>
    <mergeCell ref="C18:F18"/>
    <mergeCell ref="E12:H12"/>
    <mergeCell ref="B9:J9"/>
  </mergeCells>
  <printOptions horizontalCentered="1"/>
  <pageMargins left="0.2" right="0.2" top="0.2" bottom="0.2" header="0" footer="0"/>
  <pageSetup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78"/>
  <sheetViews>
    <sheetView showZeros="0" view="pageBreakPreview" zoomScale="89" zoomScaleNormal="80" zoomScaleSheetLayoutView="89" workbookViewId="0">
      <selection activeCell="E29" sqref="E29"/>
    </sheetView>
  </sheetViews>
  <sheetFormatPr baseColWidth="10" defaultColWidth="11" defaultRowHeight="16" x14ac:dyDescent="0.2"/>
  <cols>
    <col min="1" max="1" width="2" style="16" customWidth="1"/>
    <col min="2" max="2" width="3.33203125" style="16" customWidth="1"/>
    <col min="3" max="3" width="27.33203125" style="16" customWidth="1"/>
    <col min="4" max="4" width="3.5" style="16" customWidth="1"/>
    <col min="5" max="5" width="23" style="16" customWidth="1"/>
    <col min="6" max="6" width="2" style="16" customWidth="1"/>
    <col min="7" max="8" width="1.33203125" style="16" customWidth="1"/>
    <col min="9" max="9" width="24.5" style="16" customWidth="1"/>
    <col min="10" max="10" width="1" style="16" customWidth="1"/>
    <col min="11" max="11" width="25.33203125" style="16" customWidth="1"/>
    <col min="12" max="12" width="3" style="16" customWidth="1"/>
    <col min="13" max="13" width="2" style="16" customWidth="1"/>
    <col min="14" max="14" width="12.5" style="16" customWidth="1"/>
    <col min="15" max="15" width="4" style="16" customWidth="1"/>
    <col min="16" max="16" width="12.33203125" style="16" customWidth="1"/>
    <col min="17" max="17" width="3" style="16" customWidth="1"/>
    <col min="18" max="18" width="29" style="16" customWidth="1"/>
    <col min="19" max="19" width="4.5" style="16" customWidth="1"/>
    <col min="20" max="20" width="28.5" style="16" customWidth="1"/>
    <col min="21" max="21" width="1.5" style="16" customWidth="1"/>
    <col min="22" max="39" width="11" style="16"/>
    <col min="40" max="40" width="14.5" style="16" customWidth="1"/>
    <col min="41" max="16384" width="11" style="16"/>
  </cols>
  <sheetData>
    <row r="1" spans="2:23" ht="22" customHeight="1" x14ac:dyDescent="0.2">
      <c r="B1" s="1009" t="s">
        <v>2278</v>
      </c>
      <c r="C1" s="1010"/>
      <c r="D1" s="1010"/>
      <c r="E1" s="1010"/>
      <c r="F1" s="1010"/>
      <c r="G1" s="1010"/>
      <c r="H1" s="1010"/>
      <c r="I1" s="1010"/>
      <c r="J1" s="1011"/>
      <c r="K1" s="787" t="s">
        <v>267</v>
      </c>
      <c r="L1" s="787"/>
      <c r="M1" s="787"/>
      <c r="N1" s="787"/>
      <c r="O1" s="787"/>
      <c r="P1" s="787"/>
      <c r="Q1" s="391"/>
      <c r="R1" s="946" t="str">
        <f>+Calculations!B568</f>
        <v/>
      </c>
      <c r="S1" s="946"/>
      <c r="T1" s="947"/>
      <c r="U1" s="393"/>
      <c r="V1" s="393"/>
      <c r="W1" s="393"/>
    </row>
    <row r="2" spans="2:23" ht="3" customHeight="1" x14ac:dyDescent="0.2">
      <c r="B2" s="1007"/>
      <c r="C2" s="720"/>
      <c r="D2" s="21"/>
      <c r="E2" s="21"/>
      <c r="F2" s="21"/>
      <c r="H2" s="21"/>
      <c r="J2" s="70"/>
      <c r="K2" s="789"/>
      <c r="L2" s="789"/>
      <c r="M2" s="789"/>
      <c r="N2" s="789"/>
      <c r="O2" s="789"/>
      <c r="P2" s="789"/>
      <c r="R2" s="883"/>
      <c r="S2" s="883"/>
      <c r="T2" s="944"/>
      <c r="U2" s="313"/>
      <c r="V2" s="442"/>
      <c r="W2" s="442"/>
    </row>
    <row r="3" spans="2:23" ht="16" customHeight="1" x14ac:dyDescent="0.2">
      <c r="B3" s="970" t="s">
        <v>2273</v>
      </c>
      <c r="C3" s="971"/>
      <c r="D3" s="971"/>
      <c r="E3" s="971"/>
      <c r="F3" s="971"/>
      <c r="G3" s="971"/>
      <c r="H3" s="971"/>
      <c r="I3" s="971"/>
      <c r="J3" s="972"/>
      <c r="K3" s="789"/>
      <c r="L3" s="789"/>
      <c r="M3" s="789"/>
      <c r="N3" s="789"/>
      <c r="O3" s="789"/>
      <c r="P3" s="789"/>
      <c r="R3" s="883" t="str">
        <f>+Calculations!B569</f>
        <v/>
      </c>
      <c r="S3" s="883"/>
      <c r="T3" s="944"/>
      <c r="U3" s="313"/>
      <c r="V3" s="442"/>
      <c r="W3" s="442"/>
    </row>
    <row r="4" spans="2:23" ht="3" customHeight="1" x14ac:dyDescent="0.2">
      <c r="B4" s="1007"/>
      <c r="C4" s="720"/>
      <c r="D4" s="720"/>
      <c r="E4" s="720"/>
      <c r="F4" s="720"/>
      <c r="G4" s="720"/>
      <c r="H4" s="720"/>
      <c r="I4" s="720"/>
      <c r="J4" s="1008"/>
      <c r="K4" s="789"/>
      <c r="L4" s="789"/>
      <c r="M4" s="789"/>
      <c r="N4" s="789"/>
      <c r="O4" s="789"/>
      <c r="P4" s="789"/>
      <c r="Q4" s="393"/>
      <c r="R4" s="883"/>
      <c r="S4" s="883"/>
      <c r="T4" s="944"/>
      <c r="U4" s="313"/>
      <c r="V4" s="442"/>
      <c r="W4" s="442"/>
    </row>
    <row r="5" spans="2:23" ht="16" customHeight="1" x14ac:dyDescent="0.2">
      <c r="B5" s="970" t="s">
        <v>2274</v>
      </c>
      <c r="C5" s="971"/>
      <c r="D5" s="971"/>
      <c r="E5" s="971"/>
      <c r="F5" s="971"/>
      <c r="G5" s="971"/>
      <c r="H5" s="971"/>
      <c r="I5" s="971"/>
      <c r="J5" s="972"/>
      <c r="K5" s="789"/>
      <c r="L5" s="789"/>
      <c r="M5" s="789"/>
      <c r="N5" s="789"/>
      <c r="O5" s="789"/>
      <c r="P5" s="789"/>
      <c r="Q5" s="442"/>
      <c r="R5" s="883" t="str">
        <f>+Calculations!B570</f>
        <v/>
      </c>
      <c r="S5" s="883"/>
      <c r="T5" s="944"/>
      <c r="U5" s="313"/>
      <c r="V5" s="313"/>
      <c r="W5" s="313"/>
    </row>
    <row r="6" spans="2:23" ht="3" customHeight="1" x14ac:dyDescent="0.2">
      <c r="B6" s="1007"/>
      <c r="C6" s="720"/>
      <c r="D6" s="720"/>
      <c r="E6" s="720"/>
      <c r="F6" s="720"/>
      <c r="G6" s="720"/>
      <c r="H6" s="720"/>
      <c r="I6" s="720"/>
      <c r="J6" s="1008"/>
      <c r="K6" s="789"/>
      <c r="L6" s="789"/>
      <c r="M6" s="789"/>
      <c r="N6" s="789"/>
      <c r="O6" s="789"/>
      <c r="P6" s="789"/>
      <c r="Q6" s="21"/>
      <c r="R6" s="21"/>
      <c r="S6" s="21"/>
      <c r="T6" s="394"/>
    </row>
    <row r="7" spans="2:23" ht="19" customHeight="1" x14ac:dyDescent="0.25">
      <c r="B7" s="970" t="s">
        <v>2275</v>
      </c>
      <c r="C7" s="971"/>
      <c r="D7" s="971"/>
      <c r="E7" s="971"/>
      <c r="F7" s="971"/>
      <c r="G7" s="971"/>
      <c r="H7" s="971"/>
      <c r="I7" s="971"/>
      <c r="J7" s="972"/>
      <c r="K7" s="803" t="s">
        <v>268</v>
      </c>
      <c r="L7" s="803"/>
      <c r="M7" s="803"/>
      <c r="N7" s="803"/>
      <c r="O7" s="803"/>
      <c r="P7" s="804"/>
      <c r="Q7" s="21"/>
      <c r="R7" s="1003" t="str">
        <f>+Calculations!B571</f>
        <v/>
      </c>
      <c r="S7" s="1003"/>
      <c r="T7" s="1004"/>
    </row>
    <row r="8" spans="2:23" ht="4" customHeight="1" x14ac:dyDescent="0.2">
      <c r="B8" s="1007"/>
      <c r="C8" s="720"/>
      <c r="D8" s="720"/>
      <c r="E8" s="720"/>
      <c r="F8" s="720"/>
      <c r="G8" s="720"/>
      <c r="H8" s="720"/>
      <c r="I8" s="720"/>
      <c r="J8" s="1008"/>
      <c r="K8" s="450"/>
      <c r="L8" s="450"/>
      <c r="M8" s="450"/>
      <c r="N8" s="450"/>
      <c r="O8" s="450"/>
      <c r="P8" s="451"/>
      <c r="Q8" s="21"/>
      <c r="R8" s="21"/>
      <c r="S8" s="21"/>
      <c r="T8" s="394"/>
    </row>
    <row r="9" spans="2:23" ht="19" customHeight="1" x14ac:dyDescent="0.2">
      <c r="B9" s="970" t="s">
        <v>2276</v>
      </c>
      <c r="C9" s="971"/>
      <c r="D9" s="971"/>
      <c r="E9" s="971"/>
      <c r="F9" s="971"/>
      <c r="G9" s="971"/>
      <c r="H9" s="971"/>
      <c r="I9" s="971"/>
      <c r="J9" s="972"/>
      <c r="K9" s="1001" t="str">
        <f>+Calculations!B572</f>
        <v>CRYSTALTRACTOR.COM</v>
      </c>
      <c r="L9" s="1001"/>
      <c r="M9" s="1001"/>
      <c r="N9" s="1001"/>
      <c r="O9" s="1001"/>
      <c r="P9" s="1002"/>
      <c r="Q9" s="21"/>
      <c r="R9" s="1003" t="str">
        <f>+Calculations!B572</f>
        <v>CRYSTALTRACTOR.COM</v>
      </c>
      <c r="S9" s="1003"/>
      <c r="T9" s="1004"/>
    </row>
    <row r="10" spans="2:23" ht="9" customHeight="1" thickBot="1" x14ac:dyDescent="0.25">
      <c r="B10" s="316"/>
      <c r="C10" s="709"/>
      <c r="D10" s="709"/>
      <c r="E10" s="1005"/>
      <c r="F10" s="1005"/>
      <c r="G10" s="452"/>
      <c r="H10" s="453"/>
      <c r="I10" s="710"/>
      <c r="J10" s="454"/>
      <c r="K10" s="455"/>
      <c r="L10" s="455"/>
      <c r="M10" s="455"/>
      <c r="N10" s="455"/>
      <c r="O10" s="455"/>
      <c r="P10" s="456"/>
      <c r="Q10" s="114"/>
      <c r="R10" s="114"/>
      <c r="S10" s="457"/>
      <c r="T10" s="399"/>
    </row>
    <row r="11" spans="2:23" ht="20.25" customHeight="1" x14ac:dyDescent="0.2">
      <c r="C11" s="313"/>
      <c r="D11" s="313"/>
      <c r="E11" s="458"/>
      <c r="G11" s="21"/>
      <c r="H11" s="320"/>
      <c r="I11" s="320"/>
      <c r="J11" s="320"/>
      <c r="K11" s="66"/>
      <c r="L11" s="66"/>
      <c r="M11" s="66"/>
      <c r="N11" s="66"/>
      <c r="O11" s="66"/>
      <c r="P11" s="459"/>
      <c r="Q11" s="66"/>
      <c r="R11" s="66"/>
      <c r="S11" s="66"/>
    </row>
    <row r="12" spans="2:23" ht="20.25" customHeight="1" x14ac:dyDescent="0.2">
      <c r="C12" s="460"/>
      <c r="D12" s="393"/>
      <c r="E12" s="6"/>
      <c r="F12" s="6"/>
      <c r="G12" s="271"/>
      <c r="H12" s="272"/>
      <c r="I12" s="272"/>
      <c r="J12" s="272"/>
      <c r="K12" s="203"/>
      <c r="L12" s="203"/>
      <c r="M12" s="203"/>
      <c r="N12" s="203"/>
      <c r="O12" s="203"/>
      <c r="P12" s="443"/>
      <c r="Q12" s="203"/>
      <c r="R12" s="203"/>
      <c r="S12" s="203"/>
      <c r="T12" s="6"/>
    </row>
    <row r="13" spans="2:23" ht="20.25" customHeight="1" x14ac:dyDescent="0.2">
      <c r="C13" s="460" t="s">
        <v>87</v>
      </c>
      <c r="D13" s="393"/>
      <c r="E13" s="461">
        <f>'Costing Sheet'!C11</f>
        <v>0</v>
      </c>
      <c r="F13" s="6"/>
      <c r="G13" s="271"/>
      <c r="H13" s="272"/>
      <c r="I13" s="272"/>
      <c r="J13" s="272"/>
      <c r="K13" s="203"/>
      <c r="L13" s="203"/>
      <c r="M13" s="203"/>
      <c r="N13" s="1006" t="s">
        <v>92</v>
      </c>
      <c r="O13" s="1006"/>
      <c r="P13" s="1006"/>
      <c r="Q13" s="203"/>
      <c r="R13" s="842">
        <f>+'Costing Sheet'!C13</f>
        <v>0</v>
      </c>
      <c r="S13" s="842"/>
      <c r="T13" s="842"/>
    </row>
    <row r="14" spans="2:23" ht="20.25" customHeight="1" x14ac:dyDescent="0.2">
      <c r="C14" s="6"/>
      <c r="D14" s="6"/>
      <c r="E14" s="6"/>
      <c r="F14" s="6"/>
      <c r="G14" s="271"/>
      <c r="H14" s="272"/>
      <c r="I14" s="272"/>
      <c r="J14" s="272"/>
      <c r="K14" s="203"/>
      <c r="L14" s="203"/>
      <c r="M14" s="203"/>
      <c r="N14" s="785" t="s">
        <v>46</v>
      </c>
      <c r="O14" s="785"/>
      <c r="P14" s="785"/>
      <c r="Q14" s="6"/>
      <c r="R14" s="842" t="str">
        <f>IF('Sales Input Sheet'!C15&lt;&gt;"",UPPER('Sales Input Sheet'!C15),"")</f>
        <v/>
      </c>
      <c r="S14" s="842"/>
      <c r="T14" s="842"/>
    </row>
    <row r="15" spans="2:23" ht="20" x14ac:dyDescent="0.2">
      <c r="C15" s="889" t="str">
        <f>IF('Customer Input Screen'!I10&lt;&gt;"",UPPER('Customer Input Screen'!I10),"")</f>
        <v/>
      </c>
      <c r="D15" s="889"/>
      <c r="E15" s="889"/>
      <c r="F15" s="889"/>
      <c r="G15" s="889"/>
      <c r="H15" s="889"/>
      <c r="I15" s="6"/>
      <c r="J15" s="6"/>
      <c r="K15" s="6"/>
      <c r="L15" s="6"/>
      <c r="M15" s="6"/>
      <c r="N15" s="6"/>
      <c r="O15" s="6"/>
      <c r="P15" s="6"/>
      <c r="Q15" s="6"/>
      <c r="R15" s="6"/>
      <c r="S15" s="6"/>
      <c r="T15" s="6"/>
    </row>
    <row r="16" spans="2:23" ht="20" x14ac:dyDescent="0.2">
      <c r="C16" s="889" t="str">
        <f>IF(Calculations!B3&lt;&gt;"",UPPER(Calculations!B3),"")</f>
        <v xml:space="preserve">  </v>
      </c>
      <c r="D16" s="889"/>
      <c r="E16" s="889"/>
      <c r="F16" s="889"/>
      <c r="G16" s="889"/>
      <c r="H16" s="889"/>
      <c r="I16" s="203"/>
      <c r="J16" s="203"/>
      <c r="K16" s="203"/>
      <c r="L16" s="203"/>
      <c r="M16" s="203"/>
      <c r="N16" s="203"/>
      <c r="O16" s="203"/>
      <c r="P16" s="203"/>
      <c r="Q16" s="6"/>
      <c r="R16" s="6"/>
      <c r="S16" s="6"/>
      <c r="T16" s="6"/>
    </row>
    <row r="17" spans="1:52" ht="19" customHeight="1" x14ac:dyDescent="0.2">
      <c r="C17" s="889" t="str">
        <f>IF('Customer Input Screen'!I14&lt;&gt;"",UPPER('Customer Input Screen'!I14),"")</f>
        <v/>
      </c>
      <c r="D17" s="889"/>
      <c r="E17" s="889"/>
      <c r="F17" s="889"/>
      <c r="G17" s="889"/>
      <c r="H17" s="889"/>
      <c r="I17" s="203"/>
      <c r="J17" s="203"/>
      <c r="K17" s="203"/>
      <c r="L17" s="203"/>
      <c r="M17" s="203"/>
      <c r="N17" s="203"/>
      <c r="O17" s="203"/>
      <c r="P17" s="203"/>
      <c r="Q17" s="6"/>
      <c r="R17" s="6"/>
      <c r="S17" s="6"/>
      <c r="T17" s="6"/>
    </row>
    <row r="18" spans="1:52" ht="20" x14ac:dyDescent="0.2">
      <c r="C18" s="889" t="str">
        <f>IF('Customer Input Screen'!I15&lt;&gt;"",UPPER('Customer Input Screen'!I15),"")</f>
        <v/>
      </c>
      <c r="D18" s="889"/>
      <c r="E18" s="889"/>
      <c r="F18" s="889"/>
      <c r="G18" s="889"/>
      <c r="H18" s="889"/>
      <c r="I18" s="203"/>
      <c r="J18" s="203"/>
      <c r="K18" s="203"/>
      <c r="L18" s="6"/>
      <c r="M18" s="6"/>
      <c r="N18" s="6"/>
      <c r="O18" s="203"/>
      <c r="P18" s="203"/>
      <c r="Q18" s="890"/>
      <c r="R18" s="890"/>
      <c r="S18" s="890"/>
      <c r="T18" s="890"/>
    </row>
    <row r="19" spans="1:52" ht="20" x14ac:dyDescent="0.2">
      <c r="C19" s="785" t="str">
        <f>+Calculations!$B$601</f>
        <v/>
      </c>
      <c r="D19" s="785"/>
      <c r="E19" s="785"/>
      <c r="F19" s="785"/>
      <c r="G19" s="322"/>
      <c r="H19" s="322"/>
      <c r="I19" s="203"/>
      <c r="J19" s="203"/>
      <c r="K19" s="203"/>
      <c r="L19" s="6"/>
      <c r="M19" s="6"/>
      <c r="N19" s="6"/>
      <c r="O19" s="203"/>
      <c r="P19" s="203"/>
      <c r="Q19" s="890"/>
      <c r="R19" s="890"/>
      <c r="S19" s="890"/>
      <c r="T19" s="890"/>
    </row>
    <row r="20" spans="1:52" ht="12" customHeight="1" thickBot="1" x14ac:dyDescent="0.25">
      <c r="C20" s="6"/>
      <c r="D20" s="6"/>
      <c r="E20" s="6"/>
      <c r="F20" s="6"/>
      <c r="G20" s="6"/>
      <c r="H20" s="6"/>
      <c r="I20" s="6"/>
      <c r="J20" s="6"/>
      <c r="K20" s="6"/>
      <c r="L20" s="6"/>
      <c r="M20" s="6"/>
      <c r="N20" s="6"/>
      <c r="O20" s="6"/>
      <c r="P20" s="6"/>
      <c r="Q20" s="6"/>
      <c r="R20" s="6"/>
      <c r="S20" s="6"/>
      <c r="T20" s="6"/>
      <c r="U20" s="14"/>
    </row>
    <row r="21" spans="1:52" ht="2.25" customHeight="1" x14ac:dyDescent="0.2">
      <c r="B21" s="948" t="s">
        <v>359</v>
      </c>
      <c r="C21" s="949"/>
      <c r="D21" s="949"/>
      <c r="E21" s="949"/>
      <c r="F21" s="949"/>
      <c r="G21" s="949"/>
      <c r="H21" s="949"/>
      <c r="I21" s="949"/>
      <c r="J21" s="949"/>
      <c r="K21" s="949"/>
      <c r="L21" s="949"/>
      <c r="M21" s="949"/>
      <c r="N21" s="949"/>
      <c r="O21" s="949"/>
      <c r="P21" s="949"/>
      <c r="Q21" s="949"/>
      <c r="R21" s="949"/>
      <c r="S21" s="949"/>
      <c r="T21" s="950"/>
      <c r="U21" s="14"/>
    </row>
    <row r="22" spans="1:52" x14ac:dyDescent="0.2">
      <c r="B22" s="998"/>
      <c r="C22" s="999"/>
      <c r="D22" s="999"/>
      <c r="E22" s="999"/>
      <c r="F22" s="999"/>
      <c r="G22" s="999"/>
      <c r="H22" s="999"/>
      <c r="I22" s="999"/>
      <c r="J22" s="999"/>
      <c r="K22" s="999"/>
      <c r="L22" s="999"/>
      <c r="M22" s="999"/>
      <c r="N22" s="999"/>
      <c r="O22" s="999"/>
      <c r="P22" s="999"/>
      <c r="Q22" s="999"/>
      <c r="R22" s="999"/>
      <c r="S22" s="999"/>
      <c r="T22" s="1000"/>
    </row>
    <row r="23" spans="1:52" ht="17" thickBot="1" x14ac:dyDescent="0.25">
      <c r="B23" s="951"/>
      <c r="C23" s="952"/>
      <c r="D23" s="952"/>
      <c r="E23" s="952"/>
      <c r="F23" s="952"/>
      <c r="G23" s="952"/>
      <c r="H23" s="952"/>
      <c r="I23" s="952"/>
      <c r="J23" s="952"/>
      <c r="K23" s="952"/>
      <c r="L23" s="952"/>
      <c r="M23" s="952"/>
      <c r="N23" s="952"/>
      <c r="O23" s="952"/>
      <c r="P23" s="952"/>
      <c r="Q23" s="952"/>
      <c r="R23" s="952"/>
      <c r="S23" s="952"/>
      <c r="T23" s="953"/>
    </row>
    <row r="24" spans="1:52" s="1" customFormat="1" ht="26.25" customHeight="1" x14ac:dyDescent="0.2">
      <c r="A24" s="16"/>
      <c r="B24" s="994" t="str">
        <f>Calculations!B567</f>
        <v>CUSTOMER ACKNOWLEDGES THAT THEY HAVE / IT HAS RECEIVED ALL ITEMS TO BE DELIVERED BY  UNDER INVOICE NUMBER  -  EXCEPT FOR THOSE ITEMS LISTED BELOW:</v>
      </c>
      <c r="C24" s="840"/>
      <c r="D24" s="840"/>
      <c r="E24" s="840"/>
      <c r="F24" s="840"/>
      <c r="G24" s="840"/>
      <c r="H24" s="840"/>
      <c r="I24" s="840"/>
      <c r="J24" s="840"/>
      <c r="K24" s="840"/>
      <c r="L24" s="840"/>
      <c r="M24" s="840"/>
      <c r="N24" s="840"/>
      <c r="O24" s="840"/>
      <c r="P24" s="840"/>
      <c r="Q24" s="840"/>
      <c r="R24" s="840"/>
      <c r="S24" s="840"/>
      <c r="T24" s="995"/>
      <c r="AS24" s="16"/>
      <c r="AT24" s="16"/>
      <c r="AU24" s="16"/>
      <c r="AV24" s="16"/>
      <c r="AW24" s="16"/>
      <c r="AX24" s="16"/>
      <c r="AY24" s="16"/>
      <c r="AZ24" s="16"/>
    </row>
    <row r="25" spans="1:52" s="1" customFormat="1" ht="39" customHeight="1" x14ac:dyDescent="0.2">
      <c r="A25" s="16"/>
      <c r="B25" s="902"/>
      <c r="C25" s="786"/>
      <c r="D25" s="786"/>
      <c r="E25" s="786"/>
      <c r="F25" s="786"/>
      <c r="G25" s="786"/>
      <c r="H25" s="786"/>
      <c r="I25" s="786"/>
      <c r="J25" s="786"/>
      <c r="K25" s="786"/>
      <c r="L25" s="786"/>
      <c r="M25" s="786"/>
      <c r="N25" s="786"/>
      <c r="O25" s="786"/>
      <c r="P25" s="786"/>
      <c r="Q25" s="786"/>
      <c r="R25" s="786"/>
      <c r="S25" s="786"/>
      <c r="T25" s="807"/>
      <c r="AS25" s="16"/>
      <c r="AT25" s="16"/>
      <c r="AU25" s="16"/>
      <c r="AV25" s="16"/>
      <c r="AW25" s="16"/>
      <c r="AX25" s="16"/>
      <c r="AY25" s="16"/>
      <c r="AZ25" s="16"/>
    </row>
    <row r="26" spans="1:52" s="1" customFormat="1" ht="47.25" customHeight="1" x14ac:dyDescent="0.2">
      <c r="A26" s="16"/>
      <c r="B26" s="360"/>
      <c r="C26" s="872" t="str">
        <f>Calculations!B628</f>
        <v>NOTHING OWED</v>
      </c>
      <c r="D26" s="872"/>
      <c r="E26" s="872"/>
      <c r="F26" s="872"/>
      <c r="G26" s="872"/>
      <c r="H26" s="872"/>
      <c r="I26" s="872"/>
      <c r="J26" s="872"/>
      <c r="K26" s="872"/>
      <c r="L26" s="872"/>
      <c r="M26" s="872"/>
      <c r="N26" s="872"/>
      <c r="O26" s="872"/>
      <c r="P26" s="872"/>
      <c r="Q26" s="872"/>
      <c r="R26" s="872"/>
      <c r="S26" s="872"/>
      <c r="T26" s="229"/>
      <c r="AS26" s="16"/>
      <c r="AT26" s="16"/>
      <c r="AU26" s="16"/>
      <c r="AV26" s="16"/>
      <c r="AW26" s="16"/>
      <c r="AX26" s="16"/>
      <c r="AY26" s="16"/>
      <c r="AZ26" s="16"/>
    </row>
    <row r="27" spans="1:52" s="1" customFormat="1" ht="23.25" customHeight="1" x14ac:dyDescent="0.2">
      <c r="A27" s="16"/>
      <c r="B27" s="360"/>
      <c r="C27" s="328"/>
      <c r="D27" s="328"/>
      <c r="E27" s="328" t="str">
        <f>IF(OR($C26=" ",$C26="NOTHING OWED"),"",UPPER(_xlfn.CONCAT("Apply to Stock Number ",'Costing Sheet'!A22)))</f>
        <v/>
      </c>
      <c r="F27" s="328"/>
      <c r="G27" s="328"/>
      <c r="H27" s="328"/>
      <c r="I27" s="328"/>
      <c r="J27" s="328"/>
      <c r="K27" s="328" t="str">
        <f>IF(OR($C26=" ",$C26="NOTHING OWED"),"",UPPER(_xlfn.CONCAT('Costing Sheet'!C22)))</f>
        <v/>
      </c>
      <c r="L27" s="328"/>
      <c r="M27" s="328"/>
      <c r="N27" s="328" t="str">
        <f>IF(OR($C26=" ",$C26="NOTHING OWED"),"",UPPER(_xlfn.CONCAT('Costing Sheet'!E22)))</f>
        <v/>
      </c>
      <c r="O27" s="328"/>
      <c r="P27" s="328"/>
      <c r="Q27" s="328"/>
      <c r="R27" s="328"/>
      <c r="S27" s="328"/>
      <c r="T27" s="229"/>
      <c r="AS27" s="16"/>
      <c r="AT27" s="16"/>
      <c r="AU27" s="16"/>
      <c r="AV27" s="16"/>
      <c r="AW27" s="16"/>
      <c r="AX27" s="16"/>
      <c r="AY27" s="16"/>
      <c r="AZ27" s="16"/>
    </row>
    <row r="28" spans="1:52" s="1" customFormat="1" ht="46" customHeight="1" x14ac:dyDescent="0.2">
      <c r="A28" s="16"/>
      <c r="B28" s="360"/>
      <c r="C28" s="872" t="str">
        <f>Calculations!B629</f>
        <v/>
      </c>
      <c r="D28" s="872"/>
      <c r="E28" s="872"/>
      <c r="F28" s="872"/>
      <c r="G28" s="872"/>
      <c r="H28" s="872"/>
      <c r="I28" s="872"/>
      <c r="J28" s="872"/>
      <c r="K28" s="872"/>
      <c r="L28" s="872"/>
      <c r="M28" s="872"/>
      <c r="N28" s="872"/>
      <c r="O28" s="872"/>
      <c r="P28" s="872"/>
      <c r="Q28" s="872"/>
      <c r="R28" s="872"/>
      <c r="S28" s="872"/>
      <c r="T28" s="229"/>
      <c r="AS28" s="16"/>
      <c r="AT28" s="16"/>
      <c r="AU28" s="16"/>
      <c r="AV28" s="16"/>
      <c r="AW28" s="16"/>
      <c r="AX28" s="16"/>
      <c r="AY28" s="16"/>
      <c r="AZ28" s="16"/>
    </row>
    <row r="29" spans="1:52" s="1" customFormat="1" ht="23.25" customHeight="1" x14ac:dyDescent="0.2">
      <c r="A29" s="16"/>
      <c r="B29" s="360"/>
      <c r="C29" s="328"/>
      <c r="D29" s="328"/>
      <c r="E29" s="328" t="str">
        <f>IF(OR($C28=" ",$C28="NOTHING OWED",$C28=""),"",UPPER(_xlfn.CONCAT("Apply to Stock Number ",'Costing Sheet'!A23)))</f>
        <v/>
      </c>
      <c r="F29" s="328"/>
      <c r="G29" s="328"/>
      <c r="H29" s="328"/>
      <c r="I29" s="328"/>
      <c r="J29" s="328"/>
      <c r="K29" s="328" t="str">
        <f>IF(OR($C28=" ",$C28="NOTHING OWED"),"",UPPER(_xlfn.CONCAT('Costing Sheet'!C23)))</f>
        <v/>
      </c>
      <c r="L29" s="328"/>
      <c r="M29" s="328"/>
      <c r="N29" s="328" t="str">
        <f>IF(OR($C28=" ",$C28="NOTHING OWED"),"",UPPER(_xlfn.CONCAT('Costing Sheet'!E23)))</f>
        <v/>
      </c>
      <c r="O29" s="328"/>
      <c r="P29" s="328"/>
      <c r="Q29" s="328"/>
      <c r="R29" s="328"/>
      <c r="S29" s="328"/>
      <c r="T29" s="229"/>
      <c r="AS29" s="16"/>
      <c r="AT29" s="16"/>
      <c r="AU29" s="16"/>
      <c r="AV29" s="16"/>
      <c r="AW29" s="16"/>
      <c r="AX29" s="16"/>
      <c r="AY29" s="16"/>
      <c r="AZ29" s="16"/>
    </row>
    <row r="30" spans="1:52" s="1" customFormat="1" ht="47.25" customHeight="1" x14ac:dyDescent="0.2">
      <c r="A30" s="16"/>
      <c r="B30" s="360"/>
      <c r="C30" s="872" t="str">
        <f>Calculations!B630</f>
        <v/>
      </c>
      <c r="D30" s="872"/>
      <c r="E30" s="872"/>
      <c r="F30" s="872"/>
      <c r="G30" s="872"/>
      <c r="H30" s="872"/>
      <c r="I30" s="872"/>
      <c r="J30" s="872"/>
      <c r="K30" s="872"/>
      <c r="L30" s="872"/>
      <c r="M30" s="872"/>
      <c r="N30" s="872"/>
      <c r="O30" s="872"/>
      <c r="P30" s="872"/>
      <c r="Q30" s="872"/>
      <c r="R30" s="872"/>
      <c r="S30" s="872"/>
      <c r="T30" s="229"/>
      <c r="AS30" s="16"/>
      <c r="AT30" s="16"/>
      <c r="AU30" s="16"/>
      <c r="AV30" s="16"/>
      <c r="AW30" s="16"/>
      <c r="AX30" s="16"/>
      <c r="AY30" s="16"/>
      <c r="AZ30" s="16"/>
    </row>
    <row r="31" spans="1:52" s="1" customFormat="1" ht="23.25" customHeight="1" x14ac:dyDescent="0.2">
      <c r="A31" s="16"/>
      <c r="B31" s="360"/>
      <c r="C31" s="328"/>
      <c r="D31" s="328"/>
      <c r="E31" s="328" t="str">
        <f>IF(OR($C30=" ",$C30="NOTHING OWED",$C30=""),"",UPPER(_xlfn.CONCAT("Apply to Stock Number ",'Costing Sheet'!A24)))</f>
        <v/>
      </c>
      <c r="F31" s="328"/>
      <c r="G31" s="328"/>
      <c r="H31" s="328"/>
      <c r="I31" s="328"/>
      <c r="J31" s="328"/>
      <c r="K31" s="328" t="str">
        <f>IF(OR($C30=" ",$C30="NOTHING OWED"),"",UPPER(_xlfn.CONCAT('Costing Sheet'!C24)))</f>
        <v/>
      </c>
      <c r="L31" s="328"/>
      <c r="M31" s="328"/>
      <c r="N31" s="328" t="str">
        <f>IF(OR($C30=" ",$C30="NOTHING OWED"),"",UPPER(_xlfn.CONCAT('Costing Sheet'!E24)))</f>
        <v/>
      </c>
      <c r="O31" s="328"/>
      <c r="P31" s="328"/>
      <c r="Q31" s="328"/>
      <c r="R31" s="328"/>
      <c r="S31" s="328"/>
      <c r="T31" s="229"/>
      <c r="AS31" s="16"/>
      <c r="AT31" s="16"/>
      <c r="AU31" s="16"/>
      <c r="AV31" s="16"/>
      <c r="AW31" s="16"/>
      <c r="AX31" s="16"/>
      <c r="AY31" s="16"/>
      <c r="AZ31" s="16"/>
    </row>
    <row r="32" spans="1:52" s="1" customFormat="1" ht="47.25" customHeight="1" x14ac:dyDescent="0.2">
      <c r="A32" s="16"/>
      <c r="B32" s="360"/>
      <c r="C32" s="872" t="str">
        <f>Calculations!B631</f>
        <v/>
      </c>
      <c r="D32" s="872"/>
      <c r="E32" s="872"/>
      <c r="F32" s="872"/>
      <c r="G32" s="872"/>
      <c r="H32" s="872"/>
      <c r="I32" s="872"/>
      <c r="J32" s="872"/>
      <c r="K32" s="872"/>
      <c r="L32" s="872"/>
      <c r="M32" s="872"/>
      <c r="N32" s="872"/>
      <c r="O32" s="872"/>
      <c r="P32" s="872"/>
      <c r="Q32" s="872"/>
      <c r="R32" s="872"/>
      <c r="S32" s="872"/>
      <c r="T32" s="229"/>
      <c r="AS32" s="16"/>
      <c r="AT32" s="16"/>
      <c r="AU32" s="16"/>
      <c r="AV32" s="16"/>
      <c r="AW32" s="16"/>
      <c r="AX32" s="16"/>
      <c r="AY32" s="16"/>
      <c r="AZ32" s="16"/>
    </row>
    <row r="33" spans="1:52" s="1" customFormat="1" ht="23.25" customHeight="1" x14ac:dyDescent="0.2">
      <c r="A33" s="16"/>
      <c r="B33" s="360"/>
      <c r="C33" s="328"/>
      <c r="D33" s="328"/>
      <c r="E33" s="328" t="str">
        <f>IF(OR($C32=" ",$C32="NOTHING OWED",$C32=""),"",UPPER(_xlfn.CONCAT("Apply to Stock Number ",'Costing Sheet'!A25)))</f>
        <v/>
      </c>
      <c r="F33" s="328"/>
      <c r="G33" s="328"/>
      <c r="H33" s="328"/>
      <c r="I33" s="328"/>
      <c r="J33" s="328"/>
      <c r="K33" s="328" t="str">
        <f>IF(OR($C32=" ",$C32="NOTHING OWED"),"",UPPER(_xlfn.CONCAT('Costing Sheet'!C25)))</f>
        <v/>
      </c>
      <c r="L33" s="328"/>
      <c r="M33" s="328"/>
      <c r="N33" s="328" t="str">
        <f>IF(OR($C32=" ",$C32="NOTHING OWED"),"",UPPER(_xlfn.CONCAT('Costing Sheet'!E25)))</f>
        <v/>
      </c>
      <c r="O33" s="328"/>
      <c r="P33" s="328"/>
      <c r="Q33" s="328"/>
      <c r="R33" s="328"/>
      <c r="S33" s="328"/>
      <c r="T33" s="229"/>
      <c r="AS33" s="16"/>
      <c r="AT33" s="16"/>
      <c r="AU33" s="16"/>
      <c r="AV33" s="16"/>
      <c r="AW33" s="16"/>
      <c r="AX33" s="16"/>
      <c r="AY33" s="16"/>
      <c r="AZ33" s="16"/>
    </row>
    <row r="34" spans="1:52" s="1" customFormat="1" ht="44.25" customHeight="1" x14ac:dyDescent="0.2">
      <c r="A34" s="16"/>
      <c r="B34" s="360"/>
      <c r="C34" s="872" t="str">
        <f>Calculations!B632</f>
        <v/>
      </c>
      <c r="D34" s="872"/>
      <c r="E34" s="872"/>
      <c r="F34" s="872"/>
      <c r="G34" s="872"/>
      <c r="H34" s="872"/>
      <c r="I34" s="872"/>
      <c r="J34" s="872"/>
      <c r="K34" s="872"/>
      <c r="L34" s="872"/>
      <c r="M34" s="872"/>
      <c r="N34" s="872"/>
      <c r="O34" s="872"/>
      <c r="P34" s="872"/>
      <c r="Q34" s="872"/>
      <c r="R34" s="872"/>
      <c r="S34" s="872"/>
      <c r="T34" s="229"/>
      <c r="AS34" s="16"/>
      <c r="AT34" s="16"/>
      <c r="AU34" s="16"/>
      <c r="AV34" s="16"/>
      <c r="AW34" s="16"/>
      <c r="AX34" s="16"/>
      <c r="AY34" s="16"/>
      <c r="AZ34" s="16"/>
    </row>
    <row r="35" spans="1:52" s="1" customFormat="1" ht="23.25" customHeight="1" x14ac:dyDescent="0.2">
      <c r="A35" s="16"/>
      <c r="B35" s="360"/>
      <c r="C35" s="328"/>
      <c r="D35" s="328"/>
      <c r="E35" s="328" t="str">
        <f>IF(OR($C34=" ",$C34="NOTHING OWED",$C34=""),"",UPPER(_xlfn.CONCAT("Apply to Stock Number ",'Costing Sheet'!A26)))</f>
        <v/>
      </c>
      <c r="F35" s="328"/>
      <c r="G35" s="328"/>
      <c r="H35" s="328"/>
      <c r="I35" s="328"/>
      <c r="J35" s="328"/>
      <c r="K35" s="328" t="str">
        <f>IF(OR($C34=" ",$C34="NOTHING OWED"),"",UPPER(_xlfn.CONCAT('Costing Sheet'!C26)))</f>
        <v/>
      </c>
      <c r="L35" s="328"/>
      <c r="M35" s="328"/>
      <c r="N35" s="328" t="str">
        <f>IF(OR($C34=" ",$C34="NOTHING OWED"),"",UPPER(_xlfn.CONCAT('Costing Sheet'!E26)))</f>
        <v/>
      </c>
      <c r="O35" s="328"/>
      <c r="P35" s="328"/>
      <c r="Q35" s="328"/>
      <c r="R35" s="328"/>
      <c r="S35" s="328"/>
      <c r="T35" s="229"/>
      <c r="AS35" s="16"/>
      <c r="AT35" s="16"/>
      <c r="AU35" s="16"/>
      <c r="AV35" s="16"/>
      <c r="AW35" s="16"/>
      <c r="AX35" s="16"/>
      <c r="AY35" s="16"/>
      <c r="AZ35" s="16"/>
    </row>
    <row r="36" spans="1:52" s="1" customFormat="1" ht="49" customHeight="1" x14ac:dyDescent="0.2">
      <c r="A36" s="16"/>
      <c r="B36" s="360"/>
      <c r="C36" s="872" t="str">
        <f>Calculations!B633</f>
        <v/>
      </c>
      <c r="D36" s="872"/>
      <c r="E36" s="872"/>
      <c r="F36" s="872"/>
      <c r="G36" s="872"/>
      <c r="H36" s="872"/>
      <c r="I36" s="872"/>
      <c r="J36" s="872"/>
      <c r="K36" s="872"/>
      <c r="L36" s="872"/>
      <c r="M36" s="872"/>
      <c r="N36" s="872"/>
      <c r="O36" s="872"/>
      <c r="P36" s="872"/>
      <c r="Q36" s="872"/>
      <c r="R36" s="872"/>
      <c r="S36" s="872"/>
      <c r="T36" s="229"/>
      <c r="AS36" s="16"/>
      <c r="AT36" s="16"/>
      <c r="AU36" s="16"/>
      <c r="AV36" s="16"/>
      <c r="AW36" s="16"/>
      <c r="AX36" s="16"/>
      <c r="AY36" s="16"/>
      <c r="AZ36" s="16"/>
    </row>
    <row r="37" spans="1:52" s="1" customFormat="1" ht="23.25" customHeight="1" x14ac:dyDescent="0.2">
      <c r="A37" s="16"/>
      <c r="B37" s="360"/>
      <c r="C37" s="328"/>
      <c r="D37" s="328"/>
      <c r="E37" s="328" t="str">
        <f>IF(OR($C36=" ",$C36="NOTHING OWED",$C36=""),"",UPPER(_xlfn.CONCAT("Apply to Stock Number ",'Costing Sheet'!A27)))</f>
        <v/>
      </c>
      <c r="F37" s="328"/>
      <c r="G37" s="328"/>
      <c r="H37" s="328"/>
      <c r="I37" s="328"/>
      <c r="J37" s="328"/>
      <c r="K37" s="328" t="str">
        <f>IF(OR($C36=" ",$C36="NOTHING OWED"),"",UPPER(_xlfn.CONCAT('Costing Sheet'!C27)))</f>
        <v/>
      </c>
      <c r="L37" s="328"/>
      <c r="M37" s="328"/>
      <c r="N37" s="328" t="str">
        <f>IF(OR($C36=" ",$C36="NOTHING OWED"),"",UPPER(_xlfn.CONCAT('Costing Sheet'!E27)))</f>
        <v/>
      </c>
      <c r="O37" s="328"/>
      <c r="P37" s="328"/>
      <c r="Q37" s="328"/>
      <c r="R37" s="328"/>
      <c r="S37" s="328"/>
      <c r="T37" s="229"/>
      <c r="AS37" s="16"/>
      <c r="AT37" s="16"/>
      <c r="AU37" s="16"/>
      <c r="AV37" s="16"/>
      <c r="AW37" s="16"/>
      <c r="AX37" s="16"/>
      <c r="AY37" s="16"/>
      <c r="AZ37" s="16"/>
    </row>
    <row r="38" spans="1:52" s="1" customFormat="1" ht="47.25" customHeight="1" x14ac:dyDescent="0.2">
      <c r="A38" s="16"/>
      <c r="B38" s="360"/>
      <c r="C38" s="872" t="str">
        <f>Calculations!B634</f>
        <v/>
      </c>
      <c r="D38" s="872"/>
      <c r="E38" s="872"/>
      <c r="F38" s="872"/>
      <c r="G38" s="872"/>
      <c r="H38" s="872"/>
      <c r="I38" s="872"/>
      <c r="J38" s="872"/>
      <c r="K38" s="872"/>
      <c r="L38" s="872"/>
      <c r="M38" s="872"/>
      <c r="N38" s="872"/>
      <c r="O38" s="872"/>
      <c r="P38" s="872"/>
      <c r="Q38" s="872"/>
      <c r="R38" s="872"/>
      <c r="S38" s="872"/>
      <c r="T38" s="229"/>
      <c r="AS38" s="16"/>
      <c r="AT38" s="16"/>
      <c r="AU38" s="16"/>
      <c r="AV38" s="16"/>
      <c r="AW38" s="16"/>
      <c r="AX38" s="16"/>
      <c r="AY38" s="16"/>
      <c r="AZ38" s="16"/>
    </row>
    <row r="39" spans="1:52" s="1" customFormat="1" ht="23.25" customHeight="1" x14ac:dyDescent="0.2">
      <c r="A39" s="16"/>
      <c r="B39" s="360"/>
      <c r="C39" s="328"/>
      <c r="D39" s="328"/>
      <c r="E39" s="328" t="str">
        <f>IF(OR($C38=" ",$C38="NOTHING OWED",$C38=""),"",UPPER(_xlfn.CONCAT("Apply to Stock Number ",'Costing Sheet'!A28)))</f>
        <v/>
      </c>
      <c r="F39" s="328"/>
      <c r="G39" s="328"/>
      <c r="H39" s="328"/>
      <c r="I39" s="328"/>
      <c r="J39" s="328"/>
      <c r="K39" s="328" t="str">
        <f>IF(OR($C38=" ",$C38="NOTHING OWED"),"",UPPER(_xlfn.CONCAT('Costing Sheet'!C28)))</f>
        <v/>
      </c>
      <c r="L39" s="328"/>
      <c r="M39" s="328"/>
      <c r="N39" s="328" t="str">
        <f>IF(OR($C38=" ",$C38="NOTHING OWED"),"",UPPER(_xlfn.CONCAT('Costing Sheet'!E28)))</f>
        <v/>
      </c>
      <c r="O39" s="328"/>
      <c r="P39" s="328"/>
      <c r="Q39" s="328"/>
      <c r="R39" s="328"/>
      <c r="S39" s="328"/>
      <c r="T39" s="229"/>
      <c r="AS39" s="16"/>
      <c r="AT39" s="16"/>
      <c r="AU39" s="16"/>
      <c r="AV39" s="16"/>
      <c r="AW39" s="16"/>
      <c r="AX39" s="16"/>
      <c r="AY39" s="16"/>
      <c r="AZ39" s="16"/>
    </row>
    <row r="40" spans="1:52" s="1" customFormat="1" ht="43" customHeight="1" x14ac:dyDescent="0.2">
      <c r="A40" s="16"/>
      <c r="B40" s="360"/>
      <c r="C40" s="872" t="str">
        <f>Calculations!B635</f>
        <v/>
      </c>
      <c r="D40" s="872"/>
      <c r="E40" s="872"/>
      <c r="F40" s="872"/>
      <c r="G40" s="872"/>
      <c r="H40" s="872"/>
      <c r="I40" s="872"/>
      <c r="J40" s="872"/>
      <c r="K40" s="872"/>
      <c r="L40" s="872"/>
      <c r="M40" s="872"/>
      <c r="N40" s="872"/>
      <c r="O40" s="872"/>
      <c r="P40" s="872"/>
      <c r="Q40" s="872"/>
      <c r="R40" s="872"/>
      <c r="S40" s="872"/>
      <c r="T40" s="229"/>
      <c r="AS40" s="16"/>
      <c r="AT40" s="16"/>
      <c r="AU40" s="16"/>
      <c r="AV40" s="16"/>
      <c r="AW40" s="16"/>
      <c r="AX40" s="16"/>
      <c r="AY40" s="16"/>
      <c r="AZ40" s="16"/>
    </row>
    <row r="41" spans="1:52" s="1" customFormat="1" ht="23.25" customHeight="1" x14ac:dyDescent="0.2">
      <c r="A41" s="16"/>
      <c r="B41" s="360"/>
      <c r="C41" s="328"/>
      <c r="D41" s="328"/>
      <c r="E41" s="328" t="str">
        <f>IF(OR($C40=" ",$C40="NOTHING OWED",$C40=""),"",UPPER(_xlfn.CONCAT("Apply to Stock Number ",'Costing Sheet'!A29)))</f>
        <v/>
      </c>
      <c r="F41" s="328"/>
      <c r="G41" s="328"/>
      <c r="H41" s="328"/>
      <c r="I41" s="328"/>
      <c r="J41" s="328"/>
      <c r="K41" s="328" t="str">
        <f>IF(OR($C40=" ",$C40="NOTHING OWED"),"",UPPER(_xlfn.CONCAT('Costing Sheet'!C29)))</f>
        <v/>
      </c>
      <c r="L41" s="328"/>
      <c r="M41" s="328"/>
      <c r="N41" s="328" t="str">
        <f>IF(OR($C40=" ",$C40="NOTHING OWED"),"",UPPER(_xlfn.CONCAT('Costing Sheet'!E29)))</f>
        <v/>
      </c>
      <c r="O41" s="328"/>
      <c r="P41" s="328"/>
      <c r="Q41" s="328"/>
      <c r="R41" s="328"/>
      <c r="S41" s="328"/>
      <c r="T41" s="229"/>
      <c r="AS41" s="16"/>
      <c r="AT41" s="16"/>
      <c r="AU41" s="16"/>
      <c r="AV41" s="16"/>
      <c r="AW41" s="16"/>
      <c r="AX41" s="16"/>
      <c r="AY41" s="16"/>
      <c r="AZ41" s="16"/>
    </row>
    <row r="42" spans="1:52" s="1" customFormat="1" ht="46" customHeight="1" x14ac:dyDescent="0.2">
      <c r="A42" s="16"/>
      <c r="B42" s="360"/>
      <c r="C42" s="872" t="str">
        <f>Calculations!B636</f>
        <v/>
      </c>
      <c r="D42" s="872"/>
      <c r="E42" s="872"/>
      <c r="F42" s="872"/>
      <c r="G42" s="872"/>
      <c r="H42" s="872"/>
      <c r="I42" s="872"/>
      <c r="J42" s="872"/>
      <c r="K42" s="872"/>
      <c r="L42" s="872"/>
      <c r="M42" s="872"/>
      <c r="N42" s="872"/>
      <c r="O42" s="872"/>
      <c r="P42" s="872"/>
      <c r="Q42" s="872"/>
      <c r="R42" s="872"/>
      <c r="S42" s="872"/>
      <c r="T42" s="229"/>
      <c r="AS42" s="16"/>
      <c r="AT42" s="16"/>
      <c r="AU42" s="16"/>
      <c r="AV42" s="16"/>
      <c r="AW42" s="16"/>
      <c r="AX42" s="16"/>
      <c r="AY42" s="16"/>
      <c r="AZ42" s="16"/>
    </row>
    <row r="43" spans="1:52" s="1" customFormat="1" ht="23.25" customHeight="1" x14ac:dyDescent="0.2">
      <c r="A43" s="16"/>
      <c r="B43" s="360"/>
      <c r="C43" s="328"/>
      <c r="D43" s="328"/>
      <c r="E43" s="328" t="str">
        <f>IF(OR($C42=" ",$C42="NOTHING OWED",$C42=""),"",UPPER(_xlfn.CONCAT("Apply to Stock Number ",'Costing Sheet'!A30)))</f>
        <v/>
      </c>
      <c r="F43" s="328"/>
      <c r="G43" s="328"/>
      <c r="H43" s="328"/>
      <c r="I43" s="328"/>
      <c r="J43" s="328"/>
      <c r="K43" s="328" t="str">
        <f>IF(OR($C42=" ",$C42="NOTHING OWED"),"",UPPER(_xlfn.CONCAT('Costing Sheet'!C30)))</f>
        <v/>
      </c>
      <c r="L43" s="328"/>
      <c r="M43" s="328"/>
      <c r="N43" s="328" t="str">
        <f>IF(OR($C42=" ",$C42="NOTHING OWED"),"",UPPER(_xlfn.CONCAT('Costing Sheet'!E30)))</f>
        <v/>
      </c>
      <c r="O43" s="328"/>
      <c r="P43" s="328"/>
      <c r="Q43" s="328"/>
      <c r="R43" s="328"/>
      <c r="S43" s="328"/>
      <c r="T43" s="229"/>
      <c r="AS43" s="16"/>
      <c r="AT43" s="16"/>
      <c r="AU43" s="16"/>
      <c r="AV43" s="16"/>
      <c r="AW43" s="16"/>
      <c r="AX43" s="16"/>
      <c r="AY43" s="16"/>
      <c r="AZ43" s="16"/>
    </row>
    <row r="44" spans="1:52" s="1" customFormat="1" ht="41.25" customHeight="1" x14ac:dyDescent="0.2">
      <c r="A44" s="16"/>
      <c r="B44" s="360"/>
      <c r="C44" s="872" t="str">
        <f>Calculations!B637</f>
        <v/>
      </c>
      <c r="D44" s="872"/>
      <c r="E44" s="872"/>
      <c r="F44" s="872"/>
      <c r="G44" s="872"/>
      <c r="H44" s="872"/>
      <c r="I44" s="872"/>
      <c r="J44" s="872"/>
      <c r="K44" s="872"/>
      <c r="L44" s="872"/>
      <c r="M44" s="872"/>
      <c r="N44" s="872"/>
      <c r="O44" s="872"/>
      <c r="P44" s="872"/>
      <c r="Q44" s="872"/>
      <c r="R44" s="872"/>
      <c r="S44" s="872"/>
      <c r="T44" s="229"/>
      <c r="AS44" s="16"/>
      <c r="AT44" s="16"/>
      <c r="AU44" s="16"/>
      <c r="AV44" s="16"/>
      <c r="AW44" s="16"/>
      <c r="AX44" s="16"/>
      <c r="AY44" s="16"/>
      <c r="AZ44" s="16"/>
    </row>
    <row r="45" spans="1:52" s="1" customFormat="1" ht="23.25" customHeight="1" x14ac:dyDescent="0.2">
      <c r="A45" s="16"/>
      <c r="B45" s="360"/>
      <c r="C45" s="328"/>
      <c r="D45" s="328"/>
      <c r="E45" s="328" t="str">
        <f>IF(OR($C44=" ",$C44="NOTHING OWED",$C44=""),"",UPPER(_xlfn.CONCAT("Apply to Stock Number ",'Costing Sheet'!A31)))</f>
        <v/>
      </c>
      <c r="F45" s="328"/>
      <c r="G45" s="328"/>
      <c r="H45" s="328"/>
      <c r="I45" s="328"/>
      <c r="J45" s="328"/>
      <c r="K45" s="328" t="str">
        <f>IF(OR($C44=" ",$C44="NOTHING OWED"),"",UPPER(_xlfn.CONCAT('Costing Sheet'!C31)))</f>
        <v/>
      </c>
      <c r="L45" s="328"/>
      <c r="M45" s="328"/>
      <c r="N45" s="328" t="str">
        <f>IF(OR($C44=" ",$C44="NOTHING OWED"),"",UPPER(_xlfn.CONCAT('Costing Sheet'!E31)))</f>
        <v/>
      </c>
      <c r="O45" s="328"/>
      <c r="P45" s="328"/>
      <c r="Q45" s="328"/>
      <c r="R45" s="328"/>
      <c r="S45" s="328"/>
      <c r="T45" s="229"/>
      <c r="AS45" s="16"/>
      <c r="AT45" s="16"/>
      <c r="AU45" s="16"/>
      <c r="AV45" s="16"/>
      <c r="AW45" s="16"/>
      <c r="AX45" s="16"/>
      <c r="AY45" s="16"/>
      <c r="AZ45" s="16"/>
    </row>
    <row r="46" spans="1:52" s="10" customFormat="1" ht="39" customHeight="1" x14ac:dyDescent="0.2">
      <c r="B46" s="462"/>
      <c r="C46" s="871" t="str">
        <f>+Calculations!B196</f>
        <v xml:space="preserve">  </v>
      </c>
      <c r="D46" s="872"/>
      <c r="E46" s="872"/>
      <c r="F46" s="872"/>
      <c r="G46" s="872"/>
      <c r="H46" s="872"/>
      <c r="I46" s="872"/>
      <c r="J46" s="872"/>
      <c r="K46" s="872"/>
      <c r="L46" s="872"/>
      <c r="M46" s="872"/>
      <c r="N46" s="872"/>
      <c r="O46" s="872"/>
      <c r="P46" s="872"/>
      <c r="Q46" s="872"/>
      <c r="R46" s="872"/>
      <c r="S46" s="872"/>
      <c r="T46" s="463"/>
    </row>
    <row r="47" spans="1:52" s="10" customFormat="1" ht="20" x14ac:dyDescent="0.2">
      <c r="B47" s="462"/>
      <c r="C47" s="328"/>
      <c r="D47" s="328"/>
      <c r="E47" s="328" t="str">
        <f>IF(C46&lt;&gt;"  ",IF('Costing Sheet'!K57="Apply to Whole Invoice",UPPER('Costing Sheet'!K57),UPPER(_xlfn.CONCAT("Apply to Stock Number ",'Costing Sheet'!K57))),"")</f>
        <v/>
      </c>
      <c r="F47" s="328"/>
      <c r="G47" s="328"/>
      <c r="H47" s="328"/>
      <c r="I47" s="328"/>
      <c r="J47" s="328"/>
      <c r="K47" s="328"/>
      <c r="L47" s="328"/>
      <c r="M47" s="328"/>
      <c r="N47" s="328"/>
      <c r="O47" s="328"/>
      <c r="P47" s="328"/>
      <c r="Q47" s="328"/>
      <c r="R47" s="328"/>
      <c r="S47" s="328"/>
      <c r="T47" s="463"/>
    </row>
    <row r="48" spans="1:52" s="10" customFormat="1" ht="34" customHeight="1" x14ac:dyDescent="0.2">
      <c r="B48" s="462"/>
      <c r="C48" s="871" t="str">
        <f>+Calculations!B197</f>
        <v xml:space="preserve">  </v>
      </c>
      <c r="D48" s="872"/>
      <c r="E48" s="872"/>
      <c r="F48" s="872"/>
      <c r="G48" s="872"/>
      <c r="H48" s="872"/>
      <c r="I48" s="872"/>
      <c r="J48" s="872"/>
      <c r="K48" s="872"/>
      <c r="L48" s="872"/>
      <c r="M48" s="872"/>
      <c r="N48" s="872"/>
      <c r="O48" s="872"/>
      <c r="P48" s="872"/>
      <c r="Q48" s="872"/>
      <c r="R48" s="872"/>
      <c r="S48" s="872"/>
      <c r="T48" s="463"/>
    </row>
    <row r="49" spans="1:52" s="10" customFormat="1" ht="20" x14ac:dyDescent="0.2">
      <c r="B49" s="462"/>
      <c r="C49" s="328"/>
      <c r="D49" s="328"/>
      <c r="E49" s="328" t="str">
        <f>IF(C48&lt;&gt;"  ",IF('Costing Sheet'!K58="Apply to Whole Invoice",UPPER('Costing Sheet'!K58),UPPER(_xlfn.CONCAT("Apply to Stock Number ",'Costing Sheet'!K58))),"")</f>
        <v/>
      </c>
      <c r="F49" s="328"/>
      <c r="G49" s="328"/>
      <c r="H49" s="328"/>
      <c r="I49" s="328"/>
      <c r="J49" s="328"/>
      <c r="K49" s="328"/>
      <c r="L49" s="328"/>
      <c r="M49" s="328"/>
      <c r="N49" s="328"/>
      <c r="O49" s="328"/>
      <c r="P49" s="328"/>
      <c r="Q49" s="328"/>
      <c r="R49" s="328"/>
      <c r="S49" s="328"/>
      <c r="T49" s="463"/>
    </row>
    <row r="50" spans="1:52" s="11" customFormat="1" ht="26.25" customHeight="1" x14ac:dyDescent="0.2">
      <c r="A50" s="10"/>
      <c r="B50" s="462"/>
      <c r="C50" s="871" t="str">
        <f>+Calculations!B198</f>
        <v xml:space="preserve">  </v>
      </c>
      <c r="D50" s="872"/>
      <c r="E50" s="872"/>
      <c r="F50" s="872"/>
      <c r="G50" s="872"/>
      <c r="H50" s="872"/>
      <c r="I50" s="872"/>
      <c r="J50" s="872"/>
      <c r="K50" s="872"/>
      <c r="L50" s="872"/>
      <c r="M50" s="872"/>
      <c r="N50" s="872"/>
      <c r="O50" s="872"/>
      <c r="P50" s="872"/>
      <c r="Q50" s="872"/>
      <c r="R50" s="872"/>
      <c r="S50" s="872"/>
      <c r="T50" s="463"/>
      <c r="AS50" s="10"/>
      <c r="AT50" s="10"/>
      <c r="AU50" s="10"/>
      <c r="AV50" s="10"/>
      <c r="AW50" s="10"/>
      <c r="AX50" s="10"/>
      <c r="AY50" s="10"/>
      <c r="AZ50" s="10"/>
    </row>
    <row r="51" spans="1:52" s="11" customFormat="1" ht="20" x14ac:dyDescent="0.2">
      <c r="A51" s="10"/>
      <c r="B51" s="462"/>
      <c r="C51" s="328"/>
      <c r="D51" s="328"/>
      <c r="E51" s="328" t="str">
        <f>IF(C50&lt;&gt;"  ",IF('Costing Sheet'!K59="Apply to Whole Invoice",UPPER('Costing Sheet'!K59),UPPER(_xlfn.CONCAT("Apply to Stock Number ",'Costing Sheet'!K59))),"")</f>
        <v/>
      </c>
      <c r="F51" s="328"/>
      <c r="G51" s="328"/>
      <c r="H51" s="328"/>
      <c r="I51" s="328"/>
      <c r="J51" s="328"/>
      <c r="K51" s="328"/>
      <c r="L51" s="328"/>
      <c r="M51" s="328"/>
      <c r="N51" s="328"/>
      <c r="O51" s="328"/>
      <c r="P51" s="328"/>
      <c r="Q51" s="328"/>
      <c r="R51" s="328"/>
      <c r="S51" s="328"/>
      <c r="T51" s="463"/>
      <c r="AS51" s="10"/>
      <c r="AT51" s="10"/>
      <c r="AU51" s="10"/>
      <c r="AV51" s="10"/>
      <c r="AW51" s="10"/>
      <c r="AX51" s="10"/>
      <c r="AY51" s="10"/>
      <c r="AZ51" s="10"/>
    </row>
    <row r="52" spans="1:52" s="11" customFormat="1" ht="35.25" customHeight="1" x14ac:dyDescent="0.2">
      <c r="A52" s="10"/>
      <c r="B52" s="462"/>
      <c r="C52" s="871" t="str">
        <f>+Calculations!B199</f>
        <v xml:space="preserve">  </v>
      </c>
      <c r="D52" s="872"/>
      <c r="E52" s="872"/>
      <c r="F52" s="872"/>
      <c r="G52" s="872"/>
      <c r="H52" s="872"/>
      <c r="I52" s="872"/>
      <c r="J52" s="872"/>
      <c r="K52" s="872"/>
      <c r="L52" s="872"/>
      <c r="M52" s="872"/>
      <c r="N52" s="872"/>
      <c r="O52" s="872"/>
      <c r="P52" s="872"/>
      <c r="Q52" s="872"/>
      <c r="R52" s="872"/>
      <c r="S52" s="872"/>
      <c r="T52" s="463"/>
      <c r="AS52" s="10"/>
      <c r="AT52" s="10"/>
      <c r="AU52" s="10"/>
      <c r="AV52" s="10"/>
      <c r="AW52" s="10"/>
      <c r="AX52" s="10"/>
      <c r="AY52" s="10"/>
      <c r="AZ52" s="10"/>
    </row>
    <row r="53" spans="1:52" s="11" customFormat="1" ht="20" x14ac:dyDescent="0.2">
      <c r="A53" s="10"/>
      <c r="B53" s="462"/>
      <c r="C53" s="328"/>
      <c r="D53" s="328"/>
      <c r="E53" s="328" t="str">
        <f>IF(C52&lt;&gt;"  ",IF('Costing Sheet'!K60="Apply to Whole Invoice",UPPER('Costing Sheet'!K60),UPPER(_xlfn.CONCAT("Apply to Stock Number ",'Costing Sheet'!K60))),"")</f>
        <v/>
      </c>
      <c r="F53" s="328"/>
      <c r="G53" s="328"/>
      <c r="H53" s="328"/>
      <c r="I53" s="328"/>
      <c r="J53" s="328"/>
      <c r="K53" s="328"/>
      <c r="L53" s="328"/>
      <c r="M53" s="328"/>
      <c r="N53" s="328"/>
      <c r="O53" s="328"/>
      <c r="P53" s="328"/>
      <c r="Q53" s="328"/>
      <c r="R53" s="328"/>
      <c r="S53" s="328"/>
      <c r="T53" s="463"/>
      <c r="AS53" s="10"/>
      <c r="AT53" s="10"/>
      <c r="AU53" s="10"/>
      <c r="AV53" s="10"/>
      <c r="AW53" s="10"/>
      <c r="AX53" s="10"/>
      <c r="AY53" s="10"/>
      <c r="AZ53" s="10"/>
    </row>
    <row r="54" spans="1:52" s="10" customFormat="1" ht="33" customHeight="1" x14ac:dyDescent="0.2">
      <c r="B54" s="462"/>
      <c r="C54" s="871" t="str">
        <f>+Calculations!B200</f>
        <v xml:space="preserve">  </v>
      </c>
      <c r="D54" s="872"/>
      <c r="E54" s="872"/>
      <c r="F54" s="872"/>
      <c r="G54" s="872"/>
      <c r="H54" s="872"/>
      <c r="I54" s="872"/>
      <c r="J54" s="872"/>
      <c r="K54" s="872"/>
      <c r="L54" s="872"/>
      <c r="M54" s="872"/>
      <c r="N54" s="872"/>
      <c r="O54" s="872"/>
      <c r="P54" s="872"/>
      <c r="Q54" s="872"/>
      <c r="R54" s="872"/>
      <c r="S54" s="872"/>
      <c r="T54" s="463"/>
    </row>
    <row r="55" spans="1:52" s="10" customFormat="1" ht="20" x14ac:dyDescent="0.2">
      <c r="B55" s="462"/>
      <c r="C55" s="322"/>
      <c r="D55" s="322"/>
      <c r="E55" s="328" t="str">
        <f>IF(C54&lt;&gt;"  ",IF('Costing Sheet'!K61="Apply to Whole Invoice",UPPER('Costing Sheet'!K61),UPPER(_xlfn.CONCAT("Apply to Stock Number ",'Costing Sheet'!K61))),"")</f>
        <v/>
      </c>
      <c r="F55" s="322"/>
      <c r="G55" s="322"/>
      <c r="H55" s="322"/>
      <c r="I55" s="322"/>
      <c r="J55" s="322"/>
      <c r="K55" s="322"/>
      <c r="L55" s="322"/>
      <c r="M55" s="322"/>
      <c r="N55" s="322"/>
      <c r="O55" s="322"/>
      <c r="P55" s="322"/>
      <c r="Q55" s="322"/>
      <c r="R55" s="322"/>
      <c r="S55" s="322"/>
      <c r="T55" s="463"/>
    </row>
    <row r="56" spans="1:52" x14ac:dyDescent="0.2">
      <c r="B56" s="464"/>
      <c r="E56" s="22"/>
      <c r="T56" s="70"/>
    </row>
    <row r="57" spans="1:52" ht="17" thickBot="1" x14ac:dyDescent="0.25">
      <c r="B57" s="316"/>
      <c r="C57" s="114"/>
      <c r="D57" s="114"/>
      <c r="E57" s="114"/>
      <c r="F57" s="114"/>
      <c r="G57" s="114"/>
      <c r="H57" s="114"/>
      <c r="I57" s="114"/>
      <c r="J57" s="114"/>
      <c r="K57" s="114"/>
      <c r="L57" s="114"/>
      <c r="M57" s="114"/>
      <c r="N57" s="114"/>
      <c r="O57" s="114"/>
      <c r="P57" s="114"/>
      <c r="Q57" s="114"/>
      <c r="R57" s="114"/>
      <c r="S57" s="114"/>
      <c r="T57" s="399"/>
    </row>
    <row r="58" spans="1:52" s="9" customFormat="1" x14ac:dyDescent="0.2">
      <c r="A58" s="16"/>
      <c r="B58" s="16"/>
      <c r="C58" s="16"/>
      <c r="D58" s="16"/>
      <c r="E58" s="16"/>
      <c r="F58" s="16"/>
      <c r="G58" s="16"/>
      <c r="H58" s="178"/>
      <c r="I58" s="178"/>
      <c r="J58" s="178"/>
      <c r="K58" s="178"/>
      <c r="L58" s="178"/>
      <c r="M58" s="178"/>
      <c r="N58" s="178"/>
      <c r="O58" s="178"/>
      <c r="P58" s="16"/>
      <c r="Q58" s="16"/>
      <c r="R58" s="16"/>
      <c r="S58" s="16"/>
      <c r="T58" s="16"/>
      <c r="AS58" s="16"/>
      <c r="AT58" s="16"/>
      <c r="AU58" s="16"/>
      <c r="AV58" s="16"/>
      <c r="AW58" s="16"/>
      <c r="AX58" s="16"/>
      <c r="AY58" s="16"/>
      <c r="AZ58" s="16"/>
    </row>
    <row r="59" spans="1:52" s="9" customFormat="1" x14ac:dyDescent="0.2">
      <c r="A59" s="16"/>
      <c r="B59" s="16" t="str">
        <f>'Customer Input Screen'!C32</f>
        <v>[Customer Signature]</v>
      </c>
      <c r="C59" s="16"/>
      <c r="D59" s="16"/>
      <c r="E59" s="16"/>
      <c r="F59" s="16"/>
      <c r="G59" s="16"/>
      <c r="H59" s="178"/>
      <c r="I59" s="178"/>
      <c r="J59" s="178"/>
      <c r="K59" s="178"/>
      <c r="L59" s="178"/>
      <c r="M59" s="178"/>
      <c r="N59" s="178"/>
      <c r="O59" s="178"/>
      <c r="P59" s="16"/>
      <c r="Q59" s="16"/>
      <c r="R59" s="16"/>
      <c r="S59" s="16"/>
      <c r="T59" s="16"/>
      <c r="AS59" s="16"/>
      <c r="AT59" s="16"/>
      <c r="AU59" s="16"/>
      <c r="AV59" s="16"/>
      <c r="AW59" s="16"/>
      <c r="AX59" s="16"/>
      <c r="AY59" s="16"/>
      <c r="AZ59" s="16"/>
    </row>
    <row r="60" spans="1:52" ht="24" customHeight="1" x14ac:dyDescent="0.2">
      <c r="B60" s="448"/>
      <c r="C60" s="448"/>
      <c r="D60" s="448"/>
      <c r="E60" s="448"/>
      <c r="F60" s="448"/>
      <c r="G60" s="448"/>
      <c r="H60" s="449"/>
      <c r="I60" s="178"/>
      <c r="J60" s="178"/>
      <c r="K60" s="178"/>
      <c r="L60" s="178"/>
      <c r="M60" s="178"/>
      <c r="N60" s="178"/>
      <c r="O60" s="178"/>
    </row>
    <row r="61" spans="1:52" ht="16" customHeight="1" x14ac:dyDescent="0.2">
      <c r="B61" s="6" t="s">
        <v>222</v>
      </c>
      <c r="C61" s="6"/>
      <c r="D61" s="6"/>
      <c r="E61" s="6"/>
      <c r="F61" s="6"/>
      <c r="G61" s="6"/>
      <c r="H61" s="447"/>
      <c r="I61" s="178"/>
      <c r="J61" s="178"/>
      <c r="K61" s="178"/>
      <c r="L61" s="178"/>
      <c r="M61" s="178"/>
      <c r="N61" s="178"/>
      <c r="O61" s="178"/>
      <c r="U61" s="207"/>
    </row>
    <row r="62" spans="1:52" x14ac:dyDescent="0.2">
      <c r="U62" s="207"/>
    </row>
    <row r="63" spans="1:52" x14ac:dyDescent="0.2">
      <c r="B63" s="207"/>
      <c r="C63" s="207"/>
      <c r="D63" s="207"/>
      <c r="E63" s="207"/>
      <c r="F63" s="207"/>
      <c r="G63" s="207"/>
      <c r="H63" s="207"/>
      <c r="I63" s="207"/>
      <c r="J63" s="207"/>
      <c r="K63" s="207"/>
      <c r="L63" s="207"/>
      <c r="M63" s="207"/>
      <c r="N63" s="207"/>
      <c r="O63" s="207"/>
      <c r="P63" s="207"/>
      <c r="Q63" s="207"/>
      <c r="R63" s="207"/>
      <c r="S63" s="207"/>
      <c r="T63" s="207"/>
      <c r="U63" s="207"/>
    </row>
    <row r="64" spans="1:52" ht="17.25" customHeight="1" x14ac:dyDescent="0.2">
      <c r="B64" s="207"/>
      <c r="C64" s="207"/>
      <c r="D64" s="207"/>
      <c r="E64" s="207"/>
      <c r="F64" s="207"/>
      <c r="G64" s="207"/>
      <c r="H64" s="207"/>
      <c r="I64" s="207"/>
      <c r="J64" s="207"/>
      <c r="K64" s="207"/>
      <c r="L64" s="207"/>
      <c r="M64" s="207"/>
      <c r="N64" s="207"/>
      <c r="O64" s="207"/>
      <c r="P64" s="207"/>
      <c r="Q64" s="207"/>
      <c r="R64" s="207"/>
      <c r="S64" s="207"/>
      <c r="T64" s="207"/>
      <c r="U64" s="207"/>
    </row>
    <row r="78" ht="16" customHeight="1" x14ac:dyDescent="0.2"/>
  </sheetData>
  <sheetProtection selectLockedCells="1"/>
  <mergeCells count="48">
    <mergeCell ref="B6:J6"/>
    <mergeCell ref="B7:J7"/>
    <mergeCell ref="B8:J8"/>
    <mergeCell ref="B9:J9"/>
    <mergeCell ref="B1:J1"/>
    <mergeCell ref="B2:C2"/>
    <mergeCell ref="B3:J3"/>
    <mergeCell ref="B4:J4"/>
    <mergeCell ref="B5:J5"/>
    <mergeCell ref="C40:S40"/>
    <mergeCell ref="C42:S42"/>
    <mergeCell ref="C44:S44"/>
    <mergeCell ref="R1:T1"/>
    <mergeCell ref="R2:T2"/>
    <mergeCell ref="R3:T3"/>
    <mergeCell ref="Q18:T18"/>
    <mergeCell ref="C15:H15"/>
    <mergeCell ref="C16:H16"/>
    <mergeCell ref="C17:H17"/>
    <mergeCell ref="C18:H18"/>
    <mergeCell ref="R4:T4"/>
    <mergeCell ref="R14:T14"/>
    <mergeCell ref="E10:F10"/>
    <mergeCell ref="R5:T5"/>
    <mergeCell ref="N13:P13"/>
    <mergeCell ref="N14:P14"/>
    <mergeCell ref="R13:T13"/>
    <mergeCell ref="K9:P9"/>
    <mergeCell ref="K7:P7"/>
    <mergeCell ref="K1:P6"/>
    <mergeCell ref="R9:T9"/>
    <mergeCell ref="R7:T7"/>
    <mergeCell ref="C19:F19"/>
    <mergeCell ref="C50:S50"/>
    <mergeCell ref="C52:S52"/>
    <mergeCell ref="C54:S54"/>
    <mergeCell ref="Q19:T19"/>
    <mergeCell ref="B21:T23"/>
    <mergeCell ref="B24:T25"/>
    <mergeCell ref="C46:S46"/>
    <mergeCell ref="C48:S48"/>
    <mergeCell ref="C26:S26"/>
    <mergeCell ref="C28:S28"/>
    <mergeCell ref="C30:S30"/>
    <mergeCell ref="C32:S32"/>
    <mergeCell ref="C34:S34"/>
    <mergeCell ref="C36:S36"/>
    <mergeCell ref="C38:S38"/>
  </mergeCells>
  <printOptions horizontalCentered="1"/>
  <pageMargins left="0.2" right="0.2" top="0.2" bottom="0.2" header="0" footer="0"/>
  <pageSetup scale="4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68"/>
  <sheetViews>
    <sheetView tabSelected="1" view="pageBreakPreview" topLeftCell="A31" zoomScale="55" zoomScaleNormal="55" zoomScaleSheetLayoutView="55" workbookViewId="0">
      <selection activeCell="T68" sqref="T68:V68"/>
    </sheetView>
  </sheetViews>
  <sheetFormatPr baseColWidth="10" defaultColWidth="11" defaultRowHeight="16" x14ac:dyDescent="0.2"/>
  <cols>
    <col min="1" max="1" width="2" style="16" customWidth="1"/>
    <col min="2" max="2" width="4.5" style="16" customWidth="1"/>
    <col min="3" max="3" width="22.5" style="16" bestFit="1" customWidth="1"/>
    <col min="4" max="4" width="29" style="16" customWidth="1"/>
    <col min="5" max="5" width="10" style="16" customWidth="1"/>
    <col min="6" max="7" width="5.5" style="16" bestFit="1" customWidth="1"/>
    <col min="8" max="8" width="1.5" style="16" customWidth="1"/>
    <col min="9" max="9" width="2" style="16" customWidth="1"/>
    <col min="10" max="10" width="11" style="16" bestFit="1" customWidth="1"/>
    <col min="11" max="11" width="20" style="16" bestFit="1" customWidth="1"/>
    <col min="12" max="12" width="4.5" style="16" customWidth="1"/>
    <col min="13" max="13" width="14.33203125" style="16" customWidth="1"/>
    <col min="14" max="15" width="2" style="16" customWidth="1"/>
    <col min="16" max="16" width="26.5" style="16" customWidth="1"/>
    <col min="17" max="17" width="13.5" style="16" bestFit="1" customWidth="1"/>
    <col min="18" max="18" width="2.5" style="16" customWidth="1"/>
    <col min="19" max="19" width="4.33203125" style="16" customWidth="1"/>
    <col min="20" max="20" width="15.5" style="16" customWidth="1"/>
    <col min="21" max="21" width="10.33203125" style="16" bestFit="1" customWidth="1"/>
    <col min="22" max="22" width="11" style="16" customWidth="1"/>
    <col min="23" max="23" width="28" style="16" customWidth="1"/>
    <col min="24" max="24" width="8" style="16" customWidth="1"/>
    <col min="25" max="25" width="6.5" style="16" customWidth="1"/>
    <col min="26" max="26" width="1.5" style="16" customWidth="1"/>
    <col min="27" max="27" width="17.5" style="16" customWidth="1"/>
    <col min="28" max="28" width="46.5" style="16" customWidth="1"/>
    <col min="29" max="29" width="17.5" style="16" customWidth="1"/>
    <col min="30" max="30" width="52.5" style="16" customWidth="1"/>
    <col min="31" max="31" width="11" style="16" customWidth="1"/>
    <col min="32" max="32" width="46.5" style="16" customWidth="1"/>
    <col min="33" max="33" width="11" style="16" customWidth="1"/>
    <col min="34" max="34" width="41.5" style="16" customWidth="1"/>
    <col min="35" max="36" width="11" style="16" customWidth="1"/>
    <col min="37" max="44" width="11" style="16"/>
    <col min="45" max="45" width="14.5" style="16" customWidth="1"/>
    <col min="46" max="16384" width="11" style="16"/>
  </cols>
  <sheetData>
    <row r="1" spans="2:30" ht="22" customHeight="1" x14ac:dyDescent="0.2">
      <c r="B1" s="1009" t="s">
        <v>2278</v>
      </c>
      <c r="C1" s="1010"/>
      <c r="D1" s="1010"/>
      <c r="E1" s="1010"/>
      <c r="F1" s="1010"/>
      <c r="G1" s="1010"/>
      <c r="H1" s="1010"/>
      <c r="I1" s="1010"/>
      <c r="J1" s="1011"/>
      <c r="K1" s="986" t="s">
        <v>267</v>
      </c>
      <c r="L1" s="787"/>
      <c r="M1" s="787"/>
      <c r="N1" s="787"/>
      <c r="O1" s="787"/>
      <c r="P1" s="788"/>
      <c r="Q1" s="1083" t="str">
        <f>+Calculations!$B$568</f>
        <v/>
      </c>
      <c r="R1" s="882"/>
      <c r="S1" s="882"/>
      <c r="T1" s="882"/>
      <c r="U1" s="882"/>
      <c r="V1" s="882"/>
      <c r="W1" s="942"/>
      <c r="X1" s="393"/>
      <c r="Y1" s="393"/>
      <c r="Z1" s="393"/>
      <c r="AA1" s="393"/>
      <c r="AB1" s="271"/>
      <c r="AC1" s="271"/>
      <c r="AD1" s="271"/>
    </row>
    <row r="2" spans="2:30" ht="6" customHeight="1" x14ac:dyDescent="0.2">
      <c r="B2" s="970"/>
      <c r="C2" s="971"/>
      <c r="D2" s="442"/>
      <c r="E2" s="442"/>
      <c r="F2" s="442"/>
      <c r="G2" s="712"/>
      <c r="H2" s="442"/>
      <c r="I2" s="712"/>
      <c r="J2" s="711"/>
      <c r="K2" s="987"/>
      <c r="L2" s="789"/>
      <c r="M2" s="789"/>
      <c r="N2" s="789"/>
      <c r="O2" s="789"/>
      <c r="P2" s="790"/>
      <c r="Q2" s="1078"/>
      <c r="R2" s="749"/>
      <c r="S2" s="749"/>
      <c r="T2" s="749"/>
      <c r="U2" s="749"/>
      <c r="V2" s="749"/>
      <c r="W2" s="1079"/>
      <c r="X2" s="393"/>
      <c r="Y2" s="393"/>
      <c r="Z2" s="393"/>
      <c r="AA2" s="393"/>
      <c r="AB2" s="271"/>
      <c r="AC2" s="271"/>
      <c r="AD2" s="271"/>
    </row>
    <row r="3" spans="2:30" ht="16" customHeight="1" x14ac:dyDescent="0.2">
      <c r="B3" s="970" t="s">
        <v>2273</v>
      </c>
      <c r="C3" s="971"/>
      <c r="D3" s="971"/>
      <c r="E3" s="971"/>
      <c r="F3" s="971"/>
      <c r="G3" s="971"/>
      <c r="H3" s="971"/>
      <c r="I3" s="971"/>
      <c r="J3" s="972"/>
      <c r="K3" s="987"/>
      <c r="L3" s="789"/>
      <c r="M3" s="789"/>
      <c r="N3" s="789"/>
      <c r="O3" s="789"/>
      <c r="P3" s="790"/>
      <c r="Q3" s="1073" t="str">
        <f>+Calculations!$B$569</f>
        <v/>
      </c>
      <c r="R3" s="883"/>
      <c r="S3" s="883"/>
      <c r="T3" s="883"/>
      <c r="U3" s="883"/>
      <c r="V3" s="883"/>
      <c r="W3" s="944"/>
      <c r="X3" s="313"/>
      <c r="Y3" s="313"/>
      <c r="Z3" s="313"/>
      <c r="AA3" s="313"/>
      <c r="AB3" s="38"/>
      <c r="AC3" s="38"/>
      <c r="AD3" s="38"/>
    </row>
    <row r="4" spans="2:30" ht="7" customHeight="1" x14ac:dyDescent="0.2">
      <c r="B4" s="970"/>
      <c r="C4" s="971"/>
      <c r="D4" s="971"/>
      <c r="E4" s="971"/>
      <c r="F4" s="971"/>
      <c r="G4" s="971"/>
      <c r="H4" s="971"/>
      <c r="I4" s="971"/>
      <c r="J4" s="972"/>
      <c r="K4" s="987"/>
      <c r="L4" s="789"/>
      <c r="M4" s="789"/>
      <c r="N4" s="789"/>
      <c r="O4" s="789"/>
      <c r="P4" s="790"/>
      <c r="Q4" s="1078"/>
      <c r="R4" s="749"/>
      <c r="S4" s="749"/>
      <c r="T4" s="749"/>
      <c r="U4" s="749"/>
      <c r="V4" s="749"/>
      <c r="W4" s="1079"/>
      <c r="X4" s="313"/>
      <c r="Y4" s="313"/>
      <c r="Z4" s="313"/>
      <c r="AA4" s="313"/>
      <c r="AB4" s="38"/>
      <c r="AC4" s="38"/>
      <c r="AD4" s="38"/>
    </row>
    <row r="5" spans="2:30" ht="17.25" customHeight="1" x14ac:dyDescent="0.2">
      <c r="B5" s="970" t="s">
        <v>2274</v>
      </c>
      <c r="C5" s="971"/>
      <c r="D5" s="971"/>
      <c r="E5" s="971"/>
      <c r="F5" s="971"/>
      <c r="G5" s="971"/>
      <c r="H5" s="971"/>
      <c r="I5" s="971"/>
      <c r="J5" s="972"/>
      <c r="K5" s="802" t="s">
        <v>268</v>
      </c>
      <c r="L5" s="803"/>
      <c r="M5" s="803"/>
      <c r="N5" s="803"/>
      <c r="O5" s="803"/>
      <c r="P5" s="804"/>
      <c r="Q5" s="1073" t="str">
        <f>Calculations!B570</f>
        <v/>
      </c>
      <c r="R5" s="883"/>
      <c r="S5" s="883"/>
      <c r="T5" s="883"/>
      <c r="U5" s="883"/>
      <c r="V5" s="883"/>
      <c r="W5" s="944"/>
      <c r="X5" s="313"/>
      <c r="Y5" s="313"/>
      <c r="Z5" s="313"/>
      <c r="AA5" s="313"/>
      <c r="AB5" s="38"/>
      <c r="AC5" s="38"/>
      <c r="AD5" s="38"/>
    </row>
    <row r="6" spans="2:30" ht="5.25" customHeight="1" x14ac:dyDescent="0.2">
      <c r="B6" s="970"/>
      <c r="C6" s="971"/>
      <c r="D6" s="971"/>
      <c r="E6" s="971"/>
      <c r="F6" s="971"/>
      <c r="G6" s="971"/>
      <c r="H6" s="971"/>
      <c r="I6" s="971"/>
      <c r="J6" s="972"/>
      <c r="K6" s="802"/>
      <c r="L6" s="803"/>
      <c r="M6" s="803"/>
      <c r="N6" s="803"/>
      <c r="O6" s="803"/>
      <c r="P6" s="804"/>
      <c r="Q6" s="1078"/>
      <c r="R6" s="749"/>
      <c r="S6" s="749"/>
      <c r="T6" s="749"/>
      <c r="U6" s="749"/>
      <c r="V6" s="749"/>
      <c r="W6" s="1079"/>
      <c r="X6" s="313"/>
      <c r="Y6" s="313"/>
      <c r="Z6" s="313"/>
      <c r="AA6" s="313"/>
      <c r="AB6" s="38"/>
      <c r="AC6" s="38"/>
      <c r="AD6" s="38"/>
    </row>
    <row r="7" spans="2:30" ht="22" customHeight="1" x14ac:dyDescent="0.25">
      <c r="B7" s="970" t="s">
        <v>2275</v>
      </c>
      <c r="C7" s="971"/>
      <c r="D7" s="971"/>
      <c r="E7" s="971"/>
      <c r="F7" s="971"/>
      <c r="G7" s="971"/>
      <c r="H7" s="971"/>
      <c r="I7" s="971"/>
      <c r="J7" s="972"/>
      <c r="K7" s="184"/>
      <c r="L7" s="185"/>
      <c r="M7" s="185"/>
      <c r="N7" s="185"/>
      <c r="O7" s="185"/>
      <c r="P7" s="186"/>
      <c r="Q7" s="69"/>
      <c r="W7" s="70"/>
      <c r="X7" s="313"/>
      <c r="Y7" s="313"/>
      <c r="Z7" s="313"/>
      <c r="AA7" s="313"/>
      <c r="AB7" s="38"/>
      <c r="AC7" s="38"/>
      <c r="AD7" s="38"/>
    </row>
    <row r="8" spans="2:30" ht="4" customHeight="1" x14ac:dyDescent="0.25">
      <c r="B8" s="970"/>
      <c r="C8" s="971"/>
      <c r="D8" s="971"/>
      <c r="E8" s="971"/>
      <c r="F8" s="971"/>
      <c r="G8" s="971"/>
      <c r="H8" s="971"/>
      <c r="I8" s="971"/>
      <c r="J8" s="972"/>
      <c r="K8" s="184"/>
      <c r="L8" s="185"/>
      <c r="M8" s="185"/>
      <c r="N8" s="185"/>
      <c r="O8" s="185"/>
      <c r="P8" s="186"/>
      <c r="Q8" s="69"/>
      <c r="W8" s="70"/>
      <c r="X8" s="313"/>
      <c r="Y8" s="313"/>
      <c r="Z8" s="313"/>
      <c r="AA8" s="313"/>
      <c r="AB8" s="38"/>
      <c r="AC8" s="38"/>
      <c r="AD8" s="38"/>
    </row>
    <row r="9" spans="2:30" ht="18" customHeight="1" thickBot="1" x14ac:dyDescent="0.25">
      <c r="B9" s="1080" t="s">
        <v>2276</v>
      </c>
      <c r="C9" s="1081"/>
      <c r="D9" s="1081"/>
      <c r="E9" s="1081"/>
      <c r="F9" s="1081"/>
      <c r="G9" s="1081"/>
      <c r="H9" s="1081"/>
      <c r="I9" s="1081"/>
      <c r="J9" s="1082"/>
      <c r="K9" s="990" t="str">
        <f>+Calculations!B572</f>
        <v>CRYSTALTRACTOR.COM</v>
      </c>
      <c r="L9" s="884"/>
      <c r="M9" s="884"/>
      <c r="N9" s="884"/>
      <c r="O9" s="884"/>
      <c r="P9" s="936"/>
      <c r="Q9" s="990" t="str">
        <f>Calculations!B571</f>
        <v/>
      </c>
      <c r="R9" s="884"/>
      <c r="S9" s="884"/>
      <c r="T9" s="884"/>
      <c r="U9" s="884"/>
      <c r="V9" s="884"/>
      <c r="W9" s="936"/>
      <c r="X9" s="313"/>
      <c r="Y9" s="313"/>
      <c r="Z9" s="313"/>
      <c r="AA9" s="313"/>
      <c r="AB9" s="38"/>
      <c r="AC9" s="38"/>
      <c r="AD9" s="38"/>
    </row>
    <row r="10" spans="2:30" ht="18" customHeight="1" x14ac:dyDescent="0.2">
      <c r="B10" s="313"/>
      <c r="C10" s="313"/>
      <c r="D10" s="313"/>
      <c r="E10" s="313"/>
      <c r="F10" s="313"/>
      <c r="G10" s="313"/>
      <c r="H10" s="313"/>
      <c r="I10" s="313"/>
      <c r="J10" s="313"/>
      <c r="K10" s="313"/>
      <c r="L10" s="313"/>
      <c r="M10" s="313"/>
      <c r="N10" s="313"/>
      <c r="O10" s="313"/>
      <c r="P10" s="313"/>
      <c r="Q10" s="313"/>
      <c r="R10" s="313"/>
      <c r="S10" s="313"/>
      <c r="T10" s="313"/>
      <c r="U10" s="313"/>
      <c r="V10" s="313"/>
      <c r="W10" s="313"/>
      <c r="X10" s="313"/>
      <c r="Y10" s="313"/>
      <c r="Z10" s="313"/>
      <c r="AA10" s="313"/>
      <c r="AB10" s="38"/>
      <c r="AC10" s="38"/>
      <c r="AD10" s="38"/>
    </row>
    <row r="11" spans="2:30" s="6" customFormat="1" ht="20.25" customHeight="1" x14ac:dyDescent="0.2">
      <c r="G11" s="271"/>
      <c r="H11" s="271"/>
      <c r="I11" s="271"/>
      <c r="J11" s="465"/>
      <c r="K11" s="272"/>
      <c r="L11" s="272"/>
      <c r="M11" s="203"/>
      <c r="N11" s="203"/>
      <c r="O11" s="203"/>
      <c r="P11" s="203"/>
      <c r="Q11" s="203"/>
      <c r="S11" s="203"/>
      <c r="T11" s="443"/>
      <c r="U11" s="203"/>
      <c r="V11" s="203"/>
      <c r="W11" s="203"/>
      <c r="X11" s="203"/>
    </row>
    <row r="12" spans="2:30" s="6" customFormat="1" ht="20" x14ac:dyDescent="0.2">
      <c r="C12" s="6" t="s">
        <v>44</v>
      </c>
      <c r="D12" s="785">
        <f>+'Sales Input Sheet'!$C$11</f>
        <v>0</v>
      </c>
      <c r="E12" s="785"/>
      <c r="F12" s="785"/>
      <c r="J12" s="16"/>
      <c r="K12" s="16"/>
      <c r="L12" s="16"/>
      <c r="M12" s="16"/>
      <c r="N12" s="203"/>
      <c r="O12" s="203"/>
      <c r="P12" s="203"/>
      <c r="Q12" s="203"/>
      <c r="R12" s="785" t="s">
        <v>46</v>
      </c>
      <c r="S12" s="785"/>
      <c r="T12" s="785"/>
      <c r="U12" s="842" t="str">
        <f>IF('Sales Input Sheet'!C15&lt;&gt;"",UPPER('Sales Input Sheet'!C15),"")</f>
        <v/>
      </c>
      <c r="V12" s="842"/>
      <c r="W12" s="842"/>
      <c r="X12" s="203"/>
    </row>
    <row r="13" spans="2:30" s="6" customFormat="1" ht="20" x14ac:dyDescent="0.2">
      <c r="C13" s="785" t="str">
        <f>+Calculations!$B$597</f>
        <v/>
      </c>
      <c r="D13" s="785"/>
      <c r="E13" s="785"/>
      <c r="F13" s="785"/>
      <c r="G13" s="203"/>
      <c r="H13" s="203"/>
      <c r="I13" s="203"/>
      <c r="J13" s="16"/>
      <c r="K13" s="16"/>
      <c r="L13" s="16"/>
      <c r="M13" s="16"/>
      <c r="Q13" s="203"/>
      <c r="R13" s="203"/>
    </row>
    <row r="14" spans="2:30" s="6" customFormat="1" ht="20" x14ac:dyDescent="0.2">
      <c r="C14" s="785" t="str">
        <f>+Calculations!B598</f>
        <v xml:space="preserve">  </v>
      </c>
      <c r="D14" s="785"/>
      <c r="E14" s="785"/>
      <c r="F14" s="785"/>
      <c r="G14" s="203"/>
      <c r="H14" s="203"/>
      <c r="I14" s="203"/>
      <c r="J14" s="203"/>
      <c r="K14" s="203"/>
      <c r="L14" s="203"/>
      <c r="M14" s="203"/>
      <c r="Q14" s="203"/>
      <c r="R14" s="203"/>
      <c r="T14" s="466"/>
    </row>
    <row r="15" spans="2:30" s="6" customFormat="1" ht="9" customHeight="1" thickBot="1" x14ac:dyDescent="0.25">
      <c r="G15" s="203"/>
      <c r="H15" s="203"/>
      <c r="I15" s="203"/>
      <c r="J15" s="203"/>
      <c r="K15" s="203"/>
      <c r="L15" s="203"/>
      <c r="M15" s="203"/>
      <c r="Q15" s="203"/>
      <c r="R15" s="203"/>
      <c r="T15" s="466"/>
    </row>
    <row r="16" spans="2:30" s="6" customFormat="1" ht="25" x14ac:dyDescent="0.2">
      <c r="B16" s="1074" t="s">
        <v>360</v>
      </c>
      <c r="C16" s="1075"/>
      <c r="D16" s="1075"/>
      <c r="E16" s="1075"/>
      <c r="F16" s="1075"/>
      <c r="G16" s="1075"/>
      <c r="H16" s="1075"/>
      <c r="I16" s="1075"/>
      <c r="J16" s="1075"/>
      <c r="K16" s="1075"/>
      <c r="L16" s="1075"/>
      <c r="M16" s="1075"/>
      <c r="N16" s="1075"/>
      <c r="O16" s="1075"/>
      <c r="P16" s="1075"/>
      <c r="Q16" s="1075"/>
      <c r="R16" s="1075"/>
      <c r="S16" s="1075"/>
      <c r="T16" s="1075"/>
      <c r="U16" s="1075"/>
      <c r="V16" s="1075"/>
      <c r="W16" s="1075"/>
      <c r="X16" s="467"/>
    </row>
    <row r="17" spans="2:34" s="6" customFormat="1" ht="26" thickBot="1" x14ac:dyDescent="0.25">
      <c r="B17" s="1076"/>
      <c r="C17" s="1077"/>
      <c r="D17" s="1077"/>
      <c r="E17" s="1077"/>
      <c r="F17" s="1077"/>
      <c r="G17" s="1077"/>
      <c r="H17" s="1077"/>
      <c r="I17" s="1077"/>
      <c r="J17" s="1077"/>
      <c r="K17" s="1077"/>
      <c r="L17" s="1077"/>
      <c r="M17" s="1077"/>
      <c r="N17" s="1077"/>
      <c r="O17" s="1077"/>
      <c r="P17" s="1077"/>
      <c r="Q17" s="1077"/>
      <c r="R17" s="1077"/>
      <c r="S17" s="1077"/>
      <c r="T17" s="1077"/>
      <c r="U17" s="1077"/>
      <c r="V17" s="1077"/>
      <c r="W17" s="1077"/>
      <c r="X17" s="468"/>
    </row>
    <row r="18" spans="2:34" s="6" customFormat="1" ht="28" customHeight="1" thickBot="1" x14ac:dyDescent="0.25">
      <c r="B18" s="853" t="s">
        <v>288</v>
      </c>
      <c r="C18" s="854"/>
      <c r="D18" s="854"/>
      <c r="E18" s="854"/>
      <c r="F18" s="854"/>
      <c r="G18" s="854"/>
      <c r="H18" s="854"/>
      <c r="I18" s="854"/>
      <c r="J18" s="854"/>
      <c r="K18" s="854"/>
      <c r="L18" s="854"/>
      <c r="M18" s="854"/>
      <c r="N18" s="854"/>
      <c r="O18" s="854"/>
      <c r="P18" s="854"/>
      <c r="Q18" s="854"/>
      <c r="R18" s="854"/>
      <c r="S18" s="854"/>
      <c r="T18" s="854"/>
      <c r="U18" s="854"/>
      <c r="V18" s="854"/>
      <c r="W18" s="854"/>
      <c r="X18" s="469"/>
      <c r="Y18" s="223"/>
      <c r="Z18" s="223"/>
    </row>
    <row r="19" spans="2:34" s="6" customFormat="1" ht="20" x14ac:dyDescent="0.2">
      <c r="B19" s="1101" t="s">
        <v>292</v>
      </c>
      <c r="C19" s="1102"/>
      <c r="D19" s="1102"/>
      <c r="E19" s="1102"/>
      <c r="F19" s="1102"/>
      <c r="G19" s="1102"/>
      <c r="H19" s="1102"/>
      <c r="I19" s="1102"/>
      <c r="J19" s="1102"/>
      <c r="K19" s="1102"/>
      <c r="L19" s="1100">
        <f>+Calculations!B312</f>
        <v>0</v>
      </c>
      <c r="M19" s="1100"/>
      <c r="N19" s="382"/>
      <c r="O19" s="382"/>
      <c r="P19" s="900"/>
      <c r="Q19" s="900"/>
      <c r="R19" s="900"/>
      <c r="S19" s="900"/>
      <c r="T19" s="900"/>
      <c r="U19" s="263"/>
      <c r="V19" s="263"/>
      <c r="W19" s="470"/>
      <c r="X19" s="471"/>
      <c r="Y19" s="223"/>
      <c r="Z19" s="223"/>
    </row>
    <row r="20" spans="2:34" s="6" customFormat="1" ht="20" x14ac:dyDescent="0.2">
      <c r="B20" s="860" t="s">
        <v>362</v>
      </c>
      <c r="C20" s="785"/>
      <c r="D20" s="785"/>
      <c r="E20" s="785"/>
      <c r="F20" s="785"/>
      <c r="G20" s="785"/>
      <c r="H20" s="785"/>
      <c r="I20" s="785"/>
      <c r="J20" s="785"/>
      <c r="K20" s="785"/>
      <c r="L20" s="1103">
        <f>-Calculations!B315+Calculations!B316</f>
        <v>0</v>
      </c>
      <c r="M20" s="1103"/>
      <c r="P20" s="842" t="s">
        <v>363</v>
      </c>
      <c r="Q20" s="842"/>
      <c r="R20" s="842"/>
      <c r="S20" s="842"/>
      <c r="T20" s="842"/>
      <c r="W20" s="283">
        <f>+Calculations!$F$405+Calculations!$F$412+Calculations!$F$413+Calculations!$F$407</f>
        <v>0</v>
      </c>
      <c r="X20" s="472"/>
    </row>
    <row r="21" spans="2:34" s="6" customFormat="1" ht="20" x14ac:dyDescent="0.2">
      <c r="B21" s="844" t="s">
        <v>364</v>
      </c>
      <c r="C21" s="845"/>
      <c r="D21" s="845"/>
      <c r="E21" s="845"/>
      <c r="F21" s="845"/>
      <c r="G21" s="845"/>
      <c r="H21" s="845"/>
      <c r="I21" s="845"/>
      <c r="J21" s="845"/>
      <c r="K21" s="845"/>
      <c r="L21" s="1064">
        <f>+Calculations!B302+'Costing Sheet'!Q3+'Costing Sheet'!Q5</f>
        <v>0</v>
      </c>
      <c r="M21" s="1064"/>
      <c r="P21" s="785" t="s">
        <v>365</v>
      </c>
      <c r="Q21" s="785"/>
      <c r="R21" s="785"/>
      <c r="S21" s="785"/>
      <c r="T21" s="785"/>
      <c r="U21" s="223"/>
      <c r="V21" s="223"/>
      <c r="W21" s="473">
        <f>-Calculations!B318</f>
        <v>0</v>
      </c>
      <c r="X21" s="474"/>
      <c r="AA21" s="16"/>
    </row>
    <row r="22" spans="2:34" s="6" customFormat="1" ht="44.25" customHeight="1" thickBot="1" x14ac:dyDescent="0.25">
      <c r="B22" s="860" t="s">
        <v>366</v>
      </c>
      <c r="C22" s="785"/>
      <c r="D22" s="785"/>
      <c r="E22" s="785"/>
      <c r="F22" s="785"/>
      <c r="G22" s="785"/>
      <c r="H22" s="785"/>
      <c r="I22" s="785"/>
      <c r="J22" s="785"/>
      <c r="K22" s="785"/>
      <c r="L22" s="1072">
        <f>+Calculations!B386+Calculations!B385+Calculations!B439+'Costing Sheet'!Q13+'Costing Sheet'!Q15</f>
        <v>0</v>
      </c>
      <c r="M22" s="1072"/>
      <c r="P22" s="1044" t="s">
        <v>2288</v>
      </c>
      <c r="Q22" s="1044"/>
      <c r="R22" s="1044"/>
      <c r="S22" s="1044"/>
      <c r="T22" s="1044"/>
      <c r="U22" s="223"/>
      <c r="V22" s="223"/>
      <c r="W22" s="357">
        <f>+Calculations!F435</f>
        <v>0</v>
      </c>
      <c r="X22" s="358"/>
    </row>
    <row r="23" spans="2:34" s="6" customFormat="1" ht="20" x14ac:dyDescent="0.2">
      <c r="B23" s="1065" t="s">
        <v>287</v>
      </c>
      <c r="C23" s="1066"/>
      <c r="D23" s="1066"/>
      <c r="E23" s="1066"/>
      <c r="F23" s="1067"/>
      <c r="G23" s="1085" t="s">
        <v>334</v>
      </c>
      <c r="H23" s="1086"/>
      <c r="I23" s="1086"/>
      <c r="J23" s="1086"/>
      <c r="K23" s="1086"/>
      <c r="L23" s="1086"/>
      <c r="M23" s="1086"/>
      <c r="N23" s="1087"/>
      <c r="O23" s="1088" t="s">
        <v>368</v>
      </c>
      <c r="P23" s="1089"/>
      <c r="Q23" s="1089"/>
      <c r="R23" s="1090"/>
      <c r="S23" s="1088" t="s">
        <v>369</v>
      </c>
      <c r="T23" s="1089"/>
      <c r="U23" s="1089"/>
      <c r="V23" s="1089"/>
      <c r="W23" s="1089"/>
      <c r="X23" s="1090"/>
    </row>
    <row r="24" spans="2:34" s="6" customFormat="1" ht="21" thickBot="1" x14ac:dyDescent="0.25">
      <c r="B24" s="1068">
        <f>'Costing Sheet'!U11</f>
        <v>0</v>
      </c>
      <c r="C24" s="1069"/>
      <c r="D24" s="1069"/>
      <c r="E24" s="1069"/>
      <c r="F24" s="1070"/>
      <c r="G24" s="1094">
        <f>'Finance Manager Input Sheet'!C16</f>
        <v>0</v>
      </c>
      <c r="H24" s="1095"/>
      <c r="I24" s="1095"/>
      <c r="J24" s="1095"/>
      <c r="K24" s="1095"/>
      <c r="L24" s="1095"/>
      <c r="M24" s="1095"/>
      <c r="N24" s="1096"/>
      <c r="O24" s="1091">
        <f>'Finance Manager Input Sheet'!C17</f>
        <v>0</v>
      </c>
      <c r="P24" s="1092"/>
      <c r="Q24" s="1092"/>
      <c r="R24" s="1093"/>
      <c r="S24" s="1097">
        <f>Calculations!B596</f>
        <v>0</v>
      </c>
      <c r="T24" s="1098"/>
      <c r="U24" s="1098"/>
      <c r="V24" s="1098"/>
      <c r="W24" s="1098"/>
      <c r="X24" s="1099"/>
      <c r="AA24" s="283"/>
      <c r="AC24" s="283"/>
    </row>
    <row r="25" spans="2:34" s="6" customFormat="1" ht="22" customHeight="1" x14ac:dyDescent="0.2">
      <c r="B25" s="845" t="str">
        <f>Calculations!B416</f>
        <v/>
      </c>
      <c r="C25" s="845"/>
      <c r="D25" s="845"/>
      <c r="E25" s="1071" t="str">
        <f>IF(B25="","",Calculations!B724)</f>
        <v/>
      </c>
      <c r="F25" s="1071"/>
      <c r="G25" s="1071"/>
      <c r="H25" s="475"/>
      <c r="I25" s="475"/>
      <c r="J25" s="286"/>
      <c r="M25" s="357"/>
      <c r="N25" s="286"/>
      <c r="O25" s="286"/>
      <c r="P25" s="845"/>
      <c r="Q25" s="845"/>
      <c r="R25" s="845"/>
      <c r="S25" s="845"/>
      <c r="T25" s="845"/>
      <c r="U25" s="223"/>
      <c r="V25" s="223"/>
      <c r="W25" s="283"/>
      <c r="X25" s="283"/>
      <c r="AC25" s="283"/>
    </row>
    <row r="27" spans="2:34" ht="19" thickBot="1" x14ac:dyDescent="0.25">
      <c r="C27" s="1063" t="s">
        <v>157</v>
      </c>
      <c r="D27" s="1063"/>
      <c r="E27" s="476"/>
      <c r="F27" s="1063" t="str">
        <f t="shared" ref="F27:F28" si="0">AD27</f>
        <v>Gold Plan</v>
      </c>
      <c r="G27" s="1063"/>
      <c r="H27" s="1063"/>
      <c r="I27" s="1063"/>
      <c r="J27" s="1063"/>
      <c r="K27" s="1063"/>
      <c r="L27" s="1063"/>
      <c r="M27" s="477"/>
      <c r="N27" s="478"/>
      <c r="O27" s="1063" t="str">
        <f>AF27</f>
        <v>Silver Plan</v>
      </c>
      <c r="P27" s="1063"/>
      <c r="Q27" s="1063"/>
      <c r="R27" s="1063"/>
      <c r="S27" s="1063"/>
      <c r="T27" s="477"/>
      <c r="U27" s="1063" t="str">
        <f t="shared" ref="U27:U28" si="1">AH27</f>
        <v>Bronze Plan</v>
      </c>
      <c r="V27" s="1063"/>
      <c r="W27" s="1063"/>
      <c r="AB27" s="476" t="s">
        <v>157</v>
      </c>
      <c r="AC27" s="476"/>
      <c r="AD27" s="476" t="s">
        <v>161</v>
      </c>
      <c r="AE27" s="478"/>
      <c r="AF27" s="476" t="s">
        <v>165</v>
      </c>
      <c r="AG27" s="478"/>
      <c r="AH27" s="476" t="s">
        <v>169</v>
      </c>
    </row>
    <row r="28" spans="2:34" s="12" customFormat="1" ht="40" customHeight="1" thickTop="1" thickBot="1" x14ac:dyDescent="0.25">
      <c r="B28" s="479"/>
      <c r="C28" s="1018" t="str">
        <f>AB28</f>
        <v/>
      </c>
      <c r="D28" s="1018"/>
      <c r="E28" s="476"/>
      <c r="F28" s="1018" t="str">
        <f t="shared" si="0"/>
        <v/>
      </c>
      <c r="G28" s="1018"/>
      <c r="H28" s="1018"/>
      <c r="I28" s="1018"/>
      <c r="J28" s="1018"/>
      <c r="K28" s="1018"/>
      <c r="L28" s="1018"/>
      <c r="O28" s="1018" t="str">
        <f>AF28</f>
        <v/>
      </c>
      <c r="P28" s="1018"/>
      <c r="Q28" s="1018"/>
      <c r="R28" s="1018"/>
      <c r="S28" s="1018"/>
      <c r="T28" s="477"/>
      <c r="U28" s="1018" t="str">
        <f t="shared" si="1"/>
        <v/>
      </c>
      <c r="V28" s="1018"/>
      <c r="W28" s="1018"/>
      <c r="AB28" s="480" t="str" cm="1">
        <f t="array" ref="AB28">IFERROR(INDEX('Finance Manager Input Sheet'!$AA$4:$AA$13, SMALL(IF('Finance Manager Input Sheet'!$BD$4:$BD$13="Platinum", ROW('Finance Manager Input Sheet'!$AA$4:$AA$13)-ROW('Finance Manager Input Sheet'!$AA$4)+1), ROW(A1))), "")</f>
        <v/>
      </c>
      <c r="AD28" s="481" t="str" cm="1">
        <f t="array" ref="AD28">IFERROR(INDEX('Finance Manager Input Sheet'!$AE$4:$AE$13, SMALL(IF('Finance Manager Input Sheet'!$BF$4:$BF$13="Gold", ROW('Finance Manager Input Sheet'!$AE$4:$AE$13)-ROW('Finance Manager Input Sheet'!$AE$4)+1), ROW(A1))), "")</f>
        <v/>
      </c>
      <c r="AF28" s="482" t="str" cm="1">
        <f t="array" ref="AF28">IFERROR(INDEX('Finance Manager Input Sheet'!$AI$4:$AI$13, SMALL(IF('Finance Manager Input Sheet'!$BH$4:$BH$13="Silver", ROW('Finance Manager Input Sheet'!$AI$4:$AI$13)-ROW('Finance Manager Input Sheet'!$AI$4)+1), ROW(A1))), "")</f>
        <v/>
      </c>
      <c r="AH28" s="483" t="str" cm="1">
        <f t="array" ref="AH28">IFERROR(INDEX('Finance Manager Input Sheet'!$AM$4:$AM$13, SMALL(IF('Finance Manager Input Sheet'!$BJ$4:$BJ$13="Bronze", ROW('Finance Manager Input Sheet'!$AM$4:$AM$13)-ROW('Finance Manager Input Sheet'!$AM$4)+1), ROW(A1))), "")</f>
        <v/>
      </c>
    </row>
    <row r="29" spans="2:34" ht="40" customHeight="1" thickTop="1" thickBot="1" x14ac:dyDescent="0.25">
      <c r="C29" s="1018" t="str">
        <f t="shared" ref="C29:C39" si="2">AB29</f>
        <v/>
      </c>
      <c r="D29" s="1018"/>
      <c r="E29" s="476"/>
      <c r="F29" s="1018" t="str">
        <f t="shared" ref="F29:F39" si="3">AD29</f>
        <v/>
      </c>
      <c r="G29" s="1018"/>
      <c r="H29" s="1018"/>
      <c r="I29" s="1018"/>
      <c r="J29" s="1018"/>
      <c r="K29" s="1018"/>
      <c r="L29" s="1018"/>
      <c r="O29" s="1018" t="str">
        <f t="shared" ref="O29:O39" si="4">AF29</f>
        <v/>
      </c>
      <c r="P29" s="1018"/>
      <c r="Q29" s="1018"/>
      <c r="R29" s="1018"/>
      <c r="S29" s="1018"/>
      <c r="T29" s="477"/>
      <c r="U29" s="1018" t="str">
        <f t="shared" ref="U29:U39" si="5">AH29</f>
        <v/>
      </c>
      <c r="V29" s="1018"/>
      <c r="W29" s="1018"/>
      <c r="AB29" s="480" t="str" cm="1">
        <f t="array" ref="AB29">IFERROR(INDEX('Finance Manager Input Sheet'!$AA$4:$AA$13, SMALL(IF('Finance Manager Input Sheet'!$BD$4:$BD$13="Platinum", ROW('Finance Manager Input Sheet'!$AA$4:$AA$13)-ROW('Finance Manager Input Sheet'!$AA$4)+1), ROW(A2))), "")</f>
        <v/>
      </c>
      <c r="AC29" s="12"/>
      <c r="AD29" s="481" t="str" cm="1">
        <f t="array" ref="AD29">IFERROR(INDEX('Finance Manager Input Sheet'!$AE$4:$AE$13, SMALL(IF('Finance Manager Input Sheet'!$BF$4:$BF$13="Gold", ROW('Finance Manager Input Sheet'!$AE$4:$AE$13)-ROW('Finance Manager Input Sheet'!$AE$4)+1), ROW(A2))), "")</f>
        <v/>
      </c>
      <c r="AE29" s="12"/>
      <c r="AF29" s="482" t="str" cm="1">
        <f t="array" ref="AF29">IFERROR(INDEX('Finance Manager Input Sheet'!$AI$4:$AI$13, SMALL(IF('Finance Manager Input Sheet'!$BH$4:$BH$13="Silver", ROW('Finance Manager Input Sheet'!$AI$4:$AI$13)-ROW('Finance Manager Input Sheet'!$AI$4)+1), ROW(A2))), "")</f>
        <v/>
      </c>
      <c r="AG29" s="12"/>
      <c r="AH29" s="483" t="str" cm="1">
        <f t="array" ref="AH29">IFERROR(INDEX('Finance Manager Input Sheet'!$AM$4:$AM$13, SMALL(IF('Finance Manager Input Sheet'!$BJ$4:$BJ$13="Bronze", ROW('Finance Manager Input Sheet'!$AM$4:$AM$13)-ROW('Finance Manager Input Sheet'!$AM$4)+1), ROW(A2))), "")</f>
        <v/>
      </c>
    </row>
    <row r="30" spans="2:34" ht="40" customHeight="1" thickTop="1" thickBot="1" x14ac:dyDescent="0.25">
      <c r="C30" s="1018" t="str">
        <f t="shared" si="2"/>
        <v/>
      </c>
      <c r="D30" s="1018"/>
      <c r="E30" s="476"/>
      <c r="F30" s="1018" t="str">
        <f t="shared" si="3"/>
        <v/>
      </c>
      <c r="G30" s="1018"/>
      <c r="H30" s="1018"/>
      <c r="I30" s="1018"/>
      <c r="J30" s="1018"/>
      <c r="K30" s="1018"/>
      <c r="L30" s="1018"/>
      <c r="O30" s="1018" t="str">
        <f t="shared" si="4"/>
        <v/>
      </c>
      <c r="P30" s="1018"/>
      <c r="Q30" s="1018"/>
      <c r="R30" s="1018"/>
      <c r="S30" s="1018"/>
      <c r="T30" s="477"/>
      <c r="U30" s="1018" t="str">
        <f t="shared" si="5"/>
        <v/>
      </c>
      <c r="V30" s="1018"/>
      <c r="W30" s="1018"/>
      <c r="AB30" s="480" t="str" cm="1">
        <f t="array" ref="AB30">IFERROR(INDEX('Finance Manager Input Sheet'!$AA$4:$AA$13, SMALL(IF('Finance Manager Input Sheet'!$BD$4:$BD$13="Platinum", ROW('Finance Manager Input Sheet'!$AA$4:$AA$13)-ROW('Finance Manager Input Sheet'!$AA$4)+1), ROW(A3))), "")</f>
        <v/>
      </c>
      <c r="AC30" s="12"/>
      <c r="AD30" s="481" t="str" cm="1">
        <f t="array" ref="AD30">IFERROR(INDEX('Finance Manager Input Sheet'!$AE$4:$AE$13, SMALL(IF('Finance Manager Input Sheet'!$BF$4:$BF$13="Gold", ROW('Finance Manager Input Sheet'!$AE$4:$AE$13)-ROW('Finance Manager Input Sheet'!$AE$4)+1), ROW(A3))), "")</f>
        <v/>
      </c>
      <c r="AE30" s="12"/>
      <c r="AF30" s="482" t="str" cm="1">
        <f t="array" ref="AF30">IFERROR(INDEX('Finance Manager Input Sheet'!$AI$4:$AI$13, SMALL(IF('Finance Manager Input Sheet'!$BH$4:$BH$13="Silver", ROW('Finance Manager Input Sheet'!$AI$4:$AI$13)-ROW('Finance Manager Input Sheet'!$AI$4)+1), ROW(A3))), "")</f>
        <v/>
      </c>
      <c r="AG30" s="12"/>
      <c r="AH30" s="483" t="str" cm="1">
        <f t="array" ref="AH30">IFERROR(INDEX('Finance Manager Input Sheet'!$AM$4:$AM$13, SMALL(IF('Finance Manager Input Sheet'!$BJ$4:$BJ$13="Bronze", ROW('Finance Manager Input Sheet'!$AM$4:$AM$13)-ROW('Finance Manager Input Sheet'!$AM$4)+1), ROW(A3))), "")</f>
        <v/>
      </c>
    </row>
    <row r="31" spans="2:34" ht="40" customHeight="1" thickTop="1" thickBot="1" x14ac:dyDescent="0.25">
      <c r="C31" s="1018" t="str">
        <f t="shared" si="2"/>
        <v/>
      </c>
      <c r="D31" s="1018"/>
      <c r="E31" s="476"/>
      <c r="F31" s="1018" t="str">
        <f t="shared" si="3"/>
        <v/>
      </c>
      <c r="G31" s="1018"/>
      <c r="H31" s="1018"/>
      <c r="I31" s="1018"/>
      <c r="J31" s="1018"/>
      <c r="K31" s="1018"/>
      <c r="L31" s="1018"/>
      <c r="O31" s="1018" t="str">
        <f t="shared" si="4"/>
        <v/>
      </c>
      <c r="P31" s="1018"/>
      <c r="Q31" s="1018"/>
      <c r="R31" s="1018"/>
      <c r="S31" s="1018"/>
      <c r="T31" s="477"/>
      <c r="U31" s="1018" t="str">
        <f t="shared" si="5"/>
        <v/>
      </c>
      <c r="V31" s="1018"/>
      <c r="W31" s="1018"/>
      <c r="AB31" s="480" t="str" cm="1">
        <f t="array" ref="AB31">IFERROR(INDEX('Finance Manager Input Sheet'!$AA$4:$AA$13, SMALL(IF('Finance Manager Input Sheet'!$BD$4:$BD$13="Platinum", ROW('Finance Manager Input Sheet'!$AA$4:$AA$13)-ROW('Finance Manager Input Sheet'!$AA$4)+1), ROW(A4))), "")</f>
        <v/>
      </c>
      <c r="AC31" s="12"/>
      <c r="AD31" s="481" t="str" cm="1">
        <f t="array" ref="AD31">IFERROR(INDEX('Finance Manager Input Sheet'!$AE$4:$AE$13, SMALL(IF('Finance Manager Input Sheet'!$BF$4:$BF$13="Gold", ROW('Finance Manager Input Sheet'!$AE$4:$AE$13)-ROW('Finance Manager Input Sheet'!$AE$4)+1), ROW(A4))), "")</f>
        <v/>
      </c>
      <c r="AE31" s="12"/>
      <c r="AF31" s="482" t="str" cm="1">
        <f t="array" ref="AF31">IFERROR(INDEX('Finance Manager Input Sheet'!$AI$4:$AI$13, SMALL(IF('Finance Manager Input Sheet'!$BH$4:$BH$13="Silver", ROW('Finance Manager Input Sheet'!$AI$4:$AI$13)-ROW('Finance Manager Input Sheet'!$AI$4)+1), ROW(A4))), "")</f>
        <v/>
      </c>
      <c r="AG31" s="12"/>
      <c r="AH31" s="483" t="str" cm="1">
        <f t="array" ref="AH31">IFERROR(INDEX('Finance Manager Input Sheet'!$AM$4:$AM$13, SMALL(IF('Finance Manager Input Sheet'!$BJ$4:$BJ$13="Bronze", ROW('Finance Manager Input Sheet'!$AM$4:$AM$13)-ROW('Finance Manager Input Sheet'!$AM$4)+1), ROW(A4))), "")</f>
        <v/>
      </c>
    </row>
    <row r="32" spans="2:34" ht="40" customHeight="1" thickTop="1" thickBot="1" x14ac:dyDescent="0.25">
      <c r="C32" s="1018" t="str">
        <f t="shared" si="2"/>
        <v/>
      </c>
      <c r="D32" s="1018"/>
      <c r="E32" s="476"/>
      <c r="F32" s="1018" t="str">
        <f t="shared" si="3"/>
        <v/>
      </c>
      <c r="G32" s="1018"/>
      <c r="H32" s="1018"/>
      <c r="I32" s="1018"/>
      <c r="J32" s="1018"/>
      <c r="K32" s="1018"/>
      <c r="L32" s="1018"/>
      <c r="O32" s="1018" t="str">
        <f t="shared" si="4"/>
        <v/>
      </c>
      <c r="P32" s="1018"/>
      <c r="Q32" s="1018"/>
      <c r="R32" s="1018"/>
      <c r="S32" s="1018"/>
      <c r="T32" s="477"/>
      <c r="U32" s="1018" t="str">
        <f t="shared" si="5"/>
        <v/>
      </c>
      <c r="V32" s="1018"/>
      <c r="W32" s="1018"/>
      <c r="AB32" s="480" t="str" cm="1">
        <f t="array" ref="AB32">IFERROR(INDEX('Finance Manager Input Sheet'!$AA$4:$AA$13, SMALL(IF('Finance Manager Input Sheet'!$BD$4:$BD$13="Platinum", ROW('Finance Manager Input Sheet'!$AA$4:$AA$13)-ROW('Finance Manager Input Sheet'!$AA$4)+1), ROW(A5))), "")</f>
        <v/>
      </c>
      <c r="AC32" s="12"/>
      <c r="AD32" s="481" t="str" cm="1">
        <f t="array" ref="AD32">IFERROR(INDEX('Finance Manager Input Sheet'!$AE$4:$AE$13, SMALL(IF('Finance Manager Input Sheet'!$BF$4:$BF$13="Gold", ROW('Finance Manager Input Sheet'!$AE$4:$AE$13)-ROW('Finance Manager Input Sheet'!$AE$4)+1), ROW(A5))), "")</f>
        <v/>
      </c>
      <c r="AE32" s="12"/>
      <c r="AF32" s="482" t="str" cm="1">
        <f t="array" ref="AF32">IFERROR(INDEX('Finance Manager Input Sheet'!$AI$4:$AI$13, SMALL(IF('Finance Manager Input Sheet'!$BH$4:$BH$13="Silver", ROW('Finance Manager Input Sheet'!$AI$4:$AI$13)-ROW('Finance Manager Input Sheet'!$AI$4)+1), ROW(A5))), "")</f>
        <v/>
      </c>
      <c r="AG32" s="12"/>
      <c r="AH32" s="483" t="str" cm="1">
        <f t="array" ref="AH32">IFERROR(INDEX('Finance Manager Input Sheet'!$AM$4:$AM$13, SMALL(IF('Finance Manager Input Sheet'!$BJ$4:$BJ$13="Bronze", ROW('Finance Manager Input Sheet'!$AM$4:$AM$13)-ROW('Finance Manager Input Sheet'!$AM$4)+1), ROW(A5))), "")</f>
        <v/>
      </c>
    </row>
    <row r="33" spans="1:34" ht="40" customHeight="1" thickTop="1" thickBot="1" x14ac:dyDescent="0.25">
      <c r="C33" s="1018" t="str">
        <f t="shared" si="2"/>
        <v/>
      </c>
      <c r="D33" s="1018"/>
      <c r="E33" s="476"/>
      <c r="F33" s="1018" t="str">
        <f t="shared" si="3"/>
        <v/>
      </c>
      <c r="G33" s="1018"/>
      <c r="H33" s="1018"/>
      <c r="I33" s="1018"/>
      <c r="J33" s="1018"/>
      <c r="K33" s="1018"/>
      <c r="L33" s="1018"/>
      <c r="O33" s="1018" t="str">
        <f t="shared" si="4"/>
        <v/>
      </c>
      <c r="P33" s="1018"/>
      <c r="Q33" s="1018"/>
      <c r="R33" s="1018"/>
      <c r="S33" s="1018"/>
      <c r="T33" s="477"/>
      <c r="U33" s="1018" t="str">
        <f t="shared" si="5"/>
        <v/>
      </c>
      <c r="V33" s="1018"/>
      <c r="W33" s="1018"/>
      <c r="AB33" s="480" t="str" cm="1">
        <f t="array" ref="AB33">IFERROR(INDEX('Finance Manager Input Sheet'!$AA$4:$AA$13, SMALL(IF('Finance Manager Input Sheet'!$BD$4:$BD$13="Platinum", ROW('Finance Manager Input Sheet'!$AA$4:$AA$13)-ROW('Finance Manager Input Sheet'!$AA$4)+1), ROW(A6))), "")</f>
        <v/>
      </c>
      <c r="AC33" s="12"/>
      <c r="AD33" s="481" t="str" cm="1">
        <f t="array" ref="AD33">IFERROR(INDEX('Finance Manager Input Sheet'!$AE$4:$AE$13, SMALL(IF('Finance Manager Input Sheet'!$BF$4:$BF$13="Gold", ROW('Finance Manager Input Sheet'!$AE$4:$AE$13)-ROW('Finance Manager Input Sheet'!$AE$4)+1), ROW(A6))), "")</f>
        <v/>
      </c>
      <c r="AE33" s="12"/>
      <c r="AF33" s="482" t="str" cm="1">
        <f t="array" ref="AF33">IFERROR(INDEX('Finance Manager Input Sheet'!$AI$4:$AI$13, SMALL(IF('Finance Manager Input Sheet'!$BH$4:$BH$13="Silver", ROW('Finance Manager Input Sheet'!$AI$4:$AI$13)-ROW('Finance Manager Input Sheet'!$AI$4)+1), ROW(A6))), "")</f>
        <v/>
      </c>
      <c r="AG33" s="12"/>
      <c r="AH33" s="483" t="str" cm="1">
        <f t="array" ref="AH33">IFERROR(INDEX('Finance Manager Input Sheet'!$AM$4:$AM$13, SMALL(IF('Finance Manager Input Sheet'!$BJ$4:$BJ$13="Bronze", ROW('Finance Manager Input Sheet'!$AM$4:$AM$13)-ROW('Finance Manager Input Sheet'!$AM$4)+1), ROW(A6))), "")</f>
        <v/>
      </c>
    </row>
    <row r="34" spans="1:34" ht="40" customHeight="1" thickTop="1" thickBot="1" x14ac:dyDescent="0.25">
      <c r="C34" s="1018" t="str">
        <f t="shared" si="2"/>
        <v/>
      </c>
      <c r="D34" s="1018"/>
      <c r="E34" s="476"/>
      <c r="F34" s="1018" t="str">
        <f t="shared" si="3"/>
        <v/>
      </c>
      <c r="G34" s="1018"/>
      <c r="H34" s="1018"/>
      <c r="I34" s="1018"/>
      <c r="J34" s="1018"/>
      <c r="K34" s="1018"/>
      <c r="L34" s="1018"/>
      <c r="O34" s="1018" t="str">
        <f t="shared" si="4"/>
        <v/>
      </c>
      <c r="P34" s="1018"/>
      <c r="Q34" s="1018"/>
      <c r="R34" s="1018"/>
      <c r="S34" s="1018"/>
      <c r="T34" s="477"/>
      <c r="U34" s="1018" t="str">
        <f t="shared" si="5"/>
        <v/>
      </c>
      <c r="V34" s="1018"/>
      <c r="W34" s="1018"/>
      <c r="AB34" s="480" t="str" cm="1">
        <f t="array" ref="AB34">IFERROR(INDEX('Finance Manager Input Sheet'!$AA$4:$AA$13, SMALL(IF('Finance Manager Input Sheet'!$BD$4:$BD$13="Platinum", ROW('Finance Manager Input Sheet'!$AA$4:$AA$13)-ROW('Finance Manager Input Sheet'!$AA$4)+1), ROW(A7))), "")</f>
        <v/>
      </c>
      <c r="AC34" s="12"/>
      <c r="AD34" s="481" t="str" cm="1">
        <f t="array" ref="AD34">IFERROR(INDEX('Finance Manager Input Sheet'!$AE$4:$AE$13, SMALL(IF('Finance Manager Input Sheet'!$BF$4:$BF$13="Gold", ROW('Finance Manager Input Sheet'!$AE$4:$AE$13)-ROW('Finance Manager Input Sheet'!$AE$4)+1), ROW(A7))), "")</f>
        <v/>
      </c>
      <c r="AE34" s="12"/>
      <c r="AF34" s="482" t="str" cm="1">
        <f t="array" ref="AF34">IFERROR(INDEX('Finance Manager Input Sheet'!$AI$4:$AI$13, SMALL(IF('Finance Manager Input Sheet'!$BH$4:$BH$13="Silver", ROW('Finance Manager Input Sheet'!$AI$4:$AI$13)-ROW('Finance Manager Input Sheet'!$AI$4)+1), ROW(A7))), "")</f>
        <v/>
      </c>
      <c r="AG34" s="12"/>
      <c r="AH34" s="483" t="str" cm="1">
        <f t="array" ref="AH34">IFERROR(INDEX('Finance Manager Input Sheet'!$AM$4:$AM$13, SMALL(IF('Finance Manager Input Sheet'!$BJ$4:$BJ$13="Bronze", ROW('Finance Manager Input Sheet'!$AM$4:$AM$13)-ROW('Finance Manager Input Sheet'!$AM$4)+1), ROW(A7))), "")</f>
        <v/>
      </c>
    </row>
    <row r="35" spans="1:34" ht="40" customHeight="1" thickTop="1" thickBot="1" x14ac:dyDescent="0.25">
      <c r="C35" s="1018" t="str">
        <f t="shared" si="2"/>
        <v/>
      </c>
      <c r="D35" s="1018"/>
      <c r="E35" s="476"/>
      <c r="F35" s="1018" t="str">
        <f t="shared" si="3"/>
        <v/>
      </c>
      <c r="G35" s="1018"/>
      <c r="H35" s="1018"/>
      <c r="I35" s="1018"/>
      <c r="J35" s="1018"/>
      <c r="K35" s="1018"/>
      <c r="L35" s="1018"/>
      <c r="O35" s="1018" t="str">
        <f t="shared" si="4"/>
        <v/>
      </c>
      <c r="P35" s="1018"/>
      <c r="Q35" s="1018"/>
      <c r="R35" s="1018"/>
      <c r="S35" s="1018"/>
      <c r="T35" s="477"/>
      <c r="U35" s="1018" t="str">
        <f t="shared" si="5"/>
        <v/>
      </c>
      <c r="V35" s="1018"/>
      <c r="W35" s="1018"/>
      <c r="AB35" s="480" t="str" cm="1">
        <f t="array" ref="AB35">IFERROR(INDEX('Finance Manager Input Sheet'!$AA$4:$AA$13, SMALL(IF('Finance Manager Input Sheet'!$BD$4:$BD$13="Platinum", ROW('Finance Manager Input Sheet'!$AA$4:$AA$13)-ROW('Finance Manager Input Sheet'!$AA$4)+1), ROW(A8))), "")</f>
        <v/>
      </c>
      <c r="AC35" s="12"/>
      <c r="AD35" s="481" t="str" cm="1">
        <f t="array" ref="AD35">IFERROR(INDEX('Finance Manager Input Sheet'!$AE$4:$AE$13, SMALL(IF('Finance Manager Input Sheet'!$BF$4:$BF$13="Gold", ROW('Finance Manager Input Sheet'!$AE$4:$AE$13)-ROW('Finance Manager Input Sheet'!$AE$4)+1), ROW(A8))), "")</f>
        <v/>
      </c>
      <c r="AE35" s="12"/>
      <c r="AF35" s="482" t="str" cm="1">
        <f t="array" ref="AF35">IFERROR(INDEX('Finance Manager Input Sheet'!$AI$4:$AI$13, SMALL(IF('Finance Manager Input Sheet'!$BH$4:$BH$13="Silver", ROW('Finance Manager Input Sheet'!$AI$4:$AI$13)-ROW('Finance Manager Input Sheet'!$AI$4)+1), ROW(A8))), "")</f>
        <v/>
      </c>
      <c r="AG35" s="12"/>
      <c r="AH35" s="483" t="str" cm="1">
        <f t="array" ref="AH35">IFERROR(INDEX('Finance Manager Input Sheet'!$AM$4:$AM$13, SMALL(IF('Finance Manager Input Sheet'!$BJ$4:$BJ$13="Bronze", ROW('Finance Manager Input Sheet'!$AM$4:$AM$13)-ROW('Finance Manager Input Sheet'!$AM$4)+1), ROW(A8))), "")</f>
        <v/>
      </c>
    </row>
    <row r="36" spans="1:34" ht="40" customHeight="1" thickTop="1" thickBot="1" x14ac:dyDescent="0.25">
      <c r="C36" s="1018" t="str">
        <f t="shared" si="2"/>
        <v/>
      </c>
      <c r="D36" s="1018"/>
      <c r="E36" s="476"/>
      <c r="F36" s="1018" t="str">
        <f t="shared" si="3"/>
        <v/>
      </c>
      <c r="G36" s="1018"/>
      <c r="H36" s="1018"/>
      <c r="I36" s="1018"/>
      <c r="J36" s="1018"/>
      <c r="K36" s="1018"/>
      <c r="L36" s="1018"/>
      <c r="O36" s="1018" t="str">
        <f t="shared" si="4"/>
        <v/>
      </c>
      <c r="P36" s="1018"/>
      <c r="Q36" s="1018"/>
      <c r="R36" s="1018"/>
      <c r="S36" s="1018"/>
      <c r="T36" s="477"/>
      <c r="U36" s="1018" t="str">
        <f t="shared" si="5"/>
        <v/>
      </c>
      <c r="V36" s="1018"/>
      <c r="W36" s="1018"/>
      <c r="AB36" s="480" t="str" cm="1">
        <f t="array" ref="AB36">IFERROR(INDEX('Finance Manager Input Sheet'!$AA$4:$AA$13, SMALL(IF('Finance Manager Input Sheet'!$BD$4:$BD$13="Platinum", ROW('Finance Manager Input Sheet'!$AA$4:$AA$13)-ROW('Finance Manager Input Sheet'!$AA$4)+1), ROW(A9))), "")</f>
        <v/>
      </c>
      <c r="AC36" s="12"/>
      <c r="AD36" s="481" t="str" cm="1">
        <f t="array" ref="AD36">IFERROR(INDEX('Finance Manager Input Sheet'!$AE$4:$AE$13, SMALL(IF('Finance Manager Input Sheet'!$BF$4:$BF$13="Gold", ROW('Finance Manager Input Sheet'!$AE$4:$AE$13)-ROW('Finance Manager Input Sheet'!$AE$4)+1), ROW(A9))), "")</f>
        <v/>
      </c>
      <c r="AE36" s="12"/>
      <c r="AF36" s="482" t="str" cm="1">
        <f t="array" ref="AF36">IFERROR(INDEX('Finance Manager Input Sheet'!$AI$4:$AI$13, SMALL(IF('Finance Manager Input Sheet'!$BH$4:$BH$13="Silver", ROW('Finance Manager Input Sheet'!$AI$4:$AI$13)-ROW('Finance Manager Input Sheet'!$AI$4)+1), ROW(A9))), "")</f>
        <v/>
      </c>
      <c r="AG36" s="12"/>
      <c r="AH36" s="483" t="str" cm="1">
        <f t="array" ref="AH36">IFERROR(INDEX('Finance Manager Input Sheet'!$AM$4:$AM$13, SMALL(IF('Finance Manager Input Sheet'!$BJ$4:$BJ$13="Bronze", ROW('Finance Manager Input Sheet'!$AM$4:$AM$13)-ROW('Finance Manager Input Sheet'!$AM$4)+1), ROW(A9))), "")</f>
        <v/>
      </c>
    </row>
    <row r="37" spans="1:34" ht="40" customHeight="1" thickTop="1" thickBot="1" x14ac:dyDescent="0.25">
      <c r="C37" s="1018" t="str">
        <f t="shared" si="2"/>
        <v/>
      </c>
      <c r="D37" s="1018"/>
      <c r="E37" s="476"/>
      <c r="F37" s="1018" t="str">
        <f t="shared" si="3"/>
        <v/>
      </c>
      <c r="G37" s="1018"/>
      <c r="H37" s="1018"/>
      <c r="I37" s="1018"/>
      <c r="J37" s="1018"/>
      <c r="K37" s="1018"/>
      <c r="L37" s="1018"/>
      <c r="O37" s="1018" t="str">
        <f t="shared" si="4"/>
        <v/>
      </c>
      <c r="P37" s="1018"/>
      <c r="Q37" s="1018"/>
      <c r="R37" s="1018"/>
      <c r="S37" s="1018"/>
      <c r="T37" s="477"/>
      <c r="U37" s="1018" t="str">
        <f t="shared" si="5"/>
        <v/>
      </c>
      <c r="V37" s="1018"/>
      <c r="W37" s="1018"/>
      <c r="AB37" s="480" t="str" cm="1">
        <f t="array" ref="AB37">IFERROR(INDEX('Finance Manager Input Sheet'!$AA$4:$AA$13, SMALL(IF('Finance Manager Input Sheet'!$BD$4:$BD$13="Platinum", ROW('Finance Manager Input Sheet'!$AA$4:$AA$13)-ROW('Finance Manager Input Sheet'!$AA$4)+1), ROW(A10))), "")</f>
        <v/>
      </c>
      <c r="AC37" s="12"/>
      <c r="AD37" s="481" t="str" cm="1">
        <f t="array" ref="AD37">IFERROR(INDEX('Finance Manager Input Sheet'!$AE$4:$AE$13, SMALL(IF('Finance Manager Input Sheet'!$BF$4:$BF$13="Gold", ROW('Finance Manager Input Sheet'!$AE$4:$AE$13)-ROW('Finance Manager Input Sheet'!$AE$4)+1), ROW(A10))), "")</f>
        <v/>
      </c>
      <c r="AE37" s="12"/>
      <c r="AF37" s="482" t="str" cm="1">
        <f t="array" ref="AF37">IFERROR(INDEX('Finance Manager Input Sheet'!$AI$4:$AI$13, SMALL(IF('Finance Manager Input Sheet'!$BH$4:$BH$13="Silver", ROW('Finance Manager Input Sheet'!$AI$4:$AI$13)-ROW('Finance Manager Input Sheet'!$AI$4)+1), ROW(A10))), "")</f>
        <v/>
      </c>
      <c r="AG37" s="12"/>
      <c r="AH37" s="483" t="str" cm="1">
        <f t="array" ref="AH37">IFERROR(INDEX('Finance Manager Input Sheet'!$AM$4:$AM$13, SMALL(IF('Finance Manager Input Sheet'!$BJ$4:$BJ$13="Bronze", ROW('Finance Manager Input Sheet'!$AM$4:$AM$13)-ROW('Finance Manager Input Sheet'!$AM$4)+1), ROW(A10))), "")</f>
        <v/>
      </c>
    </row>
    <row r="38" spans="1:34" ht="40" customHeight="1" thickTop="1" thickBot="1" x14ac:dyDescent="0.25">
      <c r="C38" s="1018" t="str">
        <f t="shared" si="2"/>
        <v/>
      </c>
      <c r="D38" s="1018"/>
      <c r="E38" s="476"/>
      <c r="F38" s="1018" t="str">
        <f t="shared" si="3"/>
        <v/>
      </c>
      <c r="G38" s="1018"/>
      <c r="H38" s="1018"/>
      <c r="I38" s="1018"/>
      <c r="J38" s="1018"/>
      <c r="K38" s="1018"/>
      <c r="L38" s="1018"/>
      <c r="O38" s="1018" t="str">
        <f t="shared" si="4"/>
        <v/>
      </c>
      <c r="P38" s="1018"/>
      <c r="Q38" s="1018"/>
      <c r="R38" s="1018"/>
      <c r="S38" s="1018"/>
      <c r="T38" s="477"/>
      <c r="U38" s="1018" t="str">
        <f t="shared" si="5"/>
        <v/>
      </c>
      <c r="V38" s="1018"/>
      <c r="W38" s="1018"/>
      <c r="AB38" s="480" t="str" cm="1">
        <f t="array" ref="AB38">IFERROR(INDEX('Finance Manager Input Sheet'!$AA$4:$AA$13, SMALL(IF('Finance Manager Input Sheet'!$BD$4:$BD$13="Platinum", ROW('Finance Manager Input Sheet'!$AA$4:$AA$13)-ROW('Finance Manager Input Sheet'!$AA$4)+1), ROW(A11))), "")</f>
        <v/>
      </c>
      <c r="AC38" s="12"/>
      <c r="AD38" s="481" t="str" cm="1">
        <f t="array" ref="AD38">IFERROR(INDEX('Finance Manager Input Sheet'!$AE$4:$AE$13, SMALL(IF('Finance Manager Input Sheet'!$BF$4:$BF$13="Gold", ROW('Finance Manager Input Sheet'!$AE$4:$AE$13)-ROW('Finance Manager Input Sheet'!$AE$4)+1), ROW(A11))), "")</f>
        <v/>
      </c>
      <c r="AE38" s="12"/>
      <c r="AF38" s="482" t="str" cm="1">
        <f t="array" ref="AF38">IFERROR(INDEX('Finance Manager Input Sheet'!$AI$4:$AI$13, SMALL(IF('Finance Manager Input Sheet'!$BH$4:$BH$13="Silver", ROW('Finance Manager Input Sheet'!$AI$4:$AI$13)-ROW('Finance Manager Input Sheet'!$AI$4)+1), ROW(A11))), "")</f>
        <v/>
      </c>
      <c r="AG38" s="12"/>
      <c r="AH38" s="483" t="str" cm="1">
        <f t="array" ref="AH38">IFERROR(INDEX('Finance Manager Input Sheet'!$AM$4:$AM$13, SMALL(IF('Finance Manager Input Sheet'!$BJ$4:$BJ$13="Bronze", ROW('Finance Manager Input Sheet'!$AM$4:$AM$13)-ROW('Finance Manager Input Sheet'!$AM$4)+1), ROW(A11))), "")</f>
        <v/>
      </c>
    </row>
    <row r="39" spans="1:34" ht="40" customHeight="1" thickTop="1" thickBot="1" x14ac:dyDescent="0.25">
      <c r="C39" s="1018" t="str">
        <f t="shared" si="2"/>
        <v/>
      </c>
      <c r="D39" s="1018"/>
      <c r="E39" s="476"/>
      <c r="F39" s="1018" t="str">
        <f t="shared" si="3"/>
        <v/>
      </c>
      <c r="G39" s="1018"/>
      <c r="H39" s="1018"/>
      <c r="I39" s="1018"/>
      <c r="J39" s="1018"/>
      <c r="K39" s="1018"/>
      <c r="L39" s="1018"/>
      <c r="O39" s="1018" t="str">
        <f t="shared" si="4"/>
        <v/>
      </c>
      <c r="P39" s="1018"/>
      <c r="Q39" s="1018"/>
      <c r="R39" s="1018"/>
      <c r="S39" s="1018"/>
      <c r="T39" s="477"/>
      <c r="U39" s="1018" t="str">
        <f t="shared" si="5"/>
        <v/>
      </c>
      <c r="V39" s="1018"/>
      <c r="W39" s="1018"/>
      <c r="AB39" s="480" t="str" cm="1">
        <f t="array" ref="AB39">IFERROR(INDEX('Finance Manager Input Sheet'!$AA$4:$AA$13, SMALL(IF('Finance Manager Input Sheet'!$BD$4:$BD$13="Platinum", ROW('Finance Manager Input Sheet'!$AA$4:$AA$13)-ROW('Finance Manager Input Sheet'!$AA$4)+1), ROW(A12))), "")</f>
        <v/>
      </c>
      <c r="AC39" s="12"/>
      <c r="AD39" s="481" t="str" cm="1">
        <f t="array" ref="AD39">IFERROR(INDEX('Finance Manager Input Sheet'!$AE$4:$AE$13, SMALL(IF('Finance Manager Input Sheet'!$BF$4:$BF$13="Gold", ROW('Finance Manager Input Sheet'!$AE$4:$AE$13)-ROW('Finance Manager Input Sheet'!$AE$4)+1), ROW(A12))), "")</f>
        <v/>
      </c>
      <c r="AE39" s="12"/>
      <c r="AF39" s="482" t="str" cm="1">
        <f t="array" ref="AF39">IFERROR(INDEX('Finance Manager Input Sheet'!$AI$4:$AI$13, SMALL(IF('Finance Manager Input Sheet'!$BH$4:$BH$13="Silver", ROW('Finance Manager Input Sheet'!$AI$4:$AI$13)-ROW('Finance Manager Input Sheet'!$AI$4)+1), ROW(A12))), "")</f>
        <v/>
      </c>
      <c r="AG39" s="12"/>
      <c r="AH39" s="483" t="str" cm="1">
        <f t="array" ref="AH39">IFERROR(INDEX('Finance Manager Input Sheet'!$AM$4:$AM$13, SMALL(IF('Finance Manager Input Sheet'!$BJ$4:$BJ$13="Bronze", ROW('Finance Manager Input Sheet'!$AM$4:$AM$13)-ROW('Finance Manager Input Sheet'!$AM$4)+1), ROW(A12))), "")</f>
        <v/>
      </c>
    </row>
    <row r="40" spans="1:34" ht="40" customHeight="1" thickTop="1" thickBot="1" x14ac:dyDescent="0.25">
      <c r="C40" s="1018"/>
      <c r="D40" s="1018"/>
      <c r="O40" s="1018"/>
      <c r="P40" s="1018"/>
      <c r="Q40" s="1018"/>
      <c r="R40" s="1018"/>
      <c r="S40" s="1018"/>
    </row>
    <row r="41" spans="1:34" ht="24" customHeight="1" thickTop="1" x14ac:dyDescent="0.2"/>
    <row r="44" spans="1:34" ht="17" thickBot="1" x14ac:dyDescent="0.25"/>
    <row r="45" spans="1:34" s="13" customFormat="1" ht="47.25" customHeight="1" x14ac:dyDescent="0.35">
      <c r="C45" s="1012" t="e">
        <f>UPPER(_xlfn.CONCAT(TEXT(Calculations!$B$610+Calculations!$B$596,"$#,#00.00"),IF($G$24&lt;=1,""," PER MONTH")))</f>
        <v>#NUM!</v>
      </c>
      <c r="D45" s="1013"/>
      <c r="E45" s="484"/>
      <c r="F45" s="1012" t="e">
        <f>UPPER(_xlfn.CONCAT(TEXT(Calculations!$B$611+Calculations!$B$596,"$#,#00.00"),IF(G24&lt;=1,""," PER MONTH")))</f>
        <v>#NUM!</v>
      </c>
      <c r="G45" s="1014"/>
      <c r="H45" s="1014"/>
      <c r="I45" s="1014"/>
      <c r="J45" s="1014"/>
      <c r="K45" s="1014"/>
      <c r="L45" s="1013"/>
      <c r="M45" s="484"/>
      <c r="O45" s="1012" t="e">
        <f>UPPER(_xlfn.CONCAT(TEXT(Calculations!$B$612+Calculations!$B$596,"$#,#00.00"),IF(G24&lt;=1,""," PER MONTH")))</f>
        <v>#NUM!</v>
      </c>
      <c r="P45" s="1014"/>
      <c r="Q45" s="1014"/>
      <c r="R45" s="1014"/>
      <c r="S45" s="1013"/>
      <c r="T45" s="484"/>
      <c r="U45" s="1012" t="e">
        <f>UPPER(_xlfn.CONCAT(TEXT(Calculations!$B$613+Calculations!$B$596,"$#,#00.00"),IF(G24&lt;=1,""," PER MONTH")))</f>
        <v>#NUM!</v>
      </c>
      <c r="V45" s="1014"/>
      <c r="W45" s="1013"/>
    </row>
    <row r="46" spans="1:34" s="14" customFormat="1" ht="55" customHeight="1" x14ac:dyDescent="0.2">
      <c r="C46" s="1015" t="e">
        <f>UPPER(_xlfn.CONCAT("ADDITIONAL PAYMENT FOR ",'Finance Manager Input Sheet'!$R$3," IS APPROXIMATELY ",TEXT(Calculations!$B$610,"$#,#00.00"),IF($G$24&lt;=1,""," PER MONTH")))</f>
        <v>#NUM!</v>
      </c>
      <c r="D46" s="1017"/>
      <c r="E46" s="485"/>
      <c r="F46" s="1015" t="e">
        <f>UPPER(_xlfn.CONCAT("ADDITIONAL PAYMENT FOR ",'Finance Manager Input Sheet'!$T$3," IS APPROXIMATELY ",TEXT(Calculations!$B$611,"$#,#00.00"),IF($G$24&lt;=1,""," PER MONTH")))</f>
        <v>#NUM!</v>
      </c>
      <c r="G46" s="1016"/>
      <c r="H46" s="1016"/>
      <c r="I46" s="1016"/>
      <c r="J46" s="1016"/>
      <c r="K46" s="1016"/>
      <c r="L46" s="1017"/>
      <c r="M46" s="485"/>
      <c r="N46" s="485"/>
      <c r="O46" s="1015" t="e">
        <f>UPPER(_xlfn.CONCAT("ADDITIONAL PAYMENT FOR ",'Finance Manager Input Sheet'!$V$3," IS APPROXIMATELY ",TEXT(Calculations!$B$612,"$#,#00.00"),IF($G$24&lt;=1,""," PER MONTH")))</f>
        <v>#NUM!</v>
      </c>
      <c r="P46" s="1016"/>
      <c r="Q46" s="1016"/>
      <c r="R46" s="1016"/>
      <c r="S46" s="1017"/>
      <c r="T46" s="485"/>
      <c r="U46" s="1015" t="e">
        <f>UPPER(_xlfn.CONCAT("ADDITIONAL PAYMENT FOR ",'Finance Manager Input Sheet'!$X$3," IS APPROXIMATELY ",TEXT(Calculations!$B$613,"$#,#00.00"),IF($G$24&lt;=1,""," PER MONTH")))</f>
        <v>#NUM!</v>
      </c>
      <c r="V46" s="1016"/>
      <c r="W46" s="1017"/>
    </row>
    <row r="47" spans="1:34" s="14" customFormat="1" ht="28" customHeight="1" x14ac:dyDescent="0.2">
      <c r="A47" s="486"/>
      <c r="B47" s="486"/>
      <c r="C47" s="487" t="s">
        <v>370</v>
      </c>
      <c r="D47" s="488">
        <f>+'Finance Manager Input Sheet'!AB14</f>
        <v>0</v>
      </c>
      <c r="E47" s="486"/>
      <c r="F47" s="1023" t="s">
        <v>370</v>
      </c>
      <c r="G47" s="1024"/>
      <c r="H47" s="1024"/>
      <c r="I47" s="1024"/>
      <c r="J47" s="1024"/>
      <c r="K47" s="1021">
        <f>+'Finance Manager Input Sheet'!AF14</f>
        <v>0</v>
      </c>
      <c r="L47" s="1022"/>
      <c r="M47" s="486"/>
      <c r="N47" s="486"/>
      <c r="O47" s="1025" t="s">
        <v>370</v>
      </c>
      <c r="P47" s="1026"/>
      <c r="Q47" s="1019">
        <f>+'Finance Manager Input Sheet'!AJ14</f>
        <v>0</v>
      </c>
      <c r="R47" s="1019"/>
      <c r="S47" s="1020"/>
      <c r="T47" s="486"/>
      <c r="U47" s="1025" t="s">
        <v>370</v>
      </c>
      <c r="V47" s="1026"/>
      <c r="W47" s="489">
        <f>+'Finance Manager Input Sheet'!AN14</f>
        <v>0</v>
      </c>
    </row>
    <row r="48" spans="1:34" s="14" customFormat="1" ht="21" customHeight="1" x14ac:dyDescent="0.2">
      <c r="A48" s="486"/>
      <c r="B48" s="486"/>
      <c r="C48" s="487" t="s">
        <v>371</v>
      </c>
      <c r="D48" s="488">
        <f>+D49-D47</f>
        <v>0</v>
      </c>
      <c r="E48" s="486"/>
      <c r="F48" s="1023" t="s">
        <v>371</v>
      </c>
      <c r="G48" s="1024"/>
      <c r="H48" s="1024"/>
      <c r="I48" s="1024"/>
      <c r="J48" s="1024"/>
      <c r="K48" s="1021">
        <f>+K49-K47</f>
        <v>0</v>
      </c>
      <c r="L48" s="1022"/>
      <c r="M48" s="486"/>
      <c r="N48" s="486"/>
      <c r="O48" s="1023" t="s">
        <v>371</v>
      </c>
      <c r="P48" s="1024"/>
      <c r="Q48" s="1021">
        <f>+Q49-Q47</f>
        <v>0</v>
      </c>
      <c r="R48" s="1021"/>
      <c r="S48" s="1022"/>
      <c r="T48" s="486"/>
      <c r="U48" s="1023" t="s">
        <v>371</v>
      </c>
      <c r="V48" s="1024"/>
      <c r="W48" s="488">
        <f>+W49-W47</f>
        <v>0</v>
      </c>
    </row>
    <row r="49" spans="1:24" ht="24" customHeight="1" thickBot="1" x14ac:dyDescent="0.25">
      <c r="A49" s="66"/>
      <c r="B49" s="66"/>
      <c r="C49" s="490" t="s">
        <v>372</v>
      </c>
      <c r="D49" s="491">
        <f>+'Finance Manager Input Sheet'!AC14</f>
        <v>0</v>
      </c>
      <c r="E49" s="66"/>
      <c r="F49" s="1035" t="s">
        <v>372</v>
      </c>
      <c r="G49" s="748"/>
      <c r="H49" s="748"/>
      <c r="I49" s="748"/>
      <c r="J49" s="748"/>
      <c r="K49" s="1042">
        <f>+'Finance Manager Input Sheet'!AG14</f>
        <v>0</v>
      </c>
      <c r="L49" s="1043"/>
      <c r="M49" s="66"/>
      <c r="N49" s="66"/>
      <c r="O49" s="1035" t="s">
        <v>372</v>
      </c>
      <c r="P49" s="748"/>
      <c r="Q49" s="1036">
        <f>+'Finance Manager Input Sheet'!AK14</f>
        <v>0</v>
      </c>
      <c r="R49" s="1036"/>
      <c r="S49" s="1037"/>
      <c r="T49" s="66"/>
      <c r="U49" s="1038" t="s">
        <v>372</v>
      </c>
      <c r="V49" s="1039"/>
      <c r="W49" s="491">
        <f>+'Finance Manager Input Sheet'!AO14</f>
        <v>0</v>
      </c>
    </row>
    <row r="50" spans="1:24" s="5" customFormat="1" ht="24" customHeight="1" x14ac:dyDescent="0.2">
      <c r="A50" s="197"/>
      <c r="B50" s="197"/>
      <c r="C50" s="492" t="s">
        <v>373</v>
      </c>
      <c r="D50" s="493" t="s">
        <v>374</v>
      </c>
      <c r="E50" s="197"/>
      <c r="F50" s="1032" t="s">
        <v>373</v>
      </c>
      <c r="G50" s="931"/>
      <c r="H50" s="931"/>
      <c r="I50" s="931"/>
      <c r="J50" s="932"/>
      <c r="K50" s="1033" t="s">
        <v>374</v>
      </c>
      <c r="L50" s="1034"/>
      <c r="M50" s="197"/>
      <c r="N50" s="197"/>
      <c r="O50" s="1027" t="s">
        <v>373</v>
      </c>
      <c r="P50" s="1028"/>
      <c r="Q50" s="1029" t="s">
        <v>374</v>
      </c>
      <c r="R50" s="1030"/>
      <c r="S50" s="1031"/>
      <c r="T50" s="197"/>
      <c r="U50" s="1032" t="s">
        <v>373</v>
      </c>
      <c r="V50" s="932"/>
      <c r="W50" s="494" t="s">
        <v>374</v>
      </c>
      <c r="X50" s="495"/>
    </row>
    <row r="51" spans="1:24" s="5" customFormat="1" ht="24" customHeight="1" x14ac:dyDescent="0.2">
      <c r="A51" s="197"/>
      <c r="B51" s="197"/>
      <c r="C51" s="496"/>
      <c r="D51" s="497"/>
      <c r="E51" s="197"/>
      <c r="F51" s="1051"/>
      <c r="G51" s="771"/>
      <c r="H51" s="771"/>
      <c r="I51" s="771"/>
      <c r="J51" s="772"/>
      <c r="K51" s="1040"/>
      <c r="L51" s="1041"/>
      <c r="M51" s="197"/>
      <c r="N51" s="197"/>
      <c r="O51" s="1049"/>
      <c r="P51" s="1050"/>
      <c r="Q51" s="1046"/>
      <c r="R51" s="1047"/>
      <c r="S51" s="1048"/>
      <c r="T51" s="197"/>
      <c r="U51" s="1051"/>
      <c r="V51" s="772"/>
      <c r="W51" s="494"/>
    </row>
    <row r="52" spans="1:24" s="5" customFormat="1" ht="24" customHeight="1" thickBot="1" x14ac:dyDescent="0.25">
      <c r="A52" s="197"/>
      <c r="B52" s="197"/>
      <c r="C52" s="498"/>
      <c r="D52" s="499"/>
      <c r="E52" s="197"/>
      <c r="F52" s="1057"/>
      <c r="G52" s="1059"/>
      <c r="H52" s="1059"/>
      <c r="I52" s="1059"/>
      <c r="J52" s="1058"/>
      <c r="K52" s="1055"/>
      <c r="L52" s="1056"/>
      <c r="M52" s="197"/>
      <c r="N52" s="197"/>
      <c r="O52" s="1053"/>
      <c r="P52" s="1054"/>
      <c r="Q52" s="1060"/>
      <c r="R52" s="1061"/>
      <c r="S52" s="1062"/>
      <c r="T52" s="197"/>
      <c r="U52" s="1057"/>
      <c r="V52" s="1058"/>
      <c r="W52" s="501"/>
    </row>
    <row r="53" spans="1:24" ht="39" customHeight="1" x14ac:dyDescent="0.2">
      <c r="B53" s="1044" t="s">
        <v>375</v>
      </c>
      <c r="C53" s="1044"/>
      <c r="D53" s="1044"/>
      <c r="E53" s="1044"/>
      <c r="F53" s="1044"/>
      <c r="G53" s="1044"/>
      <c r="H53" s="1044"/>
      <c r="I53" s="1044"/>
      <c r="J53" s="1044"/>
      <c r="K53" s="1044"/>
      <c r="L53" s="1044"/>
      <c r="M53" s="1044"/>
      <c r="N53" s="1044"/>
      <c r="O53" s="1044"/>
      <c r="P53" s="1044"/>
      <c r="Q53" s="1044"/>
      <c r="R53" s="1044"/>
      <c r="S53" s="1044"/>
      <c r="T53" s="1044"/>
      <c r="U53" s="1044"/>
      <c r="V53" s="1044"/>
      <c r="W53" s="1044"/>
      <c r="X53" s="1044"/>
    </row>
    <row r="54" spans="1:24" ht="39" customHeight="1" x14ac:dyDescent="0.2">
      <c r="B54" s="1044"/>
      <c r="C54" s="1044"/>
      <c r="D54" s="1044"/>
      <c r="E54" s="1044"/>
      <c r="F54" s="1044"/>
      <c r="G54" s="1044"/>
      <c r="H54" s="1044"/>
      <c r="I54" s="1044"/>
      <c r="J54" s="1044"/>
      <c r="K54" s="1044"/>
      <c r="L54" s="1044"/>
      <c r="M54" s="1044"/>
      <c r="N54" s="1044"/>
      <c r="O54" s="1044"/>
      <c r="P54" s="1044"/>
      <c r="Q54" s="1044"/>
      <c r="R54" s="1044"/>
      <c r="S54" s="1044"/>
      <c r="T54" s="1044"/>
      <c r="U54" s="1044"/>
      <c r="V54" s="1044"/>
      <c r="W54" s="1044"/>
      <c r="X54" s="1044"/>
    </row>
    <row r="55" spans="1:24" ht="39" customHeight="1" x14ac:dyDescent="0.2">
      <c r="B55" s="1044"/>
      <c r="C55" s="1044"/>
      <c r="D55" s="1044"/>
      <c r="E55" s="1044"/>
      <c r="F55" s="1044"/>
      <c r="G55" s="1044"/>
      <c r="H55" s="1044"/>
      <c r="I55" s="1044"/>
      <c r="J55" s="1044"/>
      <c r="K55" s="1044"/>
      <c r="L55" s="1044"/>
      <c r="M55" s="1044"/>
      <c r="N55" s="1044"/>
      <c r="O55" s="1044"/>
      <c r="P55" s="1044"/>
      <c r="Q55" s="1044"/>
      <c r="R55" s="1044"/>
      <c r="S55" s="1044"/>
      <c r="T55" s="1044"/>
      <c r="U55" s="1044"/>
      <c r="V55" s="1044"/>
      <c r="W55" s="1044"/>
      <c r="X55" s="1044"/>
    </row>
    <row r="56" spans="1:24" ht="22" customHeight="1" x14ac:dyDescent="0.2">
      <c r="B56" s="1044"/>
      <c r="C56" s="1044"/>
      <c r="D56" s="1044"/>
      <c r="E56" s="1044"/>
      <c r="F56" s="1044"/>
      <c r="G56" s="1044"/>
      <c r="H56" s="1044"/>
      <c r="I56" s="1044"/>
      <c r="J56" s="1044"/>
      <c r="K56" s="1044"/>
      <c r="L56" s="1044"/>
      <c r="M56" s="1044"/>
      <c r="N56" s="1044"/>
      <c r="O56" s="1044"/>
      <c r="P56" s="1044"/>
      <c r="Q56" s="1044"/>
      <c r="R56" s="1044"/>
      <c r="S56" s="1044"/>
      <c r="T56" s="1044"/>
      <c r="U56" s="1044"/>
      <c r="V56" s="1044"/>
      <c r="W56" s="1044"/>
      <c r="X56" s="1044"/>
    </row>
    <row r="57" spans="1:24" ht="51" customHeight="1" x14ac:dyDescent="0.2">
      <c r="B57" s="786" t="str">
        <f>Calculations!B614</f>
        <v>For presentation purposes and submitting for approval of financing, payments are based upon a  month term at an annual interest rate of 0.00%.  Actual term and rates may vary based upon financing available based upon customers credit and other factors.</v>
      </c>
      <c r="C57" s="786"/>
      <c r="D57" s="786"/>
      <c r="E57" s="786"/>
      <c r="F57" s="786"/>
      <c r="G57" s="786"/>
      <c r="H57" s="786"/>
      <c r="I57" s="786"/>
      <c r="J57" s="786"/>
      <c r="K57" s="786"/>
      <c r="L57" s="786"/>
      <c r="M57" s="786"/>
      <c r="N57" s="786"/>
      <c r="O57" s="786"/>
      <c r="P57" s="786"/>
      <c r="Q57" s="786"/>
      <c r="R57" s="786"/>
      <c r="S57" s="786"/>
      <c r="T57" s="786"/>
      <c r="U57" s="786"/>
      <c r="V57" s="786"/>
      <c r="W57" s="786"/>
      <c r="X57" s="786"/>
    </row>
    <row r="63" spans="1:24" x14ac:dyDescent="0.2">
      <c r="B63" s="749" t="s">
        <v>351</v>
      </c>
      <c r="C63" s="749"/>
      <c r="D63" s="749"/>
    </row>
    <row r="64" spans="1:24" x14ac:dyDescent="0.2">
      <c r="B64" s="1045"/>
      <c r="C64" s="1045"/>
      <c r="D64" s="1045"/>
    </row>
    <row r="65" spans="2:23" x14ac:dyDescent="0.2">
      <c r="B65" s="1045"/>
      <c r="C65" s="1045"/>
      <c r="D65" s="1045"/>
    </row>
    <row r="66" spans="2:23" ht="17" thickBot="1" x14ac:dyDescent="0.25">
      <c r="B66" s="1052" t="str">
        <f>'Customer Input Screen'!C32</f>
        <v>[Customer Signature]</v>
      </c>
      <c r="C66" s="1052"/>
      <c r="D66" s="1052"/>
    </row>
    <row r="67" spans="2:23" x14ac:dyDescent="0.2">
      <c r="B67" s="749" t="s">
        <v>222</v>
      </c>
      <c r="C67" s="749"/>
      <c r="D67" s="749"/>
      <c r="T67" s="16" t="s">
        <v>376</v>
      </c>
      <c r="U67" s="749">
        <f>'Finance Manager Input Sheet'!G2</f>
        <v>0</v>
      </c>
      <c r="V67" s="749"/>
      <c r="W67" s="749"/>
    </row>
    <row r="68" spans="2:23" ht="20" x14ac:dyDescent="0.2">
      <c r="T68" s="1084" t="s">
        <v>88</v>
      </c>
      <c r="U68" s="1084"/>
      <c r="V68" s="1084"/>
    </row>
  </sheetData>
  <sheetProtection selectLockedCells="1"/>
  <mergeCells count="150">
    <mergeCell ref="T68:V68"/>
    <mergeCell ref="P25:T25"/>
    <mergeCell ref="G23:N23"/>
    <mergeCell ref="S23:X23"/>
    <mergeCell ref="O23:R23"/>
    <mergeCell ref="O24:R24"/>
    <mergeCell ref="G24:N24"/>
    <mergeCell ref="S24:X24"/>
    <mergeCell ref="B18:W18"/>
    <mergeCell ref="L19:M19"/>
    <mergeCell ref="B19:K19"/>
    <mergeCell ref="P19:T19"/>
    <mergeCell ref="U27:W27"/>
    <mergeCell ref="O27:S27"/>
    <mergeCell ref="U28:W28"/>
    <mergeCell ref="O28:S28"/>
    <mergeCell ref="U29:W29"/>
    <mergeCell ref="O29:S29"/>
    <mergeCell ref="U30:W30"/>
    <mergeCell ref="O30:S30"/>
    <mergeCell ref="P20:T20"/>
    <mergeCell ref="L20:M20"/>
    <mergeCell ref="B20:K20"/>
    <mergeCell ref="B21:K21"/>
    <mergeCell ref="K1:P4"/>
    <mergeCell ref="Q1:W1"/>
    <mergeCell ref="Q2:W2"/>
    <mergeCell ref="B2:C2"/>
    <mergeCell ref="Q3:W3"/>
    <mergeCell ref="Q4:W4"/>
    <mergeCell ref="B1:J1"/>
    <mergeCell ref="B3:J3"/>
    <mergeCell ref="B4:J4"/>
    <mergeCell ref="Q5:W5"/>
    <mergeCell ref="K5:P6"/>
    <mergeCell ref="D12:F12"/>
    <mergeCell ref="R12:T12"/>
    <mergeCell ref="C13:F13"/>
    <mergeCell ref="C14:F14"/>
    <mergeCell ref="B16:W17"/>
    <mergeCell ref="Q6:W6"/>
    <mergeCell ref="Q9:W9"/>
    <mergeCell ref="K9:P9"/>
    <mergeCell ref="U12:W12"/>
    <mergeCell ref="B5:J5"/>
    <mergeCell ref="B6:J6"/>
    <mergeCell ref="B7:J7"/>
    <mergeCell ref="B8:J8"/>
    <mergeCell ref="B9:J9"/>
    <mergeCell ref="L21:M21"/>
    <mergeCell ref="P21:T21"/>
    <mergeCell ref="B22:K22"/>
    <mergeCell ref="B23:F23"/>
    <mergeCell ref="B24:F24"/>
    <mergeCell ref="E25:G25"/>
    <mergeCell ref="B25:D25"/>
    <mergeCell ref="L22:M22"/>
    <mergeCell ref="P22:T22"/>
    <mergeCell ref="O31:S31"/>
    <mergeCell ref="C34:D34"/>
    <mergeCell ref="U31:W31"/>
    <mergeCell ref="C31:D31"/>
    <mergeCell ref="U32:W32"/>
    <mergeCell ref="O32:S32"/>
    <mergeCell ref="F32:L32"/>
    <mergeCell ref="C32:D32"/>
    <mergeCell ref="U33:W33"/>
    <mergeCell ref="F33:L33"/>
    <mergeCell ref="O33:S33"/>
    <mergeCell ref="C33:D33"/>
    <mergeCell ref="C27:D27"/>
    <mergeCell ref="F27:L27"/>
    <mergeCell ref="F28:L28"/>
    <mergeCell ref="C28:D28"/>
    <mergeCell ref="C29:D29"/>
    <mergeCell ref="F29:L29"/>
    <mergeCell ref="C30:D30"/>
    <mergeCell ref="F30:L30"/>
    <mergeCell ref="F31:L31"/>
    <mergeCell ref="C38:D38"/>
    <mergeCell ref="U38:W38"/>
    <mergeCell ref="F38:L38"/>
    <mergeCell ref="U39:W39"/>
    <mergeCell ref="F39:L39"/>
    <mergeCell ref="C39:D39"/>
    <mergeCell ref="O39:S39"/>
    <mergeCell ref="C40:D40"/>
    <mergeCell ref="O40:S40"/>
    <mergeCell ref="K51:L51"/>
    <mergeCell ref="K49:L49"/>
    <mergeCell ref="F49:J49"/>
    <mergeCell ref="B53:X56"/>
    <mergeCell ref="B57:X57"/>
    <mergeCell ref="B63:D63"/>
    <mergeCell ref="B64:D64"/>
    <mergeCell ref="B65:D65"/>
    <mergeCell ref="U67:W67"/>
    <mergeCell ref="Q51:S51"/>
    <mergeCell ref="O51:P51"/>
    <mergeCell ref="U51:V51"/>
    <mergeCell ref="B66:D66"/>
    <mergeCell ref="B67:D67"/>
    <mergeCell ref="O52:P52"/>
    <mergeCell ref="K52:L52"/>
    <mergeCell ref="U52:V52"/>
    <mergeCell ref="F52:J52"/>
    <mergeCell ref="Q52:S52"/>
    <mergeCell ref="F51:J51"/>
    <mergeCell ref="Q47:S47"/>
    <mergeCell ref="K47:L47"/>
    <mergeCell ref="F47:J47"/>
    <mergeCell ref="O47:P47"/>
    <mergeCell ref="U47:V47"/>
    <mergeCell ref="O50:P50"/>
    <mergeCell ref="Q50:S50"/>
    <mergeCell ref="U50:V50"/>
    <mergeCell ref="F50:J50"/>
    <mergeCell ref="K50:L50"/>
    <mergeCell ref="O48:P48"/>
    <mergeCell ref="U48:V48"/>
    <mergeCell ref="Q48:S48"/>
    <mergeCell ref="K48:L48"/>
    <mergeCell ref="F48:J48"/>
    <mergeCell ref="O49:P49"/>
    <mergeCell ref="Q49:S49"/>
    <mergeCell ref="U49:V49"/>
    <mergeCell ref="C45:D45"/>
    <mergeCell ref="U45:W45"/>
    <mergeCell ref="F45:L45"/>
    <mergeCell ref="O45:S45"/>
    <mergeCell ref="F46:L46"/>
    <mergeCell ref="U46:W46"/>
    <mergeCell ref="O46:S46"/>
    <mergeCell ref="C46:D46"/>
    <mergeCell ref="U34:W34"/>
    <mergeCell ref="F34:L34"/>
    <mergeCell ref="O34:S34"/>
    <mergeCell ref="F35:L35"/>
    <mergeCell ref="O35:S35"/>
    <mergeCell ref="U35:W35"/>
    <mergeCell ref="C35:D35"/>
    <mergeCell ref="O36:S36"/>
    <mergeCell ref="F36:L36"/>
    <mergeCell ref="C36:D36"/>
    <mergeCell ref="U36:W36"/>
    <mergeCell ref="U37:W37"/>
    <mergeCell ref="O37:S37"/>
    <mergeCell ref="C37:D37"/>
    <mergeCell ref="F37:L37"/>
    <mergeCell ref="O38:S38"/>
  </mergeCells>
  <conditionalFormatting sqref="C28:D40">
    <cfRule type="expression" dxfId="19" priority="8">
      <formula>LEN(AB28)&gt;0</formula>
    </cfRule>
    <cfRule type="containsBlanks" dxfId="18" priority="9">
      <formula>LEN(TRIM(C28))=0</formula>
    </cfRule>
  </conditionalFormatting>
  <conditionalFormatting sqref="F28:H40">
    <cfRule type="expression" dxfId="17" priority="16">
      <formula>LEN(AD28)&gt;0</formula>
    </cfRule>
  </conditionalFormatting>
  <conditionalFormatting sqref="F28:L40">
    <cfRule type="containsBlanks" dxfId="16" priority="7">
      <formula>LEN(TRIM(F28))=0</formula>
    </cfRule>
  </conditionalFormatting>
  <conditionalFormatting sqref="I28:I40">
    <cfRule type="expression" dxfId="15" priority="14">
      <formula>LEN(AF28)&gt;0</formula>
    </cfRule>
  </conditionalFormatting>
  <conditionalFormatting sqref="J28:L40">
    <cfRule type="expression" dxfId="14" priority="11">
      <formula>LEN(AF28)&gt;0</formula>
    </cfRule>
  </conditionalFormatting>
  <conditionalFormatting sqref="O28:S40">
    <cfRule type="containsBlanks" dxfId="13" priority="2">
      <formula>LEN(TRIM(O28))=0</formula>
    </cfRule>
    <cfRule type="expression" dxfId="12" priority="10">
      <formula>LEN(AF28)&gt;0</formula>
    </cfRule>
  </conditionalFormatting>
  <conditionalFormatting sqref="U28:W40">
    <cfRule type="expression" dxfId="11" priority="1">
      <formula>LEN(AH28)&gt;0</formula>
    </cfRule>
    <cfRule type="containsBlanks" dxfId="10" priority="12">
      <formula>LEN(TRIM(U28))=0</formula>
    </cfRule>
  </conditionalFormatting>
  <printOptions horizontalCentered="1" verticalCentered="1"/>
  <pageMargins left="0" right="0" top="0" bottom="0" header="0" footer="0"/>
  <pageSetup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AI53"/>
  <sheetViews>
    <sheetView view="pageBreakPreview" topLeftCell="A39" zoomScale="60" zoomScaleNormal="60" workbookViewId="0">
      <selection activeCell="U53" sqref="U53:W53"/>
    </sheetView>
  </sheetViews>
  <sheetFormatPr baseColWidth="10" defaultColWidth="11" defaultRowHeight="16" x14ac:dyDescent="0.2"/>
  <cols>
    <col min="1" max="1" width="2" style="16" customWidth="1"/>
    <col min="2" max="2" width="4.5" style="16" customWidth="1"/>
    <col min="3" max="3" width="22.5" style="16" bestFit="1" customWidth="1"/>
    <col min="4" max="4" width="29" style="16" customWidth="1"/>
    <col min="5" max="5" width="10" style="16" customWidth="1"/>
    <col min="6" max="7" width="5.5" style="16" bestFit="1" customWidth="1"/>
    <col min="8" max="10" width="1.5" style="16" customWidth="1"/>
    <col min="11" max="11" width="11" style="16" bestFit="1" customWidth="1"/>
    <col min="12" max="12" width="20" style="16" bestFit="1" customWidth="1"/>
    <col min="13" max="13" width="4.5" style="16" customWidth="1"/>
    <col min="14" max="14" width="14.33203125" style="16" customWidth="1"/>
    <col min="15" max="16" width="2" style="16" customWidth="1"/>
    <col min="17" max="17" width="26.5" style="16" customWidth="1"/>
    <col min="18" max="18" width="13.5" style="16" bestFit="1" customWidth="1"/>
    <col min="19" max="19" width="2.5" style="16" customWidth="1"/>
    <col min="20" max="20" width="4.33203125" style="16" customWidth="1"/>
    <col min="21" max="21" width="15.5" style="16" customWidth="1"/>
    <col min="22" max="22" width="10.33203125" style="16" bestFit="1" customWidth="1"/>
    <col min="23" max="23" width="11" style="16" customWidth="1"/>
    <col min="24" max="24" width="28" style="16" customWidth="1"/>
    <col min="25" max="25" width="8" style="16" customWidth="1"/>
    <col min="26" max="26" width="1.5" style="16" customWidth="1"/>
    <col min="27" max="27" width="66" style="16" customWidth="1"/>
    <col min="28" max="28" width="11" style="16" customWidth="1"/>
    <col min="29" max="29" width="46.5" style="16" bestFit="1" customWidth="1"/>
    <col min="30" max="32" width="11" style="16" customWidth="1"/>
    <col min="33" max="44" width="11" style="16"/>
    <col min="45" max="45" width="14.5" style="16" customWidth="1"/>
    <col min="46" max="16384" width="11" style="16"/>
  </cols>
  <sheetData>
    <row r="1" spans="2:30" ht="22" customHeight="1" x14ac:dyDescent="0.2">
      <c r="B1" s="1009" t="s">
        <v>2278</v>
      </c>
      <c r="C1" s="1010"/>
      <c r="D1" s="1010"/>
      <c r="E1" s="1010"/>
      <c r="F1" s="1010"/>
      <c r="G1" s="1010"/>
      <c r="H1" s="1010"/>
      <c r="I1" s="1010"/>
      <c r="J1" s="1010"/>
      <c r="K1" s="1011"/>
      <c r="L1" s="986" t="s">
        <v>267</v>
      </c>
      <c r="M1" s="787"/>
      <c r="N1" s="787"/>
      <c r="O1" s="787"/>
      <c r="P1" s="787"/>
      <c r="Q1" s="788"/>
      <c r="R1" s="882" t="str">
        <f>+Calculations!$B$568</f>
        <v/>
      </c>
      <c r="S1" s="882"/>
      <c r="T1" s="882"/>
      <c r="U1" s="882"/>
      <c r="V1" s="882"/>
      <c r="W1" s="882"/>
      <c r="X1" s="882"/>
      <c r="Y1" s="392"/>
      <c r="Z1" s="393"/>
      <c r="AA1" s="393"/>
      <c r="AB1" s="271"/>
      <c r="AC1" s="271"/>
      <c r="AD1" s="271"/>
    </row>
    <row r="2" spans="2:30" ht="4" customHeight="1" x14ac:dyDescent="0.2">
      <c r="B2" s="970"/>
      <c r="C2" s="971"/>
      <c r="D2" s="971"/>
      <c r="E2" s="971"/>
      <c r="F2" s="971"/>
      <c r="G2" s="971"/>
      <c r="H2" s="971"/>
      <c r="I2" s="971"/>
      <c r="J2" s="971"/>
      <c r="K2" s="972"/>
      <c r="L2" s="987"/>
      <c r="M2" s="789"/>
      <c r="N2" s="789"/>
      <c r="O2" s="789"/>
      <c r="P2" s="789"/>
      <c r="Q2" s="790"/>
      <c r="R2" s="749"/>
      <c r="S2" s="749"/>
      <c r="T2" s="749"/>
      <c r="U2" s="749"/>
      <c r="V2" s="749"/>
      <c r="W2" s="749"/>
      <c r="X2" s="749"/>
      <c r="Y2" s="441"/>
      <c r="Z2" s="393"/>
      <c r="AA2" s="393"/>
      <c r="AB2" s="271"/>
      <c r="AC2" s="271"/>
      <c r="AD2" s="271"/>
    </row>
    <row r="3" spans="2:30" ht="16.5" customHeight="1" x14ac:dyDescent="0.2">
      <c r="B3" s="970" t="s">
        <v>2273</v>
      </c>
      <c r="C3" s="971"/>
      <c r="D3" s="971"/>
      <c r="E3" s="971"/>
      <c r="F3" s="971"/>
      <c r="G3" s="971"/>
      <c r="H3" s="971"/>
      <c r="I3" s="971"/>
      <c r="J3" s="971"/>
      <c r="K3" s="972"/>
      <c r="L3" s="987"/>
      <c r="M3" s="789"/>
      <c r="N3" s="789"/>
      <c r="O3" s="789"/>
      <c r="P3" s="789"/>
      <c r="Q3" s="790"/>
      <c r="R3" s="883" t="str">
        <f>+Calculations!$B$569</f>
        <v/>
      </c>
      <c r="S3" s="883"/>
      <c r="T3" s="883"/>
      <c r="U3" s="883"/>
      <c r="V3" s="883"/>
      <c r="W3" s="883"/>
      <c r="X3" s="883"/>
      <c r="Y3" s="315"/>
      <c r="Z3" s="313"/>
      <c r="AA3" s="313"/>
      <c r="AB3" s="38"/>
      <c r="AC3" s="38"/>
      <c r="AD3" s="38"/>
    </row>
    <row r="4" spans="2:30" ht="7" customHeight="1" x14ac:dyDescent="0.2">
      <c r="B4" s="970"/>
      <c r="C4" s="971"/>
      <c r="D4" s="971"/>
      <c r="E4" s="971"/>
      <c r="F4" s="971"/>
      <c r="G4" s="971"/>
      <c r="H4" s="971"/>
      <c r="I4" s="971"/>
      <c r="J4" s="971"/>
      <c r="K4" s="972"/>
      <c r="L4" s="987"/>
      <c r="M4" s="789"/>
      <c r="N4" s="789"/>
      <c r="O4" s="789"/>
      <c r="P4" s="789"/>
      <c r="Q4" s="790"/>
      <c r="R4" s="749"/>
      <c r="S4" s="749"/>
      <c r="T4" s="749"/>
      <c r="U4" s="749"/>
      <c r="V4" s="749"/>
      <c r="W4" s="749"/>
      <c r="X4" s="749"/>
      <c r="Y4" s="315"/>
      <c r="Z4" s="313"/>
      <c r="AA4" s="313"/>
      <c r="AB4" s="38"/>
      <c r="AC4" s="38"/>
      <c r="AD4" s="38"/>
    </row>
    <row r="5" spans="2:30" ht="18.75" customHeight="1" x14ac:dyDescent="0.2">
      <c r="B5" s="970" t="s">
        <v>2274</v>
      </c>
      <c r="C5" s="971"/>
      <c r="D5" s="971"/>
      <c r="E5" s="971"/>
      <c r="F5" s="971"/>
      <c r="G5" s="971"/>
      <c r="H5" s="971"/>
      <c r="I5" s="971"/>
      <c r="J5" s="971"/>
      <c r="K5" s="972"/>
      <c r="L5" s="802" t="s">
        <v>268</v>
      </c>
      <c r="M5" s="803"/>
      <c r="N5" s="803"/>
      <c r="O5" s="803"/>
      <c r="P5" s="803"/>
      <c r="Q5" s="804"/>
      <c r="R5" s="883" t="str">
        <f>Calculations!B570</f>
        <v/>
      </c>
      <c r="S5" s="883"/>
      <c r="T5" s="883"/>
      <c r="U5" s="883"/>
      <c r="V5" s="883"/>
      <c r="W5" s="883"/>
      <c r="X5" s="883"/>
      <c r="Y5" s="315"/>
      <c r="Z5" s="313"/>
      <c r="AA5" s="313"/>
      <c r="AB5" s="38"/>
      <c r="AC5" s="38"/>
      <c r="AD5" s="38"/>
    </row>
    <row r="6" spans="2:30" ht="6" customHeight="1" x14ac:dyDescent="0.2">
      <c r="B6" s="970"/>
      <c r="C6" s="971"/>
      <c r="D6" s="971"/>
      <c r="E6" s="971"/>
      <c r="F6" s="971"/>
      <c r="G6" s="971"/>
      <c r="H6" s="971"/>
      <c r="I6" s="971"/>
      <c r="J6" s="971"/>
      <c r="K6" s="972"/>
      <c r="L6" s="802"/>
      <c r="M6" s="803"/>
      <c r="N6" s="803"/>
      <c r="O6" s="803"/>
      <c r="P6" s="803"/>
      <c r="Q6" s="804"/>
      <c r="R6" s="749"/>
      <c r="S6" s="749"/>
      <c r="T6" s="749"/>
      <c r="U6" s="749"/>
      <c r="V6" s="749"/>
      <c r="W6" s="749"/>
      <c r="X6" s="749"/>
      <c r="Y6" s="315"/>
      <c r="Z6" s="313"/>
      <c r="AA6" s="313"/>
      <c r="AB6" s="38"/>
      <c r="AC6" s="38"/>
      <c r="AD6" s="38"/>
    </row>
    <row r="7" spans="2:30" ht="22.5" customHeight="1" x14ac:dyDescent="0.25">
      <c r="B7" s="970" t="s">
        <v>2275</v>
      </c>
      <c r="C7" s="971"/>
      <c r="D7" s="971"/>
      <c r="E7" s="971"/>
      <c r="F7" s="971"/>
      <c r="G7" s="971"/>
      <c r="H7" s="971"/>
      <c r="I7" s="971"/>
      <c r="J7" s="971"/>
      <c r="K7" s="972"/>
      <c r="L7" s="184"/>
      <c r="M7" s="185"/>
      <c r="N7" s="185"/>
      <c r="O7" s="185"/>
      <c r="P7" s="185"/>
      <c r="Q7" s="186"/>
      <c r="Y7" s="315"/>
      <c r="Z7" s="313"/>
      <c r="AA7" s="313"/>
      <c r="AB7" s="38"/>
      <c r="AC7" s="38"/>
      <c r="AD7" s="38"/>
    </row>
    <row r="8" spans="2:30" ht="2.25" customHeight="1" x14ac:dyDescent="0.25">
      <c r="B8" s="970"/>
      <c r="C8" s="971"/>
      <c r="D8" s="971"/>
      <c r="E8" s="971"/>
      <c r="F8" s="971"/>
      <c r="G8" s="971"/>
      <c r="H8" s="971"/>
      <c r="I8" s="971"/>
      <c r="J8" s="971"/>
      <c r="K8" s="972"/>
      <c r="L8" s="184"/>
      <c r="M8" s="185"/>
      <c r="N8" s="185"/>
      <c r="O8" s="185"/>
      <c r="P8" s="185"/>
      <c r="Q8" s="186"/>
      <c r="Y8" s="315"/>
      <c r="Z8" s="313"/>
      <c r="AA8" s="313"/>
      <c r="AB8" s="38"/>
      <c r="AC8" s="38"/>
      <c r="AD8" s="38"/>
    </row>
    <row r="9" spans="2:30" ht="18" customHeight="1" thickBot="1" x14ac:dyDescent="0.25">
      <c r="B9" s="1080" t="s">
        <v>2276</v>
      </c>
      <c r="C9" s="1081"/>
      <c r="D9" s="1081"/>
      <c r="E9" s="1081"/>
      <c r="F9" s="1081"/>
      <c r="G9" s="1081"/>
      <c r="H9" s="1081"/>
      <c r="I9" s="1081"/>
      <c r="J9" s="1081"/>
      <c r="K9" s="1082"/>
      <c r="L9" s="990" t="str">
        <f>+Calculations!B572</f>
        <v>CRYSTALTRACTOR.COM</v>
      </c>
      <c r="M9" s="884"/>
      <c r="N9" s="884"/>
      <c r="O9" s="884"/>
      <c r="P9" s="884"/>
      <c r="Q9" s="936"/>
      <c r="R9" s="884" t="str">
        <f>Calculations!B571</f>
        <v/>
      </c>
      <c r="S9" s="884"/>
      <c r="T9" s="884"/>
      <c r="U9" s="884"/>
      <c r="V9" s="884"/>
      <c r="W9" s="884"/>
      <c r="X9" s="884"/>
      <c r="Y9" s="319"/>
      <c r="Z9" s="313"/>
      <c r="AA9" s="313"/>
      <c r="AB9" s="38"/>
      <c r="AC9" s="38"/>
      <c r="AD9" s="38"/>
    </row>
    <row r="10" spans="2:30" s="6" customFormat="1" ht="20.25" customHeight="1" x14ac:dyDescent="0.2">
      <c r="B10" s="202"/>
      <c r="G10" s="271"/>
      <c r="H10" s="271"/>
      <c r="I10" s="271"/>
      <c r="J10" s="271"/>
      <c r="K10" s="465"/>
      <c r="L10" s="272"/>
      <c r="M10" s="272"/>
      <c r="N10" s="203"/>
      <c r="O10" s="203"/>
      <c r="P10" s="203"/>
      <c r="Q10" s="203"/>
      <c r="R10" s="203"/>
      <c r="T10" s="203"/>
      <c r="U10" s="443"/>
      <c r="V10" s="203"/>
      <c r="W10" s="203"/>
      <c r="X10" s="203"/>
      <c r="Y10" s="321"/>
    </row>
    <row r="11" spans="2:30" s="6" customFormat="1" ht="20" x14ac:dyDescent="0.2">
      <c r="B11" s="202"/>
      <c r="C11" s="6" t="s">
        <v>44</v>
      </c>
      <c r="D11" s="785">
        <f>+'Sales Input Sheet'!$C$11</f>
        <v>0</v>
      </c>
      <c r="E11" s="785"/>
      <c r="F11" s="785"/>
      <c r="K11" s="203"/>
      <c r="L11" s="203"/>
      <c r="M11" s="203"/>
      <c r="N11" s="203"/>
      <c r="O11" s="203"/>
      <c r="P11" s="203"/>
      <c r="Q11" s="203"/>
      <c r="R11" s="203"/>
      <c r="S11" s="785" t="s">
        <v>46</v>
      </c>
      <c r="T11" s="785"/>
      <c r="U11" s="785"/>
      <c r="V11" s="842" t="str">
        <f>IF('Sales Input Sheet'!C15&lt;&gt;"",UPPER('Sales Input Sheet'!C15),"")</f>
        <v/>
      </c>
      <c r="W11" s="842"/>
      <c r="X11" s="842"/>
      <c r="Y11" s="321"/>
    </row>
    <row r="12" spans="2:30" s="6" customFormat="1" ht="20" x14ac:dyDescent="0.2">
      <c r="B12" s="202"/>
      <c r="C12" s="785" t="str">
        <f>+Calculations!$B$597</f>
        <v/>
      </c>
      <c r="D12" s="785"/>
      <c r="E12" s="785"/>
      <c r="F12" s="785"/>
      <c r="G12" s="203"/>
      <c r="H12" s="203"/>
      <c r="I12" s="203"/>
      <c r="J12" s="203"/>
      <c r="K12" s="203"/>
      <c r="L12" s="203"/>
      <c r="M12" s="203"/>
      <c r="N12" s="203"/>
      <c r="R12" s="203"/>
      <c r="S12" s="203"/>
      <c r="Y12" s="222"/>
    </row>
    <row r="13" spans="2:30" s="6" customFormat="1" ht="20" x14ac:dyDescent="0.2">
      <c r="B13" s="202"/>
      <c r="C13" s="785" t="str">
        <f>+Calculations!B598</f>
        <v xml:space="preserve">  </v>
      </c>
      <c r="D13" s="785"/>
      <c r="E13" s="785"/>
      <c r="F13" s="785"/>
      <c r="G13" s="203"/>
      <c r="H13" s="203"/>
      <c r="I13" s="203"/>
      <c r="J13" s="203"/>
      <c r="K13" s="203"/>
      <c r="L13" s="203"/>
      <c r="M13" s="203"/>
      <c r="N13" s="203"/>
      <c r="R13" s="203"/>
      <c r="S13" s="203"/>
      <c r="U13" s="466"/>
      <c r="Y13" s="222"/>
    </row>
    <row r="14" spans="2:30" s="6" customFormat="1" ht="9" customHeight="1" thickBot="1" x14ac:dyDescent="0.25">
      <c r="B14" s="235"/>
      <c r="C14" s="231"/>
      <c r="D14" s="231"/>
      <c r="E14" s="231"/>
      <c r="F14" s="231"/>
      <c r="G14" s="379"/>
      <c r="H14" s="379"/>
      <c r="I14" s="379"/>
      <c r="J14" s="379"/>
      <c r="K14" s="379"/>
      <c r="L14" s="379"/>
      <c r="M14" s="379"/>
      <c r="N14" s="379"/>
      <c r="O14" s="231"/>
      <c r="P14" s="231"/>
      <c r="Q14" s="231"/>
      <c r="R14" s="379"/>
      <c r="S14" s="379"/>
      <c r="T14" s="231"/>
      <c r="U14" s="502"/>
      <c r="V14" s="231"/>
      <c r="W14" s="231"/>
      <c r="X14" s="231"/>
      <c r="Y14" s="236"/>
    </row>
    <row r="15" spans="2:30" s="6" customFormat="1" ht="25" x14ac:dyDescent="0.2">
      <c r="B15" s="1074" t="s">
        <v>360</v>
      </c>
      <c r="C15" s="1075"/>
      <c r="D15" s="1075"/>
      <c r="E15" s="1075"/>
      <c r="F15" s="1075"/>
      <c r="G15" s="1075"/>
      <c r="H15" s="1075"/>
      <c r="I15" s="1075"/>
      <c r="J15" s="1075"/>
      <c r="K15" s="1075"/>
      <c r="L15" s="1075"/>
      <c r="M15" s="1075"/>
      <c r="N15" s="1075"/>
      <c r="O15" s="1075"/>
      <c r="P15" s="1075"/>
      <c r="Q15" s="1075"/>
      <c r="R15" s="1075"/>
      <c r="S15" s="1075"/>
      <c r="T15" s="1075"/>
      <c r="U15" s="1075"/>
      <c r="V15" s="1075"/>
      <c r="W15" s="1075"/>
      <c r="X15" s="1075"/>
      <c r="Y15" s="467"/>
    </row>
    <row r="16" spans="2:30" s="6" customFormat="1" ht="26" thickBot="1" x14ac:dyDescent="0.25">
      <c r="B16" s="1076"/>
      <c r="C16" s="1077"/>
      <c r="D16" s="1077"/>
      <c r="E16" s="1077"/>
      <c r="F16" s="1077"/>
      <c r="G16" s="1077"/>
      <c r="H16" s="1077"/>
      <c r="I16" s="1077"/>
      <c r="J16" s="1077"/>
      <c r="K16" s="1077"/>
      <c r="L16" s="1077"/>
      <c r="M16" s="1077"/>
      <c r="N16" s="1077"/>
      <c r="O16" s="1077"/>
      <c r="P16" s="1077"/>
      <c r="Q16" s="1077"/>
      <c r="R16" s="1077"/>
      <c r="S16" s="1077"/>
      <c r="T16" s="1077"/>
      <c r="U16" s="1077"/>
      <c r="V16" s="1077"/>
      <c r="W16" s="1077"/>
      <c r="X16" s="1077"/>
      <c r="Y16" s="468"/>
    </row>
    <row r="17" spans="2:35" s="6" customFormat="1" ht="28" customHeight="1" thickBot="1" x14ac:dyDescent="0.25">
      <c r="B17" s="853" t="s">
        <v>288</v>
      </c>
      <c r="C17" s="854"/>
      <c r="D17" s="854"/>
      <c r="E17" s="854"/>
      <c r="F17" s="854"/>
      <c r="G17" s="854"/>
      <c r="H17" s="854"/>
      <c r="I17" s="854"/>
      <c r="J17" s="854"/>
      <c r="K17" s="854"/>
      <c r="L17" s="854"/>
      <c r="M17" s="854"/>
      <c r="N17" s="854"/>
      <c r="O17" s="854"/>
      <c r="P17" s="854"/>
      <c r="Q17" s="854"/>
      <c r="R17" s="854"/>
      <c r="S17" s="854"/>
      <c r="T17" s="854"/>
      <c r="U17" s="854"/>
      <c r="V17" s="854"/>
      <c r="W17" s="854"/>
      <c r="X17" s="854"/>
      <c r="Y17" s="469"/>
      <c r="Z17" s="223"/>
    </row>
    <row r="18" spans="2:35" s="6" customFormat="1" ht="20" x14ac:dyDescent="0.2">
      <c r="B18" s="1101" t="s">
        <v>292</v>
      </c>
      <c r="C18" s="1102"/>
      <c r="D18" s="1102"/>
      <c r="E18" s="1102"/>
      <c r="F18" s="1102"/>
      <c r="G18" s="1102"/>
      <c r="H18" s="1102"/>
      <c r="I18" s="1102"/>
      <c r="J18" s="1102"/>
      <c r="K18" s="1102"/>
      <c r="L18" s="1102"/>
      <c r="M18" s="1100">
        <f>+Calculations!B312</f>
        <v>0</v>
      </c>
      <c r="N18" s="1100"/>
      <c r="O18" s="382"/>
      <c r="P18" s="382"/>
      <c r="Q18" s="900" t="s">
        <v>361</v>
      </c>
      <c r="R18" s="900"/>
      <c r="S18" s="900"/>
      <c r="T18" s="900"/>
      <c r="U18" s="900"/>
      <c r="V18" s="263"/>
      <c r="W18" s="263"/>
      <c r="X18" s="470">
        <f>+Calculations!B321</f>
        <v>0</v>
      </c>
      <c r="Y18" s="471"/>
      <c r="Z18" s="223"/>
    </row>
    <row r="19" spans="2:35" s="6" customFormat="1" ht="20" x14ac:dyDescent="0.2">
      <c r="B19" s="860" t="s">
        <v>362</v>
      </c>
      <c r="C19" s="785"/>
      <c r="D19" s="785"/>
      <c r="E19" s="785"/>
      <c r="F19" s="785"/>
      <c r="G19" s="785"/>
      <c r="H19" s="785"/>
      <c r="I19" s="785"/>
      <c r="J19" s="785"/>
      <c r="K19" s="785"/>
      <c r="L19" s="785"/>
      <c r="M19" s="1103">
        <f>-Calculations!B315+Calculations!B316</f>
        <v>0</v>
      </c>
      <c r="N19" s="1103"/>
      <c r="Q19" s="842" t="s">
        <v>363</v>
      </c>
      <c r="R19" s="842"/>
      <c r="S19" s="842"/>
      <c r="T19" s="842"/>
      <c r="U19" s="842"/>
      <c r="X19" s="283">
        <f>+Calculations!$B$405+Calculations!$B$412+Calculations!$B$413+Calculations!$B$407</f>
        <v>0</v>
      </c>
      <c r="Y19" s="472"/>
    </row>
    <row r="20" spans="2:35" s="6" customFormat="1" ht="20" x14ac:dyDescent="0.2">
      <c r="B20" s="844" t="s">
        <v>377</v>
      </c>
      <c r="C20" s="845"/>
      <c r="D20" s="845"/>
      <c r="E20" s="845"/>
      <c r="F20" s="845"/>
      <c r="G20" s="845"/>
      <c r="H20" s="845"/>
      <c r="I20" s="845"/>
      <c r="J20" s="845"/>
      <c r="K20" s="845"/>
      <c r="L20" s="845"/>
      <c r="M20" s="1064">
        <f>+Calculations!B302+'Costing Sheet'!Q3+'Costing Sheet'!Q5</f>
        <v>0</v>
      </c>
      <c r="N20" s="1064"/>
      <c r="Q20" s="785" t="s">
        <v>365</v>
      </c>
      <c r="R20" s="785"/>
      <c r="S20" s="785"/>
      <c r="T20" s="785"/>
      <c r="U20" s="785"/>
      <c r="V20" s="223"/>
      <c r="W20" s="223"/>
      <c r="X20" s="473">
        <f>-Calculations!B318</f>
        <v>0</v>
      </c>
      <c r="Y20" s="474"/>
      <c r="AA20" s="16"/>
    </row>
    <row r="21" spans="2:35" s="6" customFormat="1" ht="44.25" customHeight="1" thickBot="1" x14ac:dyDescent="0.25">
      <c r="B21" s="860" t="s">
        <v>366</v>
      </c>
      <c r="C21" s="785"/>
      <c r="D21" s="785"/>
      <c r="E21" s="785"/>
      <c r="F21" s="785"/>
      <c r="G21" s="785"/>
      <c r="H21" s="785"/>
      <c r="I21" s="785"/>
      <c r="J21" s="785"/>
      <c r="K21" s="785"/>
      <c r="L21" s="785"/>
      <c r="M21" s="1072">
        <f>+Calculations!B386+Calculations!B385+Calculations!B439+'Costing Sheet'!Q13+'Costing Sheet'!Q15</f>
        <v>0</v>
      </c>
      <c r="N21" s="1072"/>
      <c r="Q21" s="1044" t="s">
        <v>367</v>
      </c>
      <c r="R21" s="1044"/>
      <c r="S21" s="1044"/>
      <c r="T21" s="1044"/>
      <c r="U21" s="1044"/>
      <c r="V21" s="223"/>
      <c r="W21" s="223"/>
      <c r="X21" s="357">
        <f>+Calculations!B435</f>
        <v>0</v>
      </c>
      <c r="Y21" s="358"/>
    </row>
    <row r="22" spans="2:35" s="6" customFormat="1" ht="20" x14ac:dyDescent="0.2">
      <c r="B22" s="1065" t="s">
        <v>287</v>
      </c>
      <c r="C22" s="1066"/>
      <c r="D22" s="1066"/>
      <c r="E22" s="1066"/>
      <c r="F22" s="1067"/>
      <c r="G22" s="1085" t="s">
        <v>334</v>
      </c>
      <c r="H22" s="1086"/>
      <c r="I22" s="1086"/>
      <c r="J22" s="1086"/>
      <c r="K22" s="1086"/>
      <c r="L22" s="1086"/>
      <c r="M22" s="1086"/>
      <c r="N22" s="1086"/>
      <c r="O22" s="1087"/>
      <c r="P22" s="1088" t="s">
        <v>368</v>
      </c>
      <c r="Q22" s="1089"/>
      <c r="R22" s="1089"/>
      <c r="S22" s="1090"/>
      <c r="T22" s="1088" t="s">
        <v>369</v>
      </c>
      <c r="U22" s="1089"/>
      <c r="V22" s="1089"/>
      <c r="W22" s="1089"/>
      <c r="X22" s="1089"/>
      <c r="Y22" s="1090"/>
    </row>
    <row r="23" spans="2:35" s="6" customFormat="1" ht="21" thickBot="1" x14ac:dyDescent="0.25">
      <c r="B23" s="1068">
        <f>'Costing Sheet'!U11</f>
        <v>0</v>
      </c>
      <c r="C23" s="1069"/>
      <c r="D23" s="1069"/>
      <c r="E23" s="1069"/>
      <c r="F23" s="1070"/>
      <c r="G23" s="1094">
        <f>'Finance Manager Input Sheet'!C16</f>
        <v>0</v>
      </c>
      <c r="H23" s="1095"/>
      <c r="I23" s="1095"/>
      <c r="J23" s="1095"/>
      <c r="K23" s="1095"/>
      <c r="L23" s="1095"/>
      <c r="M23" s="1095"/>
      <c r="N23" s="1095"/>
      <c r="O23" s="1096"/>
      <c r="P23" s="1091">
        <f>'Finance Manager Input Sheet'!C17</f>
        <v>0</v>
      </c>
      <c r="Q23" s="1092"/>
      <c r="R23" s="1092"/>
      <c r="S23" s="1093"/>
      <c r="T23" s="1097">
        <f>Calculations!B450</f>
        <v>0</v>
      </c>
      <c r="U23" s="1098"/>
      <c r="V23" s="1098"/>
      <c r="W23" s="1098"/>
      <c r="X23" s="1098"/>
      <c r="Y23" s="1099"/>
      <c r="AA23" s="283"/>
      <c r="AC23" s="283"/>
    </row>
    <row r="24" spans="2:35" s="6" customFormat="1" ht="22" customHeight="1" x14ac:dyDescent="0.2">
      <c r="B24" s="382"/>
      <c r="C24" s="900" t="str">
        <f>Calculations!B723</f>
        <v/>
      </c>
      <c r="D24" s="900"/>
      <c r="E24" s="900"/>
      <c r="F24" s="900"/>
      <c r="G24" s="900"/>
      <c r="H24" s="900"/>
      <c r="I24" s="900"/>
      <c r="J24" s="900"/>
      <c r="K24" s="900"/>
      <c r="L24" s="900"/>
      <c r="M24" s="900"/>
      <c r="N24" s="900"/>
      <c r="O24" s="900"/>
      <c r="P24" s="900"/>
      <c r="Q24" s="900"/>
      <c r="R24" s="900"/>
      <c r="S24" s="900"/>
      <c r="T24" s="900"/>
      <c r="U24" s="900"/>
      <c r="V24" s="223"/>
      <c r="W24" s="223"/>
      <c r="X24" s="283"/>
      <c r="Y24" s="283"/>
      <c r="AC24" s="283"/>
    </row>
    <row r="25" spans="2:35" s="6" customFormat="1" ht="22" customHeight="1" x14ac:dyDescent="0.2">
      <c r="B25" s="286"/>
      <c r="C25" s="286"/>
      <c r="D25" s="286"/>
      <c r="E25" s="475"/>
      <c r="F25" s="475"/>
      <c r="G25" s="475"/>
      <c r="H25" s="475"/>
      <c r="I25" s="475"/>
      <c r="J25" s="475"/>
      <c r="K25" s="286"/>
      <c r="N25" s="357"/>
      <c r="O25" s="286"/>
      <c r="P25" s="286"/>
      <c r="Q25" s="286"/>
      <c r="R25" s="286"/>
      <c r="S25" s="286"/>
      <c r="T25" s="286"/>
      <c r="U25" s="286"/>
      <c r="V25" s="223"/>
      <c r="W25" s="223"/>
      <c r="X25" s="283"/>
      <c r="Y25" s="283"/>
      <c r="AC25" s="283"/>
    </row>
    <row r="26" spans="2:35" ht="19" thickBot="1" x14ac:dyDescent="0.25">
      <c r="C26" s="1105" t="str">
        <f>AA26</f>
        <v>Customer Accepted Protection Options</v>
      </c>
      <c r="D26" s="1105"/>
      <c r="E26" s="1105"/>
      <c r="F26" s="1105"/>
      <c r="G26" s="1105"/>
      <c r="H26" s="1105"/>
      <c r="I26" s="1105"/>
      <c r="J26" s="1105"/>
      <c r="K26" s="1105"/>
      <c r="L26" s="1105"/>
      <c r="M26" s="1105"/>
      <c r="N26" s="1105"/>
      <c r="Q26" s="1105" t="str">
        <f>AC26</f>
        <v>Customer Declined Protection Options</v>
      </c>
      <c r="R26" s="1105"/>
      <c r="S26" s="1105"/>
      <c r="T26" s="1105"/>
      <c r="U26" s="1105"/>
      <c r="V26" s="1105"/>
      <c r="W26" s="1105"/>
      <c r="X26" s="1105"/>
      <c r="AA26" s="476" t="s">
        <v>173</v>
      </c>
      <c r="AB26" s="476"/>
      <c r="AC26" s="476" t="s">
        <v>177</v>
      </c>
      <c r="AD26" s="476"/>
      <c r="AE26" s="476"/>
      <c r="AF26" s="476"/>
      <c r="AG26" s="476"/>
      <c r="AH26" s="476"/>
      <c r="AI26" s="476"/>
    </row>
    <row r="27" spans="2:35" ht="40" customHeight="1" thickTop="1" thickBot="1" x14ac:dyDescent="0.25">
      <c r="C27" s="1104" t="str">
        <f>AA27</f>
        <v/>
      </c>
      <c r="D27" s="1104"/>
      <c r="E27" s="1104"/>
      <c r="F27" s="1104"/>
      <c r="G27" s="1104"/>
      <c r="H27" s="1104"/>
      <c r="I27" s="1104"/>
      <c r="J27" s="1104"/>
      <c r="K27" s="1104"/>
      <c r="L27" s="1104"/>
      <c r="M27" s="1104"/>
      <c r="N27" s="1104"/>
      <c r="O27" s="1"/>
      <c r="P27" s="1"/>
      <c r="Q27" s="1104" t="str">
        <f>AC27</f>
        <v/>
      </c>
      <c r="R27" s="1104"/>
      <c r="S27" s="1104"/>
      <c r="T27" s="1104"/>
      <c r="U27" s="1104"/>
      <c r="V27" s="1104"/>
      <c r="W27" s="1104"/>
      <c r="X27" s="1104"/>
      <c r="Y27" s="1104"/>
      <c r="AA27" s="503" t="str" cm="1">
        <f t="array" ref="AA27">IFERROR(INDEX('Finance Manager Input Sheet'!$AQ$4:$AQ$13, SMALL(IF('Finance Manager Input Sheet'!$BA$4:$BA$13="Customer Accepted", ROW('Finance Manager Input Sheet'!$AQ$4:$AQ$13)-ROW('Finance Manager Input Sheet'!$AQ$4)+1), ROW(A1))), "")</f>
        <v/>
      </c>
      <c r="AB27" s="12"/>
      <c r="AC27" s="504" t="str" cm="1">
        <f t="array" ref="AC27">IFERROR(INDEX('Finance Manager Input Sheet'!$AU$4:$AU$13, SMALL(IF('Finance Manager Input Sheet'!$BB$4:$BB$13="Customer Declined", ROW('Finance Manager Input Sheet'!$AU$4:$AU$13)-ROW('Finance Manager Input Sheet'!$AU$4)+1), ROW(C1))), "")</f>
        <v/>
      </c>
    </row>
    <row r="28" spans="2:35" s="12" customFormat="1" ht="40" customHeight="1" thickTop="1" thickBot="1" x14ac:dyDescent="0.25">
      <c r="B28" s="479"/>
      <c r="C28" s="1104" t="str">
        <f t="shared" ref="C28:C36" si="0">AA28</f>
        <v/>
      </c>
      <c r="D28" s="1104"/>
      <c r="E28" s="1104"/>
      <c r="F28" s="1104"/>
      <c r="G28" s="1104"/>
      <c r="H28" s="1104"/>
      <c r="I28" s="1104"/>
      <c r="J28" s="1104"/>
      <c r="K28" s="1104"/>
      <c r="L28" s="1104"/>
      <c r="M28" s="1104"/>
      <c r="N28" s="1104"/>
      <c r="O28" s="505"/>
      <c r="P28" s="505"/>
      <c r="Q28" s="1104" t="str">
        <f t="shared" ref="Q28:Q36" si="1">AC28</f>
        <v/>
      </c>
      <c r="R28" s="1104"/>
      <c r="S28" s="1104"/>
      <c r="T28" s="1104"/>
      <c r="U28" s="1104"/>
      <c r="V28" s="1104"/>
      <c r="W28" s="1104"/>
      <c r="X28" s="1104"/>
      <c r="Y28" s="1104"/>
      <c r="AA28" s="503" t="str" cm="1">
        <f t="array" ref="AA28">IFERROR(INDEX('Finance Manager Input Sheet'!$AQ$4:$AQ$13, SMALL(IF('Finance Manager Input Sheet'!$BA$4:$BA$13="Customer Accepted", ROW('Finance Manager Input Sheet'!$AQ$4:$AQ$13)-ROW('Finance Manager Input Sheet'!$AQ$4)+1), ROW(A2))), "")</f>
        <v/>
      </c>
      <c r="AC28" s="504" t="str" cm="1">
        <f t="array" ref="AC28">IFERROR(INDEX('Finance Manager Input Sheet'!$AU$4:$AU$13, SMALL(IF('Finance Manager Input Sheet'!$BB$4:$BB$13="Customer Declined", ROW('Finance Manager Input Sheet'!$AU$4:$AU$13)-ROW('Finance Manager Input Sheet'!$AU$4)+1), ROW(C2))), "")</f>
        <v/>
      </c>
    </row>
    <row r="29" spans="2:35" ht="40" customHeight="1" thickTop="1" thickBot="1" x14ac:dyDescent="0.25">
      <c r="C29" s="1104" t="str">
        <f t="shared" si="0"/>
        <v/>
      </c>
      <c r="D29" s="1104"/>
      <c r="E29" s="1104"/>
      <c r="F29" s="1104"/>
      <c r="G29" s="1104"/>
      <c r="H29" s="1104"/>
      <c r="I29" s="1104"/>
      <c r="J29" s="1104"/>
      <c r="K29" s="1104"/>
      <c r="L29" s="1104"/>
      <c r="M29" s="1104"/>
      <c r="N29" s="1104"/>
      <c r="O29" s="1"/>
      <c r="P29" s="1"/>
      <c r="Q29" s="1104" t="str">
        <f t="shared" si="1"/>
        <v/>
      </c>
      <c r="R29" s="1104"/>
      <c r="S29" s="1104"/>
      <c r="T29" s="1104"/>
      <c r="U29" s="1104"/>
      <c r="V29" s="1104"/>
      <c r="W29" s="1104"/>
      <c r="X29" s="1104"/>
      <c r="Y29" s="1104"/>
      <c r="AA29" s="503" t="str" cm="1">
        <f t="array" ref="AA29">IFERROR(INDEX('Finance Manager Input Sheet'!$AQ$4:$AQ$13, SMALL(IF('Finance Manager Input Sheet'!$BA$4:$BA$13="Customer Accepted", ROW('Finance Manager Input Sheet'!$AQ$4:$AQ$13)-ROW('Finance Manager Input Sheet'!$AQ$4)+1), ROW(A3))), "")</f>
        <v/>
      </c>
      <c r="AB29" s="12"/>
      <c r="AC29" s="504" t="str" cm="1">
        <f t="array" ref="AC29">IFERROR(INDEX('Finance Manager Input Sheet'!$AU$4:$AU$13, SMALL(IF('Finance Manager Input Sheet'!$BB$4:$BB$13="Customer Declined", ROW('Finance Manager Input Sheet'!$AU$4:$AU$13)-ROW('Finance Manager Input Sheet'!$AU$4)+1), ROW(C3))), "")</f>
        <v/>
      </c>
    </row>
    <row r="30" spans="2:35" ht="40" customHeight="1" thickTop="1" thickBot="1" x14ac:dyDescent="0.25">
      <c r="C30" s="1104" t="str">
        <f t="shared" si="0"/>
        <v/>
      </c>
      <c r="D30" s="1104"/>
      <c r="E30" s="1104"/>
      <c r="F30" s="1104"/>
      <c r="G30" s="1104"/>
      <c r="H30" s="1104"/>
      <c r="I30" s="1104"/>
      <c r="J30" s="1104"/>
      <c r="K30" s="1104"/>
      <c r="L30" s="1104"/>
      <c r="M30" s="1104"/>
      <c r="N30" s="1104"/>
      <c r="O30" s="1"/>
      <c r="P30" s="1"/>
      <c r="Q30" s="1104" t="str">
        <f t="shared" si="1"/>
        <v/>
      </c>
      <c r="R30" s="1104"/>
      <c r="S30" s="1104"/>
      <c r="T30" s="1104"/>
      <c r="U30" s="1104"/>
      <c r="V30" s="1104"/>
      <c r="W30" s="1104"/>
      <c r="X30" s="1104"/>
      <c r="Y30" s="1104"/>
      <c r="AA30" s="503" t="str" cm="1">
        <f t="array" ref="AA30">IFERROR(INDEX('Finance Manager Input Sheet'!$AQ$4:$AQ$13, SMALL(IF('Finance Manager Input Sheet'!$BA$4:$BA$13="Customer Accepted", ROW('Finance Manager Input Sheet'!$AQ$4:$AQ$13)-ROW('Finance Manager Input Sheet'!$AQ$4)+1), ROW(A4))), "")</f>
        <v/>
      </c>
      <c r="AB30" s="12"/>
      <c r="AC30" s="504" t="str" cm="1">
        <f t="array" ref="AC30">IFERROR(INDEX('Finance Manager Input Sheet'!$AU$4:$AU$13, SMALL(IF('Finance Manager Input Sheet'!$BB$4:$BB$13="Customer Declined", ROW('Finance Manager Input Sheet'!$AU$4:$AU$13)-ROW('Finance Manager Input Sheet'!$AU$4)+1), ROW(C4))), "")</f>
        <v/>
      </c>
    </row>
    <row r="31" spans="2:35" ht="40" customHeight="1" thickTop="1" thickBot="1" x14ac:dyDescent="0.25">
      <c r="C31" s="1104" t="str">
        <f t="shared" si="0"/>
        <v/>
      </c>
      <c r="D31" s="1104"/>
      <c r="E31" s="1104"/>
      <c r="F31" s="1104"/>
      <c r="G31" s="1104"/>
      <c r="H31" s="1104"/>
      <c r="I31" s="1104"/>
      <c r="J31" s="1104"/>
      <c r="K31" s="1104"/>
      <c r="L31" s="1104"/>
      <c r="M31" s="1104"/>
      <c r="N31" s="1104"/>
      <c r="O31" s="1"/>
      <c r="P31" s="1"/>
      <c r="Q31" s="1104" t="str">
        <f t="shared" si="1"/>
        <v/>
      </c>
      <c r="R31" s="1104"/>
      <c r="S31" s="1104"/>
      <c r="T31" s="1104"/>
      <c r="U31" s="1104"/>
      <c r="V31" s="1104"/>
      <c r="W31" s="1104"/>
      <c r="X31" s="1104"/>
      <c r="Y31" s="1104"/>
      <c r="AA31" s="503" t="str" cm="1">
        <f t="array" ref="AA31">IFERROR(INDEX('Finance Manager Input Sheet'!$AQ$4:$AQ$13, SMALL(IF('Finance Manager Input Sheet'!$BA$4:$BA$13="Customer Accepted", ROW('Finance Manager Input Sheet'!$AQ$4:$AQ$13)-ROW('Finance Manager Input Sheet'!$AQ$4)+1), ROW(A5))), "")</f>
        <v/>
      </c>
      <c r="AB31" s="12"/>
      <c r="AC31" s="504" t="str" cm="1">
        <f t="array" ref="AC31">IFERROR(INDEX('Finance Manager Input Sheet'!$AU$4:$AU$13, SMALL(IF('Finance Manager Input Sheet'!$BB$4:$BB$13="Customer Declined", ROW('Finance Manager Input Sheet'!$AU$4:$AU$13)-ROW('Finance Manager Input Sheet'!$AU$4)+1), ROW(C5))), "")</f>
        <v/>
      </c>
    </row>
    <row r="32" spans="2:35" ht="40" customHeight="1" thickTop="1" thickBot="1" x14ac:dyDescent="0.25">
      <c r="C32" s="1104" t="str">
        <f t="shared" si="0"/>
        <v/>
      </c>
      <c r="D32" s="1104"/>
      <c r="E32" s="1104"/>
      <c r="F32" s="1104"/>
      <c r="G32" s="1104"/>
      <c r="H32" s="1104"/>
      <c r="I32" s="1104"/>
      <c r="J32" s="1104"/>
      <c r="K32" s="1104"/>
      <c r="L32" s="1104"/>
      <c r="M32" s="1104"/>
      <c r="N32" s="1104"/>
      <c r="O32" s="1"/>
      <c r="P32" s="1"/>
      <c r="Q32" s="1104" t="str">
        <f t="shared" si="1"/>
        <v/>
      </c>
      <c r="R32" s="1104"/>
      <c r="S32" s="1104"/>
      <c r="T32" s="1104"/>
      <c r="U32" s="1104"/>
      <c r="V32" s="1104"/>
      <c r="W32" s="1104"/>
      <c r="X32" s="1104"/>
      <c r="Y32" s="1104"/>
      <c r="AA32" s="503" t="str" cm="1">
        <f t="array" ref="AA32">IFERROR(INDEX('Finance Manager Input Sheet'!$AQ$4:$AQ$13, SMALL(IF('Finance Manager Input Sheet'!$BA$4:$BA$13="Customer Accepted", ROW('Finance Manager Input Sheet'!$AQ$4:$AQ$13)-ROW('Finance Manager Input Sheet'!$AQ$4)+1), ROW(A6))), "")</f>
        <v/>
      </c>
      <c r="AB32" s="12"/>
      <c r="AC32" s="504" t="str" cm="1">
        <f t="array" ref="AC32">IFERROR(INDEX('Finance Manager Input Sheet'!$AU$4:$AU$13, SMALL(IF('Finance Manager Input Sheet'!$BB$4:$BB$13="Customer Declined", ROW('Finance Manager Input Sheet'!$AU$4:$AU$13)-ROW('Finance Manager Input Sheet'!$AU$4)+1), ROW(C6))), "")</f>
        <v/>
      </c>
    </row>
    <row r="33" spans="2:29" ht="40" customHeight="1" thickTop="1" thickBot="1" x14ac:dyDescent="0.25">
      <c r="C33" s="1104" t="str">
        <f t="shared" si="0"/>
        <v/>
      </c>
      <c r="D33" s="1104"/>
      <c r="E33" s="1104"/>
      <c r="F33" s="1104"/>
      <c r="G33" s="1104"/>
      <c r="H33" s="1104"/>
      <c r="I33" s="1104"/>
      <c r="J33" s="1104"/>
      <c r="K33" s="1104"/>
      <c r="L33" s="1104"/>
      <c r="M33" s="1104"/>
      <c r="N33" s="1104"/>
      <c r="O33" s="1"/>
      <c r="P33" s="1"/>
      <c r="Q33" s="1104" t="str">
        <f t="shared" si="1"/>
        <v/>
      </c>
      <c r="R33" s="1104"/>
      <c r="S33" s="1104"/>
      <c r="T33" s="1104"/>
      <c r="U33" s="1104"/>
      <c r="V33" s="1104"/>
      <c r="W33" s="1104"/>
      <c r="X33" s="1104"/>
      <c r="Y33" s="1104"/>
      <c r="AA33" s="503" t="str" cm="1">
        <f t="array" ref="AA33">IFERROR(INDEX('Finance Manager Input Sheet'!$AQ$4:$AQ$13, SMALL(IF('Finance Manager Input Sheet'!$BA$4:$BA$13="Customer Accepted", ROW('Finance Manager Input Sheet'!$AQ$4:$AQ$13)-ROW('Finance Manager Input Sheet'!$AQ$4)+1), ROW(A7))), "")</f>
        <v/>
      </c>
      <c r="AB33" s="12"/>
      <c r="AC33" s="504" t="str" cm="1">
        <f t="array" ref="AC33">IFERROR(INDEX('Finance Manager Input Sheet'!$AU$4:$AU$13, SMALL(IF('Finance Manager Input Sheet'!$BB$4:$BB$13="Customer Declined", ROW('Finance Manager Input Sheet'!$AU$4:$AU$13)-ROW('Finance Manager Input Sheet'!$AU$4)+1), ROW(C7))), "")</f>
        <v/>
      </c>
    </row>
    <row r="34" spans="2:29" ht="27" thickTop="1" thickBot="1" x14ac:dyDescent="0.25">
      <c r="C34" s="1104" t="str">
        <f t="shared" si="0"/>
        <v/>
      </c>
      <c r="D34" s="1104"/>
      <c r="E34" s="1104"/>
      <c r="F34" s="1104"/>
      <c r="G34" s="1104"/>
      <c r="H34" s="1104"/>
      <c r="I34" s="1104"/>
      <c r="J34" s="1104"/>
      <c r="K34" s="1104"/>
      <c r="L34" s="1104"/>
      <c r="M34" s="1104"/>
      <c r="N34" s="1104"/>
      <c r="Q34" s="1104" t="str">
        <f t="shared" si="1"/>
        <v/>
      </c>
      <c r="R34" s="1104"/>
      <c r="S34" s="1104"/>
      <c r="T34" s="1104"/>
      <c r="U34" s="1104"/>
      <c r="V34" s="1104"/>
      <c r="W34" s="1104"/>
      <c r="X34" s="1104"/>
      <c r="Y34" s="1104"/>
      <c r="AA34" s="503" t="str" cm="1">
        <f t="array" ref="AA34">IFERROR(INDEX('Finance Manager Input Sheet'!$AQ$4:$AQ$13, SMALL(IF('Finance Manager Input Sheet'!$BA$4:$BA$13="Customer Accepted", ROW('Finance Manager Input Sheet'!$AQ$4:$AQ$13)-ROW('Finance Manager Input Sheet'!$AQ$4)+1), ROW(A8))), "")</f>
        <v/>
      </c>
      <c r="AB34" s="12"/>
      <c r="AC34" s="504" t="str" cm="1">
        <f t="array" ref="AC34">IFERROR(INDEX('Finance Manager Input Sheet'!$AU$4:$AU$13, SMALL(IF('Finance Manager Input Sheet'!$BB$4:$BB$13="Customer Declined", ROW('Finance Manager Input Sheet'!$AU$4:$AU$13)-ROW('Finance Manager Input Sheet'!$AU$4)+1), ROW(C8))), "")</f>
        <v/>
      </c>
    </row>
    <row r="35" spans="2:29" ht="23.25" customHeight="1" thickTop="1" thickBot="1" x14ac:dyDescent="0.25">
      <c r="C35" s="1104" t="str">
        <f t="shared" si="0"/>
        <v/>
      </c>
      <c r="D35" s="1104"/>
      <c r="E35" s="1104"/>
      <c r="F35" s="1104"/>
      <c r="G35" s="1104"/>
      <c r="H35" s="1104"/>
      <c r="I35" s="1104"/>
      <c r="J35" s="1104"/>
      <c r="K35" s="1104"/>
      <c r="L35" s="1104"/>
      <c r="M35" s="1104"/>
      <c r="N35" s="1104"/>
      <c r="Q35" s="1104" t="str">
        <f t="shared" si="1"/>
        <v/>
      </c>
      <c r="R35" s="1104"/>
      <c r="S35" s="1104"/>
      <c r="T35" s="1104"/>
      <c r="U35" s="1104"/>
      <c r="V35" s="1104"/>
      <c r="W35" s="1104"/>
      <c r="X35" s="1104"/>
      <c r="Y35" s="1104"/>
      <c r="AA35" s="503" t="str" cm="1">
        <f t="array" ref="AA35">IFERROR(INDEX('Finance Manager Input Sheet'!$AQ$4:$AQ$13, SMALL(IF('Finance Manager Input Sheet'!$BA$4:$BA$13="Customer Accepted", ROW('Finance Manager Input Sheet'!$AQ$4:$AQ$13)-ROW('Finance Manager Input Sheet'!$AQ$4)+1), ROW(A9))), "")</f>
        <v/>
      </c>
      <c r="AB35" s="12"/>
      <c r="AC35" s="504" t="str" cm="1">
        <f t="array" ref="AC35">IFERROR(INDEX('Finance Manager Input Sheet'!$AU$4:$AU$13, SMALL(IF('Finance Manager Input Sheet'!$BB$4:$BB$13="Customer Declined", ROW('Finance Manager Input Sheet'!$AU$4:$AU$13)-ROW('Finance Manager Input Sheet'!$AU$4)+1), ROW(C9))), "")</f>
        <v/>
      </c>
    </row>
    <row r="36" spans="2:29" ht="27" thickTop="1" thickBot="1" x14ac:dyDescent="0.25">
      <c r="C36" s="1104" t="str">
        <f t="shared" si="0"/>
        <v/>
      </c>
      <c r="D36" s="1104"/>
      <c r="E36" s="1104"/>
      <c r="F36" s="1104"/>
      <c r="G36" s="1104"/>
      <c r="H36" s="1104"/>
      <c r="I36" s="1104"/>
      <c r="J36" s="1104"/>
      <c r="K36" s="1104"/>
      <c r="L36" s="1104"/>
      <c r="M36" s="1104"/>
      <c r="N36" s="1104"/>
      <c r="Q36" s="1104" t="str">
        <f t="shared" si="1"/>
        <v/>
      </c>
      <c r="R36" s="1104"/>
      <c r="S36" s="1104"/>
      <c r="T36" s="1104"/>
      <c r="U36" s="1104"/>
      <c r="V36" s="1104"/>
      <c r="W36" s="1104"/>
      <c r="X36" s="1104"/>
      <c r="Y36" s="1104"/>
      <c r="AA36" s="503" t="str" cm="1">
        <f t="array" ref="AA36">IFERROR(INDEX('Finance Manager Input Sheet'!$AQ$4:$AQ$13, SMALL(IF('Finance Manager Input Sheet'!$BA$4:$BA$13="Customer Accepted", ROW('Finance Manager Input Sheet'!$AQ$4:$AQ$13)-ROW('Finance Manager Input Sheet'!$AQ$4)+1), ROW(A10))), "")</f>
        <v/>
      </c>
      <c r="AB36" s="12"/>
      <c r="AC36" s="504" t="str" cm="1">
        <f t="array" ref="AC36">IFERROR(INDEX('Finance Manager Input Sheet'!$AU$4:$AU$13, SMALL(IF('Finance Manager Input Sheet'!$BB$4:$BB$13="Customer Declined", ROW('Finance Manager Input Sheet'!$AU$4:$AU$13)-ROW('Finance Manager Input Sheet'!$AU$4)+1), ROW(C10))), "")</f>
        <v/>
      </c>
    </row>
    <row r="37" spans="2:29" ht="28" customHeight="1" thickTop="1" thickBot="1" x14ac:dyDescent="0.25">
      <c r="C37" s="749"/>
      <c r="D37" s="749"/>
      <c r="E37" s="749"/>
      <c r="F37" s="749"/>
      <c r="G37" s="749"/>
      <c r="H37" s="749"/>
      <c r="I37" s="749"/>
      <c r="J37" s="749"/>
      <c r="K37" s="749"/>
      <c r="L37" s="749"/>
      <c r="M37" s="749"/>
      <c r="N37" s="749"/>
      <c r="Q37" s="749"/>
      <c r="R37" s="749"/>
      <c r="S37" s="749"/>
      <c r="T37" s="749"/>
      <c r="U37" s="749"/>
      <c r="V37" s="749"/>
      <c r="W37" s="749"/>
      <c r="AA37" s="503" t="str" cm="1">
        <f t="array" ref="AA37">IFERROR(INDEX('Finance Manager Input Sheet'!$AQ$4:$AQ$13, SMALL(IF('Finance Manager Input Sheet'!$BA$4:$BA$13="Customer Accepted", ROW('Finance Manager Input Sheet'!$AQ$4:$AQ$13)-ROW('Finance Manager Input Sheet'!$AQ$4)+1), ROW(A11))), "")</f>
        <v/>
      </c>
      <c r="AB37" s="12"/>
      <c r="AC37" s="504" t="str" cm="1">
        <f t="array" ref="AC37">IFERROR(INDEX('Finance Manager Input Sheet'!$AU$4:$AU$13, SMALL(IF('Finance Manager Input Sheet'!$BB$4:$BB$13="Customer Declined", ROW('Finance Manager Input Sheet'!$AU$4:$AU$13)-ROW('Finance Manager Input Sheet'!$AU$4)+1), ROW(C11))), "")</f>
        <v/>
      </c>
    </row>
    <row r="38" spans="2:29" ht="100" customHeight="1" thickTop="1" x14ac:dyDescent="0.2">
      <c r="C38" s="1107" t="str">
        <f>UPPER(_xlfn.CONCAT("PURCHASE PRICE FOR ",'Finance Manager Input Sheet'!AQ3," IS:"))</f>
        <v>PURCHASE PRICE FOR CUSTOMER ACCEPTED PROTECTION OPTIONS IS:</v>
      </c>
      <c r="D38" s="1108"/>
      <c r="Q38" s="1109" t="str">
        <f>Calculations!B722</f>
        <v/>
      </c>
      <c r="R38" s="1109"/>
      <c r="S38" s="1109"/>
      <c r="T38" s="1109"/>
      <c r="U38" s="1109"/>
      <c r="V38" s="1109"/>
      <c r="W38" s="1109"/>
      <c r="AC38" s="12" t="str" cm="1">
        <f t="array" ref="AC38">IFERROR(INDEX('Finance Manager Input Sheet'!$AQ$4:$AQ$13, SMALL(IF('Finance Manager Input Sheet'!$BA$4:$BA$13="Customer Accepted", ROW('Finance Manager Input Sheet'!$AQ$4:$AQ$13)-ROW('Finance Manager Input Sheet'!$AQ$4)+1), ROW(C12))), "")</f>
        <v/>
      </c>
    </row>
    <row r="39" spans="2:29" ht="34" customHeight="1" x14ac:dyDescent="0.2">
      <c r="C39" s="506" t="s">
        <v>370</v>
      </c>
      <c r="D39" s="507">
        <f>'Finance Manager Input Sheet'!AR14</f>
        <v>0</v>
      </c>
      <c r="Q39" s="749" t="s">
        <v>378</v>
      </c>
      <c r="R39" s="749"/>
      <c r="S39" s="749"/>
      <c r="T39" s="749"/>
      <c r="U39" s="749"/>
      <c r="AC39" s="12" t="str" cm="1">
        <f t="array" ref="AC39">IFERROR(INDEX('Finance Manager Input Sheet'!$AQ$4:$AQ$13, SMALL(IF('Finance Manager Input Sheet'!$BA$4:$BA$13="Customer Declined", ROW('Finance Manager Input Sheet'!$AQ$4:$AQ$13)-ROW('Finance Manager Input Sheet'!$AQ$4)+1), ROW(C13))), "")</f>
        <v/>
      </c>
    </row>
    <row r="40" spans="2:29" ht="38.25" customHeight="1" x14ac:dyDescent="0.2">
      <c r="C40" s="506" t="s">
        <v>371</v>
      </c>
      <c r="D40" s="507">
        <f>+D41-D39</f>
        <v>0</v>
      </c>
      <c r="Q40" s="1052" t="str">
        <f>'Customer Input Screen'!C32</f>
        <v>[Customer Signature]</v>
      </c>
      <c r="R40" s="1052"/>
      <c r="S40" s="1052"/>
    </row>
    <row r="41" spans="2:29" ht="40" customHeight="1" thickBot="1" x14ac:dyDescent="0.25">
      <c r="C41" s="500" t="s">
        <v>372</v>
      </c>
      <c r="D41" s="501">
        <f>'Finance Manager Input Sheet'!AS14</f>
        <v>0</v>
      </c>
      <c r="Q41" s="749" t="s">
        <v>222</v>
      </c>
      <c r="R41" s="749"/>
      <c r="S41" s="749"/>
    </row>
    <row r="44" spans="2:29" s="6" customFormat="1" ht="20" x14ac:dyDescent="0.2"/>
    <row r="45" spans="2:29" s="6" customFormat="1" ht="39" customHeight="1" x14ac:dyDescent="0.2">
      <c r="B45" s="1044" t="s">
        <v>375</v>
      </c>
      <c r="C45" s="1044"/>
      <c r="D45" s="1044"/>
      <c r="E45" s="1044"/>
      <c r="F45" s="1044"/>
      <c r="G45" s="1044"/>
      <c r="H45" s="1044"/>
      <c r="I45" s="1044"/>
      <c r="J45" s="1044"/>
      <c r="K45" s="1044"/>
      <c r="L45" s="1044"/>
      <c r="M45" s="1044"/>
      <c r="N45" s="1044"/>
      <c r="O45" s="1044"/>
      <c r="P45" s="1044"/>
      <c r="Q45" s="1044"/>
      <c r="R45" s="1044"/>
      <c r="S45" s="1044"/>
      <c r="T45" s="1044"/>
      <c r="U45" s="1044"/>
      <c r="V45" s="1044"/>
      <c r="W45" s="1044"/>
      <c r="X45" s="1044"/>
      <c r="Y45" s="1044"/>
    </row>
    <row r="46" spans="2:29" s="6" customFormat="1" ht="39" customHeight="1" x14ac:dyDescent="0.2">
      <c r="B46" s="1044"/>
      <c r="C46" s="1044"/>
      <c r="D46" s="1044"/>
      <c r="E46" s="1044"/>
      <c r="F46" s="1044"/>
      <c r="G46" s="1044"/>
      <c r="H46" s="1044"/>
      <c r="I46" s="1044"/>
      <c r="J46" s="1044"/>
      <c r="K46" s="1044"/>
      <c r="L46" s="1044"/>
      <c r="M46" s="1044"/>
      <c r="N46" s="1044"/>
      <c r="O46" s="1044"/>
      <c r="P46" s="1044"/>
      <c r="Q46" s="1044"/>
      <c r="R46" s="1044"/>
      <c r="S46" s="1044"/>
      <c r="T46" s="1044"/>
      <c r="U46" s="1044"/>
      <c r="V46" s="1044"/>
      <c r="W46" s="1044"/>
      <c r="X46" s="1044"/>
      <c r="Y46" s="1044"/>
    </row>
    <row r="47" spans="2:29" s="6" customFormat="1" ht="39" customHeight="1" x14ac:dyDescent="0.2">
      <c r="B47" s="1044"/>
      <c r="C47" s="1044"/>
      <c r="D47" s="1044"/>
      <c r="E47" s="1044"/>
      <c r="F47" s="1044"/>
      <c r="G47" s="1044"/>
      <c r="H47" s="1044"/>
      <c r="I47" s="1044"/>
      <c r="J47" s="1044"/>
      <c r="K47" s="1044"/>
      <c r="L47" s="1044"/>
      <c r="M47" s="1044"/>
      <c r="N47" s="1044"/>
      <c r="O47" s="1044"/>
      <c r="P47" s="1044"/>
      <c r="Q47" s="1044"/>
      <c r="R47" s="1044"/>
      <c r="S47" s="1044"/>
      <c r="T47" s="1044"/>
      <c r="U47" s="1044"/>
      <c r="V47" s="1044"/>
      <c r="W47" s="1044"/>
      <c r="X47" s="1044"/>
      <c r="Y47" s="1044"/>
    </row>
    <row r="48" spans="2:29" s="6" customFormat="1" ht="32.25" customHeight="1" x14ac:dyDescent="0.2">
      <c r="B48" s="1044"/>
      <c r="C48" s="1044"/>
      <c r="D48" s="1044"/>
      <c r="E48" s="1044"/>
      <c r="F48" s="1044"/>
      <c r="G48" s="1044"/>
      <c r="H48" s="1044"/>
      <c r="I48" s="1044"/>
      <c r="J48" s="1044"/>
      <c r="K48" s="1044"/>
      <c r="L48" s="1044"/>
      <c r="M48" s="1044"/>
      <c r="N48" s="1044"/>
      <c r="O48" s="1044"/>
      <c r="P48" s="1044"/>
      <c r="Q48" s="1044"/>
      <c r="R48" s="1044"/>
      <c r="S48" s="1044"/>
      <c r="T48" s="1044"/>
      <c r="U48" s="1044"/>
      <c r="V48" s="1044"/>
      <c r="W48" s="1044"/>
      <c r="X48" s="1044"/>
      <c r="Y48" s="1044"/>
    </row>
    <row r="49" spans="2:25" s="6" customFormat="1" ht="51" customHeight="1" x14ac:dyDescent="0.2">
      <c r="B49" s="786" t="str">
        <f>Calculations!B614</f>
        <v>For presentation purposes and submitting for approval of financing, payments are based upon a  month term at an annual interest rate of 0.00%.  Actual term and rates may vary based upon financing available based upon customers credit and other factors.</v>
      </c>
      <c r="C49" s="786"/>
      <c r="D49" s="786"/>
      <c r="E49" s="786"/>
      <c r="F49" s="786"/>
      <c r="G49" s="786"/>
      <c r="H49" s="786"/>
      <c r="I49" s="786"/>
      <c r="J49" s="786"/>
      <c r="K49" s="786"/>
      <c r="L49" s="786"/>
      <c r="M49" s="786"/>
      <c r="N49" s="786"/>
      <c r="O49" s="786"/>
      <c r="P49" s="786"/>
      <c r="Q49" s="786"/>
      <c r="R49" s="786"/>
      <c r="S49" s="786"/>
      <c r="T49" s="786"/>
      <c r="U49" s="786"/>
      <c r="V49" s="786"/>
      <c r="W49" s="786"/>
      <c r="X49" s="786"/>
      <c r="Y49" s="786"/>
    </row>
    <row r="51" spans="2:25" s="6" customFormat="1" ht="52" customHeight="1" thickBot="1" x14ac:dyDescent="0.25">
      <c r="B51" s="1106" t="str">
        <f>'Customer Input Screen'!C32</f>
        <v>[Customer Signature]</v>
      </c>
      <c r="C51" s="1106"/>
      <c r="D51" s="1106"/>
    </row>
    <row r="52" spans="2:25" s="6" customFormat="1" ht="20" x14ac:dyDescent="0.2">
      <c r="B52" s="785" t="s">
        <v>222</v>
      </c>
      <c r="C52" s="785"/>
      <c r="D52" s="785"/>
      <c r="U52" s="6" t="s">
        <v>376</v>
      </c>
      <c r="V52" s="785">
        <f>'Finance Manager Input Sheet'!G2</f>
        <v>0</v>
      </c>
      <c r="W52" s="785"/>
      <c r="X52" s="785"/>
    </row>
    <row r="53" spans="2:25" s="6" customFormat="1" ht="20" x14ac:dyDescent="0.2">
      <c r="U53" s="1084" t="s">
        <v>88</v>
      </c>
      <c r="V53" s="1084"/>
      <c r="W53" s="1084"/>
    </row>
  </sheetData>
  <sheetProtection selectLockedCells="1"/>
  <mergeCells count="82">
    <mergeCell ref="C34:N34"/>
    <mergeCell ref="Q34:Y34"/>
    <mergeCell ref="C29:N29"/>
    <mergeCell ref="Q29:Y29"/>
    <mergeCell ref="C30:N30"/>
    <mergeCell ref="Q30:Y30"/>
    <mergeCell ref="C31:N31"/>
    <mergeCell ref="Q31:Y31"/>
    <mergeCell ref="Q32:Y32"/>
    <mergeCell ref="C35:N35"/>
    <mergeCell ref="C36:N36"/>
    <mergeCell ref="C37:N37"/>
    <mergeCell ref="Q35:Y35"/>
    <mergeCell ref="Q36:Y36"/>
    <mergeCell ref="Q37:W37"/>
    <mergeCell ref="C38:D38"/>
    <mergeCell ref="Q39:U39"/>
    <mergeCell ref="Q40:S40"/>
    <mergeCell ref="Q41:S41"/>
    <mergeCell ref="B45:Y48"/>
    <mergeCell ref="Q38:W38"/>
    <mergeCell ref="U53:W53"/>
    <mergeCell ref="B49:Y49"/>
    <mergeCell ref="B51:D51"/>
    <mergeCell ref="B52:D52"/>
    <mergeCell ref="V52:X52"/>
    <mergeCell ref="Q21:U21"/>
    <mergeCell ref="M21:N21"/>
    <mergeCell ref="B21:L21"/>
    <mergeCell ref="C32:N32"/>
    <mergeCell ref="Q33:Y33"/>
    <mergeCell ref="Q26:X26"/>
    <mergeCell ref="C26:N26"/>
    <mergeCell ref="Q27:Y27"/>
    <mergeCell ref="C27:N27"/>
    <mergeCell ref="C28:N28"/>
    <mergeCell ref="Q28:Y28"/>
    <mergeCell ref="C24:U24"/>
    <mergeCell ref="C33:N33"/>
    <mergeCell ref="G23:O23"/>
    <mergeCell ref="B23:F23"/>
    <mergeCell ref="P22:S22"/>
    <mergeCell ref="R1:X1"/>
    <mergeCell ref="L1:Q4"/>
    <mergeCell ref="R2:X2"/>
    <mergeCell ref="R3:X3"/>
    <mergeCell ref="R4:X4"/>
    <mergeCell ref="B1:K1"/>
    <mergeCell ref="B2:K2"/>
    <mergeCell ref="B3:K3"/>
    <mergeCell ref="B4:K4"/>
    <mergeCell ref="B5:K5"/>
    <mergeCell ref="T23:Y23"/>
    <mergeCell ref="P23:S23"/>
    <mergeCell ref="M18:N18"/>
    <mergeCell ref="Q20:U20"/>
    <mergeCell ref="S11:U11"/>
    <mergeCell ref="V11:X11"/>
    <mergeCell ref="M19:N19"/>
    <mergeCell ref="Q19:U19"/>
    <mergeCell ref="B17:X17"/>
    <mergeCell ref="Q18:U18"/>
    <mergeCell ref="B18:L18"/>
    <mergeCell ref="T22:Y22"/>
    <mergeCell ref="G22:O22"/>
    <mergeCell ref="B22:F22"/>
    <mergeCell ref="C12:F12"/>
    <mergeCell ref="C13:F13"/>
    <mergeCell ref="B20:L20"/>
    <mergeCell ref="L5:Q6"/>
    <mergeCell ref="R6:X6"/>
    <mergeCell ref="L9:Q9"/>
    <mergeCell ref="B6:K6"/>
    <mergeCell ref="B7:K7"/>
    <mergeCell ref="B8:K8"/>
    <mergeCell ref="B9:K9"/>
    <mergeCell ref="R9:X9"/>
    <mergeCell ref="R5:X5"/>
    <mergeCell ref="M20:N20"/>
    <mergeCell ref="D11:F11"/>
    <mergeCell ref="B19:L19"/>
    <mergeCell ref="B15:X16"/>
  </mergeCells>
  <conditionalFormatting sqref="C27:H36">
    <cfRule type="expression" dxfId="9" priority="21">
      <formula>LEN(AA27)&gt;0</formula>
    </cfRule>
    <cfRule type="containsBlanks" dxfId="8" priority="22">
      <formula>LEN(TRIM(C27))=0</formula>
    </cfRule>
  </conditionalFormatting>
  <conditionalFormatting sqref="I27:I36">
    <cfRule type="expression" dxfId="7" priority="19">
      <formula>LEN(AF27)&gt;0</formula>
    </cfRule>
    <cfRule type="containsBlanks" dxfId="6" priority="20">
      <formula>LEN(TRIM(I27))=0</formula>
    </cfRule>
  </conditionalFormatting>
  <conditionalFormatting sqref="J27:J36">
    <cfRule type="expression" dxfId="5" priority="17">
      <formula>LEN(AF27)&gt;0</formula>
    </cfRule>
    <cfRule type="containsBlanks" dxfId="4" priority="18">
      <formula>LEN(TRIM(J27))=0</formula>
    </cfRule>
  </conditionalFormatting>
  <conditionalFormatting sqref="K27:N36">
    <cfRule type="expression" dxfId="3" priority="4">
      <formula>LEN(AF27)&gt;0</formula>
    </cfRule>
    <cfRule type="containsBlanks" dxfId="2" priority="5">
      <formula>LEN(TRIM(K27))=0</formula>
    </cfRule>
  </conditionalFormatting>
  <conditionalFormatting sqref="Q27:Y36">
    <cfRule type="expression" dxfId="1" priority="3">
      <formula>LEN(AC27)&gt;0</formula>
    </cfRule>
    <cfRule type="containsBlanks" dxfId="0" priority="6">
      <formula>LEN(TRIM(Q27))=0</formula>
    </cfRule>
  </conditionalFormatting>
  <dataValidations count="1">
    <dataValidation type="list" allowBlank="1" showInputMessage="1" showErrorMessage="1" sqref="K11:M11" xr:uid="{00000000-0002-0000-1000-000000000000}">
      <formula1>"Salesperson 1, 2, 3, 4"</formula1>
    </dataValidation>
  </dataValidations>
  <printOptions horizontalCentered="1" verticalCentered="1"/>
  <pageMargins left="0" right="0" top="0" bottom="0" header="0" footer="0"/>
  <pageSetup scale="36" fitToHeight="1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0982-DC3D-0A44-B9A4-8122D4AC44F7}">
  <dimension ref="B1:AD29"/>
  <sheetViews>
    <sheetView view="pageBreakPreview" zoomScale="60" zoomScaleNormal="60" workbookViewId="0">
      <selection activeCell="V12" sqref="V12:X12"/>
    </sheetView>
  </sheetViews>
  <sheetFormatPr baseColWidth="10" defaultColWidth="11" defaultRowHeight="16" x14ac:dyDescent="0.2"/>
  <cols>
    <col min="1" max="1" width="2" style="16" customWidth="1"/>
    <col min="2" max="2" width="4.5" style="16" customWidth="1"/>
    <col min="3" max="3" width="22.5" style="16" bestFit="1" customWidth="1"/>
    <col min="4" max="4" width="29" style="16" customWidth="1"/>
    <col min="5" max="5" width="10" style="16" customWidth="1"/>
    <col min="6" max="7" width="5.5" style="16" bestFit="1" customWidth="1"/>
    <col min="8" max="10" width="1.5" style="16" customWidth="1"/>
    <col min="11" max="11" width="11" style="16" bestFit="1" customWidth="1"/>
    <col min="12" max="12" width="20" style="16" bestFit="1" customWidth="1"/>
    <col min="13" max="13" width="4.5" style="16" customWidth="1"/>
    <col min="14" max="14" width="14.33203125" style="16" customWidth="1"/>
    <col min="15" max="16" width="2" style="16" customWidth="1"/>
    <col min="17" max="17" width="26.5" style="16" customWidth="1"/>
    <col min="18" max="18" width="13.5" style="16" bestFit="1" customWidth="1"/>
    <col min="19" max="19" width="2.5" style="16" customWidth="1"/>
    <col min="20" max="20" width="4.33203125" style="16" customWidth="1"/>
    <col min="21" max="21" width="15.5" style="16" customWidth="1"/>
    <col min="22" max="22" width="10.33203125" style="16" bestFit="1" customWidth="1"/>
    <col min="23" max="23" width="11" style="16" customWidth="1"/>
    <col min="24" max="24" width="28" style="16" customWidth="1"/>
    <col min="25" max="25" width="8" style="16" customWidth="1"/>
    <col min="26" max="26" width="1.5" style="16" customWidth="1"/>
    <col min="27" max="27" width="66" style="16" customWidth="1"/>
    <col min="28" max="28" width="11" style="16" customWidth="1"/>
    <col min="29" max="29" width="46.5" style="16" bestFit="1" customWidth="1"/>
    <col min="30" max="32" width="11" style="16" customWidth="1"/>
    <col min="33" max="44" width="11" style="16"/>
    <col min="45" max="45" width="14.5" style="16" customWidth="1"/>
    <col min="46" max="16384" width="11" style="16"/>
  </cols>
  <sheetData>
    <row r="1" spans="2:30" ht="22" customHeight="1" x14ac:dyDescent="0.2">
      <c r="B1" s="1009" t="s">
        <v>2278</v>
      </c>
      <c r="C1" s="1010"/>
      <c r="D1" s="1010"/>
      <c r="E1" s="1010"/>
      <c r="F1" s="1010"/>
      <c r="G1" s="1010"/>
      <c r="H1" s="1010"/>
      <c r="I1" s="1010"/>
      <c r="J1" s="1010"/>
      <c r="K1" s="1011"/>
      <c r="L1" s="986" t="s">
        <v>267</v>
      </c>
      <c r="M1" s="787"/>
      <c r="N1" s="787"/>
      <c r="O1" s="787"/>
      <c r="P1" s="787"/>
      <c r="Q1" s="788"/>
      <c r="R1" s="882" t="str">
        <f>+Calculations!$B$568</f>
        <v/>
      </c>
      <c r="S1" s="882"/>
      <c r="T1" s="882"/>
      <c r="U1" s="882"/>
      <c r="V1" s="882"/>
      <c r="W1" s="882"/>
      <c r="X1" s="882"/>
      <c r="Y1" s="392"/>
      <c r="Z1" s="393"/>
      <c r="AA1" s="393"/>
      <c r="AB1" s="271"/>
      <c r="AC1" s="271"/>
      <c r="AD1" s="271"/>
    </row>
    <row r="2" spans="2:30" ht="4" customHeight="1" x14ac:dyDescent="0.2">
      <c r="B2" s="970"/>
      <c r="C2" s="971"/>
      <c r="D2" s="971"/>
      <c r="E2" s="971"/>
      <c r="F2" s="971"/>
      <c r="G2" s="971"/>
      <c r="H2" s="971"/>
      <c r="I2" s="971"/>
      <c r="J2" s="971"/>
      <c r="K2" s="972"/>
      <c r="L2" s="987"/>
      <c r="M2" s="789"/>
      <c r="N2" s="789"/>
      <c r="O2" s="789"/>
      <c r="P2" s="789"/>
      <c r="Q2" s="790"/>
      <c r="R2" s="749"/>
      <c r="S2" s="749"/>
      <c r="T2" s="749"/>
      <c r="U2" s="749"/>
      <c r="V2" s="749"/>
      <c r="W2" s="749"/>
      <c r="X2" s="749"/>
      <c r="Y2" s="441"/>
      <c r="Z2" s="393"/>
      <c r="AA2" s="393"/>
      <c r="AB2" s="271"/>
      <c r="AC2" s="271"/>
      <c r="AD2" s="271"/>
    </row>
    <row r="3" spans="2:30" ht="16.5" customHeight="1" x14ac:dyDescent="0.2">
      <c r="B3" s="970" t="s">
        <v>2273</v>
      </c>
      <c r="C3" s="971"/>
      <c r="D3" s="971"/>
      <c r="E3" s="971"/>
      <c r="F3" s="971"/>
      <c r="G3" s="971"/>
      <c r="H3" s="971"/>
      <c r="I3" s="971"/>
      <c r="J3" s="971"/>
      <c r="K3" s="972"/>
      <c r="L3" s="987"/>
      <c r="M3" s="789"/>
      <c r="N3" s="789"/>
      <c r="O3" s="789"/>
      <c r="P3" s="789"/>
      <c r="Q3" s="790"/>
      <c r="R3" s="883" t="str">
        <f>+Calculations!$B$569</f>
        <v/>
      </c>
      <c r="S3" s="883"/>
      <c r="T3" s="883"/>
      <c r="U3" s="883"/>
      <c r="V3" s="883"/>
      <c r="W3" s="883"/>
      <c r="X3" s="883"/>
      <c r="Y3" s="315"/>
      <c r="Z3" s="313"/>
      <c r="AA3" s="313"/>
      <c r="AB3" s="38"/>
      <c r="AC3" s="38"/>
      <c r="AD3" s="38"/>
    </row>
    <row r="4" spans="2:30" ht="7" customHeight="1" x14ac:dyDescent="0.2">
      <c r="B4" s="970"/>
      <c r="C4" s="971"/>
      <c r="D4" s="971"/>
      <c r="E4" s="971"/>
      <c r="F4" s="971"/>
      <c r="G4" s="971"/>
      <c r="H4" s="971"/>
      <c r="I4" s="971"/>
      <c r="J4" s="971"/>
      <c r="K4" s="972"/>
      <c r="L4" s="987"/>
      <c r="M4" s="789"/>
      <c r="N4" s="789"/>
      <c r="O4" s="789"/>
      <c r="P4" s="789"/>
      <c r="Q4" s="790"/>
      <c r="R4" s="749"/>
      <c r="S4" s="749"/>
      <c r="T4" s="749"/>
      <c r="U4" s="749"/>
      <c r="V4" s="749"/>
      <c r="W4" s="749"/>
      <c r="X4" s="749"/>
      <c r="Y4" s="315"/>
      <c r="Z4" s="313"/>
      <c r="AA4" s="313"/>
      <c r="AB4" s="38"/>
      <c r="AC4" s="38"/>
      <c r="AD4" s="38"/>
    </row>
    <row r="5" spans="2:30" ht="17.25" customHeight="1" x14ac:dyDescent="0.2">
      <c r="B5" s="970" t="s">
        <v>2274</v>
      </c>
      <c r="C5" s="971"/>
      <c r="D5" s="971"/>
      <c r="E5" s="971"/>
      <c r="F5" s="971"/>
      <c r="G5" s="971"/>
      <c r="H5" s="971"/>
      <c r="I5" s="971"/>
      <c r="J5" s="971"/>
      <c r="K5" s="972"/>
      <c r="L5" s="802" t="s">
        <v>268</v>
      </c>
      <c r="M5" s="803"/>
      <c r="N5" s="803"/>
      <c r="O5" s="803"/>
      <c r="P5" s="803"/>
      <c r="Q5" s="804"/>
      <c r="R5" s="883" t="str">
        <f>Calculations!B570</f>
        <v/>
      </c>
      <c r="S5" s="883"/>
      <c r="T5" s="883"/>
      <c r="U5" s="883"/>
      <c r="V5" s="883"/>
      <c r="W5" s="883"/>
      <c r="X5" s="883"/>
      <c r="Y5" s="315"/>
      <c r="Z5" s="313"/>
      <c r="AA5" s="313"/>
      <c r="AB5" s="38"/>
      <c r="AC5" s="38"/>
      <c r="AD5" s="38"/>
    </row>
    <row r="6" spans="2:30" ht="6" customHeight="1" x14ac:dyDescent="0.2">
      <c r="B6" s="970"/>
      <c r="C6" s="971"/>
      <c r="D6" s="971"/>
      <c r="E6" s="971"/>
      <c r="F6" s="971"/>
      <c r="G6" s="971"/>
      <c r="H6" s="971"/>
      <c r="I6" s="971"/>
      <c r="J6" s="971"/>
      <c r="K6" s="972"/>
      <c r="L6" s="802"/>
      <c r="M6" s="803"/>
      <c r="N6" s="803"/>
      <c r="O6" s="803"/>
      <c r="P6" s="803"/>
      <c r="Q6" s="804"/>
      <c r="R6" s="749"/>
      <c r="S6" s="749"/>
      <c r="T6" s="749"/>
      <c r="U6" s="749"/>
      <c r="V6" s="749"/>
      <c r="W6" s="749"/>
      <c r="X6" s="749"/>
      <c r="Y6" s="315"/>
      <c r="Z6" s="313"/>
      <c r="AA6" s="313"/>
      <c r="AB6" s="38"/>
      <c r="AC6" s="38"/>
      <c r="AD6" s="38"/>
    </row>
    <row r="7" spans="2:30" ht="18.75" customHeight="1" x14ac:dyDescent="0.25">
      <c r="B7" s="970" t="s">
        <v>2275</v>
      </c>
      <c r="C7" s="971"/>
      <c r="D7" s="971"/>
      <c r="E7" s="971"/>
      <c r="F7" s="971"/>
      <c r="G7" s="971"/>
      <c r="H7" s="971"/>
      <c r="I7" s="971"/>
      <c r="J7" s="971"/>
      <c r="K7" s="972"/>
      <c r="L7" s="184"/>
      <c r="M7" s="185"/>
      <c r="N7" s="185"/>
      <c r="O7" s="185"/>
      <c r="P7" s="185"/>
      <c r="Q7" s="186"/>
      <c r="Y7" s="315"/>
      <c r="Z7" s="313"/>
      <c r="AA7" s="313"/>
      <c r="AB7" s="38"/>
      <c r="AC7" s="38"/>
      <c r="AD7" s="38"/>
    </row>
    <row r="8" spans="2:30" ht="6" customHeight="1" x14ac:dyDescent="0.25">
      <c r="B8" s="970"/>
      <c r="C8" s="971"/>
      <c r="D8" s="971"/>
      <c r="E8" s="971"/>
      <c r="F8" s="971"/>
      <c r="G8" s="971"/>
      <c r="H8" s="971"/>
      <c r="I8" s="971"/>
      <c r="J8" s="971"/>
      <c r="K8" s="972"/>
      <c r="L8" s="184"/>
      <c r="M8" s="185"/>
      <c r="N8" s="185"/>
      <c r="O8" s="185"/>
      <c r="P8" s="185"/>
      <c r="Q8" s="186"/>
      <c r="Y8" s="315"/>
      <c r="Z8" s="313"/>
      <c r="AA8" s="313"/>
      <c r="AB8" s="38"/>
      <c r="AC8" s="38"/>
      <c r="AD8" s="38"/>
    </row>
    <row r="9" spans="2:30" ht="18" customHeight="1" thickBot="1" x14ac:dyDescent="0.25">
      <c r="B9" s="1080" t="s">
        <v>2276</v>
      </c>
      <c r="C9" s="1081"/>
      <c r="D9" s="1081"/>
      <c r="E9" s="1081"/>
      <c r="F9" s="1081"/>
      <c r="G9" s="1081"/>
      <c r="H9" s="1081"/>
      <c r="I9" s="1081"/>
      <c r="J9" s="1081"/>
      <c r="K9" s="1082"/>
      <c r="L9" s="990" t="str">
        <f>+Calculations!B572</f>
        <v>CRYSTALTRACTOR.COM</v>
      </c>
      <c r="M9" s="884"/>
      <c r="N9" s="884"/>
      <c r="O9" s="884"/>
      <c r="P9" s="884"/>
      <c r="Q9" s="936"/>
      <c r="R9" s="884" t="str">
        <f>Calculations!B571</f>
        <v/>
      </c>
      <c r="S9" s="884"/>
      <c r="T9" s="884"/>
      <c r="U9" s="884"/>
      <c r="V9" s="884"/>
      <c r="W9" s="884"/>
      <c r="X9" s="884"/>
      <c r="Y9" s="319"/>
      <c r="Z9" s="313"/>
      <c r="AA9" s="313"/>
      <c r="AB9" s="38"/>
      <c r="AC9" s="38"/>
      <c r="AD9" s="38"/>
    </row>
    <row r="10" spans="2:30" s="6" customFormat="1" ht="20.25" customHeight="1" x14ac:dyDescent="0.2">
      <c r="B10" s="202"/>
      <c r="G10" s="271"/>
      <c r="H10" s="271"/>
      <c r="I10" s="271"/>
      <c r="J10" s="271"/>
      <c r="K10" s="465"/>
      <c r="L10" s="272"/>
      <c r="M10" s="272"/>
      <c r="N10" s="203"/>
      <c r="O10" s="203"/>
      <c r="P10" s="203"/>
      <c r="Q10" s="203"/>
      <c r="R10" s="203"/>
      <c r="T10" s="203"/>
      <c r="U10" s="443"/>
      <c r="V10" s="203"/>
      <c r="W10" s="203"/>
      <c r="X10" s="203"/>
      <c r="Y10" s="321"/>
    </row>
    <row r="11" spans="2:30" s="6" customFormat="1" ht="20" x14ac:dyDescent="0.2">
      <c r="B11" s="202"/>
      <c r="C11" s="6" t="s">
        <v>44</v>
      </c>
      <c r="D11" s="785">
        <f>+'Sales Input Sheet'!$C$11</f>
        <v>0</v>
      </c>
      <c r="E11" s="785"/>
      <c r="F11" s="785"/>
      <c r="K11" s="203"/>
      <c r="L11" s="203"/>
      <c r="M11" s="203"/>
      <c r="N11" s="203"/>
      <c r="O11" s="203"/>
      <c r="P11" s="203"/>
      <c r="Q11" s="203"/>
      <c r="R11" s="203"/>
      <c r="S11" s="785" t="s">
        <v>46</v>
      </c>
      <c r="T11" s="785"/>
      <c r="U11" s="785"/>
      <c r="V11" s="842" t="str">
        <f>IF('Sales Input Sheet'!C15&lt;&gt;"",UPPER('Sales Input Sheet'!C15),"")</f>
        <v/>
      </c>
      <c r="W11" s="842"/>
      <c r="X11" s="842"/>
      <c r="Y11" s="321"/>
    </row>
    <row r="12" spans="2:30" s="6" customFormat="1" ht="20" x14ac:dyDescent="0.2">
      <c r="B12" s="202"/>
      <c r="C12" s="785" t="str">
        <f>+Calculations!$B$597</f>
        <v/>
      </c>
      <c r="D12" s="785"/>
      <c r="E12" s="785"/>
      <c r="F12" s="785"/>
      <c r="G12" s="203"/>
      <c r="H12" s="203"/>
      <c r="I12" s="203"/>
      <c r="J12" s="203"/>
      <c r="K12" s="203"/>
      <c r="L12" s="203"/>
      <c r="M12" s="203"/>
      <c r="N12" s="203"/>
      <c r="R12" s="203"/>
      <c r="S12" s="6" t="s">
        <v>305</v>
      </c>
      <c r="V12" s="843">
        <f>'Costing Sheet'!C11</f>
        <v>0</v>
      </c>
      <c r="W12" s="843"/>
      <c r="X12" s="843"/>
      <c r="Y12" s="222"/>
    </row>
    <row r="13" spans="2:30" s="6" customFormat="1" ht="20" x14ac:dyDescent="0.2">
      <c r="B13" s="202"/>
      <c r="C13" s="785" t="str">
        <f>+Calculations!B598</f>
        <v xml:space="preserve">  </v>
      </c>
      <c r="D13" s="785"/>
      <c r="E13" s="785"/>
      <c r="F13" s="785"/>
      <c r="G13" s="203"/>
      <c r="H13" s="203"/>
      <c r="I13" s="203"/>
      <c r="J13" s="203"/>
      <c r="K13" s="203"/>
      <c r="L13" s="203"/>
      <c r="M13" s="203"/>
      <c r="N13" s="203"/>
      <c r="R13" s="203"/>
      <c r="S13" s="203"/>
      <c r="U13" s="466"/>
      <c r="Y13" s="222"/>
    </row>
    <row r="14" spans="2:30" s="6" customFormat="1" ht="9" customHeight="1" thickBot="1" x14ac:dyDescent="0.25">
      <c r="B14" s="235"/>
      <c r="C14" s="231"/>
      <c r="D14" s="231"/>
      <c r="E14" s="231"/>
      <c r="F14" s="231"/>
      <c r="G14" s="379"/>
      <c r="H14" s="379"/>
      <c r="I14" s="379"/>
      <c r="J14" s="379"/>
      <c r="K14" s="379"/>
      <c r="L14" s="379"/>
      <c r="M14" s="379"/>
      <c r="N14" s="379"/>
      <c r="O14" s="231"/>
      <c r="P14" s="231"/>
      <c r="Q14" s="231"/>
      <c r="R14" s="379"/>
      <c r="S14" s="379"/>
      <c r="T14" s="231"/>
      <c r="U14" s="502"/>
      <c r="V14" s="231"/>
      <c r="W14" s="231"/>
      <c r="X14" s="231"/>
      <c r="Y14" s="236"/>
    </row>
    <row r="15" spans="2:30" s="6" customFormat="1" ht="25" customHeight="1" x14ac:dyDescent="0.2">
      <c r="B15" s="1074" t="s">
        <v>2280</v>
      </c>
      <c r="C15" s="1075"/>
      <c r="D15" s="1075"/>
      <c r="E15" s="1075"/>
      <c r="F15" s="1075"/>
      <c r="G15" s="1075"/>
      <c r="H15" s="1075"/>
      <c r="I15" s="1075"/>
      <c r="J15" s="1075"/>
      <c r="K15" s="1075"/>
      <c r="L15" s="1075"/>
      <c r="M15" s="1075"/>
      <c r="N15" s="1075"/>
      <c r="O15" s="1075"/>
      <c r="P15" s="1075"/>
      <c r="Q15" s="1075"/>
      <c r="R15" s="1075"/>
      <c r="S15" s="1075"/>
      <c r="T15" s="1075"/>
      <c r="U15" s="1075"/>
      <c r="V15" s="1075"/>
      <c r="W15" s="1075"/>
      <c r="X15" s="1075"/>
      <c r="Y15" s="1110"/>
    </row>
    <row r="16" spans="2:30" s="6" customFormat="1" ht="21" thickBot="1" x14ac:dyDescent="0.25">
      <c r="B16" s="1076"/>
      <c r="C16" s="1077"/>
      <c r="D16" s="1077"/>
      <c r="E16" s="1077"/>
      <c r="F16" s="1077"/>
      <c r="G16" s="1077"/>
      <c r="H16" s="1077"/>
      <c r="I16" s="1077"/>
      <c r="J16" s="1077"/>
      <c r="K16" s="1077"/>
      <c r="L16" s="1077"/>
      <c r="M16" s="1077"/>
      <c r="N16" s="1077"/>
      <c r="O16" s="1077"/>
      <c r="P16" s="1077"/>
      <c r="Q16" s="1077"/>
      <c r="R16" s="1077"/>
      <c r="S16" s="1077"/>
      <c r="T16" s="1077"/>
      <c r="U16" s="1077"/>
      <c r="V16" s="1077"/>
      <c r="W16" s="1077"/>
      <c r="X16" s="1077"/>
      <c r="Y16" s="1111"/>
    </row>
    <row r="17" spans="2:27" s="6" customFormat="1" ht="28" customHeight="1" thickBot="1" x14ac:dyDescent="0.25">
      <c r="B17" s="853" t="s">
        <v>288</v>
      </c>
      <c r="C17" s="854"/>
      <c r="D17" s="854"/>
      <c r="E17" s="854"/>
      <c r="F17" s="854"/>
      <c r="G17" s="854"/>
      <c r="H17" s="854"/>
      <c r="I17" s="854"/>
      <c r="J17" s="854"/>
      <c r="K17" s="854"/>
      <c r="L17" s="854"/>
      <c r="M17" s="854"/>
      <c r="N17" s="854"/>
      <c r="O17" s="854"/>
      <c r="P17" s="854"/>
      <c r="Q17" s="854"/>
      <c r="R17" s="854"/>
      <c r="S17" s="854"/>
      <c r="T17" s="854"/>
      <c r="U17" s="854"/>
      <c r="V17" s="854"/>
      <c r="W17" s="854"/>
      <c r="X17" s="854"/>
      <c r="Y17" s="469"/>
      <c r="Z17" s="223"/>
    </row>
    <row r="18" spans="2:27" s="6" customFormat="1" ht="20" x14ac:dyDescent="0.2">
      <c r="B18" s="1101" t="s">
        <v>292</v>
      </c>
      <c r="C18" s="1102"/>
      <c r="D18" s="1102"/>
      <c r="E18" s="1102"/>
      <c r="F18" s="1102"/>
      <c r="G18" s="1102"/>
      <c r="H18" s="1102"/>
      <c r="I18" s="1102"/>
      <c r="J18" s="1102"/>
      <c r="K18" s="1102"/>
      <c r="L18" s="1102"/>
      <c r="M18" s="1100">
        <f>+Calculations!B312</f>
        <v>0</v>
      </c>
      <c r="N18" s="1100"/>
      <c r="O18" s="382"/>
      <c r="P18" s="382"/>
      <c r="Q18" s="900" t="s">
        <v>361</v>
      </c>
      <c r="R18" s="900"/>
      <c r="S18" s="900"/>
      <c r="T18" s="900"/>
      <c r="U18" s="900"/>
      <c r="V18" s="263"/>
      <c r="W18" s="263"/>
      <c r="X18" s="470">
        <f>+Calculations!B321+Calculations!B421</f>
        <v>0</v>
      </c>
      <c r="Y18" s="471"/>
      <c r="Z18" s="223"/>
    </row>
    <row r="19" spans="2:27" s="6" customFormat="1" ht="20" x14ac:dyDescent="0.2">
      <c r="B19" s="860" t="s">
        <v>362</v>
      </c>
      <c r="C19" s="785"/>
      <c r="D19" s="785"/>
      <c r="E19" s="785"/>
      <c r="F19" s="785"/>
      <c r="G19" s="785"/>
      <c r="H19" s="785"/>
      <c r="I19" s="785"/>
      <c r="J19" s="785"/>
      <c r="K19" s="785"/>
      <c r="L19" s="785"/>
      <c r="M19" s="1103">
        <f>-Calculations!B315+Calculations!B316</f>
        <v>0</v>
      </c>
      <c r="N19" s="1103"/>
      <c r="Q19" s="842" t="s">
        <v>363</v>
      </c>
      <c r="R19" s="842"/>
      <c r="S19" s="842"/>
      <c r="T19" s="842"/>
      <c r="U19" s="842"/>
      <c r="X19" s="283">
        <f>+Calculations!$B$405+Calculations!$B$412+Calculations!$B$413+Calculations!$B$407</f>
        <v>0</v>
      </c>
      <c r="Y19" s="472"/>
    </row>
    <row r="20" spans="2:27" s="6" customFormat="1" ht="20" x14ac:dyDescent="0.2">
      <c r="B20" s="844" t="s">
        <v>377</v>
      </c>
      <c r="C20" s="845"/>
      <c r="D20" s="845"/>
      <c r="E20" s="845"/>
      <c r="F20" s="845"/>
      <c r="G20" s="845"/>
      <c r="H20" s="845"/>
      <c r="I20" s="845"/>
      <c r="J20" s="845"/>
      <c r="K20" s="845"/>
      <c r="L20" s="845"/>
      <c r="M20" s="1064">
        <f>+Calculations!B302+'Costing Sheet'!Q3+'Costing Sheet'!Q5</f>
        <v>0</v>
      </c>
      <c r="N20" s="1064"/>
      <c r="Q20" s="785" t="s">
        <v>365</v>
      </c>
      <c r="R20" s="785"/>
      <c r="S20" s="785"/>
      <c r="T20" s="785"/>
      <c r="U20" s="785"/>
      <c r="V20" s="223"/>
      <c r="W20" s="223"/>
      <c r="X20" s="473">
        <f>-Calculations!B318</f>
        <v>0</v>
      </c>
      <c r="Y20" s="474"/>
      <c r="AA20" s="16"/>
    </row>
    <row r="21" spans="2:27" s="6" customFormat="1" ht="44.25" customHeight="1" thickBot="1" x14ac:dyDescent="0.25">
      <c r="B21" s="1115" t="s">
        <v>366</v>
      </c>
      <c r="C21" s="1106"/>
      <c r="D21" s="1106"/>
      <c r="E21" s="1106"/>
      <c r="F21" s="1106"/>
      <c r="G21" s="1106"/>
      <c r="H21" s="1106"/>
      <c r="I21" s="1106"/>
      <c r="J21" s="1106"/>
      <c r="K21" s="1106"/>
      <c r="L21" s="1106"/>
      <c r="M21" s="1116">
        <f>+Calculations!B386+Calculations!B385+Calculations!B439+'Costing Sheet'!Q13+'Costing Sheet'!Q15</f>
        <v>0</v>
      </c>
      <c r="N21" s="1116"/>
      <c r="O21" s="231"/>
      <c r="P21" s="231"/>
      <c r="Q21" s="1117" t="s">
        <v>367</v>
      </c>
      <c r="R21" s="1117"/>
      <c r="S21" s="1117"/>
      <c r="T21" s="1117"/>
      <c r="U21" s="1117"/>
      <c r="V21" s="713"/>
      <c r="W21" s="713"/>
      <c r="X21" s="714">
        <f>+Calculations!B436</f>
        <v>0</v>
      </c>
      <c r="Y21" s="715"/>
    </row>
    <row r="22" spans="2:27" s="6" customFormat="1" ht="44.25" customHeight="1" x14ac:dyDescent="0.2">
      <c r="B22" s="214"/>
      <c r="C22" s="215"/>
      <c r="D22" s="215"/>
      <c r="E22" s="215"/>
      <c r="F22" s="215"/>
      <c r="G22" s="215"/>
      <c r="H22" s="215"/>
      <c r="I22" s="215"/>
      <c r="J22" s="215"/>
      <c r="K22" s="215"/>
      <c r="L22" s="215"/>
      <c r="M22" s="716"/>
      <c r="N22" s="716"/>
      <c r="O22" s="215"/>
      <c r="P22" s="215"/>
      <c r="Q22" s="717"/>
      <c r="R22" s="717"/>
      <c r="S22" s="717"/>
      <c r="T22" s="717"/>
      <c r="U22" s="717"/>
      <c r="V22" s="263"/>
      <c r="W22" s="263"/>
      <c r="X22" s="718"/>
      <c r="Y22" s="719"/>
    </row>
    <row r="23" spans="2:27" s="6" customFormat="1" ht="19" customHeight="1" x14ac:dyDescent="0.2">
      <c r="B23" s="202" t="s">
        <v>2281</v>
      </c>
      <c r="E23" s="843">
        <f>+'Finance Manager Input Sheet'!P19</f>
        <v>0</v>
      </c>
      <c r="F23" s="843"/>
      <c r="G23" s="843"/>
      <c r="H23" s="843"/>
      <c r="I23" s="843"/>
      <c r="J23" s="843"/>
      <c r="K23" s="843"/>
      <c r="M23" s="704"/>
      <c r="N23" s="704"/>
      <c r="Q23" s="387"/>
      <c r="R23" s="387"/>
      <c r="S23" s="387"/>
      <c r="T23" s="387"/>
      <c r="U23" s="387"/>
      <c r="V23" s="223"/>
      <c r="W23" s="223"/>
      <c r="X23" s="357"/>
      <c r="Y23" s="358"/>
    </row>
    <row r="24" spans="2:27" s="6" customFormat="1" ht="44.25" customHeight="1" x14ac:dyDescent="0.2">
      <c r="B24" s="202"/>
      <c r="M24" s="704"/>
      <c r="N24" s="704"/>
      <c r="Q24" s="387"/>
      <c r="R24" s="387"/>
      <c r="S24" s="387"/>
      <c r="T24" s="387"/>
      <c r="U24" s="387"/>
      <c r="V24" s="223"/>
      <c r="W24" s="223"/>
      <c r="X24" s="357"/>
      <c r="Y24" s="358"/>
    </row>
    <row r="25" spans="2:27" s="6" customFormat="1" ht="51" customHeight="1" x14ac:dyDescent="0.2">
      <c r="B25" s="902" t="s">
        <v>2282</v>
      </c>
      <c r="C25" s="786"/>
      <c r="D25" s="786"/>
      <c r="E25" s="786"/>
      <c r="F25" s="786"/>
      <c r="G25" s="786"/>
      <c r="H25" s="786"/>
      <c r="I25" s="786"/>
      <c r="J25" s="786"/>
      <c r="K25" s="786"/>
      <c r="L25" s="786"/>
      <c r="M25" s="786"/>
      <c r="N25" s="786"/>
      <c r="O25" s="786"/>
      <c r="P25" s="786"/>
      <c r="Q25" s="786"/>
      <c r="R25" s="786"/>
      <c r="S25" s="786"/>
      <c r="T25" s="786"/>
      <c r="U25" s="786"/>
      <c r="V25" s="786"/>
      <c r="W25" s="786"/>
      <c r="X25" s="786"/>
      <c r="Y25" s="807"/>
    </row>
    <row r="26" spans="2:27" ht="16" customHeight="1" thickBot="1" x14ac:dyDescent="0.25">
      <c r="B26" s="1112"/>
      <c r="C26" s="1113"/>
      <c r="D26" s="1113"/>
      <c r="E26" s="1113"/>
      <c r="F26" s="1113"/>
      <c r="G26" s="1113"/>
      <c r="H26" s="1113"/>
      <c r="I26" s="1113"/>
      <c r="J26" s="1113"/>
      <c r="K26" s="1113"/>
      <c r="L26" s="1113"/>
      <c r="M26" s="1113"/>
      <c r="N26" s="1113"/>
      <c r="O26" s="1113"/>
      <c r="P26" s="1113"/>
      <c r="Q26" s="1113"/>
      <c r="R26" s="1113"/>
      <c r="S26" s="1113"/>
      <c r="T26" s="1113"/>
      <c r="U26" s="1113"/>
      <c r="V26" s="1113"/>
      <c r="W26" s="1113"/>
      <c r="X26" s="1113"/>
      <c r="Y26" s="1114"/>
    </row>
    <row r="27" spans="2:27" s="6" customFormat="1" ht="52" customHeight="1" thickBot="1" x14ac:dyDescent="0.25">
      <c r="B27" s="1106" t="str">
        <f>'Customer Input Screen'!C32</f>
        <v>[Customer Signature]</v>
      </c>
      <c r="C27" s="1106"/>
      <c r="D27" s="1106"/>
    </row>
    <row r="28" spans="2:27" s="6" customFormat="1" ht="21" thickBot="1" x14ac:dyDescent="0.25">
      <c r="B28" s="785" t="s">
        <v>222</v>
      </c>
      <c r="C28" s="785"/>
      <c r="D28" s="785"/>
      <c r="V28" s="785"/>
      <c r="W28" s="785"/>
      <c r="X28" s="785"/>
    </row>
    <row r="29" spans="2:27" s="6" customFormat="1" ht="20" x14ac:dyDescent="0.2">
      <c r="U29" s="1084"/>
      <c r="V29" s="1084"/>
      <c r="W29" s="1084"/>
    </row>
  </sheetData>
  <sheetProtection selectLockedCells="1"/>
  <mergeCells count="45">
    <mergeCell ref="B27:D27"/>
    <mergeCell ref="B28:D28"/>
    <mergeCell ref="V28:X28"/>
    <mergeCell ref="U29:W29"/>
    <mergeCell ref="B15:Y16"/>
    <mergeCell ref="E23:K23"/>
    <mergeCell ref="B25:Y26"/>
    <mergeCell ref="B21:L21"/>
    <mergeCell ref="M21:N21"/>
    <mergeCell ref="Q21:U21"/>
    <mergeCell ref="B19:L19"/>
    <mergeCell ref="M19:N19"/>
    <mergeCell ref="Q19:U19"/>
    <mergeCell ref="B20:L20"/>
    <mergeCell ref="M20:N20"/>
    <mergeCell ref="Q20:U20"/>
    <mergeCell ref="C12:F12"/>
    <mergeCell ref="C13:F13"/>
    <mergeCell ref="B17:X17"/>
    <mergeCell ref="B18:L18"/>
    <mergeCell ref="M18:N18"/>
    <mergeCell ref="Q18:U18"/>
    <mergeCell ref="V12:X12"/>
    <mergeCell ref="B8:K8"/>
    <mergeCell ref="B9:K9"/>
    <mergeCell ref="L9:Q9"/>
    <mergeCell ref="R9:X9"/>
    <mergeCell ref="D11:F11"/>
    <mergeCell ref="S11:U11"/>
    <mergeCell ref="V11:X11"/>
    <mergeCell ref="B7:K7"/>
    <mergeCell ref="B1:K1"/>
    <mergeCell ref="L1:Q4"/>
    <mergeCell ref="R1:X1"/>
    <mergeCell ref="B2:K2"/>
    <mergeCell ref="R2:X2"/>
    <mergeCell ref="B3:K3"/>
    <mergeCell ref="R3:X3"/>
    <mergeCell ref="B4:K4"/>
    <mergeCell ref="R4:X4"/>
    <mergeCell ref="B5:K5"/>
    <mergeCell ref="L5:Q6"/>
    <mergeCell ref="R5:X5"/>
    <mergeCell ref="B6:K6"/>
    <mergeCell ref="R6:X6"/>
  </mergeCells>
  <dataValidations count="1">
    <dataValidation type="list" allowBlank="1" showInputMessage="1" showErrorMessage="1" sqref="K11:M11" xr:uid="{E8DA0320-BC38-8446-A1EA-480C5D38AB4C}">
      <formula1>"Salesperson 1, 2, 3, 4"</formula1>
    </dataValidation>
  </dataValidations>
  <printOptions horizontalCentered="1" verticalCentered="1"/>
  <pageMargins left="0" right="0" top="0" bottom="0" header="0" footer="0"/>
  <pageSetup scale="36" fitToHeight="1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F205"/>
  <sheetViews>
    <sheetView showZeros="0" view="pageBreakPreview" zoomScale="56" zoomScaleNormal="94" workbookViewId="0">
      <selection activeCell="J62" sqref="J62"/>
    </sheetView>
  </sheetViews>
  <sheetFormatPr baseColWidth="10" defaultColWidth="10.5" defaultRowHeight="20" x14ac:dyDescent="0.2"/>
  <cols>
    <col min="1" max="1" width="2" style="240" customWidth="1"/>
    <col min="2" max="2" width="30.5" style="240" customWidth="1"/>
    <col min="3" max="3" width="2" style="240" customWidth="1"/>
    <col min="4" max="4" width="24" style="508" customWidth="1"/>
    <col min="5" max="5" width="11" style="508" customWidth="1"/>
    <col min="6" max="6" width="25.5" style="508" customWidth="1"/>
    <col min="7" max="7" width="3" style="508" customWidth="1"/>
    <col min="8" max="8" width="18" style="508" customWidth="1"/>
    <col min="9" max="9" width="2" style="508" customWidth="1"/>
    <col min="10" max="10" width="19.5" style="240" customWidth="1"/>
    <col min="11" max="11" width="3.5" style="240" customWidth="1"/>
    <col min="12" max="12" width="30.5" style="240" customWidth="1"/>
    <col min="13" max="13" width="3.5" style="240" customWidth="1"/>
    <col min="14" max="14" width="22.33203125" style="240" customWidth="1"/>
    <col min="15" max="15" width="2" style="240" customWidth="1"/>
    <col min="16" max="16" width="20.5" style="240" customWidth="1"/>
    <col min="17" max="17" width="2.5" style="240" customWidth="1"/>
    <col min="18" max="18" width="24.5" style="240" customWidth="1"/>
    <col min="19" max="19" width="1" style="240" customWidth="1"/>
    <col min="20" max="20" width="19.5" style="240" customWidth="1"/>
    <col min="21" max="16384" width="10.5" style="240"/>
  </cols>
  <sheetData>
    <row r="1" spans="2:20" ht="20.25" customHeight="1" x14ac:dyDescent="0.2">
      <c r="B1" s="220" t="str">
        <f>+B$149</f>
        <v>RECAP</v>
      </c>
      <c r="C1" s="220"/>
      <c r="D1" s="784" t="str">
        <f>+D$149</f>
        <v/>
      </c>
      <c r="E1" s="784"/>
      <c r="F1" s="784"/>
      <c r="G1" s="784"/>
      <c r="H1" s="784"/>
      <c r="J1" s="784" t="s">
        <v>207</v>
      </c>
      <c r="K1" s="784"/>
      <c r="L1" s="784"/>
      <c r="N1" s="784">
        <f>+'Finance Manager Input Sheet'!C$28</f>
        <v>0</v>
      </c>
      <c r="O1" s="784"/>
      <c r="P1" s="784"/>
      <c r="Q1" s="784"/>
      <c r="R1" s="784"/>
    </row>
    <row r="2" spans="2:20" ht="20.25" customHeight="1" x14ac:dyDescent="0.2">
      <c r="B2" s="220" t="str">
        <f>+B$150</f>
        <v>Invoice Number</v>
      </c>
      <c r="C2" s="220"/>
      <c r="D2" s="784">
        <f>+D$150</f>
        <v>0</v>
      </c>
      <c r="E2" s="784"/>
      <c r="F2" s="784"/>
      <c r="G2" s="784"/>
      <c r="H2" s="784"/>
      <c r="J2" s="784" t="s">
        <v>271</v>
      </c>
      <c r="K2" s="784"/>
      <c r="L2" s="784"/>
      <c r="N2" s="784">
        <f>'Sales Input Sheet'!C$11</f>
        <v>0</v>
      </c>
      <c r="O2" s="784"/>
      <c r="P2" s="784"/>
      <c r="Q2" s="784"/>
      <c r="R2" s="784"/>
    </row>
    <row r="3" spans="2:20" ht="20.25" customHeight="1" x14ac:dyDescent="0.2">
      <c r="B3" s="220" t="str">
        <f>+B$154</f>
        <v>Customer Name</v>
      </c>
      <c r="C3" s="220"/>
      <c r="D3" s="784" t="str">
        <f>+D$154</f>
        <v xml:space="preserve">  </v>
      </c>
      <c r="E3" s="784"/>
      <c r="F3" s="784"/>
      <c r="G3" s="784"/>
      <c r="H3" s="784"/>
      <c r="J3" s="1121" t="s">
        <v>305</v>
      </c>
      <c r="K3" s="1121"/>
      <c r="L3" s="1121"/>
      <c r="N3" s="1122">
        <f>'Costing Sheet'!C$11</f>
        <v>0</v>
      </c>
      <c r="O3" s="1122"/>
      <c r="P3" s="1122"/>
    </row>
    <row r="4" spans="2:20" ht="63" x14ac:dyDescent="0.2">
      <c r="B4" s="240" t="s">
        <v>51</v>
      </c>
      <c r="D4" s="510" t="s">
        <v>109</v>
      </c>
      <c r="E4" s="510"/>
      <c r="F4" s="511" t="s">
        <v>379</v>
      </c>
      <c r="G4" s="511"/>
      <c r="H4" s="511"/>
      <c r="I4" s="511"/>
      <c r="J4" s="220"/>
      <c r="K4" s="220"/>
      <c r="L4" s="220"/>
      <c r="M4" s="220"/>
      <c r="N4" s="416" t="s">
        <v>380</v>
      </c>
      <c r="P4" s="416" t="s">
        <v>381</v>
      </c>
      <c r="Q4" s="416"/>
      <c r="R4" s="416" t="s">
        <v>382</v>
      </c>
      <c r="S4"/>
      <c r="T4"/>
    </row>
    <row r="5" spans="2:20" x14ac:dyDescent="0.2">
      <c r="B5" s="512"/>
      <c r="C5" s="239"/>
      <c r="D5" s="513"/>
      <c r="E5" s="513"/>
      <c r="F5" s="514"/>
      <c r="G5" s="514"/>
      <c r="H5" s="514"/>
      <c r="I5" s="514"/>
      <c r="J5" s="216"/>
      <c r="K5" s="216"/>
      <c r="L5" s="216"/>
      <c r="M5" s="216"/>
      <c r="N5" s="343"/>
      <c r="O5" s="239"/>
      <c r="P5" s="343"/>
      <c r="Q5" s="343"/>
      <c r="R5" s="515"/>
      <c r="S5"/>
      <c r="T5"/>
    </row>
    <row r="6" spans="2:20" ht="21" x14ac:dyDescent="0.2">
      <c r="B6" s="516">
        <f>+'Sales Input Sheet'!A19</f>
        <v>0</v>
      </c>
      <c r="C6" s="517"/>
      <c r="D6" s="518">
        <f>+Calculations!B526</f>
        <v>0</v>
      </c>
      <c r="E6" s="519" t="str">
        <f>IF('Sales Input Sheet'!W19="N","NEW",IF('Sales Input Sheet'!W19="U","USED",""))</f>
        <v/>
      </c>
      <c r="F6" s="520">
        <f>Calculations!B11</f>
        <v>0</v>
      </c>
      <c r="G6" s="520"/>
      <c r="H6" s="520" t="s">
        <v>383</v>
      </c>
      <c r="I6" s="520"/>
      <c r="J6" s="521">
        <f>-'Costing Sheet'!Q22</f>
        <v>0</v>
      </c>
      <c r="K6" s="522"/>
      <c r="L6" s="521" t="str">
        <f>+UPPER(_xlfn.CONCAT('Costing Sheet'!U22," ",'Costing Sheet'!AS22))</f>
        <v xml:space="preserve"> </v>
      </c>
      <c r="M6" s="522"/>
      <c r="N6" s="522"/>
      <c r="O6" s="522"/>
      <c r="P6" s="522"/>
      <c r="Q6" s="522"/>
      <c r="R6" s="523"/>
      <c r="S6"/>
      <c r="T6"/>
    </row>
    <row r="7" spans="2:20" ht="42" customHeight="1" x14ac:dyDescent="0.2">
      <c r="B7" s="290" t="str">
        <f>+Calculations!B8</f>
        <v/>
      </c>
      <c r="D7" s="524"/>
      <c r="E7" s="524"/>
      <c r="F7" s="525"/>
      <c r="G7" s="525"/>
      <c r="H7" s="525" t="s">
        <v>144</v>
      </c>
      <c r="I7" s="525"/>
      <c r="J7" s="526">
        <f>+'Costing Sheet'!AI22</f>
        <v>0</v>
      </c>
      <c r="K7" s="527"/>
      <c r="L7" s="526" t="str">
        <f>UPPER(_xlfn.CONCAT('Costing Sheet'!AK22," ",'Costing Sheet'!AM22))</f>
        <v xml:space="preserve"> </v>
      </c>
      <c r="M7" s="527"/>
      <c r="N7" s="527" t="s">
        <v>384</v>
      </c>
      <c r="O7" s="527"/>
      <c r="P7" s="527">
        <f>+'Costing Sheet'!AO22</f>
        <v>0</v>
      </c>
      <c r="Q7" s="527"/>
      <c r="R7" s="528" t="str">
        <f>_xlfn.CONCAT(+'Costing Sheet'!AQ22," ",AW22)</f>
        <v xml:space="preserve"> </v>
      </c>
      <c r="S7"/>
      <c r="T7"/>
    </row>
    <row r="8" spans="2:20" ht="21" x14ac:dyDescent="0.2">
      <c r="B8" s="529"/>
      <c r="C8" s="530"/>
      <c r="D8" s="531"/>
      <c r="E8" s="531"/>
      <c r="F8" s="532"/>
      <c r="G8" s="532"/>
      <c r="H8" s="532" t="s">
        <v>385</v>
      </c>
      <c r="I8" s="532"/>
      <c r="J8" s="533">
        <f>'Costing Sheet'!AE22</f>
        <v>0</v>
      </c>
      <c r="K8" s="534"/>
      <c r="L8" s="533" t="str">
        <f>UPPER('Costing Sheet'!AG22)</f>
        <v/>
      </c>
      <c r="M8" s="534"/>
      <c r="N8" s="534">
        <f>+Calculations!B573</f>
        <v>0</v>
      </c>
      <c r="O8" s="534"/>
      <c r="P8" s="534">
        <f>IF('Sales Input Sheet'!$U19="2CYCLE",0,+Calculations!$B14)</f>
        <v>0</v>
      </c>
      <c r="Q8" s="534"/>
      <c r="R8" s="535">
        <f>IF('Sales Input Sheet'!$U19="2CYCLE",+Calculations!$B14,0)</f>
        <v>0</v>
      </c>
      <c r="S8"/>
      <c r="T8" s="342"/>
    </row>
    <row r="9" spans="2:20" ht="7" customHeight="1" x14ac:dyDescent="0.2">
      <c r="B9" s="290"/>
      <c r="D9" s="524"/>
      <c r="E9" s="524"/>
      <c r="F9" s="525"/>
      <c r="G9" s="525"/>
      <c r="H9" s="525"/>
      <c r="I9" s="525"/>
      <c r="J9" s="526"/>
      <c r="K9" s="527"/>
      <c r="L9" s="526"/>
      <c r="M9" s="527"/>
      <c r="N9" s="527"/>
      <c r="O9" s="527"/>
      <c r="P9" s="527"/>
      <c r="Q9" s="527"/>
      <c r="R9" s="528"/>
      <c r="S9"/>
      <c r="T9"/>
    </row>
    <row r="10" spans="2:20" ht="21" x14ac:dyDescent="0.2">
      <c r="B10" s="290">
        <f>+'Sales Input Sheet'!A20</f>
        <v>0</v>
      </c>
      <c r="D10" s="524">
        <f>+Calculations!B527</f>
        <v>0</v>
      </c>
      <c r="E10" s="536" t="str">
        <f>IF('Sales Input Sheet'!W20="N","NEW",IF('Sales Input Sheet'!W20="U","USED",""))</f>
        <v/>
      </c>
      <c r="F10" s="525">
        <f>Calculations!B23</f>
        <v>0</v>
      </c>
      <c r="G10" s="525"/>
      <c r="H10" s="525" t="s">
        <v>383</v>
      </c>
      <c r="I10" s="525"/>
      <c r="J10" s="526">
        <f>-'Costing Sheet'!Q23</f>
        <v>0</v>
      </c>
      <c r="K10" s="527"/>
      <c r="L10" s="521" t="str">
        <f>+UPPER(_xlfn.CONCAT('Costing Sheet'!U23," ",'Costing Sheet'!AS23))</f>
        <v xml:space="preserve"> </v>
      </c>
      <c r="M10" s="527"/>
      <c r="N10" s="527"/>
      <c r="O10" s="527"/>
      <c r="P10" s="527"/>
      <c r="Q10" s="527"/>
      <c r="R10" s="528"/>
      <c r="S10" s="537"/>
    </row>
    <row r="11" spans="2:20" ht="21" x14ac:dyDescent="0.2">
      <c r="B11" s="359" t="str">
        <f>+Calculations!B20</f>
        <v/>
      </c>
      <c r="D11" s="524"/>
      <c r="E11" s="524"/>
      <c r="F11" s="525"/>
      <c r="G11" s="525"/>
      <c r="H11" s="525" t="s">
        <v>144</v>
      </c>
      <c r="I11" s="525"/>
      <c r="J11" s="526">
        <f>+'Costing Sheet'!AI23</f>
        <v>0</v>
      </c>
      <c r="K11" s="527"/>
      <c r="L11" s="526" t="str">
        <f>Calculations!B629</f>
        <v/>
      </c>
      <c r="M11" s="527"/>
      <c r="N11" s="527" t="s">
        <v>384</v>
      </c>
      <c r="O11" s="527"/>
      <c r="P11" s="527">
        <f>+'Costing Sheet'!AO23</f>
        <v>0</v>
      </c>
      <c r="Q11" s="527"/>
      <c r="R11" s="528" t="str">
        <f>_xlfn.CONCAT(+'Costing Sheet'!AQ23," ",AW23)</f>
        <v xml:space="preserve"> </v>
      </c>
      <c r="S11" s="537"/>
    </row>
    <row r="12" spans="2:20" ht="21" x14ac:dyDescent="0.2">
      <c r="B12" s="529"/>
      <c r="C12" s="530"/>
      <c r="D12" s="531"/>
      <c r="E12" s="531"/>
      <c r="F12" s="532"/>
      <c r="G12" s="532"/>
      <c r="H12" s="532" t="s">
        <v>385</v>
      </c>
      <c r="I12" s="532"/>
      <c r="J12" s="533">
        <f>'Costing Sheet'!AE23</f>
        <v>0</v>
      </c>
      <c r="K12" s="534"/>
      <c r="L12" s="533" t="str">
        <f>UPPER('Costing Sheet'!AG23)</f>
        <v/>
      </c>
      <c r="M12" s="534"/>
      <c r="N12" s="534">
        <f>+Calculations!B574</f>
        <v>0</v>
      </c>
      <c r="O12" s="534"/>
      <c r="P12" s="534">
        <f>IF('Sales Input Sheet'!$U20="2CYCLE",0,+Calculations!$B26)</f>
        <v>0</v>
      </c>
      <c r="Q12" s="534"/>
      <c r="R12" s="535">
        <f>IF('Sales Input Sheet'!$U20="2CYCLE",+Calculations!$B26,0)</f>
        <v>0</v>
      </c>
      <c r="S12" s="537"/>
    </row>
    <row r="13" spans="2:20" x14ac:dyDescent="0.2">
      <c r="B13" s="290"/>
      <c r="D13" s="524"/>
      <c r="E13" s="524"/>
      <c r="F13" s="525"/>
      <c r="G13" s="525"/>
      <c r="H13" s="525"/>
      <c r="I13" s="525"/>
      <c r="J13" s="526"/>
      <c r="K13" s="527"/>
      <c r="L13" s="526"/>
      <c r="M13" s="527"/>
      <c r="N13" s="527"/>
      <c r="O13" s="527"/>
      <c r="P13" s="527"/>
      <c r="Q13" s="527"/>
      <c r="R13" s="528"/>
      <c r="S13" s="537"/>
    </row>
    <row r="14" spans="2:20" ht="21" x14ac:dyDescent="0.2">
      <c r="B14" s="290">
        <f>+'Sales Input Sheet'!A21</f>
        <v>0</v>
      </c>
      <c r="D14" s="524">
        <f>+Calculations!B528</f>
        <v>0</v>
      </c>
      <c r="E14" s="536" t="str">
        <f>IF('Sales Input Sheet'!W21="N","NEW",IF('Sales Input Sheet'!W21="U","USED",""))</f>
        <v/>
      </c>
      <c r="F14" s="525">
        <f>Calculations!B35</f>
        <v>0</v>
      </c>
      <c r="G14" s="525"/>
      <c r="H14" s="525" t="s">
        <v>383</v>
      </c>
      <c r="I14" s="525"/>
      <c r="J14" s="526">
        <f>-'Costing Sheet'!Q24</f>
        <v>0</v>
      </c>
      <c r="K14" s="527"/>
      <c r="L14" s="521" t="str">
        <f>+UPPER(_xlfn.CONCAT('Costing Sheet'!U24," ",'Costing Sheet'!AS24))</f>
        <v xml:space="preserve"> </v>
      </c>
      <c r="M14" s="527"/>
      <c r="N14" s="527"/>
      <c r="O14" s="527"/>
      <c r="P14" s="527"/>
      <c r="Q14" s="527"/>
      <c r="R14" s="528"/>
      <c r="S14" s="537"/>
    </row>
    <row r="15" spans="2:20" ht="21" x14ac:dyDescent="0.2">
      <c r="B15" s="290" t="str">
        <f>+Calculations!B32</f>
        <v/>
      </c>
      <c r="D15" s="524"/>
      <c r="E15" s="524"/>
      <c r="F15" s="525"/>
      <c r="G15" s="525"/>
      <c r="H15" s="525" t="s">
        <v>144</v>
      </c>
      <c r="I15" s="525"/>
      <c r="J15" s="526">
        <f>+'Costing Sheet'!AI24</f>
        <v>0</v>
      </c>
      <c r="K15" s="527"/>
      <c r="L15" s="526" t="str">
        <f>Calculations!B630</f>
        <v/>
      </c>
      <c r="M15" s="527"/>
      <c r="N15" s="527" t="s">
        <v>384</v>
      </c>
      <c r="O15" s="527"/>
      <c r="P15" s="527">
        <f>+'Costing Sheet'!AO24</f>
        <v>0</v>
      </c>
      <c r="Q15" s="527"/>
      <c r="R15" s="528" t="str">
        <f>_xlfn.CONCAT(+'Costing Sheet'!AQ24," ",AW24)</f>
        <v xml:space="preserve"> </v>
      </c>
      <c r="S15" s="537"/>
    </row>
    <row r="16" spans="2:20" ht="21" x14ac:dyDescent="0.2">
      <c r="B16" s="529"/>
      <c r="C16" s="530"/>
      <c r="D16" s="531"/>
      <c r="E16" s="531"/>
      <c r="F16" s="532"/>
      <c r="G16" s="532"/>
      <c r="H16" s="532" t="s">
        <v>385</v>
      </c>
      <c r="I16" s="532"/>
      <c r="J16" s="533">
        <f>'Costing Sheet'!AE24</f>
        <v>0</v>
      </c>
      <c r="K16" s="534"/>
      <c r="L16" s="533" t="str">
        <f>UPPER('Costing Sheet'!AG24)</f>
        <v/>
      </c>
      <c r="M16" s="534"/>
      <c r="N16" s="534">
        <f>+Calculations!B575</f>
        <v>0</v>
      </c>
      <c r="O16" s="534"/>
      <c r="P16" s="534">
        <f>IF('Sales Input Sheet'!$U21="2CYCLE",0,+Calculations!$B38)</f>
        <v>0</v>
      </c>
      <c r="Q16" s="534"/>
      <c r="R16" s="535">
        <f>IF('Sales Input Sheet'!$U21="2CYCLE",+Calculations!$B38,0)</f>
        <v>0</v>
      </c>
      <c r="S16" s="537"/>
      <c r="T16" s="342"/>
    </row>
    <row r="17" spans="2:20" x14ac:dyDescent="0.2">
      <c r="B17" s="290"/>
      <c r="D17" s="524"/>
      <c r="E17" s="524"/>
      <c r="F17" s="525"/>
      <c r="G17" s="525"/>
      <c r="H17" s="525"/>
      <c r="I17" s="525"/>
      <c r="J17" s="526"/>
      <c r="K17" s="527"/>
      <c r="L17" s="526"/>
      <c r="M17" s="527"/>
      <c r="N17" s="527"/>
      <c r="O17" s="527"/>
      <c r="P17" s="527"/>
      <c r="Q17" s="527"/>
      <c r="R17" s="528"/>
      <c r="S17" s="537"/>
    </row>
    <row r="18" spans="2:20" ht="21" x14ac:dyDescent="0.2">
      <c r="B18" s="276">
        <f>+'Sales Input Sheet'!A22</f>
        <v>0</v>
      </c>
      <c r="C18" s="220"/>
      <c r="D18" s="524">
        <f>+Calculations!B529</f>
        <v>0</v>
      </c>
      <c r="E18" s="536" t="str">
        <f>IF('Sales Input Sheet'!W22="N","NEW",IF('Sales Input Sheet'!W22="U","USED",""))</f>
        <v/>
      </c>
      <c r="F18" s="525">
        <f>Calculations!B47</f>
        <v>0</v>
      </c>
      <c r="G18" s="525"/>
      <c r="H18" s="525" t="s">
        <v>383</v>
      </c>
      <c r="I18" s="525"/>
      <c r="J18" s="526">
        <f>-'Costing Sheet'!Q25</f>
        <v>0</v>
      </c>
      <c r="K18" s="527"/>
      <c r="L18" s="521" t="str">
        <f>+UPPER(_xlfn.CONCAT('Costing Sheet'!U25," ",'Costing Sheet'!AS25))</f>
        <v xml:space="preserve"> </v>
      </c>
      <c r="M18" s="527"/>
      <c r="N18" s="527"/>
      <c r="O18" s="527"/>
      <c r="P18" s="527"/>
      <c r="Q18" s="527"/>
      <c r="R18" s="528"/>
      <c r="S18" s="537"/>
    </row>
    <row r="19" spans="2:20" ht="21" x14ac:dyDescent="0.2">
      <c r="B19" s="290" t="str">
        <f>+Calculations!B44</f>
        <v/>
      </c>
      <c r="C19" s="220"/>
      <c r="D19" s="524"/>
      <c r="E19" s="524"/>
      <c r="F19" s="525"/>
      <c r="G19" s="525"/>
      <c r="H19" s="525" t="s">
        <v>144</v>
      </c>
      <c r="I19" s="525"/>
      <c r="J19" s="526">
        <f>+'Costing Sheet'!AI25</f>
        <v>0</v>
      </c>
      <c r="K19" s="527"/>
      <c r="L19" s="526" t="str">
        <f>Calculations!B631</f>
        <v/>
      </c>
      <c r="M19" s="527"/>
      <c r="N19" s="527" t="s">
        <v>384</v>
      </c>
      <c r="O19" s="527"/>
      <c r="P19" s="527">
        <f>+'Costing Sheet'!AO25</f>
        <v>0</v>
      </c>
      <c r="Q19" s="527"/>
      <c r="R19" s="528" t="str">
        <f>_xlfn.CONCAT(+'Costing Sheet'!AQ25," ",AW25)</f>
        <v xml:space="preserve"> </v>
      </c>
      <c r="S19" s="537"/>
    </row>
    <row r="20" spans="2:20" ht="21" x14ac:dyDescent="0.2">
      <c r="B20" s="538"/>
      <c r="C20" s="539"/>
      <c r="D20" s="531"/>
      <c r="E20" s="531"/>
      <c r="F20" s="532"/>
      <c r="G20" s="532"/>
      <c r="H20" s="532" t="s">
        <v>385</v>
      </c>
      <c r="I20" s="532"/>
      <c r="J20" s="533">
        <f>'Costing Sheet'!AE25</f>
        <v>0</v>
      </c>
      <c r="K20" s="534"/>
      <c r="L20" s="533" t="str">
        <f>UPPER('Costing Sheet'!AG25)</f>
        <v/>
      </c>
      <c r="M20" s="534"/>
      <c r="N20" s="534">
        <f>+Calculations!B576</f>
        <v>0</v>
      </c>
      <c r="O20" s="534"/>
      <c r="P20" s="534">
        <f>IF('Sales Input Sheet'!$U22="2CYCLE",0,+Calculations!$B50)</f>
        <v>0</v>
      </c>
      <c r="Q20" s="534"/>
      <c r="R20" s="535">
        <f>IF('Sales Input Sheet'!$U22="2CYCLE",+Calculations!$B50,0)</f>
        <v>0</v>
      </c>
      <c r="S20" s="537"/>
      <c r="T20" s="342"/>
    </row>
    <row r="21" spans="2:20" x14ac:dyDescent="0.2">
      <c r="B21" s="540"/>
      <c r="C21" s="541"/>
      <c r="D21" s="518"/>
      <c r="E21" s="518"/>
      <c r="F21" s="520"/>
      <c r="G21" s="520"/>
      <c r="H21" s="520"/>
      <c r="I21" s="520"/>
      <c r="J21" s="521"/>
      <c r="K21" s="522"/>
      <c r="L21" s="521"/>
      <c r="M21" s="522"/>
      <c r="N21" s="522"/>
      <c r="O21" s="522"/>
      <c r="P21" s="522"/>
      <c r="Q21" s="522"/>
      <c r="R21" s="523"/>
      <c r="S21" s="537"/>
    </row>
    <row r="22" spans="2:20" ht="21" x14ac:dyDescent="0.2">
      <c r="B22" s="276">
        <f>+'Sales Input Sheet'!A23</f>
        <v>0</v>
      </c>
      <c r="C22" s="220"/>
      <c r="D22" s="524">
        <f>+Calculations!B530</f>
        <v>0</v>
      </c>
      <c r="E22" s="536" t="str">
        <f>IF('Sales Input Sheet'!W23="N","NEW",IF('Sales Input Sheet'!W23="U","USED",""))</f>
        <v/>
      </c>
      <c r="F22" s="525">
        <f>Calculations!B59</f>
        <v>0</v>
      </c>
      <c r="G22" s="525"/>
      <c r="H22" s="525" t="s">
        <v>383</v>
      </c>
      <c r="I22" s="525"/>
      <c r="J22" s="526">
        <f>-'Costing Sheet'!Q26</f>
        <v>0</v>
      </c>
      <c r="K22" s="527"/>
      <c r="L22" s="521" t="str">
        <f>+UPPER(_xlfn.CONCAT('Costing Sheet'!U26," ",'Costing Sheet'!AS26))</f>
        <v xml:space="preserve"> </v>
      </c>
      <c r="M22" s="527"/>
      <c r="N22" s="527"/>
      <c r="O22" s="527"/>
      <c r="P22" s="527"/>
      <c r="Q22" s="527"/>
      <c r="R22" s="528"/>
      <c r="S22" s="537"/>
    </row>
    <row r="23" spans="2:20" ht="21" x14ac:dyDescent="0.2">
      <c r="B23" s="290" t="str">
        <f>+Calculations!B56</f>
        <v/>
      </c>
      <c r="C23" s="220"/>
      <c r="D23" s="524"/>
      <c r="E23" s="524"/>
      <c r="F23" s="525"/>
      <c r="G23" s="525"/>
      <c r="H23" s="525" t="s">
        <v>144</v>
      </c>
      <c r="I23" s="525"/>
      <c r="J23" s="526">
        <f>+'Costing Sheet'!AI26</f>
        <v>0</v>
      </c>
      <c r="K23" s="527"/>
      <c r="L23" s="526" t="str">
        <f>Calculations!B632</f>
        <v/>
      </c>
      <c r="M23" s="527"/>
      <c r="N23" s="527" t="s">
        <v>384</v>
      </c>
      <c r="O23" s="527"/>
      <c r="P23" s="527">
        <f>+'Costing Sheet'!AO26</f>
        <v>0</v>
      </c>
      <c r="Q23" s="527"/>
      <c r="R23" s="528" t="str">
        <f>_xlfn.CONCAT(+'Costing Sheet'!AQ26," ",AW26)</f>
        <v xml:space="preserve"> </v>
      </c>
      <c r="S23" s="537"/>
    </row>
    <row r="24" spans="2:20" ht="21" x14ac:dyDescent="0.2">
      <c r="B24" s="538"/>
      <c r="C24" s="539"/>
      <c r="D24" s="531"/>
      <c r="E24" s="531"/>
      <c r="F24" s="532"/>
      <c r="G24" s="532"/>
      <c r="H24" s="532" t="s">
        <v>385</v>
      </c>
      <c r="I24" s="532"/>
      <c r="J24" s="533">
        <f>'Costing Sheet'!AE26</f>
        <v>0</v>
      </c>
      <c r="K24" s="534"/>
      <c r="L24" s="533" t="str">
        <f>UPPER('Costing Sheet'!AG26)</f>
        <v/>
      </c>
      <c r="M24" s="534"/>
      <c r="N24" s="534">
        <f>+Calculations!B577</f>
        <v>0</v>
      </c>
      <c r="O24" s="534"/>
      <c r="P24" s="534">
        <f>IF('Sales Input Sheet'!$U23="2CYCLE",0,+Calculations!$B62)</f>
        <v>0</v>
      </c>
      <c r="Q24" s="534"/>
      <c r="R24" s="535">
        <f>IF('Sales Input Sheet'!$U23="2CYCLE",+Calculations!$B62,0)</f>
        <v>0</v>
      </c>
      <c r="S24" s="537"/>
      <c r="T24" s="342"/>
    </row>
    <row r="25" spans="2:20" x14ac:dyDescent="0.2">
      <c r="B25" s="540"/>
      <c r="C25" s="541"/>
      <c r="D25" s="518"/>
      <c r="E25" s="518"/>
      <c r="F25" s="520"/>
      <c r="G25" s="520"/>
      <c r="H25" s="520"/>
      <c r="I25" s="520"/>
      <c r="J25" s="521"/>
      <c r="K25" s="522"/>
      <c r="L25" s="521"/>
      <c r="M25" s="522"/>
      <c r="N25" s="522"/>
      <c r="O25" s="522"/>
      <c r="P25" s="522"/>
      <c r="Q25" s="522"/>
      <c r="R25" s="523"/>
      <c r="S25" s="537"/>
    </row>
    <row r="26" spans="2:20" ht="21" x14ac:dyDescent="0.2">
      <c r="B26" s="276">
        <f>+'Sales Input Sheet'!A24</f>
        <v>0</v>
      </c>
      <c r="C26" s="220"/>
      <c r="D26" s="524">
        <f>+Calculations!B531</f>
        <v>0</v>
      </c>
      <c r="E26" s="536" t="str">
        <f>IF('Sales Input Sheet'!W24="N","NEW",IF('Sales Input Sheet'!W24="U","USED",""))</f>
        <v/>
      </c>
      <c r="F26" s="525">
        <f>Calculations!B71</f>
        <v>0</v>
      </c>
      <c r="G26" s="525"/>
      <c r="H26" s="525" t="s">
        <v>383</v>
      </c>
      <c r="I26" s="525"/>
      <c r="J26" s="526">
        <f>-'Costing Sheet'!Q27</f>
        <v>0</v>
      </c>
      <c r="K26" s="527"/>
      <c r="L26" s="521" t="str">
        <f>+UPPER(_xlfn.CONCAT('Costing Sheet'!U27," ",'Costing Sheet'!AS27))</f>
        <v xml:space="preserve"> </v>
      </c>
      <c r="M26" s="527"/>
      <c r="N26" s="527"/>
      <c r="O26" s="527"/>
      <c r="P26" s="527"/>
      <c r="Q26" s="527"/>
      <c r="R26" s="528"/>
      <c r="S26" s="537"/>
    </row>
    <row r="27" spans="2:20" ht="21" x14ac:dyDescent="0.2">
      <c r="B27" s="290" t="str">
        <f>+Calculations!B68</f>
        <v/>
      </c>
      <c r="C27" s="220"/>
      <c r="D27" s="524"/>
      <c r="E27" s="524"/>
      <c r="F27" s="525"/>
      <c r="G27" s="525"/>
      <c r="H27" s="525" t="s">
        <v>144</v>
      </c>
      <c r="I27" s="525"/>
      <c r="J27" s="526">
        <f>+'Costing Sheet'!AI27</f>
        <v>0</v>
      </c>
      <c r="K27" s="527"/>
      <c r="L27" s="526" t="str">
        <f>Calculations!B633</f>
        <v/>
      </c>
      <c r="M27" s="527"/>
      <c r="N27" s="527" t="s">
        <v>384</v>
      </c>
      <c r="O27" s="527"/>
      <c r="P27" s="527">
        <f>+'Costing Sheet'!AO27</f>
        <v>0</v>
      </c>
      <c r="Q27" s="527"/>
      <c r="R27" s="528" t="str">
        <f>_xlfn.CONCAT(+'Costing Sheet'!AQ27," ",AW27)</f>
        <v xml:space="preserve"> </v>
      </c>
      <c r="S27" s="537"/>
    </row>
    <row r="28" spans="2:20" ht="21" x14ac:dyDescent="0.2">
      <c r="B28" s="538"/>
      <c r="C28" s="539"/>
      <c r="D28" s="531"/>
      <c r="E28" s="531"/>
      <c r="F28" s="532"/>
      <c r="G28" s="532"/>
      <c r="H28" s="532" t="s">
        <v>385</v>
      </c>
      <c r="I28" s="532"/>
      <c r="J28" s="533">
        <f>'Costing Sheet'!AE27</f>
        <v>0</v>
      </c>
      <c r="K28" s="534"/>
      <c r="L28" s="533" t="str">
        <f>UPPER('Costing Sheet'!AG27)</f>
        <v/>
      </c>
      <c r="M28" s="534"/>
      <c r="N28" s="534">
        <f>+Calculations!B578</f>
        <v>0</v>
      </c>
      <c r="O28" s="534"/>
      <c r="P28" s="534">
        <f>IF('Sales Input Sheet'!$U24="2CYCLE",0,+Calculations!$B74)</f>
        <v>0</v>
      </c>
      <c r="Q28" s="534"/>
      <c r="R28" s="535">
        <f>IF('Sales Input Sheet'!$U24="2CYCLE",+Calculations!$B74,0)</f>
        <v>0</v>
      </c>
      <c r="S28" s="537"/>
      <c r="T28" s="342"/>
    </row>
    <row r="29" spans="2:20" x14ac:dyDescent="0.2">
      <c r="B29" s="276"/>
      <c r="C29" s="220"/>
      <c r="D29" s="524"/>
      <c r="E29" s="524"/>
      <c r="F29" s="525"/>
      <c r="G29" s="525"/>
      <c r="H29" s="525"/>
      <c r="I29" s="525"/>
      <c r="J29" s="526"/>
      <c r="K29" s="527"/>
      <c r="L29" s="526"/>
      <c r="M29" s="527"/>
      <c r="N29" s="527"/>
      <c r="O29" s="527"/>
      <c r="P29" s="527"/>
      <c r="Q29" s="527"/>
      <c r="R29" s="528"/>
      <c r="S29" s="537"/>
    </row>
    <row r="30" spans="2:20" ht="21" x14ac:dyDescent="0.2">
      <c r="B30" s="276">
        <f>+'Sales Input Sheet'!A25</f>
        <v>0</v>
      </c>
      <c r="C30" s="220"/>
      <c r="D30" s="524">
        <f>+Calculations!B532</f>
        <v>0</v>
      </c>
      <c r="E30" s="536" t="str">
        <f>IF('Sales Input Sheet'!W25="N","NEW",IF('Sales Input Sheet'!W25="U","USED",""))</f>
        <v/>
      </c>
      <c r="F30" s="525">
        <f>Calculations!B83</f>
        <v>0</v>
      </c>
      <c r="G30" s="525"/>
      <c r="H30" s="525" t="s">
        <v>383</v>
      </c>
      <c r="I30" s="525"/>
      <c r="J30" s="526">
        <f>-'Costing Sheet'!Q28</f>
        <v>0</v>
      </c>
      <c r="K30" s="527"/>
      <c r="L30" s="521" t="str">
        <f>+UPPER(_xlfn.CONCAT('Costing Sheet'!U28," ",'Costing Sheet'!AS28))</f>
        <v xml:space="preserve"> </v>
      </c>
      <c r="M30" s="527"/>
      <c r="N30" s="527"/>
      <c r="O30" s="527"/>
      <c r="P30" s="527"/>
      <c r="Q30" s="527"/>
      <c r="R30" s="528"/>
      <c r="S30" s="537"/>
    </row>
    <row r="31" spans="2:20" ht="21" x14ac:dyDescent="0.2">
      <c r="B31" s="290" t="str">
        <f>+Calculations!B80</f>
        <v/>
      </c>
      <c r="C31" s="220"/>
      <c r="D31" s="524"/>
      <c r="E31" s="524"/>
      <c r="F31" s="525"/>
      <c r="G31" s="525"/>
      <c r="H31" s="525" t="s">
        <v>144</v>
      </c>
      <c r="I31" s="525"/>
      <c r="J31" s="526">
        <f>+'Costing Sheet'!AI28</f>
        <v>0</v>
      </c>
      <c r="K31" s="527"/>
      <c r="L31" s="526" t="str">
        <f>Calculations!B634</f>
        <v/>
      </c>
      <c r="M31" s="527"/>
      <c r="N31" s="527" t="s">
        <v>384</v>
      </c>
      <c r="O31" s="527"/>
      <c r="P31" s="527">
        <f>+'Costing Sheet'!AO28</f>
        <v>0</v>
      </c>
      <c r="Q31" s="527"/>
      <c r="R31" s="528" t="str">
        <f>_xlfn.CONCAT(+'Costing Sheet'!AQ28," ",AW28)</f>
        <v xml:space="preserve"> </v>
      </c>
      <c r="S31" s="537"/>
    </row>
    <row r="32" spans="2:20" ht="21" x14ac:dyDescent="0.2">
      <c r="B32" s="538"/>
      <c r="C32" s="539"/>
      <c r="D32" s="531"/>
      <c r="E32" s="531"/>
      <c r="F32" s="532"/>
      <c r="G32" s="532"/>
      <c r="H32" s="532" t="s">
        <v>385</v>
      </c>
      <c r="I32" s="532"/>
      <c r="J32" s="533">
        <f>'Costing Sheet'!AE28</f>
        <v>0</v>
      </c>
      <c r="K32" s="534"/>
      <c r="L32" s="533" t="str">
        <f>UPPER('Costing Sheet'!AG28)</f>
        <v/>
      </c>
      <c r="M32" s="534"/>
      <c r="N32" s="534">
        <f>+Calculations!B579</f>
        <v>0</v>
      </c>
      <c r="O32" s="534"/>
      <c r="P32" s="534">
        <f>IF('Sales Input Sheet'!$U25="2CYCLE",0,+Calculations!$B86)</f>
        <v>0</v>
      </c>
      <c r="Q32" s="534"/>
      <c r="R32" s="535">
        <f>IF('Sales Input Sheet'!$U25="2CYCLE",+Calculations!$B86,0)</f>
        <v>0</v>
      </c>
      <c r="S32" s="537"/>
      <c r="T32" s="342"/>
    </row>
    <row r="33" spans="2:20" x14ac:dyDescent="0.2">
      <c r="B33" s="276"/>
      <c r="C33" s="220"/>
      <c r="D33" s="524"/>
      <c r="E33" s="524"/>
      <c r="F33" s="525"/>
      <c r="G33" s="525"/>
      <c r="H33" s="525"/>
      <c r="I33" s="525"/>
      <c r="J33" s="526"/>
      <c r="K33" s="527"/>
      <c r="L33" s="526"/>
      <c r="M33" s="527"/>
      <c r="N33" s="527"/>
      <c r="O33" s="527"/>
      <c r="P33" s="527"/>
      <c r="Q33" s="527"/>
      <c r="R33" s="528"/>
      <c r="S33" s="537"/>
    </row>
    <row r="34" spans="2:20" ht="21" x14ac:dyDescent="0.2">
      <c r="B34" s="276">
        <f>+'Sales Input Sheet'!A26</f>
        <v>0</v>
      </c>
      <c r="C34" s="220"/>
      <c r="D34" s="524">
        <f>+Calculations!B533</f>
        <v>0</v>
      </c>
      <c r="E34" s="536" t="str">
        <f>IF('Sales Input Sheet'!W26="N","NEW",IF('Sales Input Sheet'!W26="U","USED",""))</f>
        <v/>
      </c>
      <c r="F34" s="525">
        <f>Calculations!B95</f>
        <v>0</v>
      </c>
      <c r="G34" s="525"/>
      <c r="H34" s="525" t="s">
        <v>383</v>
      </c>
      <c r="I34" s="525"/>
      <c r="J34" s="526">
        <f>-'Costing Sheet'!Q29</f>
        <v>0</v>
      </c>
      <c r="K34" s="527"/>
      <c r="L34" s="521" t="str">
        <f>+UPPER(_xlfn.CONCAT('Costing Sheet'!U29," ",'Costing Sheet'!AS29))</f>
        <v xml:space="preserve"> </v>
      </c>
      <c r="M34" s="527"/>
      <c r="N34" s="527"/>
      <c r="O34" s="527"/>
      <c r="P34" s="527"/>
      <c r="Q34" s="527"/>
      <c r="R34" s="528"/>
      <c r="S34" s="537"/>
    </row>
    <row r="35" spans="2:20" ht="21" x14ac:dyDescent="0.2">
      <c r="B35" s="290" t="str">
        <f>+Calculations!B92</f>
        <v/>
      </c>
      <c r="C35" s="220"/>
      <c r="D35" s="524"/>
      <c r="E35" s="524"/>
      <c r="F35" s="525"/>
      <c r="G35" s="525"/>
      <c r="H35" s="525" t="s">
        <v>144</v>
      </c>
      <c r="I35" s="525"/>
      <c r="J35" s="526">
        <f>+'Costing Sheet'!AI29</f>
        <v>0</v>
      </c>
      <c r="K35" s="527"/>
      <c r="L35" s="526" t="str">
        <f>Calculations!B635</f>
        <v/>
      </c>
      <c r="M35" s="527"/>
      <c r="N35" s="527" t="s">
        <v>384</v>
      </c>
      <c r="O35" s="527"/>
      <c r="P35" s="527">
        <f>+'Costing Sheet'!AO29</f>
        <v>0</v>
      </c>
      <c r="Q35" s="527"/>
      <c r="R35" s="528" t="str">
        <f>_xlfn.CONCAT(+'Costing Sheet'!AQ29," ",AW29)</f>
        <v xml:space="preserve"> </v>
      </c>
      <c r="S35" s="537"/>
    </row>
    <row r="36" spans="2:20" ht="21" x14ac:dyDescent="0.2">
      <c r="B36" s="538"/>
      <c r="C36" s="539"/>
      <c r="D36" s="531"/>
      <c r="E36" s="531"/>
      <c r="F36" s="532"/>
      <c r="G36" s="532"/>
      <c r="H36" s="532" t="s">
        <v>385</v>
      </c>
      <c r="I36" s="532"/>
      <c r="J36" s="533">
        <f>'Costing Sheet'!AE29</f>
        <v>0</v>
      </c>
      <c r="K36" s="534"/>
      <c r="L36" s="533" t="str">
        <f>UPPER('Costing Sheet'!AG29)</f>
        <v/>
      </c>
      <c r="M36" s="534"/>
      <c r="N36" s="534">
        <f>+Calculations!B580</f>
        <v>0</v>
      </c>
      <c r="O36" s="534"/>
      <c r="P36" s="534">
        <f>IF('Sales Input Sheet'!$U26="2CYCLE",0,+Calculations!$B98)</f>
        <v>0</v>
      </c>
      <c r="Q36" s="534"/>
      <c r="R36" s="535">
        <f>IF('Sales Input Sheet'!$U26="2CYCLE",+Calculations!$B98,0)</f>
        <v>0</v>
      </c>
      <c r="S36" s="537"/>
      <c r="T36" s="342"/>
    </row>
    <row r="37" spans="2:20" x14ac:dyDescent="0.2">
      <c r="B37" s="276"/>
      <c r="C37" s="220"/>
      <c r="D37" s="524"/>
      <c r="E37" s="524"/>
      <c r="F37" s="525"/>
      <c r="G37" s="525"/>
      <c r="H37" s="525"/>
      <c r="I37" s="525"/>
      <c r="J37" s="526"/>
      <c r="K37" s="527"/>
      <c r="L37" s="526"/>
      <c r="M37" s="527"/>
      <c r="N37" s="527"/>
      <c r="O37" s="527"/>
      <c r="P37" s="527"/>
      <c r="Q37" s="527"/>
      <c r="R37" s="528"/>
      <c r="S37" s="537"/>
    </row>
    <row r="38" spans="2:20" ht="21" x14ac:dyDescent="0.2">
      <c r="B38" s="276">
        <f>+'Sales Input Sheet'!A27</f>
        <v>0</v>
      </c>
      <c r="C38" s="220"/>
      <c r="D38" s="524">
        <f>+Calculations!B534</f>
        <v>0</v>
      </c>
      <c r="E38" s="536" t="str">
        <f>IF('Sales Input Sheet'!W27="N","NEW",IF('Sales Input Sheet'!W27="U","USED",""))</f>
        <v/>
      </c>
      <c r="F38" s="525">
        <f>Calculations!B107</f>
        <v>0</v>
      </c>
      <c r="G38" s="525"/>
      <c r="H38" s="525" t="s">
        <v>383</v>
      </c>
      <c r="I38" s="525"/>
      <c r="J38" s="526">
        <f>-'Costing Sheet'!Q30</f>
        <v>0</v>
      </c>
      <c r="K38" s="527"/>
      <c r="L38" s="521" t="str">
        <f>+UPPER(_xlfn.CONCAT('Costing Sheet'!U30," ",'Costing Sheet'!AS30))</f>
        <v xml:space="preserve"> </v>
      </c>
      <c r="M38" s="527"/>
      <c r="N38" s="527"/>
      <c r="O38" s="527"/>
      <c r="P38" s="527"/>
      <c r="Q38" s="527"/>
      <c r="R38" s="528"/>
      <c r="S38" s="537"/>
    </row>
    <row r="39" spans="2:20" ht="21" x14ac:dyDescent="0.2">
      <c r="B39" s="290" t="str">
        <f>+Calculations!B104</f>
        <v/>
      </c>
      <c r="C39" s="220"/>
      <c r="D39" s="524"/>
      <c r="E39" s="524"/>
      <c r="F39" s="525"/>
      <c r="G39" s="525"/>
      <c r="H39" s="525" t="s">
        <v>144</v>
      </c>
      <c r="I39" s="525"/>
      <c r="J39" s="526">
        <f>+'Costing Sheet'!AI30</f>
        <v>0</v>
      </c>
      <c r="K39" s="527"/>
      <c r="L39" s="526" t="str">
        <f>Calculations!B636</f>
        <v/>
      </c>
      <c r="M39" s="527"/>
      <c r="N39" s="527" t="s">
        <v>384</v>
      </c>
      <c r="O39" s="527"/>
      <c r="P39" s="527">
        <f>+'Costing Sheet'!AO30</f>
        <v>0</v>
      </c>
      <c r="Q39" s="527"/>
      <c r="R39" s="528" t="str">
        <f>_xlfn.CONCAT(+'Costing Sheet'!AQ30," ",AW30)</f>
        <v xml:space="preserve"> </v>
      </c>
      <c r="S39" s="537"/>
    </row>
    <row r="40" spans="2:20" ht="21" x14ac:dyDescent="0.2">
      <c r="B40" s="538"/>
      <c r="C40" s="539"/>
      <c r="D40" s="531"/>
      <c r="E40" s="531"/>
      <c r="F40" s="532"/>
      <c r="G40" s="532"/>
      <c r="H40" s="532" t="s">
        <v>385</v>
      </c>
      <c r="I40" s="532"/>
      <c r="J40" s="533">
        <f>'Costing Sheet'!AE30</f>
        <v>0</v>
      </c>
      <c r="K40" s="534"/>
      <c r="L40" s="533" t="str">
        <f>UPPER('Costing Sheet'!AG30)</f>
        <v/>
      </c>
      <c r="M40" s="534"/>
      <c r="N40" s="534">
        <f>+Calculations!B581</f>
        <v>0</v>
      </c>
      <c r="O40" s="534"/>
      <c r="P40" s="534">
        <f>IF('Sales Input Sheet'!$U27="2CYCLE",0,+Calculations!$B110)</f>
        <v>0</v>
      </c>
      <c r="Q40" s="534"/>
      <c r="R40" s="535">
        <f>IF('Sales Input Sheet'!$U27="2CYCLE",+Calculations!$B110,0)</f>
        <v>0</v>
      </c>
      <c r="S40" s="537"/>
      <c r="T40" s="342"/>
    </row>
    <row r="41" spans="2:20" x14ac:dyDescent="0.2">
      <c r="B41" s="540"/>
      <c r="C41" s="541"/>
      <c r="D41" s="518"/>
      <c r="E41" s="518"/>
      <c r="F41" s="520"/>
      <c r="G41" s="520"/>
      <c r="H41" s="520"/>
      <c r="I41" s="520"/>
      <c r="J41" s="521"/>
      <c r="K41" s="522"/>
      <c r="L41" s="521"/>
      <c r="M41" s="522"/>
      <c r="N41" s="522"/>
      <c r="O41" s="522"/>
      <c r="P41" s="522"/>
      <c r="Q41" s="522"/>
      <c r="R41" s="523"/>
      <c r="S41" s="537"/>
    </row>
    <row r="42" spans="2:20" ht="21" x14ac:dyDescent="0.2">
      <c r="B42" s="276">
        <f>+'Sales Input Sheet'!A28</f>
        <v>0</v>
      </c>
      <c r="C42" s="220"/>
      <c r="D42" s="524">
        <f>+Calculations!B535</f>
        <v>0</v>
      </c>
      <c r="E42" s="536" t="str">
        <f>IF('Sales Input Sheet'!W28="N","NEW",IF('Sales Input Sheet'!W28="U","USED",""))</f>
        <v/>
      </c>
      <c r="F42" s="525">
        <f>Calculations!B119</f>
        <v>0</v>
      </c>
      <c r="G42" s="525"/>
      <c r="H42" s="525" t="s">
        <v>383</v>
      </c>
      <c r="I42" s="525"/>
      <c r="J42" s="526">
        <f>-'Costing Sheet'!Q31</f>
        <v>0</v>
      </c>
      <c r="K42" s="527"/>
      <c r="L42" s="521" t="str">
        <f>+UPPER(_xlfn.CONCAT('Costing Sheet'!U31," ",'Costing Sheet'!AS31))</f>
        <v xml:space="preserve"> </v>
      </c>
      <c r="M42" s="527"/>
      <c r="N42" s="527"/>
      <c r="O42" s="527"/>
      <c r="P42" s="527"/>
      <c r="Q42" s="527"/>
      <c r="R42" s="528"/>
      <c r="S42" s="537"/>
    </row>
    <row r="43" spans="2:20" ht="21" x14ac:dyDescent="0.2">
      <c r="B43" s="290" t="str">
        <f>+Calculations!B116</f>
        <v/>
      </c>
      <c r="C43" s="220"/>
      <c r="D43" s="524"/>
      <c r="E43" s="524"/>
      <c r="F43" s="525"/>
      <c r="G43" s="525"/>
      <c r="H43" s="525" t="s">
        <v>144</v>
      </c>
      <c r="I43" s="525"/>
      <c r="J43" s="526">
        <f>+'Costing Sheet'!AI31</f>
        <v>0</v>
      </c>
      <c r="K43" s="527"/>
      <c r="L43" s="526" t="str">
        <f>Calculations!B637</f>
        <v/>
      </c>
      <c r="M43" s="527"/>
      <c r="N43" s="527" t="s">
        <v>384</v>
      </c>
      <c r="O43" s="527"/>
      <c r="P43" s="527">
        <f>+'Costing Sheet'!AO31</f>
        <v>0</v>
      </c>
      <c r="Q43" s="527"/>
      <c r="R43" s="528" t="str">
        <f>_xlfn.CONCAT(+'Costing Sheet'!AQ31," ",AW31)</f>
        <v xml:space="preserve"> </v>
      </c>
      <c r="S43" s="537"/>
    </row>
    <row r="44" spans="2:20" ht="21" x14ac:dyDescent="0.2">
      <c r="B44" s="542"/>
      <c r="C44" s="543"/>
      <c r="D44" s="544"/>
      <c r="E44" s="544"/>
      <c r="F44" s="545"/>
      <c r="G44" s="545"/>
      <c r="H44" s="545" t="s">
        <v>385</v>
      </c>
      <c r="I44" s="545"/>
      <c r="J44" s="546">
        <f>'Costing Sheet'!AE31</f>
        <v>0</v>
      </c>
      <c r="K44" s="547"/>
      <c r="L44" s="546" t="str">
        <f>UPPER('Costing Sheet'!AG31)</f>
        <v/>
      </c>
      <c r="M44" s="547"/>
      <c r="N44" s="547">
        <f>+Calculations!B582</f>
        <v>0</v>
      </c>
      <c r="O44" s="547"/>
      <c r="P44" s="547">
        <f>IF('Sales Input Sheet'!$U28="2CYCLE",0,+Calculations!$B122)</f>
        <v>0</v>
      </c>
      <c r="Q44" s="547"/>
      <c r="R44" s="548">
        <f>IF('Sales Input Sheet'!$U28="2CYCLE",+Calculations!$B122,0)</f>
        <v>0</v>
      </c>
      <c r="S44" s="537"/>
      <c r="T44" s="342"/>
    </row>
    <row r="45" spans="2:20" x14ac:dyDescent="0.2">
      <c r="B45" s="220"/>
      <c r="C45" s="220"/>
      <c r="D45" s="549"/>
      <c r="E45" s="549"/>
      <c r="F45" s="550"/>
      <c r="G45" s="550"/>
      <c r="H45" s="550"/>
      <c r="I45" s="550"/>
      <c r="J45" s="551"/>
      <c r="K45" s="552"/>
      <c r="L45" s="551"/>
      <c r="M45" s="552"/>
      <c r="N45" s="552"/>
      <c r="O45" s="552"/>
      <c r="P45" s="552"/>
      <c r="Q45" s="552"/>
      <c r="R45" s="552"/>
      <c r="S45" s="537"/>
    </row>
    <row r="46" spans="2:20" ht="21" x14ac:dyDescent="0.2">
      <c r="B46" s="220" t="str">
        <f>+B$149</f>
        <v>RECAP</v>
      </c>
      <c r="C46" s="220"/>
      <c r="D46" s="784" t="str">
        <f>+D$149</f>
        <v/>
      </c>
      <c r="E46" s="784"/>
      <c r="F46" s="784"/>
      <c r="G46" s="784"/>
      <c r="H46" s="784"/>
      <c r="I46" s="553"/>
      <c r="J46" s="784" t="s">
        <v>207</v>
      </c>
      <c r="K46" s="784"/>
      <c r="L46" s="784"/>
      <c r="N46" s="784">
        <f>+'Finance Manager Input Sheet'!C$28</f>
        <v>0</v>
      </c>
      <c r="O46" s="784"/>
      <c r="P46" s="784"/>
      <c r="Q46" s="784"/>
      <c r="R46" s="784"/>
      <c r="S46" s="537"/>
    </row>
    <row r="47" spans="2:20" ht="21" x14ac:dyDescent="0.2">
      <c r="B47" s="220" t="str">
        <f>+B$150</f>
        <v>Invoice Number</v>
      </c>
      <c r="C47" s="220"/>
      <c r="D47" s="784">
        <f>+D$150</f>
        <v>0</v>
      </c>
      <c r="E47" s="784"/>
      <c r="F47" s="784"/>
      <c r="G47" s="784"/>
      <c r="H47" s="784"/>
      <c r="I47" s="553"/>
      <c r="J47" s="784" t="s">
        <v>271</v>
      </c>
      <c r="K47" s="784"/>
      <c r="L47" s="784"/>
      <c r="N47" s="784">
        <f>'Sales Input Sheet'!C$11</f>
        <v>0</v>
      </c>
      <c r="O47" s="784"/>
      <c r="P47" s="784"/>
      <c r="Q47" s="784"/>
      <c r="R47" s="784"/>
      <c r="S47" s="537"/>
    </row>
    <row r="48" spans="2:20" ht="21" x14ac:dyDescent="0.2">
      <c r="B48" s="220" t="str">
        <f>+B$154</f>
        <v>Customer Name</v>
      </c>
      <c r="C48" s="220"/>
      <c r="D48" s="784" t="str">
        <f>+D$154</f>
        <v xml:space="preserve">  </v>
      </c>
      <c r="E48" s="784"/>
      <c r="F48" s="784"/>
      <c r="G48" s="784"/>
      <c r="H48" s="784"/>
      <c r="I48" s="553"/>
      <c r="J48" s="1121" t="s">
        <v>305</v>
      </c>
      <c r="K48" s="1121"/>
      <c r="L48" s="1121"/>
      <c r="N48" s="1122">
        <f>'Costing Sheet'!C$11</f>
        <v>0</v>
      </c>
      <c r="O48" s="1122"/>
      <c r="P48" s="1122"/>
      <c r="S48" s="537"/>
    </row>
    <row r="49" spans="2:20" x14ac:dyDescent="0.2">
      <c r="B49" s="220"/>
      <c r="C49" s="220"/>
      <c r="D49" s="220"/>
      <c r="E49" s="220"/>
      <c r="F49" s="220"/>
      <c r="G49" s="220"/>
      <c r="H49" s="220"/>
      <c r="I49" s="553"/>
      <c r="J49" s="554"/>
      <c r="K49" s="555"/>
      <c r="L49" s="554"/>
      <c r="M49" s="555"/>
      <c r="N49" s="555"/>
      <c r="O49" s="555"/>
      <c r="P49" s="555"/>
      <c r="Q49" s="555"/>
      <c r="R49" s="555"/>
      <c r="S49" s="537"/>
    </row>
    <row r="50" spans="2:20" ht="25" customHeight="1" x14ac:dyDescent="0.2">
      <c r="B50" s="901" t="s">
        <v>386</v>
      </c>
      <c r="C50" s="783"/>
      <c r="D50" s="783"/>
      <c r="E50" s="216"/>
      <c r="F50" s="216"/>
      <c r="G50" s="216"/>
      <c r="H50" s="216"/>
      <c r="I50" s="556"/>
      <c r="J50" s="557"/>
      <c r="K50" s="558"/>
      <c r="L50" s="557"/>
      <c r="M50" s="558"/>
      <c r="N50" s="558"/>
      <c r="O50" s="558"/>
      <c r="P50" s="558"/>
      <c r="Q50" s="558"/>
      <c r="R50" s="559"/>
      <c r="S50" s="537"/>
    </row>
    <row r="51" spans="2:20" ht="8.25" customHeight="1" x14ac:dyDescent="0.2">
      <c r="B51" s="276"/>
      <c r="C51" s="220"/>
      <c r="D51" s="220"/>
      <c r="E51" s="220"/>
      <c r="F51" s="220"/>
      <c r="G51" s="220"/>
      <c r="H51" s="220"/>
      <c r="I51" s="553"/>
      <c r="J51" s="554"/>
      <c r="K51" s="555"/>
      <c r="L51" s="554"/>
      <c r="M51" s="555"/>
      <c r="N51" s="555"/>
      <c r="O51" s="555"/>
      <c r="P51" s="555"/>
      <c r="Q51" s="555"/>
      <c r="R51" s="383"/>
      <c r="S51" s="537"/>
    </row>
    <row r="52" spans="2:20" ht="42" x14ac:dyDescent="0.2">
      <c r="B52" s="290" t="s">
        <v>387</v>
      </c>
      <c r="D52" s="524" t="s">
        <v>109</v>
      </c>
      <c r="E52" s="524"/>
      <c r="F52" s="525" t="s">
        <v>379</v>
      </c>
      <c r="G52" s="525"/>
      <c r="H52" s="525"/>
      <c r="I52" s="525"/>
      <c r="J52" s="295"/>
      <c r="K52" s="295"/>
      <c r="L52" s="295"/>
      <c r="M52" s="295"/>
      <c r="N52" s="427" t="s">
        <v>380</v>
      </c>
      <c r="O52" s="527"/>
      <c r="P52" s="427" t="s">
        <v>381</v>
      </c>
      <c r="Q52" s="427"/>
      <c r="R52" s="560" t="s">
        <v>382</v>
      </c>
    </row>
    <row r="53" spans="2:20" ht="21" x14ac:dyDescent="0.2">
      <c r="B53" s="276">
        <f>'Sales Input Sheet'!G31</f>
        <v>0</v>
      </c>
      <c r="C53" s="220"/>
      <c r="D53" s="524">
        <f>+Calculations!B536</f>
        <v>0</v>
      </c>
      <c r="E53" s="524"/>
      <c r="F53" s="526">
        <f>+'Costing Sheet'!O34</f>
        <v>0</v>
      </c>
      <c r="G53" s="526"/>
      <c r="H53" s="525" t="s">
        <v>383</v>
      </c>
      <c r="I53" s="524"/>
      <c r="J53" s="526">
        <f>-'Costing Sheet'!Q34</f>
        <v>0</v>
      </c>
      <c r="K53" s="527"/>
      <c r="L53" s="526" t="str">
        <f>UPPER(_xlfn.CONCAT('Costing Sheet'!U34," ",'Costing Sheet'!AS34))</f>
        <v xml:space="preserve"> </v>
      </c>
      <c r="M53" s="527"/>
      <c r="N53" s="527">
        <f>+Calculations!B583</f>
        <v>0</v>
      </c>
      <c r="O53" s="527"/>
      <c r="P53" s="527">
        <f>Calculations!B126</f>
        <v>0</v>
      </c>
      <c r="Q53" s="527"/>
      <c r="R53" s="528"/>
      <c r="S53" s="537"/>
      <c r="T53" s="342"/>
    </row>
    <row r="54" spans="2:20" ht="42" x14ac:dyDescent="0.2">
      <c r="B54" s="276"/>
      <c r="C54" s="220"/>
      <c r="D54" s="524"/>
      <c r="E54" s="524"/>
      <c r="F54" s="526"/>
      <c r="G54" s="526"/>
      <c r="H54" s="525" t="s">
        <v>388</v>
      </c>
      <c r="I54" s="524"/>
      <c r="J54" s="526">
        <f>+'Costing Sheet'!AE34</f>
        <v>0</v>
      </c>
      <c r="K54" s="527"/>
      <c r="L54" s="526" t="str">
        <f>_xlfn.CONCAT(+'Costing Sheet'!AG34," ",AW34)</f>
        <v xml:space="preserve"> </v>
      </c>
      <c r="M54" s="527"/>
      <c r="N54" s="527"/>
      <c r="O54" s="527"/>
      <c r="P54" s="527"/>
      <c r="Q54" s="527"/>
      <c r="R54" s="528"/>
      <c r="S54" s="537"/>
    </row>
    <row r="55" spans="2:20" ht="21" x14ac:dyDescent="0.2">
      <c r="B55" s="276">
        <f>'Sales Input Sheet'!G32</f>
        <v>0</v>
      </c>
      <c r="C55" s="220"/>
      <c r="D55" s="524">
        <f>+Calculations!B537</f>
        <v>0</v>
      </c>
      <c r="E55" s="524"/>
      <c r="F55" s="526">
        <f>+'Costing Sheet'!O35</f>
        <v>0</v>
      </c>
      <c r="G55" s="526"/>
      <c r="H55" s="525" t="s">
        <v>383</v>
      </c>
      <c r="I55" s="524"/>
      <c r="J55" s="526">
        <f>-'Costing Sheet'!Q35</f>
        <v>0</v>
      </c>
      <c r="K55" s="527"/>
      <c r="L55" s="526" t="str">
        <f>UPPER(_xlfn.CONCAT('Costing Sheet'!U35," ",'Costing Sheet'!AS35))</f>
        <v xml:space="preserve"> </v>
      </c>
      <c r="M55" s="527"/>
      <c r="N55" s="527">
        <f>+Calculations!B584</f>
        <v>0</v>
      </c>
      <c r="O55" s="527"/>
      <c r="P55" s="527">
        <f>Calculations!B130</f>
        <v>0</v>
      </c>
      <c r="Q55" s="527"/>
      <c r="R55" s="528"/>
      <c r="S55" s="537"/>
      <c r="T55" s="342"/>
    </row>
    <row r="56" spans="2:20" ht="42" x14ac:dyDescent="0.2">
      <c r="B56" s="276"/>
      <c r="C56" s="220"/>
      <c r="D56" s="524"/>
      <c r="E56" s="524"/>
      <c r="F56" s="526"/>
      <c r="G56" s="526"/>
      <c r="H56" s="525" t="s">
        <v>388</v>
      </c>
      <c r="I56" s="524"/>
      <c r="J56" s="526">
        <f>+'Costing Sheet'!AE35</f>
        <v>0</v>
      </c>
      <c r="K56" s="527"/>
      <c r="L56" s="526" t="str">
        <f>_xlfn.CONCAT(+'Costing Sheet'!AG35," ",AW35)</f>
        <v xml:space="preserve"> </v>
      </c>
      <c r="M56" s="527"/>
      <c r="N56" s="527"/>
      <c r="O56" s="527"/>
      <c r="P56" s="527"/>
      <c r="Q56" s="527"/>
      <c r="R56" s="528"/>
      <c r="S56" s="537"/>
    </row>
    <row r="57" spans="2:20" ht="21" x14ac:dyDescent="0.2">
      <c r="B57" s="276">
        <f>'Sales Input Sheet'!G33</f>
        <v>0</v>
      </c>
      <c r="C57" s="220"/>
      <c r="D57" s="524">
        <f>+Calculations!B538</f>
        <v>0</v>
      </c>
      <c r="E57" s="524"/>
      <c r="F57" s="526">
        <f>+'Costing Sheet'!O36</f>
        <v>0</v>
      </c>
      <c r="G57" s="526"/>
      <c r="H57" s="525" t="s">
        <v>383</v>
      </c>
      <c r="I57" s="524"/>
      <c r="J57" s="526">
        <f>-'Costing Sheet'!Q36</f>
        <v>0</v>
      </c>
      <c r="K57" s="527"/>
      <c r="L57" s="526" t="str">
        <f>UPPER(_xlfn.CONCAT('Costing Sheet'!U36," ",'Costing Sheet'!AS36))</f>
        <v xml:space="preserve"> </v>
      </c>
      <c r="M57" s="527"/>
      <c r="N57" s="527">
        <f>+Calculations!B585</f>
        <v>0</v>
      </c>
      <c r="O57" s="527"/>
      <c r="P57" s="527">
        <f>Calculations!B134</f>
        <v>0</v>
      </c>
      <c r="Q57" s="527"/>
      <c r="R57" s="528"/>
      <c r="S57" s="537"/>
      <c r="T57" s="342"/>
    </row>
    <row r="58" spans="2:20" ht="42" x14ac:dyDescent="0.2">
      <c r="B58" s="276"/>
      <c r="C58" s="220"/>
      <c r="D58" s="524"/>
      <c r="E58" s="524"/>
      <c r="F58" s="526"/>
      <c r="G58" s="526"/>
      <c r="H58" s="525" t="s">
        <v>388</v>
      </c>
      <c r="I58" s="524"/>
      <c r="J58" s="526">
        <f>+'Costing Sheet'!AE36</f>
        <v>0</v>
      </c>
      <c r="K58" s="527"/>
      <c r="L58" s="526" t="str">
        <f>_xlfn.CONCAT(+'Costing Sheet'!AG36," ",AW36)</f>
        <v xml:space="preserve"> </v>
      </c>
      <c r="M58" s="527"/>
      <c r="N58" s="527"/>
      <c r="O58" s="527"/>
      <c r="P58" s="527"/>
      <c r="Q58" s="527"/>
      <c r="R58" s="528"/>
      <c r="S58" s="537"/>
    </row>
    <row r="59" spans="2:20" ht="21" x14ac:dyDescent="0.2">
      <c r="B59" s="276">
        <f>'Sales Input Sheet'!G34</f>
        <v>0</v>
      </c>
      <c r="C59" s="220"/>
      <c r="D59" s="524">
        <f>+Calculations!B539</f>
        <v>0</v>
      </c>
      <c r="E59" s="524"/>
      <c r="F59" s="526">
        <f>+'Costing Sheet'!O37</f>
        <v>0</v>
      </c>
      <c r="G59" s="526"/>
      <c r="H59" s="525" t="s">
        <v>383</v>
      </c>
      <c r="I59" s="524"/>
      <c r="J59" s="526">
        <f>-'Costing Sheet'!Q37</f>
        <v>0</v>
      </c>
      <c r="K59" s="527"/>
      <c r="L59" s="526" t="str">
        <f>UPPER(_xlfn.CONCAT('Costing Sheet'!U37," ",'Costing Sheet'!AS37))</f>
        <v xml:space="preserve"> </v>
      </c>
      <c r="M59" s="527"/>
      <c r="N59" s="527">
        <f>+Calculations!B586</f>
        <v>0</v>
      </c>
      <c r="O59" s="527"/>
      <c r="P59" s="527">
        <f>Calculations!B138</f>
        <v>0</v>
      </c>
      <c r="Q59" s="527"/>
      <c r="R59" s="528"/>
      <c r="S59" s="537"/>
      <c r="T59" s="342"/>
    </row>
    <row r="60" spans="2:20" ht="42" x14ac:dyDescent="0.2">
      <c r="B60" s="276"/>
      <c r="C60" s="220"/>
      <c r="D60" s="524"/>
      <c r="E60" s="524"/>
      <c r="F60" s="526"/>
      <c r="G60" s="526"/>
      <c r="H60" s="525" t="s">
        <v>388</v>
      </c>
      <c r="I60" s="524"/>
      <c r="J60" s="526">
        <f>+'Costing Sheet'!AE37</f>
        <v>0</v>
      </c>
      <c r="K60" s="527"/>
      <c r="L60" s="526" t="str">
        <f>_xlfn.CONCAT(+'Costing Sheet'!AG37," ",AW37)</f>
        <v xml:space="preserve"> </v>
      </c>
      <c r="M60" s="527"/>
      <c r="N60" s="527"/>
      <c r="O60" s="527"/>
      <c r="P60" s="527"/>
      <c r="Q60" s="527"/>
      <c r="R60" s="528"/>
      <c r="S60" s="537"/>
    </row>
    <row r="61" spans="2:20" ht="21" x14ac:dyDescent="0.2">
      <c r="B61" s="276">
        <f>'Sales Input Sheet'!G35</f>
        <v>0</v>
      </c>
      <c r="C61" s="220"/>
      <c r="D61" s="524">
        <f>+Calculations!B540</f>
        <v>0</v>
      </c>
      <c r="E61" s="524"/>
      <c r="F61" s="526">
        <f>+'Costing Sheet'!O38</f>
        <v>0</v>
      </c>
      <c r="G61" s="526"/>
      <c r="H61" s="525" t="s">
        <v>383</v>
      </c>
      <c r="I61" s="524"/>
      <c r="J61" s="526">
        <f>-'Costing Sheet'!Q38</f>
        <v>0</v>
      </c>
      <c r="K61" s="527"/>
      <c r="L61" s="526" t="str">
        <f>UPPER(_xlfn.CONCAT('Costing Sheet'!U38," ",'Costing Sheet'!AS38))</f>
        <v xml:space="preserve"> </v>
      </c>
      <c r="M61" s="527"/>
      <c r="N61" s="527">
        <f>+Calculations!B587</f>
        <v>0</v>
      </c>
      <c r="O61" s="527"/>
      <c r="P61" s="527">
        <f>Calculations!B142</f>
        <v>0</v>
      </c>
      <c r="Q61" s="527"/>
      <c r="R61" s="528"/>
      <c r="S61" s="537"/>
      <c r="T61" s="342"/>
    </row>
    <row r="62" spans="2:20" ht="42" x14ac:dyDescent="0.2">
      <c r="B62" s="542"/>
      <c r="C62" s="543"/>
      <c r="D62" s="544"/>
      <c r="E62" s="544"/>
      <c r="F62" s="546"/>
      <c r="G62" s="546"/>
      <c r="H62" s="545" t="s">
        <v>388</v>
      </c>
      <c r="I62" s="544"/>
      <c r="J62" s="546">
        <f>+'Costing Sheet'!AE38</f>
        <v>0</v>
      </c>
      <c r="K62" s="547"/>
      <c r="L62" s="546" t="str">
        <f>_xlfn.CONCAT(+'Costing Sheet'!AG38," ",AW38)</f>
        <v xml:space="preserve"> </v>
      </c>
      <c r="M62" s="547"/>
      <c r="N62" s="547"/>
      <c r="O62" s="547"/>
      <c r="P62" s="547"/>
      <c r="Q62" s="547"/>
      <c r="R62" s="548"/>
      <c r="S62" s="537"/>
    </row>
    <row r="63" spans="2:20" x14ac:dyDescent="0.2">
      <c r="B63" s="220"/>
      <c r="C63" s="220"/>
      <c r="D63" s="561"/>
      <c r="E63" s="561"/>
      <c r="F63" s="554"/>
      <c r="G63" s="554"/>
      <c r="H63" s="553"/>
      <c r="I63" s="561"/>
      <c r="J63" s="554"/>
      <c r="K63" s="555"/>
      <c r="L63" s="554"/>
      <c r="M63" s="555"/>
      <c r="N63" s="555"/>
      <c r="O63" s="555"/>
      <c r="P63" s="555"/>
      <c r="Q63" s="555"/>
      <c r="R63" s="555"/>
      <c r="S63" s="537"/>
    </row>
    <row r="64" spans="2:20" ht="21" x14ac:dyDescent="0.2">
      <c r="B64" s="380" t="s">
        <v>389</v>
      </c>
      <c r="C64" s="216"/>
      <c r="D64" s="562"/>
      <c r="E64" s="562"/>
      <c r="F64" s="557"/>
      <c r="G64" s="557"/>
      <c r="H64" s="556"/>
      <c r="I64" s="562"/>
      <c r="J64" s="557"/>
      <c r="K64" s="558"/>
      <c r="L64" s="557"/>
      <c r="M64" s="558"/>
      <c r="N64" s="558"/>
      <c r="O64" s="558"/>
      <c r="P64" s="558"/>
      <c r="Q64" s="558"/>
      <c r="R64" s="559"/>
      <c r="S64" s="537"/>
    </row>
    <row r="65" spans="2:20" ht="42" x14ac:dyDescent="0.2">
      <c r="B65" s="563" t="s">
        <v>59</v>
      </c>
      <c r="D65" s="564" t="s">
        <v>58</v>
      </c>
      <c r="E65" s="510"/>
      <c r="F65" s="527" t="s">
        <v>390</v>
      </c>
      <c r="G65" s="525"/>
      <c r="H65" s="527"/>
      <c r="I65" s="525"/>
      <c r="J65" s="525" t="s">
        <v>391</v>
      </c>
      <c r="K65" s="295"/>
      <c r="L65" s="525" t="s">
        <v>132</v>
      </c>
      <c r="M65" s="427"/>
      <c r="N65" s="427" t="s">
        <v>392</v>
      </c>
      <c r="O65" s="527"/>
      <c r="P65" s="427" t="s">
        <v>381</v>
      </c>
      <c r="Q65" s="427"/>
      <c r="R65" s="560" t="s">
        <v>382</v>
      </c>
      <c r="S65" s="537"/>
    </row>
    <row r="66" spans="2:20" x14ac:dyDescent="0.2">
      <c r="B66" s="565">
        <f>+'Sales Input Sheet'!I38</f>
        <v>0</v>
      </c>
      <c r="C66" s="220"/>
      <c r="D66" s="220">
        <f>+'Sales Input Sheet'!A38</f>
        <v>0</v>
      </c>
      <c r="E66" s="561"/>
      <c r="F66" s="527">
        <f>+'Costing Sheet'!I42-'Costing Sheet'!K42</f>
        <v>0</v>
      </c>
      <c r="G66" s="526"/>
      <c r="H66" s="527"/>
      <c r="I66" s="524"/>
      <c r="J66" s="526">
        <f>+'Costing Sheet'!O42</f>
        <v>0</v>
      </c>
      <c r="K66" s="527"/>
      <c r="L66" s="524">
        <f>+Calculations!B541</f>
        <v>0</v>
      </c>
      <c r="M66" s="527"/>
      <c r="N66" s="527">
        <f>+Calculations!B588</f>
        <v>0</v>
      </c>
      <c r="O66" s="527"/>
      <c r="P66" s="527">
        <f>Calculations!B146</f>
        <v>0</v>
      </c>
      <c r="Q66" s="527"/>
      <c r="R66" s="528"/>
      <c r="S66" s="537"/>
    </row>
    <row r="67" spans="2:20" x14ac:dyDescent="0.2">
      <c r="B67" s="565">
        <f>+'Sales Input Sheet'!I39</f>
        <v>0</v>
      </c>
      <c r="C67" s="220"/>
      <c r="D67" s="220">
        <f>+'Sales Input Sheet'!A39</f>
        <v>0</v>
      </c>
      <c r="E67" s="561"/>
      <c r="F67" s="527">
        <f>+'Costing Sheet'!I43-'Costing Sheet'!K43</f>
        <v>0</v>
      </c>
      <c r="G67" s="526"/>
      <c r="H67" s="527"/>
      <c r="I67" s="524"/>
      <c r="J67" s="526">
        <f>+'Costing Sheet'!O43</f>
        <v>0</v>
      </c>
      <c r="K67" s="527"/>
      <c r="L67" s="524">
        <f>+Calculations!B542</f>
        <v>0</v>
      </c>
      <c r="M67" s="527"/>
      <c r="N67" s="527">
        <f>+Calculations!B589</f>
        <v>0</v>
      </c>
      <c r="O67" s="527"/>
      <c r="P67" s="527">
        <f>Calculations!B154</f>
        <v>0</v>
      </c>
      <c r="Q67" s="527"/>
      <c r="R67" s="528"/>
      <c r="S67" s="537"/>
    </row>
    <row r="68" spans="2:20" x14ac:dyDescent="0.2">
      <c r="B68" s="565">
        <f>+'Sales Input Sheet'!I40</f>
        <v>0</v>
      </c>
      <c r="C68" s="220"/>
      <c r="D68" s="220">
        <f>+'Sales Input Sheet'!A40</f>
        <v>0</v>
      </c>
      <c r="E68" s="561"/>
      <c r="F68" s="527">
        <f>+'Costing Sheet'!I44-'Costing Sheet'!K44</f>
        <v>0</v>
      </c>
      <c r="G68" s="526"/>
      <c r="H68" s="527"/>
      <c r="I68" s="524"/>
      <c r="J68" s="526">
        <f>+'Costing Sheet'!O44</f>
        <v>0</v>
      </c>
      <c r="K68" s="527"/>
      <c r="L68" s="524">
        <f>+Calculations!B543</f>
        <v>0</v>
      </c>
      <c r="M68" s="527"/>
      <c r="N68" s="527">
        <f>+Calculations!B590</f>
        <v>0</v>
      </c>
      <c r="O68" s="527"/>
      <c r="P68" s="527">
        <f>Calculations!B162</f>
        <v>0</v>
      </c>
      <c r="Q68" s="527"/>
      <c r="R68" s="528"/>
      <c r="S68" s="537"/>
    </row>
    <row r="69" spans="2:20" x14ac:dyDescent="0.2">
      <c r="B69" s="565">
        <f>+'Sales Input Sheet'!I41</f>
        <v>0</v>
      </c>
      <c r="C69" s="220"/>
      <c r="D69" s="220">
        <f>+'Sales Input Sheet'!A41</f>
        <v>0</v>
      </c>
      <c r="E69" s="561"/>
      <c r="F69" s="527">
        <f>+'Costing Sheet'!I45-'Costing Sheet'!K45</f>
        <v>0</v>
      </c>
      <c r="G69" s="526"/>
      <c r="H69" s="527"/>
      <c r="I69" s="524"/>
      <c r="J69" s="526">
        <f>+'Costing Sheet'!O45</f>
        <v>0</v>
      </c>
      <c r="K69" s="527"/>
      <c r="L69" s="524">
        <f>+Calculations!B544</f>
        <v>0</v>
      </c>
      <c r="M69" s="527"/>
      <c r="N69" s="527">
        <f>+Calculations!B591</f>
        <v>0</v>
      </c>
      <c r="O69" s="527"/>
      <c r="P69" s="527">
        <f>Calculations!B170</f>
        <v>0</v>
      </c>
      <c r="Q69" s="527"/>
      <c r="R69" s="528"/>
      <c r="S69" s="537"/>
    </row>
    <row r="70" spans="2:20" x14ac:dyDescent="0.2">
      <c r="B70" s="566">
        <f>+'Sales Input Sheet'!I42</f>
        <v>0</v>
      </c>
      <c r="C70" s="543"/>
      <c r="D70" s="543">
        <f>+'Sales Input Sheet'!A42</f>
        <v>0</v>
      </c>
      <c r="E70" s="567"/>
      <c r="F70" s="547">
        <f>+'Costing Sheet'!I46-'Costing Sheet'!K46</f>
        <v>0</v>
      </c>
      <c r="G70" s="546"/>
      <c r="H70" s="547"/>
      <c r="I70" s="544"/>
      <c r="J70" s="546">
        <f>+'Costing Sheet'!O46</f>
        <v>0</v>
      </c>
      <c r="K70" s="547"/>
      <c r="L70" s="544">
        <f>+Calculations!B545</f>
        <v>0</v>
      </c>
      <c r="M70" s="547"/>
      <c r="N70" s="547">
        <f>+Calculations!B592</f>
        <v>0</v>
      </c>
      <c r="O70" s="547"/>
      <c r="P70" s="547">
        <f>Calculations!B178</f>
        <v>0</v>
      </c>
      <c r="Q70" s="547"/>
      <c r="R70" s="548"/>
      <c r="S70" s="537"/>
    </row>
    <row r="71" spans="2:20" x14ac:dyDescent="0.2">
      <c r="B71" s="568"/>
      <c r="C71" s="220"/>
      <c r="D71" s="220"/>
      <c r="E71" s="561"/>
      <c r="F71" s="527"/>
      <c r="G71" s="526"/>
      <c r="H71" s="527"/>
      <c r="I71" s="524"/>
      <c r="J71" s="526"/>
      <c r="K71" s="527"/>
      <c r="L71" s="524"/>
      <c r="M71" s="527"/>
      <c r="N71" s="527"/>
      <c r="O71" s="527"/>
      <c r="P71" s="527"/>
      <c r="Q71" s="527"/>
      <c r="R71" s="527"/>
      <c r="S71" s="537"/>
    </row>
    <row r="72" spans="2:20" ht="21" x14ac:dyDescent="0.2">
      <c r="B72" s="220" t="str">
        <f>+B$149</f>
        <v>RECAP</v>
      </c>
      <c r="C72" s="220"/>
      <c r="D72" s="784" t="str">
        <f>+D$149</f>
        <v/>
      </c>
      <c r="E72" s="784"/>
      <c r="F72" s="784"/>
      <c r="G72" s="784"/>
      <c r="H72" s="784"/>
      <c r="I72" s="524"/>
      <c r="J72" s="784" t="s">
        <v>207</v>
      </c>
      <c r="K72" s="784"/>
      <c r="L72" s="784"/>
      <c r="N72" s="784">
        <f>+'Finance Manager Input Sheet'!C$28</f>
        <v>0</v>
      </c>
      <c r="O72" s="784"/>
      <c r="P72" s="784"/>
      <c r="Q72" s="784"/>
      <c r="R72" s="784"/>
      <c r="S72" s="537"/>
    </row>
    <row r="73" spans="2:20" ht="21" x14ac:dyDescent="0.2">
      <c r="B73" s="220" t="str">
        <f>+B$150</f>
        <v>Invoice Number</v>
      </c>
      <c r="C73" s="220"/>
      <c r="D73" s="784">
        <f>+D$150</f>
        <v>0</v>
      </c>
      <c r="E73" s="784"/>
      <c r="F73" s="784"/>
      <c r="G73" s="784"/>
      <c r="H73" s="784"/>
      <c r="I73" s="524"/>
      <c r="J73" s="784" t="s">
        <v>271</v>
      </c>
      <c r="K73" s="784"/>
      <c r="L73" s="784"/>
      <c r="N73" s="784">
        <f>'Sales Input Sheet'!C$11</f>
        <v>0</v>
      </c>
      <c r="O73" s="784"/>
      <c r="P73" s="784"/>
      <c r="Q73" s="784"/>
      <c r="R73" s="784"/>
      <c r="S73" s="537"/>
    </row>
    <row r="74" spans="2:20" ht="21" x14ac:dyDescent="0.2">
      <c r="B74" s="220" t="str">
        <f>+B$154</f>
        <v>Customer Name</v>
      </c>
      <c r="C74" s="220"/>
      <c r="D74" s="784" t="str">
        <f>+D$154</f>
        <v xml:space="preserve">  </v>
      </c>
      <c r="E74" s="784"/>
      <c r="F74" s="784"/>
      <c r="G74" s="784"/>
      <c r="H74" s="784"/>
      <c r="I74" s="561"/>
      <c r="J74" s="1121" t="s">
        <v>305</v>
      </c>
      <c r="K74" s="1121"/>
      <c r="L74" s="1121"/>
      <c r="N74" s="1122">
        <f>'Costing Sheet'!C$11</f>
        <v>0</v>
      </c>
      <c r="O74" s="1122"/>
      <c r="P74" s="1122"/>
      <c r="S74" s="537"/>
    </row>
    <row r="75" spans="2:20" ht="21" x14ac:dyDescent="0.2">
      <c r="B75" s="512" t="s">
        <v>63</v>
      </c>
      <c r="C75" s="239"/>
      <c r="D75" s="562"/>
      <c r="E75" s="562"/>
      <c r="F75" s="562"/>
      <c r="G75" s="562"/>
      <c r="H75" s="562"/>
      <c r="I75" s="562"/>
      <c r="J75" s="558"/>
      <c r="K75" s="558"/>
      <c r="L75" s="558"/>
      <c r="M75" s="558"/>
      <c r="N75" s="558"/>
      <c r="O75" s="558"/>
      <c r="P75" s="558"/>
      <c r="Q75" s="558"/>
      <c r="R75" s="559"/>
    </row>
    <row r="76" spans="2:20" ht="42" x14ac:dyDescent="0.2">
      <c r="B76" s="290" t="s">
        <v>53</v>
      </c>
      <c r="D76" s="525" t="s">
        <v>135</v>
      </c>
      <c r="E76" s="524"/>
      <c r="F76" s="524" t="s">
        <v>136</v>
      </c>
      <c r="G76" s="524"/>
      <c r="H76" s="524"/>
      <c r="I76" s="524"/>
      <c r="J76" s="524" t="s">
        <v>137</v>
      </c>
      <c r="K76" s="527"/>
      <c r="L76" s="527"/>
      <c r="M76" s="527"/>
      <c r="N76" s="427"/>
      <c r="O76" s="527"/>
      <c r="P76" s="427" t="s">
        <v>112</v>
      </c>
      <c r="Q76" s="427"/>
      <c r="R76" s="528"/>
    </row>
    <row r="77" spans="2:20" ht="21" x14ac:dyDescent="0.2">
      <c r="B77" s="290">
        <f>+'Sales Input Sheet'!G45</f>
        <v>0</v>
      </c>
      <c r="D77" s="510">
        <f>'Costing Sheet'!I49</f>
        <v>0</v>
      </c>
      <c r="E77" s="524"/>
      <c r="F77" s="526">
        <f>+'Costing Sheet'!O49</f>
        <v>0</v>
      </c>
      <c r="G77" s="526"/>
      <c r="H77" s="526"/>
      <c r="I77" s="524"/>
      <c r="J77" s="526" t="str">
        <f>UPPER('Costing Sheet'!U49)</f>
        <v/>
      </c>
      <c r="K77" s="527"/>
      <c r="L77" s="1118">
        <f>'Costing Sheet'!AA49</f>
        <v>0</v>
      </c>
      <c r="M77" s="1118"/>
      <c r="N77" s="1118"/>
      <c r="O77" s="527"/>
      <c r="P77" s="527">
        <f>+Calculations!B185</f>
        <v>0</v>
      </c>
      <c r="Q77" s="527"/>
      <c r="R77" s="528"/>
      <c r="T77" s="342"/>
    </row>
    <row r="78" spans="2:20" ht="21" x14ac:dyDescent="0.2">
      <c r="B78" s="290">
        <f>+'Sales Input Sheet'!G46</f>
        <v>0</v>
      </c>
      <c r="D78" s="510">
        <f>'Costing Sheet'!I50</f>
        <v>0</v>
      </c>
      <c r="E78" s="524"/>
      <c r="F78" s="526">
        <f>+'Costing Sheet'!O50</f>
        <v>0</v>
      </c>
      <c r="G78" s="526"/>
      <c r="H78" s="526"/>
      <c r="I78" s="524"/>
      <c r="J78" s="526" t="str">
        <f>UPPER('Costing Sheet'!U50)</f>
        <v/>
      </c>
      <c r="K78" s="527"/>
      <c r="L78" s="1118">
        <f>'Costing Sheet'!AA50</f>
        <v>0</v>
      </c>
      <c r="M78" s="1118"/>
      <c r="N78" s="1118"/>
      <c r="O78" s="527"/>
      <c r="P78" s="527">
        <f>+Calculations!B186</f>
        <v>0</v>
      </c>
      <c r="Q78" s="527"/>
      <c r="R78" s="528"/>
      <c r="T78" s="342"/>
    </row>
    <row r="79" spans="2:20" ht="21" x14ac:dyDescent="0.2">
      <c r="B79" s="290">
        <f>+'Sales Input Sheet'!G47</f>
        <v>0</v>
      </c>
      <c r="D79" s="510">
        <f>'Costing Sheet'!I51</f>
        <v>0</v>
      </c>
      <c r="E79" s="524"/>
      <c r="F79" s="526">
        <f>+'Costing Sheet'!O51</f>
        <v>0</v>
      </c>
      <c r="G79" s="526"/>
      <c r="H79" s="526"/>
      <c r="I79" s="524"/>
      <c r="J79" s="526" t="str">
        <f>UPPER('Costing Sheet'!U51)</f>
        <v/>
      </c>
      <c r="K79" s="527"/>
      <c r="L79" s="1118">
        <f>'Costing Sheet'!AA51</f>
        <v>0</v>
      </c>
      <c r="M79" s="1118"/>
      <c r="N79" s="1118"/>
      <c r="O79" s="527"/>
      <c r="P79" s="537">
        <f>+Calculations!B666</f>
        <v>0</v>
      </c>
      <c r="Q79" s="527"/>
      <c r="R79" s="528"/>
      <c r="T79" s="342"/>
    </row>
    <row r="80" spans="2:20" ht="21" x14ac:dyDescent="0.2">
      <c r="B80" s="290">
        <f>+'Sales Input Sheet'!G48</f>
        <v>0</v>
      </c>
      <c r="D80" s="510">
        <f>'Costing Sheet'!I52</f>
        <v>0</v>
      </c>
      <c r="E80" s="524"/>
      <c r="F80" s="526">
        <f>+'Costing Sheet'!O52</f>
        <v>0</v>
      </c>
      <c r="G80" s="526"/>
      <c r="H80" s="526"/>
      <c r="I80" s="524"/>
      <c r="J80" s="526" t="str">
        <f>UPPER('Costing Sheet'!U52)</f>
        <v/>
      </c>
      <c r="K80" s="527"/>
      <c r="L80" s="1118">
        <f>'Costing Sheet'!AA52</f>
        <v>0</v>
      </c>
      <c r="M80" s="1118"/>
      <c r="N80" s="1118"/>
      <c r="O80" s="527"/>
      <c r="P80" s="537">
        <f>+Calculations!B669</f>
        <v>0</v>
      </c>
      <c r="Q80" s="527"/>
      <c r="R80" s="528"/>
      <c r="T80" s="342"/>
    </row>
    <row r="81" spans="2:20" ht="21" x14ac:dyDescent="0.2">
      <c r="B81" s="290">
        <f>+'Sales Input Sheet'!G49</f>
        <v>0</v>
      </c>
      <c r="D81" s="510">
        <f>'Costing Sheet'!I53</f>
        <v>0</v>
      </c>
      <c r="E81" s="524"/>
      <c r="F81" s="526">
        <f>+'Costing Sheet'!O53</f>
        <v>0</v>
      </c>
      <c r="G81" s="526"/>
      <c r="H81" s="526"/>
      <c r="I81" s="524"/>
      <c r="J81" s="526" t="str">
        <f>UPPER('Costing Sheet'!U53)</f>
        <v/>
      </c>
      <c r="K81" s="527"/>
      <c r="L81" s="1118">
        <f>'Costing Sheet'!AA53</f>
        <v>0</v>
      </c>
      <c r="M81" s="1118"/>
      <c r="N81" s="1118"/>
      <c r="O81" s="527"/>
      <c r="P81" s="537">
        <f>+Calculations!B672</f>
        <v>0</v>
      </c>
      <c r="Q81" s="527"/>
      <c r="R81" s="528"/>
      <c r="T81" s="342"/>
    </row>
    <row r="82" spans="2:20" ht="21" x14ac:dyDescent="0.2">
      <c r="B82" s="290">
        <f>+'Sales Input Sheet'!G50</f>
        <v>0</v>
      </c>
      <c r="D82" s="510">
        <f>'Costing Sheet'!I54</f>
        <v>0</v>
      </c>
      <c r="E82" s="524"/>
      <c r="F82" s="526">
        <f>+'Costing Sheet'!O54</f>
        <v>0</v>
      </c>
      <c r="G82" s="526"/>
      <c r="H82" s="526"/>
      <c r="I82" s="524"/>
      <c r="J82" s="526" t="str">
        <f>UPPER('Costing Sheet'!U54)</f>
        <v/>
      </c>
      <c r="K82" s="527"/>
      <c r="L82" s="1118">
        <f>'Costing Sheet'!AA54</f>
        <v>0</v>
      </c>
      <c r="M82" s="1118"/>
      <c r="N82" s="1118"/>
      <c r="O82" s="527"/>
      <c r="P82" s="537">
        <f>+Calculations!B675</f>
        <v>0</v>
      </c>
      <c r="Q82" s="527"/>
      <c r="R82" s="528"/>
      <c r="T82" s="342"/>
    </row>
    <row r="83" spans="2:20" ht="21" x14ac:dyDescent="0.2">
      <c r="B83" s="359" t="s">
        <v>393</v>
      </c>
      <c r="D83" s="240" t="str">
        <f>_xlfn.CONCAT("SERIAL # -",'Sales Input Sheet'!G45)</f>
        <v>SERIAL # -</v>
      </c>
      <c r="E83" s="405"/>
      <c r="F83" s="569">
        <f>'Sales Input Sheet'!K45</f>
        <v>0</v>
      </c>
      <c r="G83" s="554"/>
      <c r="H83" s="510"/>
      <c r="I83" s="561"/>
      <c r="J83" s="570">
        <f>'Sales Input Sheet'!M45</f>
        <v>0</v>
      </c>
      <c r="K83" s="527"/>
      <c r="L83" s="554" t="str">
        <f>UPPER('Sales Input Sheet'!I45)</f>
        <v/>
      </c>
      <c r="M83" s="555"/>
      <c r="N83" s="555"/>
      <c r="O83" s="555"/>
      <c r="P83" s="555"/>
      <c r="Q83" s="555"/>
      <c r="R83" s="383"/>
    </row>
    <row r="84" spans="2:20" ht="21" x14ac:dyDescent="0.2">
      <c r="B84" s="563" t="s">
        <v>394</v>
      </c>
      <c r="D84" s="240" t="str">
        <f>_xlfn.CONCAT("SERIAL # -",'Sales Input Sheet'!G46)</f>
        <v>SERIAL # -</v>
      </c>
      <c r="E84" s="240"/>
      <c r="F84" s="569">
        <f>'Sales Input Sheet'!K46</f>
        <v>0</v>
      </c>
      <c r="G84" s="554"/>
      <c r="H84" s="510"/>
      <c r="I84" s="561"/>
      <c r="J84" s="570">
        <f>'Sales Input Sheet'!M46</f>
        <v>0</v>
      </c>
      <c r="K84" s="527"/>
      <c r="L84" s="554" t="str">
        <f>UPPER('Sales Input Sheet'!I46)</f>
        <v/>
      </c>
      <c r="M84" s="555"/>
      <c r="N84" s="555"/>
      <c r="O84" s="555"/>
      <c r="P84" s="555"/>
      <c r="Q84" s="555"/>
      <c r="R84" s="383"/>
    </row>
    <row r="85" spans="2:20" ht="21" x14ac:dyDescent="0.2">
      <c r="B85" s="563" t="s">
        <v>395</v>
      </c>
      <c r="D85" s="240" t="str">
        <f>_xlfn.CONCAT("SERIAL # -",'Sales Input Sheet'!G47)</f>
        <v>SERIAL # -</v>
      </c>
      <c r="E85" s="240"/>
      <c r="F85" s="569">
        <f>'Sales Input Sheet'!K47</f>
        <v>0</v>
      </c>
      <c r="G85" s="554"/>
      <c r="H85" s="510"/>
      <c r="I85" s="561"/>
      <c r="J85" s="570">
        <f>'Sales Input Sheet'!M47</f>
        <v>0</v>
      </c>
      <c r="K85" s="527"/>
      <c r="L85" s="554" t="str">
        <f>UPPER('Sales Input Sheet'!I47)</f>
        <v/>
      </c>
      <c r="M85" s="555"/>
      <c r="N85" s="555"/>
      <c r="O85" s="555"/>
      <c r="P85" s="555"/>
      <c r="Q85" s="555"/>
      <c r="R85" s="383"/>
    </row>
    <row r="86" spans="2:20" ht="21" x14ac:dyDescent="0.2">
      <c r="B86" s="563" t="s">
        <v>396</v>
      </c>
      <c r="D86" s="240" t="str">
        <f>_xlfn.CONCAT("SERIAL # -",'Sales Input Sheet'!G48)</f>
        <v>SERIAL # -</v>
      </c>
      <c r="E86" s="240"/>
      <c r="F86" s="569">
        <f>'Sales Input Sheet'!K48</f>
        <v>0</v>
      </c>
      <c r="G86" s="554"/>
      <c r="H86" s="510"/>
      <c r="I86" s="561"/>
      <c r="J86" s="570">
        <f>'Sales Input Sheet'!M48</f>
        <v>0</v>
      </c>
      <c r="K86" s="527"/>
      <c r="L86" s="554" t="str">
        <f>UPPER('Sales Input Sheet'!I48)</f>
        <v/>
      </c>
      <c r="M86" s="555"/>
      <c r="N86" s="555"/>
      <c r="O86" s="555"/>
      <c r="P86" s="555"/>
      <c r="Q86" s="555"/>
      <c r="R86" s="383"/>
    </row>
    <row r="87" spans="2:20" ht="21" x14ac:dyDescent="0.2">
      <c r="B87" s="563" t="s">
        <v>397</v>
      </c>
      <c r="D87" s="240" t="str">
        <f>_xlfn.CONCAT("SERIAL # -",'Sales Input Sheet'!G49)</f>
        <v>SERIAL # -</v>
      </c>
      <c r="E87" s="240"/>
      <c r="F87" s="569">
        <f>'Sales Input Sheet'!K49</f>
        <v>0</v>
      </c>
      <c r="G87" s="554"/>
      <c r="H87" s="510"/>
      <c r="I87" s="561"/>
      <c r="J87" s="570">
        <f>'Sales Input Sheet'!M49</f>
        <v>0</v>
      </c>
      <c r="K87" s="527"/>
      <c r="L87" s="554" t="str">
        <f>UPPER('Sales Input Sheet'!I49)</f>
        <v/>
      </c>
      <c r="M87" s="555"/>
      <c r="N87" s="555"/>
      <c r="O87" s="555"/>
      <c r="P87" s="555"/>
      <c r="Q87" s="555"/>
      <c r="R87" s="383"/>
    </row>
    <row r="88" spans="2:20" ht="21" x14ac:dyDescent="0.2">
      <c r="B88" s="571" t="s">
        <v>398</v>
      </c>
      <c r="C88" s="241"/>
      <c r="D88" s="241" t="str">
        <f>_xlfn.CONCAT("SERIAL # -",'Sales Input Sheet'!G50)</f>
        <v>SERIAL # -</v>
      </c>
      <c r="E88" s="241"/>
      <c r="F88" s="572">
        <f>'Sales Input Sheet'!K50</f>
        <v>0</v>
      </c>
      <c r="G88" s="573"/>
      <c r="H88" s="574"/>
      <c r="I88" s="567"/>
      <c r="J88" s="575">
        <f>'Sales Input Sheet'!M50</f>
        <v>0</v>
      </c>
      <c r="K88" s="547"/>
      <c r="L88" s="573" t="str">
        <f>UPPER('Sales Input Sheet'!I50)</f>
        <v/>
      </c>
      <c r="M88" s="576"/>
      <c r="N88" s="576"/>
      <c r="O88" s="576"/>
      <c r="P88" s="576"/>
      <c r="Q88" s="576"/>
      <c r="R88" s="577"/>
    </row>
    <row r="89" spans="2:20" ht="32.25" customHeight="1" x14ac:dyDescent="0.2">
      <c r="B89" s="859" t="s">
        <v>399</v>
      </c>
      <c r="C89" s="784"/>
      <c r="D89" s="784"/>
      <c r="E89" s="561"/>
      <c r="F89" s="554"/>
      <c r="G89" s="554"/>
      <c r="H89" s="554"/>
      <c r="I89" s="561"/>
      <c r="J89" s="554"/>
      <c r="K89" s="555"/>
      <c r="L89" s="555"/>
      <c r="M89" s="555"/>
      <c r="N89" s="555"/>
      <c r="O89" s="555"/>
      <c r="P89" s="555"/>
      <c r="Q89" s="555"/>
      <c r="R89" s="383"/>
    </row>
    <row r="90" spans="2:20" ht="42" x14ac:dyDescent="0.2">
      <c r="B90" s="290" t="s">
        <v>51</v>
      </c>
      <c r="D90" s="555"/>
      <c r="E90" s="555"/>
      <c r="F90" s="527" t="s">
        <v>140</v>
      </c>
      <c r="G90" s="527"/>
      <c r="H90" s="555"/>
      <c r="I90" s="561"/>
      <c r="J90" s="561" t="s">
        <v>141</v>
      </c>
      <c r="K90" s="561"/>
      <c r="L90" s="555"/>
      <c r="M90" s="561"/>
      <c r="N90" s="578"/>
      <c r="O90" s="555"/>
      <c r="P90" s="555" t="s">
        <v>112</v>
      </c>
      <c r="Q90" s="555"/>
      <c r="R90" s="383"/>
    </row>
    <row r="91" spans="2:20" ht="21" x14ac:dyDescent="0.2">
      <c r="B91" s="290">
        <f>+'Costing Sheet'!K57</f>
        <v>0</v>
      </c>
      <c r="D91" s="416" t="s">
        <v>144</v>
      </c>
      <c r="E91" s="555"/>
      <c r="F91" s="579">
        <f>+'Costing Sheet'!O57</f>
        <v>0</v>
      </c>
      <c r="G91" s="579"/>
      <c r="H91" s="580"/>
      <c r="I91" s="561"/>
      <c r="J91" s="1119" t="str">
        <f>UPPER(Calculations!B196)</f>
        <v xml:space="preserve">  </v>
      </c>
      <c r="K91" s="1119"/>
      <c r="L91" s="1119"/>
      <c r="M91" s="561"/>
      <c r="N91" s="527"/>
      <c r="O91" s="527"/>
      <c r="P91" s="527">
        <f>+Calculations!B191</f>
        <v>0</v>
      </c>
      <c r="Q91" s="527"/>
      <c r="R91" s="528"/>
    </row>
    <row r="92" spans="2:20" ht="21" x14ac:dyDescent="0.2">
      <c r="B92" s="290">
        <f>+'Costing Sheet'!K58</f>
        <v>0</v>
      </c>
      <c r="D92" s="416" t="s">
        <v>144</v>
      </c>
      <c r="E92" s="555"/>
      <c r="F92" s="579">
        <f>+'Costing Sheet'!O58</f>
        <v>0</v>
      </c>
      <c r="G92" s="579"/>
      <c r="H92" s="580"/>
      <c r="I92" s="561"/>
      <c r="J92" s="1119" t="str">
        <f>UPPER(Calculations!B197)</f>
        <v xml:space="preserve">  </v>
      </c>
      <c r="K92" s="1119"/>
      <c r="L92" s="1119"/>
      <c r="M92" s="561"/>
      <c r="N92" s="527"/>
      <c r="O92" s="527"/>
      <c r="P92" s="527">
        <f>+Calculations!B192</f>
        <v>0</v>
      </c>
      <c r="Q92" s="527"/>
      <c r="R92" s="528"/>
    </row>
    <row r="93" spans="2:20" ht="21" x14ac:dyDescent="0.2">
      <c r="B93" s="290">
        <f>+'Costing Sheet'!K59</f>
        <v>0</v>
      </c>
      <c r="D93" s="416" t="s">
        <v>144</v>
      </c>
      <c r="E93" s="555"/>
      <c r="F93" s="579">
        <f>+'Costing Sheet'!O59</f>
        <v>0</v>
      </c>
      <c r="G93" s="579"/>
      <c r="H93" s="580"/>
      <c r="I93" s="561"/>
      <c r="J93" s="1119" t="str">
        <f>UPPER(Calculations!B198)</f>
        <v xml:space="preserve">  </v>
      </c>
      <c r="K93" s="1119"/>
      <c r="L93" s="1119"/>
      <c r="M93" s="561"/>
      <c r="N93" s="527"/>
      <c r="O93" s="527"/>
      <c r="P93" s="527">
        <f>+Calculations!B193</f>
        <v>0</v>
      </c>
      <c r="Q93" s="527"/>
      <c r="R93" s="528"/>
    </row>
    <row r="94" spans="2:20" ht="21" x14ac:dyDescent="0.2">
      <c r="B94" s="290">
        <f>+'Costing Sheet'!K60</f>
        <v>0</v>
      </c>
      <c r="D94" s="416" t="s">
        <v>144</v>
      </c>
      <c r="E94" s="555"/>
      <c r="F94" s="579">
        <f>+'Costing Sheet'!O60</f>
        <v>0</v>
      </c>
      <c r="G94" s="579"/>
      <c r="H94" s="580"/>
      <c r="I94" s="561"/>
      <c r="J94" s="1119" t="str">
        <f>UPPER(Calculations!B199)</f>
        <v xml:space="preserve">  </v>
      </c>
      <c r="K94" s="1119"/>
      <c r="L94" s="1119"/>
      <c r="M94" s="561"/>
      <c r="N94" s="527"/>
      <c r="O94" s="527"/>
      <c r="P94" s="527">
        <f>+Calculations!B194</f>
        <v>0</v>
      </c>
      <c r="Q94" s="527"/>
      <c r="R94" s="528"/>
    </row>
    <row r="95" spans="2:20" ht="21" x14ac:dyDescent="0.2">
      <c r="B95" s="581">
        <f>+'Costing Sheet'!K61</f>
        <v>0</v>
      </c>
      <c r="C95" s="241"/>
      <c r="D95" s="582" t="s">
        <v>144</v>
      </c>
      <c r="E95" s="576"/>
      <c r="F95" s="583">
        <f>+'Costing Sheet'!O61</f>
        <v>0</v>
      </c>
      <c r="G95" s="583"/>
      <c r="H95" s="584"/>
      <c r="I95" s="567"/>
      <c r="J95" s="1120" t="str">
        <f>UPPER(Calculations!B200)</f>
        <v xml:space="preserve">  </v>
      </c>
      <c r="K95" s="1120"/>
      <c r="L95" s="1120"/>
      <c r="M95" s="567"/>
      <c r="N95" s="547">
        <f>+Calculations!B195</f>
        <v>0</v>
      </c>
      <c r="O95" s="547"/>
      <c r="P95" s="547">
        <f>+Calculations!B195</f>
        <v>0</v>
      </c>
      <c r="Q95" s="547"/>
      <c r="R95" s="548"/>
    </row>
    <row r="96" spans="2:20" ht="42" x14ac:dyDescent="0.2">
      <c r="D96" s="555"/>
      <c r="E96" s="585"/>
      <c r="F96" s="585"/>
      <c r="G96" s="585"/>
      <c r="H96" s="585"/>
      <c r="I96" s="585"/>
      <c r="J96" s="555"/>
      <c r="K96" s="555"/>
      <c r="L96" s="555"/>
      <c r="M96" s="555"/>
      <c r="N96" s="527"/>
      <c r="O96" s="527"/>
      <c r="P96" s="427" t="s">
        <v>400</v>
      </c>
      <c r="Q96" s="427"/>
      <c r="R96" s="427" t="s">
        <v>382</v>
      </c>
    </row>
    <row r="97" spans="2:19" ht="21" x14ac:dyDescent="0.2">
      <c r="B97" s="416" t="s">
        <v>401</v>
      </c>
      <c r="D97" s="586">
        <f>Calculations!B312</f>
        <v>0</v>
      </c>
      <c r="E97" s="585"/>
      <c r="F97" s="585"/>
      <c r="G97" s="585"/>
      <c r="H97" s="585"/>
      <c r="I97" s="585"/>
      <c r="J97" s="555"/>
      <c r="K97" s="555"/>
      <c r="L97" s="578" t="s">
        <v>402</v>
      </c>
      <c r="M97" s="555"/>
      <c r="N97" s="586">
        <f>+Calculations!B595</f>
        <v>0</v>
      </c>
      <c r="O97" s="527"/>
      <c r="P97" s="587">
        <f>Calculations!$B201-SUM(R53:R76)-R8-R12-R16-R20-R24-R28-R32-R36-R40-R44</f>
        <v>0</v>
      </c>
      <c r="Q97" s="586"/>
      <c r="R97" s="586">
        <f>Calculations!$B201-P97</f>
        <v>0</v>
      </c>
      <c r="S97" s="537"/>
    </row>
    <row r="98" spans="2:19" x14ac:dyDescent="0.2">
      <c r="D98" s="555"/>
      <c r="E98" s="585"/>
      <c r="F98" s="585"/>
      <c r="G98" s="585"/>
      <c r="H98" s="585"/>
      <c r="I98" s="585"/>
      <c r="J98" s="555"/>
      <c r="K98" s="555"/>
      <c r="L98" s="555"/>
      <c r="M98" s="555"/>
      <c r="N98" s="555"/>
      <c r="O98" s="555"/>
      <c r="P98" s="555"/>
      <c r="Q98" s="555"/>
      <c r="R98" s="555"/>
    </row>
    <row r="99" spans="2:19" ht="21" x14ac:dyDescent="0.2">
      <c r="B99" s="220" t="str">
        <f>+B$149</f>
        <v>RECAP</v>
      </c>
      <c r="C99" s="220"/>
      <c r="D99" s="784" t="str">
        <f>+D$149</f>
        <v/>
      </c>
      <c r="E99" s="784"/>
      <c r="F99" s="784"/>
      <c r="G99" s="784"/>
      <c r="H99" s="784"/>
      <c r="I99" s="585"/>
      <c r="J99" s="784" t="s">
        <v>207</v>
      </c>
      <c r="K99" s="784"/>
      <c r="L99" s="784"/>
      <c r="N99" s="784">
        <f>+'Finance Manager Input Sheet'!C$28</f>
        <v>0</v>
      </c>
      <c r="O99" s="784"/>
      <c r="P99" s="784"/>
      <c r="Q99" s="784"/>
      <c r="R99" s="784"/>
    </row>
    <row r="100" spans="2:19" ht="21" x14ac:dyDescent="0.2">
      <c r="B100" s="220" t="str">
        <f>+B$150</f>
        <v>Invoice Number</v>
      </c>
      <c r="C100" s="220"/>
      <c r="D100" s="784">
        <f>+D$150</f>
        <v>0</v>
      </c>
      <c r="E100" s="784"/>
      <c r="F100" s="784"/>
      <c r="G100" s="784"/>
      <c r="H100" s="784"/>
      <c r="I100" s="585"/>
      <c r="J100" s="784" t="s">
        <v>271</v>
      </c>
      <c r="K100" s="784"/>
      <c r="L100" s="784"/>
      <c r="N100" s="784">
        <f>'Sales Input Sheet'!C$11</f>
        <v>0</v>
      </c>
      <c r="O100" s="784"/>
      <c r="P100" s="784"/>
      <c r="Q100" s="784"/>
      <c r="R100" s="784"/>
    </row>
    <row r="101" spans="2:19" ht="21" x14ac:dyDescent="0.2">
      <c r="B101" s="220" t="str">
        <f>+B$154</f>
        <v>Customer Name</v>
      </c>
      <c r="C101" s="220"/>
      <c r="D101" s="784" t="str">
        <f>+D$154</f>
        <v xml:space="preserve">  </v>
      </c>
      <c r="E101" s="784"/>
      <c r="F101" s="784"/>
      <c r="G101" s="784"/>
      <c r="H101" s="784"/>
      <c r="I101" s="585"/>
      <c r="J101" s="1121" t="s">
        <v>305</v>
      </c>
      <c r="K101" s="1121"/>
      <c r="L101" s="1121"/>
      <c r="N101" s="1122">
        <f>'Costing Sheet'!C$11</f>
        <v>0</v>
      </c>
      <c r="O101" s="1122"/>
      <c r="P101" s="1122"/>
    </row>
    <row r="102" spans="2:19" x14ac:dyDescent="0.2">
      <c r="D102" s="585"/>
      <c r="E102" s="585"/>
      <c r="F102" s="585"/>
      <c r="G102" s="585"/>
      <c r="H102" s="585"/>
      <c r="I102" s="585"/>
      <c r="J102" s="555"/>
      <c r="K102" s="555"/>
      <c r="L102" s="555"/>
      <c r="M102" s="555"/>
      <c r="N102" s="555"/>
      <c r="O102" s="555"/>
      <c r="P102" s="555"/>
      <c r="Q102" s="555"/>
      <c r="R102" s="555"/>
    </row>
    <row r="103" spans="2:19" ht="21" x14ac:dyDescent="0.2">
      <c r="B103" s="512" t="s">
        <v>403</v>
      </c>
      <c r="C103" s="239"/>
      <c r="D103" s="239"/>
      <c r="E103" s="239"/>
      <c r="F103" s="239" t="s">
        <v>404</v>
      </c>
      <c r="G103" s="239"/>
      <c r="H103" s="239"/>
      <c r="I103" s="562"/>
      <c r="J103" s="558" t="s">
        <v>150</v>
      </c>
      <c r="K103" s="562"/>
      <c r="L103" s="588" t="s">
        <v>180</v>
      </c>
      <c r="M103" s="558"/>
      <c r="N103" s="558"/>
      <c r="O103" s="558"/>
      <c r="P103" s="558" t="s">
        <v>112</v>
      </c>
      <c r="Q103" s="558"/>
      <c r="R103" s="559"/>
    </row>
    <row r="104" spans="2:19" ht="21" x14ac:dyDescent="0.2">
      <c r="B104" s="1130" t="str">
        <f>IF('Finance Manager Input Sheet'!$N4="customer accepted",'Finance Manager Input Sheet'!C4,"")</f>
        <v/>
      </c>
      <c r="C104" s="1121"/>
      <c r="D104" s="1121"/>
      <c r="E104" s="240"/>
      <c r="F104" s="510" t="str">
        <f>IF('Finance Manager Input Sheet'!$N4="customer accepted",UPPER('Finance Manager Input Sheet'!G4),"")</f>
        <v/>
      </c>
      <c r="G104" s="240"/>
      <c r="H104" s="527"/>
      <c r="I104" s="524"/>
      <c r="J104" s="524" t="str">
        <f>IF('Finance Manager Input Sheet'!$N4="customer accepted",'Finance Manager Input Sheet'!I4,"")</f>
        <v/>
      </c>
      <c r="K104" s="524"/>
      <c r="L104" s="525" t="str">
        <f>IF('Finance Manager Input Sheet'!$N4="customer accepted",'Finance Manager Input Sheet'!K4,"")</f>
        <v/>
      </c>
      <c r="M104" s="527"/>
      <c r="N104" s="527"/>
      <c r="O104" s="527"/>
      <c r="P104" s="527">
        <f>Calculations!B516</f>
        <v>0</v>
      </c>
      <c r="Q104" s="527"/>
      <c r="R104" s="528"/>
    </row>
    <row r="105" spans="2:19" ht="21" x14ac:dyDescent="0.2">
      <c r="B105" s="1130" t="str">
        <f>IF('Finance Manager Input Sheet'!$N5="customer accepted",'Finance Manager Input Sheet'!C5,"")</f>
        <v/>
      </c>
      <c r="C105" s="1121"/>
      <c r="D105" s="1121"/>
      <c r="E105" s="240"/>
      <c r="F105" s="510" t="str">
        <f>IF('Finance Manager Input Sheet'!$N5="customer accepted",UPPER('Finance Manager Input Sheet'!G5),"")</f>
        <v/>
      </c>
      <c r="G105" s="240"/>
      <c r="H105" s="527"/>
      <c r="I105" s="524"/>
      <c r="J105" s="524" t="str">
        <f>IF('Finance Manager Input Sheet'!$N5="customer accepted",'Finance Manager Input Sheet'!I5,"")</f>
        <v/>
      </c>
      <c r="K105" s="524"/>
      <c r="L105" s="525" t="str">
        <f>IF('Finance Manager Input Sheet'!$N5="customer accepted",'Finance Manager Input Sheet'!K5,"")</f>
        <v/>
      </c>
      <c r="M105" s="527"/>
      <c r="N105" s="527"/>
      <c r="O105" s="527"/>
      <c r="P105" s="527">
        <f>Calculations!B517</f>
        <v>0</v>
      </c>
      <c r="Q105" s="527"/>
      <c r="R105" s="528"/>
    </row>
    <row r="106" spans="2:19" ht="21" x14ac:dyDescent="0.2">
      <c r="B106" s="1130" t="str">
        <f>IF('Finance Manager Input Sheet'!$N6="customer accepted",'Finance Manager Input Sheet'!C6,"")</f>
        <v/>
      </c>
      <c r="C106" s="1121"/>
      <c r="D106" s="1121"/>
      <c r="E106" s="240"/>
      <c r="F106" s="510" t="str">
        <f>IF('Finance Manager Input Sheet'!$N6="customer accepted",UPPER('Finance Manager Input Sheet'!G6),"")</f>
        <v/>
      </c>
      <c r="G106" s="240"/>
      <c r="H106" s="527"/>
      <c r="I106" s="524"/>
      <c r="J106" s="524" t="str">
        <f>IF('Finance Manager Input Sheet'!$N6="customer accepted",'Finance Manager Input Sheet'!I6,"")</f>
        <v/>
      </c>
      <c r="K106" s="524"/>
      <c r="L106" s="525" t="str">
        <f>IF('Finance Manager Input Sheet'!$N6="customer accepted",'Finance Manager Input Sheet'!K6,"")</f>
        <v/>
      </c>
      <c r="M106" s="527"/>
      <c r="N106" s="527"/>
      <c r="O106" s="527"/>
      <c r="P106" s="527">
        <f>Calculations!B518</f>
        <v>0</v>
      </c>
      <c r="Q106" s="527"/>
      <c r="R106" s="528"/>
    </row>
    <row r="107" spans="2:19" ht="21" x14ac:dyDescent="0.2">
      <c r="B107" s="1130" t="str">
        <f>IF('Finance Manager Input Sheet'!$N7="customer accepted",'Finance Manager Input Sheet'!C7,"")</f>
        <v/>
      </c>
      <c r="C107" s="1121"/>
      <c r="D107" s="1121"/>
      <c r="E107" s="240"/>
      <c r="F107" s="510" t="str">
        <f>IF('Finance Manager Input Sheet'!$N7="customer accepted",UPPER('Finance Manager Input Sheet'!G7),"")</f>
        <v/>
      </c>
      <c r="G107" s="240"/>
      <c r="H107" s="527"/>
      <c r="I107" s="524"/>
      <c r="J107" s="524" t="str">
        <f>IF('Finance Manager Input Sheet'!$N7="customer accepted",'Finance Manager Input Sheet'!I7,"")</f>
        <v/>
      </c>
      <c r="K107" s="524"/>
      <c r="L107" s="525" t="str">
        <f>IF('Finance Manager Input Sheet'!$N7="customer accepted",'Finance Manager Input Sheet'!K7,"")</f>
        <v/>
      </c>
      <c r="M107" s="527"/>
      <c r="N107" s="527"/>
      <c r="O107" s="527"/>
      <c r="P107" s="527">
        <f>Calculations!B519</f>
        <v>0</v>
      </c>
      <c r="Q107" s="527"/>
      <c r="R107" s="528"/>
    </row>
    <row r="108" spans="2:19" ht="21" x14ac:dyDescent="0.2">
      <c r="B108" s="1130" t="str">
        <f>IF('Finance Manager Input Sheet'!$N8="customer accepted",'Finance Manager Input Sheet'!C8,"")</f>
        <v/>
      </c>
      <c r="C108" s="1121"/>
      <c r="D108" s="1121"/>
      <c r="E108" s="240"/>
      <c r="F108" s="510" t="str">
        <f>IF('Finance Manager Input Sheet'!$N8="customer accepted",UPPER('Finance Manager Input Sheet'!G8),"")</f>
        <v/>
      </c>
      <c r="G108" s="240"/>
      <c r="H108" s="527"/>
      <c r="I108" s="524"/>
      <c r="J108" s="524" t="str">
        <f>IF('Finance Manager Input Sheet'!$N8="customer accepted",'Finance Manager Input Sheet'!I8,"")</f>
        <v/>
      </c>
      <c r="K108" s="524"/>
      <c r="L108" s="525" t="str">
        <f>IF('Finance Manager Input Sheet'!$N8="customer accepted",'Finance Manager Input Sheet'!K8,"")</f>
        <v/>
      </c>
      <c r="M108" s="527"/>
      <c r="N108" s="527"/>
      <c r="O108" s="527"/>
      <c r="P108" s="527">
        <f>Calculations!B520</f>
        <v>0</v>
      </c>
      <c r="Q108" s="527"/>
      <c r="R108" s="528"/>
    </row>
    <row r="109" spans="2:19" ht="21" x14ac:dyDescent="0.2">
      <c r="B109" s="1130" t="str">
        <f>IF('Finance Manager Input Sheet'!$N9="customer accepted",'Finance Manager Input Sheet'!C9,"")</f>
        <v/>
      </c>
      <c r="C109" s="1121"/>
      <c r="D109" s="1121"/>
      <c r="E109" s="240"/>
      <c r="F109" s="510" t="str">
        <f>IF('Finance Manager Input Sheet'!$N9="customer accepted",UPPER('Finance Manager Input Sheet'!G9),"")</f>
        <v/>
      </c>
      <c r="G109" s="240"/>
      <c r="H109" s="527"/>
      <c r="I109" s="527">
        <f>+Calculations!$B$405</f>
        <v>0</v>
      </c>
      <c r="J109" s="524" t="str">
        <f>IF('Finance Manager Input Sheet'!$N9="customer accepted",'Finance Manager Input Sheet'!I9,"")</f>
        <v/>
      </c>
      <c r="K109" s="524"/>
      <c r="L109" s="525" t="str">
        <f>IF('Finance Manager Input Sheet'!$N9="customer accepted",'Finance Manager Input Sheet'!K9,"")</f>
        <v/>
      </c>
      <c r="M109" s="527"/>
      <c r="N109" s="527"/>
      <c r="O109" s="527"/>
      <c r="P109" s="527">
        <f>Calculations!B521</f>
        <v>0</v>
      </c>
      <c r="Q109" s="527"/>
      <c r="R109" s="528"/>
    </row>
    <row r="110" spans="2:19" ht="21" x14ac:dyDescent="0.2">
      <c r="B110" s="1130" t="str">
        <f>IF('Finance Manager Input Sheet'!$N10="customer accepted",'Finance Manager Input Sheet'!C10,"")</f>
        <v/>
      </c>
      <c r="C110" s="1121"/>
      <c r="D110" s="1121"/>
      <c r="E110" s="240"/>
      <c r="F110" s="510" t="str">
        <f>IF('Finance Manager Input Sheet'!$N10="customer accepted",UPPER('Finance Manager Input Sheet'!G10),"")</f>
        <v/>
      </c>
      <c r="G110" s="240"/>
      <c r="H110" s="527"/>
      <c r="I110" s="527">
        <f>+Calculations!$B$412</f>
        <v>0</v>
      </c>
      <c r="J110" s="524" t="str">
        <f>IF('Finance Manager Input Sheet'!$N10="customer accepted",'Finance Manager Input Sheet'!I10,"")</f>
        <v/>
      </c>
      <c r="K110" s="524"/>
      <c r="L110" s="525" t="str">
        <f>IF('Finance Manager Input Sheet'!$N10="customer accepted",'Finance Manager Input Sheet'!K10,"")</f>
        <v/>
      </c>
      <c r="M110" s="527"/>
      <c r="N110" s="527"/>
      <c r="O110" s="527"/>
      <c r="P110" s="527">
        <f>Calculations!B522</f>
        <v>0</v>
      </c>
      <c r="Q110" s="527"/>
      <c r="R110" s="528"/>
    </row>
    <row r="111" spans="2:19" ht="21" x14ac:dyDescent="0.2">
      <c r="B111" s="1130" t="str">
        <f>IF('Finance Manager Input Sheet'!$N11="customer accepted",'Finance Manager Input Sheet'!C11,"")</f>
        <v/>
      </c>
      <c r="C111" s="1121"/>
      <c r="D111" s="1121"/>
      <c r="E111" s="240"/>
      <c r="F111" s="510" t="str">
        <f>IF('Finance Manager Input Sheet'!$N11="customer accepted",UPPER('Finance Manager Input Sheet'!G11),"")</f>
        <v/>
      </c>
      <c r="G111" s="240"/>
      <c r="H111" s="527"/>
      <c r="I111" s="527">
        <f>+Calculations!$B$413</f>
        <v>0</v>
      </c>
      <c r="J111" s="524" t="str">
        <f>IF('Finance Manager Input Sheet'!$N11="customer accepted",'Finance Manager Input Sheet'!I11,"")</f>
        <v/>
      </c>
      <c r="K111" s="524"/>
      <c r="L111" s="525" t="str">
        <f>IF('Finance Manager Input Sheet'!$N11="customer accepted",'Finance Manager Input Sheet'!K11,"")</f>
        <v/>
      </c>
      <c r="M111" s="527"/>
      <c r="N111" s="527"/>
      <c r="O111" s="527"/>
      <c r="P111" s="527">
        <f>Calculations!B523</f>
        <v>0</v>
      </c>
      <c r="Q111" s="527"/>
      <c r="R111" s="528"/>
    </row>
    <row r="112" spans="2:19" ht="21" x14ac:dyDescent="0.2">
      <c r="B112" s="1130" t="str">
        <f>IF('Finance Manager Input Sheet'!$N12="customer accepted",'Finance Manager Input Sheet'!C12,"")</f>
        <v/>
      </c>
      <c r="C112" s="1121"/>
      <c r="D112" s="1121"/>
      <c r="E112" s="240"/>
      <c r="F112" s="510" t="str">
        <f>IF('Finance Manager Input Sheet'!$N12="customer accepted",UPPER('Finance Manager Input Sheet'!G12),"")</f>
        <v/>
      </c>
      <c r="G112" s="240"/>
      <c r="H112" s="527"/>
      <c r="I112" s="527">
        <f>+Calculations!$B$407</f>
        <v>0</v>
      </c>
      <c r="J112" s="524" t="str">
        <f>IF('Finance Manager Input Sheet'!$N12="customer accepted",'Finance Manager Input Sheet'!I12,"")</f>
        <v/>
      </c>
      <c r="K112" s="524"/>
      <c r="L112" s="525" t="str">
        <f>IF('Finance Manager Input Sheet'!$N12="customer accepted",'Finance Manager Input Sheet'!K12,"")</f>
        <v/>
      </c>
      <c r="M112" s="527"/>
      <c r="N112" s="527"/>
      <c r="O112" s="527"/>
      <c r="P112" s="527">
        <f>Calculations!B524</f>
        <v>0</v>
      </c>
      <c r="Q112" s="527"/>
      <c r="R112" s="528"/>
    </row>
    <row r="113" spans="2:18" ht="21" x14ac:dyDescent="0.2">
      <c r="B113" s="1130" t="str">
        <f>IF('Finance Manager Input Sheet'!$N13="customer accepted",'Finance Manager Input Sheet'!C13,"")</f>
        <v/>
      </c>
      <c r="C113" s="1121"/>
      <c r="D113" s="1121"/>
      <c r="E113" s="240"/>
      <c r="F113" s="510" t="str">
        <f>IF('Finance Manager Input Sheet'!$N13="customer accepted",UPPER('Finance Manager Input Sheet'!G13),"")</f>
        <v/>
      </c>
      <c r="G113" s="240"/>
      <c r="H113" s="527"/>
      <c r="I113" s="524"/>
      <c r="J113" s="524" t="str">
        <f>IF('Finance Manager Input Sheet'!$N13="customer accepted",'Finance Manager Input Sheet'!I13,"")</f>
        <v/>
      </c>
      <c r="K113" s="524"/>
      <c r="L113" s="525" t="str">
        <f>IF('Finance Manager Input Sheet'!$N13="customer accepted",'Finance Manager Input Sheet'!K13,"")</f>
        <v/>
      </c>
      <c r="M113" s="527"/>
      <c r="N113" s="527"/>
      <c r="O113" s="527"/>
      <c r="P113" s="527">
        <f>Calculations!B525</f>
        <v>0</v>
      </c>
      <c r="Q113" s="527"/>
      <c r="R113" s="528"/>
    </row>
    <row r="114" spans="2:18" x14ac:dyDescent="0.2">
      <c r="B114" s="589"/>
      <c r="C114" s="509"/>
      <c r="D114" s="509"/>
      <c r="E114" s="240"/>
      <c r="F114" s="510"/>
      <c r="G114" s="240"/>
      <c r="H114" s="527"/>
      <c r="I114" s="524"/>
      <c r="J114" s="524"/>
      <c r="K114" s="524"/>
      <c r="L114" s="525"/>
      <c r="M114" s="527"/>
      <c r="N114" s="527"/>
      <c r="O114" s="527"/>
      <c r="P114" s="527"/>
      <c r="Q114" s="527"/>
      <c r="R114" s="528"/>
    </row>
    <row r="115" spans="2:18" ht="21" customHeight="1" x14ac:dyDescent="0.2">
      <c r="B115" s="1131" t="str">
        <f>+Calculations!B417</f>
        <v/>
      </c>
      <c r="C115" s="1132"/>
      <c r="D115" s="1132"/>
      <c r="E115" s="1132"/>
      <c r="F115" s="241"/>
      <c r="G115" s="241"/>
      <c r="H115" s="547"/>
      <c r="I115" s="544"/>
      <c r="J115" s="431">
        <f>+Calculations!B421</f>
        <v>0</v>
      </c>
      <c r="K115" s="544"/>
      <c r="L115" s="545">
        <f>+Calculations!B654</f>
        <v>0</v>
      </c>
      <c r="M115" s="547"/>
      <c r="N115" s="547"/>
      <c r="O115" s="547"/>
      <c r="P115" s="547">
        <f>+Calculations!B655</f>
        <v>0</v>
      </c>
      <c r="Q115" s="547"/>
      <c r="R115" s="548"/>
    </row>
    <row r="116" spans="2:18" x14ac:dyDescent="0.2">
      <c r="B116" s="510"/>
      <c r="C116" s="510"/>
      <c r="D116" s="510"/>
      <c r="E116" s="240"/>
      <c r="F116" s="510"/>
      <c r="G116" s="240"/>
      <c r="H116" s="527"/>
      <c r="I116" s="524"/>
      <c r="J116" s="524"/>
      <c r="K116" s="524"/>
      <c r="L116" s="525"/>
      <c r="M116" s="527"/>
      <c r="N116" s="527"/>
      <c r="O116" s="527"/>
      <c r="P116" s="527"/>
      <c r="Q116" s="527"/>
      <c r="R116" s="527"/>
    </row>
    <row r="117" spans="2:18" x14ac:dyDescent="0.2">
      <c r="B117" s="510"/>
      <c r="C117" s="510"/>
      <c r="D117" s="510"/>
      <c r="E117" s="240"/>
      <c r="F117" s="510"/>
      <c r="G117" s="240"/>
      <c r="H117" s="527"/>
      <c r="I117" s="524"/>
      <c r="J117" s="524"/>
      <c r="K117" s="524"/>
      <c r="L117" s="525"/>
      <c r="M117" s="527"/>
      <c r="N117" s="527"/>
      <c r="O117" s="527"/>
      <c r="P117" s="527"/>
      <c r="Q117" s="527"/>
      <c r="R117" s="527"/>
    </row>
    <row r="118" spans="2:18" ht="21" x14ac:dyDescent="0.2">
      <c r="B118" s="508" t="s">
        <v>405</v>
      </c>
      <c r="C118" s="508"/>
      <c r="E118" s="240"/>
      <c r="G118" s="240"/>
      <c r="H118" s="527"/>
      <c r="I118" s="524"/>
      <c r="J118" s="590"/>
      <c r="K118" s="590"/>
      <c r="L118" s="591"/>
      <c r="M118" s="527"/>
      <c r="N118" s="527"/>
      <c r="O118" s="527"/>
      <c r="P118" s="527"/>
      <c r="Q118" s="527"/>
      <c r="R118" s="527"/>
    </row>
    <row r="119" spans="2:18" ht="21" x14ac:dyDescent="0.2">
      <c r="B119" s="508" t="s">
        <v>406</v>
      </c>
      <c r="D119" s="240"/>
      <c r="E119" s="240"/>
      <c r="G119" s="240"/>
      <c r="H119" s="527"/>
      <c r="I119" s="524"/>
      <c r="J119" s="527"/>
      <c r="K119" s="590"/>
      <c r="L119" s="590"/>
      <c r="M119" s="527"/>
      <c r="N119" s="527"/>
      <c r="O119" s="527"/>
      <c r="P119" s="527">
        <f>-'Finance Manager Input Sheet'!C26</f>
        <v>0</v>
      </c>
      <c r="Q119" s="527"/>
      <c r="R119" s="527"/>
    </row>
    <row r="120" spans="2:18" ht="21" x14ac:dyDescent="0.2">
      <c r="B120" s="220" t="s">
        <v>407</v>
      </c>
      <c r="D120" s="240"/>
      <c r="E120" s="240"/>
      <c r="F120" s="240"/>
      <c r="H120" s="527"/>
      <c r="I120" s="524"/>
      <c r="J120" s="590"/>
      <c r="K120" s="590"/>
      <c r="L120" s="590"/>
      <c r="M120" s="527"/>
      <c r="N120" s="527"/>
      <c r="O120" s="527"/>
      <c r="P120" s="527">
        <f>+'Finance Manager Input Sheet'!P22</f>
        <v>0</v>
      </c>
      <c r="Q120" s="527"/>
      <c r="R120" s="527"/>
    </row>
    <row r="121" spans="2:18" ht="21" x14ac:dyDescent="0.2">
      <c r="B121" s="508" t="s">
        <v>408</v>
      </c>
      <c r="D121" s="537">
        <f>+'Finance Manager Input Sheet'!K23</f>
        <v>0</v>
      </c>
      <c r="E121" s="240"/>
      <c r="F121" s="240">
        <f>+'Finance Manager Input Sheet'!G23</f>
        <v>0</v>
      </c>
      <c r="G121" s="592"/>
      <c r="H121" s="527"/>
      <c r="I121" s="524"/>
      <c r="J121" s="590"/>
      <c r="K121" s="590"/>
      <c r="L121" s="527"/>
      <c r="M121" s="527"/>
      <c r="N121" s="527"/>
      <c r="O121" s="527"/>
      <c r="P121" s="537">
        <f>+'Finance Manager Input Sheet'!P23</f>
        <v>0</v>
      </c>
      <c r="Q121" s="527"/>
      <c r="R121" s="527"/>
    </row>
    <row r="122" spans="2:18" ht="21" x14ac:dyDescent="0.2">
      <c r="B122" s="508" t="s">
        <v>408</v>
      </c>
      <c r="D122" s="537">
        <f>+'Finance Manager Input Sheet'!K24</f>
        <v>0</v>
      </c>
      <c r="E122" s="240"/>
      <c r="F122" s="240">
        <f>+'Finance Manager Input Sheet'!G24</f>
        <v>0</v>
      </c>
      <c r="G122" s="592"/>
      <c r="H122" s="527"/>
      <c r="I122" s="524"/>
      <c r="J122" s="590"/>
      <c r="K122" s="590"/>
      <c r="L122" s="527"/>
      <c r="M122" s="527"/>
      <c r="N122" s="527"/>
      <c r="O122" s="527"/>
      <c r="P122" s="537">
        <f>+'Finance Manager Input Sheet'!P24</f>
        <v>0</v>
      </c>
      <c r="Q122" s="527"/>
      <c r="R122" s="527"/>
    </row>
    <row r="123" spans="2:18" ht="21" x14ac:dyDescent="0.2">
      <c r="B123" s="508" t="s">
        <v>408</v>
      </c>
      <c r="D123" s="537">
        <f>+'Finance Manager Input Sheet'!K25</f>
        <v>0</v>
      </c>
      <c r="E123" s="240"/>
      <c r="F123" s="240">
        <f>+'Finance Manager Input Sheet'!G25</f>
        <v>0</v>
      </c>
      <c r="G123" s="592"/>
      <c r="H123" s="527"/>
      <c r="I123" s="524"/>
      <c r="J123" s="590"/>
      <c r="K123" s="590"/>
      <c r="L123" s="527"/>
      <c r="M123" s="527"/>
      <c r="N123" s="527"/>
      <c r="O123" s="527"/>
      <c r="P123" s="537">
        <f>+'Finance Manager Input Sheet'!P25</f>
        <v>0</v>
      </c>
      <c r="Q123" s="527"/>
      <c r="R123" s="527"/>
    </row>
    <row r="124" spans="2:18" x14ac:dyDescent="0.2">
      <c r="D124" s="585"/>
      <c r="E124" s="585"/>
      <c r="F124" s="585"/>
      <c r="G124" s="585"/>
      <c r="H124" s="590"/>
      <c r="I124" s="524"/>
      <c r="J124" s="527"/>
      <c r="K124" s="527"/>
      <c r="L124" s="527"/>
      <c r="M124" s="527"/>
      <c r="N124" s="527"/>
      <c r="O124" s="527"/>
      <c r="P124" s="527"/>
      <c r="Q124" s="527"/>
      <c r="R124" s="527"/>
    </row>
    <row r="125" spans="2:18" ht="42" x14ac:dyDescent="0.2">
      <c r="D125" s="555"/>
      <c r="E125" s="585"/>
      <c r="F125" s="585"/>
      <c r="G125" s="585"/>
      <c r="H125" s="590"/>
      <c r="I125" s="524"/>
      <c r="J125" s="527"/>
      <c r="K125" s="527"/>
      <c r="L125" s="527"/>
      <c r="M125" s="527"/>
      <c r="N125" s="527" t="s">
        <v>409</v>
      </c>
      <c r="O125" s="527"/>
      <c r="P125" s="586">
        <f>SUM(P104:P123)</f>
        <v>0</v>
      </c>
      <c r="Q125" s="527"/>
      <c r="R125" s="527"/>
    </row>
    <row r="126" spans="2:18" x14ac:dyDescent="0.2">
      <c r="B126" s="223"/>
      <c r="D126" s="240"/>
      <c r="H126" s="590"/>
      <c r="I126" s="590"/>
      <c r="J126" s="527"/>
      <c r="K126" s="527"/>
      <c r="L126" s="527"/>
      <c r="M126" s="527"/>
      <c r="N126" s="527"/>
      <c r="O126" s="527"/>
      <c r="P126" s="527"/>
      <c r="Q126" s="527"/>
      <c r="R126" s="527"/>
    </row>
    <row r="127" spans="2:18" ht="21" x14ac:dyDescent="0.2">
      <c r="D127" s="240"/>
      <c r="H127" s="590"/>
      <c r="I127" s="590"/>
      <c r="J127" s="527"/>
      <c r="K127" s="527"/>
      <c r="L127" s="527"/>
      <c r="M127" s="527"/>
      <c r="N127" s="527" t="s">
        <v>410</v>
      </c>
      <c r="O127" s="527"/>
      <c r="P127" s="593">
        <f>+P125+P97</f>
        <v>0</v>
      </c>
      <c r="Q127" s="527"/>
      <c r="R127" s="527"/>
    </row>
    <row r="128" spans="2:18" x14ac:dyDescent="0.2">
      <c r="B128" s="594"/>
      <c r="D128" s="240"/>
      <c r="H128" s="590"/>
      <c r="I128" s="590"/>
      <c r="J128" s="527"/>
      <c r="K128" s="527"/>
      <c r="L128" s="527"/>
      <c r="M128" s="527"/>
      <c r="N128" s="527"/>
      <c r="O128" s="527"/>
      <c r="P128" s="527"/>
      <c r="Q128" s="527"/>
      <c r="R128" s="527"/>
    </row>
    <row r="129" spans="2:18" x14ac:dyDescent="0.2">
      <c r="B129" s="444"/>
      <c r="C129" s="239"/>
      <c r="D129" s="239"/>
      <c r="E129" s="513"/>
      <c r="F129" s="513"/>
      <c r="G129" s="513"/>
      <c r="H129" s="595"/>
      <c r="I129" s="595"/>
      <c r="J129" s="596"/>
      <c r="K129" s="596"/>
      <c r="L129" s="596"/>
      <c r="M129" s="596"/>
      <c r="N129" s="596"/>
      <c r="O129" s="596"/>
      <c r="P129" s="596"/>
      <c r="Q129" s="596"/>
      <c r="R129" s="597"/>
    </row>
    <row r="130" spans="2:18" ht="21" x14ac:dyDescent="0.2">
      <c r="B130" s="360" t="s">
        <v>411</v>
      </c>
      <c r="D130" s="240"/>
      <c r="E130" s="510"/>
      <c r="F130" s="510"/>
      <c r="G130" s="510"/>
      <c r="H130" s="524"/>
      <c r="I130" s="524"/>
      <c r="J130" s="527"/>
      <c r="K130" s="527"/>
      <c r="L130" s="527"/>
      <c r="M130" s="527"/>
      <c r="N130" s="527"/>
      <c r="O130" s="527"/>
      <c r="P130" s="527"/>
      <c r="Q130" s="527"/>
      <c r="R130" s="528"/>
    </row>
    <row r="131" spans="2:18" x14ac:dyDescent="0.2">
      <c r="B131" s="360"/>
      <c r="D131" s="240"/>
      <c r="E131" s="510"/>
      <c r="F131" s="510"/>
      <c r="G131" s="510"/>
      <c r="H131" s="524"/>
      <c r="I131" s="524"/>
      <c r="J131" s="527"/>
      <c r="K131" s="527"/>
      <c r="L131" s="527"/>
      <c r="M131" s="527"/>
      <c r="N131" s="527"/>
      <c r="O131" s="527"/>
      <c r="P131" s="527"/>
      <c r="Q131" s="527"/>
      <c r="R131" s="528"/>
    </row>
    <row r="132" spans="2:18" x14ac:dyDescent="0.2">
      <c r="B132" s="360">
        <f>+'Costing Sheet'!A22</f>
        <v>0</v>
      </c>
      <c r="D132" s="1123" t="str">
        <f>UPPER('Costing Sheet'!Y22)</f>
        <v/>
      </c>
      <c r="E132" s="1123"/>
      <c r="F132" s="1123"/>
      <c r="G132" s="240"/>
      <c r="H132" s="1124">
        <f>'Costing Sheet'!AU22</f>
        <v>0</v>
      </c>
      <c r="I132" s="1124"/>
      <c r="J132" s="1124"/>
      <c r="K132" s="527"/>
      <c r="L132" s="527" t="str">
        <f>'Costing Sheet'!C22</f>
        <v/>
      </c>
      <c r="M132" s="527"/>
      <c r="N132" s="524">
        <f>-'Costing Sheet'!W22</f>
        <v>0</v>
      </c>
      <c r="O132" s="527"/>
      <c r="P132" s="527"/>
      <c r="Q132" s="527"/>
      <c r="R132" s="528"/>
    </row>
    <row r="133" spans="2:18" ht="20.25" customHeight="1" x14ac:dyDescent="0.2">
      <c r="B133" s="360">
        <f>+'Costing Sheet'!A23</f>
        <v>0</v>
      </c>
      <c r="D133" s="1123" t="str">
        <f>UPPER('Costing Sheet'!Y23)</f>
        <v/>
      </c>
      <c r="E133" s="1123"/>
      <c r="F133" s="1123"/>
      <c r="G133" s="240"/>
      <c r="H133" s="1124">
        <f>'Costing Sheet'!AU23</f>
        <v>0</v>
      </c>
      <c r="I133" s="1124"/>
      <c r="J133" s="1124"/>
      <c r="K133" s="527"/>
      <c r="L133" s="527" t="str">
        <f>'Costing Sheet'!C23</f>
        <v/>
      </c>
      <c r="M133" s="527"/>
      <c r="N133" s="524">
        <f>-'Costing Sheet'!W23</f>
        <v>0</v>
      </c>
      <c r="O133" s="527"/>
      <c r="P133" s="527"/>
      <c r="Q133" s="527"/>
      <c r="R133" s="528"/>
    </row>
    <row r="134" spans="2:18" ht="20.25" customHeight="1" x14ac:dyDescent="0.2">
      <c r="B134" s="360">
        <f>+'Costing Sheet'!A24</f>
        <v>0</v>
      </c>
      <c r="D134" s="1123" t="str">
        <f>UPPER('Costing Sheet'!Y24)</f>
        <v/>
      </c>
      <c r="E134" s="1123"/>
      <c r="F134" s="1123"/>
      <c r="G134" s="240"/>
      <c r="H134" s="1124">
        <f>'Costing Sheet'!AU24</f>
        <v>0</v>
      </c>
      <c r="I134" s="1124"/>
      <c r="J134" s="1124"/>
      <c r="K134" s="527"/>
      <c r="L134" s="527" t="str">
        <f>'Costing Sheet'!C24</f>
        <v/>
      </c>
      <c r="M134" s="527"/>
      <c r="N134" s="524">
        <f>-'Costing Sheet'!W24</f>
        <v>0</v>
      </c>
      <c r="O134" s="527"/>
      <c r="P134" s="527"/>
      <c r="Q134" s="527"/>
      <c r="R134" s="528"/>
    </row>
    <row r="135" spans="2:18" ht="20.25" customHeight="1" x14ac:dyDescent="0.2">
      <c r="B135" s="360">
        <f>+'Costing Sheet'!A25</f>
        <v>0</v>
      </c>
      <c r="D135" s="1123" t="str">
        <f>UPPER('Costing Sheet'!Y25)</f>
        <v/>
      </c>
      <c r="E135" s="1123"/>
      <c r="F135" s="1123"/>
      <c r="G135" s="240"/>
      <c r="H135" s="1124">
        <f>'Costing Sheet'!AU25</f>
        <v>0</v>
      </c>
      <c r="I135" s="1124"/>
      <c r="J135" s="1124"/>
      <c r="K135" s="527"/>
      <c r="L135" s="527" t="str">
        <f>'Costing Sheet'!C25</f>
        <v/>
      </c>
      <c r="M135" s="527"/>
      <c r="N135" s="524">
        <f>-'Costing Sheet'!W25</f>
        <v>0</v>
      </c>
      <c r="O135" s="527"/>
      <c r="P135" s="527"/>
      <c r="Q135" s="527"/>
      <c r="R135" s="528"/>
    </row>
    <row r="136" spans="2:18" ht="20.25" customHeight="1" x14ac:dyDescent="0.2">
      <c r="B136" s="360">
        <f>+'Costing Sheet'!A26</f>
        <v>0</v>
      </c>
      <c r="D136" s="1123" t="str">
        <f>UPPER('Costing Sheet'!Y26)</f>
        <v/>
      </c>
      <c r="E136" s="1123"/>
      <c r="F136" s="1123"/>
      <c r="G136" s="240"/>
      <c r="H136" s="1124">
        <f>'Costing Sheet'!AU26</f>
        <v>0</v>
      </c>
      <c r="I136" s="1124"/>
      <c r="J136" s="1124"/>
      <c r="K136" s="527"/>
      <c r="L136" s="527" t="str">
        <f>'Costing Sheet'!C26</f>
        <v/>
      </c>
      <c r="M136" s="527"/>
      <c r="N136" s="524">
        <f>-'Costing Sheet'!W26</f>
        <v>0</v>
      </c>
      <c r="O136" s="527"/>
      <c r="P136" s="527"/>
      <c r="Q136" s="527"/>
      <c r="R136" s="528"/>
    </row>
    <row r="137" spans="2:18" ht="20.25" customHeight="1" x14ac:dyDescent="0.2">
      <c r="B137" s="360">
        <f>+'Costing Sheet'!A27</f>
        <v>0</v>
      </c>
      <c r="D137" s="1123" t="str">
        <f>UPPER('Costing Sheet'!Y27)</f>
        <v/>
      </c>
      <c r="E137" s="1123"/>
      <c r="F137" s="1123"/>
      <c r="G137" s="240"/>
      <c r="H137" s="1124">
        <f>'Costing Sheet'!AU27</f>
        <v>0</v>
      </c>
      <c r="I137" s="1124"/>
      <c r="J137" s="1124"/>
      <c r="K137" s="527"/>
      <c r="L137" s="527" t="str">
        <f>'Costing Sheet'!C27</f>
        <v/>
      </c>
      <c r="M137" s="527"/>
      <c r="N137" s="524">
        <f>-'Costing Sheet'!W27</f>
        <v>0</v>
      </c>
      <c r="O137" s="527"/>
      <c r="P137" s="527"/>
      <c r="Q137" s="527"/>
      <c r="R137" s="528"/>
    </row>
    <row r="138" spans="2:18" ht="20.25" customHeight="1" x14ac:dyDescent="0.2">
      <c r="B138" s="360">
        <f>+'Costing Sheet'!A28</f>
        <v>0</v>
      </c>
      <c r="D138" s="1123" t="str">
        <f>UPPER('Costing Sheet'!Y28)</f>
        <v/>
      </c>
      <c r="E138" s="1123"/>
      <c r="F138" s="1123"/>
      <c r="G138" s="240"/>
      <c r="H138" s="1124">
        <f>'Costing Sheet'!AU28</f>
        <v>0</v>
      </c>
      <c r="I138" s="1124"/>
      <c r="J138" s="1124"/>
      <c r="K138" s="527"/>
      <c r="L138" s="527" t="str">
        <f>'Costing Sheet'!C28</f>
        <v/>
      </c>
      <c r="M138" s="527"/>
      <c r="N138" s="524">
        <f>-'Costing Sheet'!W28</f>
        <v>0</v>
      </c>
      <c r="O138" s="527"/>
      <c r="P138" s="527"/>
      <c r="Q138" s="527"/>
      <c r="R138" s="528"/>
    </row>
    <row r="139" spans="2:18" ht="20.25" customHeight="1" x14ac:dyDescent="0.2">
      <c r="B139" s="360">
        <f>+'Costing Sheet'!A29</f>
        <v>0</v>
      </c>
      <c r="D139" s="1123" t="str">
        <f>UPPER('Costing Sheet'!Y29)</f>
        <v/>
      </c>
      <c r="E139" s="1123"/>
      <c r="F139" s="1123"/>
      <c r="G139" s="240"/>
      <c r="H139" s="1124">
        <f>'Costing Sheet'!AU29</f>
        <v>0</v>
      </c>
      <c r="I139" s="1124"/>
      <c r="J139" s="1124"/>
      <c r="K139" s="527"/>
      <c r="L139" s="527" t="str">
        <f>'Costing Sheet'!C29</f>
        <v/>
      </c>
      <c r="M139" s="527"/>
      <c r="N139" s="524">
        <f>-'Costing Sheet'!W29</f>
        <v>0</v>
      </c>
      <c r="O139" s="527"/>
      <c r="P139" s="527"/>
      <c r="Q139" s="527"/>
      <c r="R139" s="528"/>
    </row>
    <row r="140" spans="2:18" ht="20.25" customHeight="1" x14ac:dyDescent="0.2">
      <c r="B140" s="360">
        <f>+'Costing Sheet'!A30</f>
        <v>0</v>
      </c>
      <c r="D140" s="1123" t="str">
        <f>UPPER('Costing Sheet'!Y30)</f>
        <v/>
      </c>
      <c r="E140" s="1123"/>
      <c r="F140" s="1123"/>
      <c r="G140" s="240"/>
      <c r="H140" s="1124">
        <f>'Costing Sheet'!AU30</f>
        <v>0</v>
      </c>
      <c r="I140" s="1124"/>
      <c r="J140" s="1124"/>
      <c r="K140" s="527"/>
      <c r="L140" s="527" t="str">
        <f>'Costing Sheet'!C30</f>
        <v/>
      </c>
      <c r="M140" s="527"/>
      <c r="N140" s="524">
        <f>-'Costing Sheet'!W30</f>
        <v>0</v>
      </c>
      <c r="O140" s="527"/>
      <c r="P140" s="527"/>
      <c r="Q140" s="527"/>
      <c r="R140" s="528"/>
    </row>
    <row r="141" spans="2:18" ht="20.25" customHeight="1" x14ac:dyDescent="0.2">
      <c r="B141" s="360">
        <f>+'Costing Sheet'!A31</f>
        <v>0</v>
      </c>
      <c r="D141" s="1123" t="str">
        <f>UPPER('Costing Sheet'!Y31)</f>
        <v/>
      </c>
      <c r="E141" s="1123"/>
      <c r="F141" s="1123"/>
      <c r="G141" s="240"/>
      <c r="H141" s="1124">
        <f>'Costing Sheet'!AU31</f>
        <v>0</v>
      </c>
      <c r="I141" s="1124"/>
      <c r="J141" s="1124"/>
      <c r="K141" s="527"/>
      <c r="L141" s="527" t="str">
        <f>'Costing Sheet'!C31</f>
        <v/>
      </c>
      <c r="M141" s="527"/>
      <c r="N141" s="524">
        <f>-'Costing Sheet'!W31</f>
        <v>0</v>
      </c>
      <c r="O141" s="527"/>
      <c r="P141" s="527"/>
      <c r="Q141" s="527"/>
      <c r="R141" s="528"/>
    </row>
    <row r="142" spans="2:18" ht="20.25" customHeight="1" x14ac:dyDescent="0.2">
      <c r="B142" s="598">
        <f>'Costing Sheet'!G34</f>
        <v>0</v>
      </c>
      <c r="D142" s="1123" t="str">
        <f>UPPER('Costing Sheet'!Y34)</f>
        <v/>
      </c>
      <c r="E142" s="1123"/>
      <c r="F142" s="1123"/>
      <c r="G142" s="240"/>
      <c r="H142" s="1124">
        <f>'Costing Sheet'!AU34</f>
        <v>0</v>
      </c>
      <c r="I142" s="1124"/>
      <c r="J142" s="1124"/>
      <c r="K142" s="527"/>
      <c r="L142" s="527">
        <f>'Costing Sheet'!C34</f>
        <v>0</v>
      </c>
      <c r="M142" s="527"/>
      <c r="N142" s="524">
        <f>-'Costing Sheet'!W34</f>
        <v>0</v>
      </c>
      <c r="O142" s="527"/>
      <c r="P142" s="527"/>
      <c r="Q142" s="527"/>
      <c r="R142" s="528"/>
    </row>
    <row r="143" spans="2:18" ht="20.25" customHeight="1" x14ac:dyDescent="0.2">
      <c r="B143" s="598">
        <f>'Costing Sheet'!G35</f>
        <v>0</v>
      </c>
      <c r="D143" s="1123" t="str">
        <f>UPPER('Costing Sheet'!Y35)</f>
        <v/>
      </c>
      <c r="E143" s="1123"/>
      <c r="F143" s="1123"/>
      <c r="G143" s="240"/>
      <c r="H143" s="1124">
        <f>'Costing Sheet'!AU35</f>
        <v>0</v>
      </c>
      <c r="I143" s="1124"/>
      <c r="J143" s="1124"/>
      <c r="K143" s="527"/>
      <c r="L143" s="527">
        <f>'Costing Sheet'!C35</f>
        <v>0</v>
      </c>
      <c r="M143" s="527"/>
      <c r="N143" s="524">
        <f>-'Costing Sheet'!W35</f>
        <v>0</v>
      </c>
      <c r="O143" s="527"/>
      <c r="P143" s="527"/>
      <c r="Q143" s="527"/>
      <c r="R143" s="528"/>
    </row>
    <row r="144" spans="2:18" ht="20.25" customHeight="1" x14ac:dyDescent="0.2">
      <c r="B144" s="598">
        <f>'Costing Sheet'!G36</f>
        <v>0</v>
      </c>
      <c r="D144" s="1123" t="str">
        <f>UPPER('Costing Sheet'!Y36)</f>
        <v/>
      </c>
      <c r="E144" s="1123"/>
      <c r="F144" s="1123"/>
      <c r="G144" s="240"/>
      <c r="H144" s="1124">
        <f>'Costing Sheet'!AU36</f>
        <v>0</v>
      </c>
      <c r="I144" s="1124"/>
      <c r="J144" s="1124"/>
      <c r="K144" s="527"/>
      <c r="L144" s="527">
        <f>'Costing Sheet'!C36</f>
        <v>0</v>
      </c>
      <c r="M144" s="527"/>
      <c r="N144" s="524">
        <f>-'Costing Sheet'!W36</f>
        <v>0</v>
      </c>
      <c r="O144" s="527"/>
      <c r="P144" s="527"/>
      <c r="Q144" s="527"/>
      <c r="R144" s="528"/>
    </row>
    <row r="145" spans="2:32" ht="20.25" customHeight="1" x14ac:dyDescent="0.2">
      <c r="B145" s="598">
        <f>'Costing Sheet'!G37</f>
        <v>0</v>
      </c>
      <c r="D145" s="1123" t="str">
        <f>UPPER('Costing Sheet'!Y37)</f>
        <v/>
      </c>
      <c r="E145" s="1123"/>
      <c r="F145" s="1123"/>
      <c r="G145" s="240"/>
      <c r="H145" s="1124">
        <f>'Costing Sheet'!AU37</f>
        <v>0</v>
      </c>
      <c r="I145" s="1124"/>
      <c r="J145" s="1124"/>
      <c r="K145" s="527"/>
      <c r="L145" s="527">
        <f>'Costing Sheet'!C37</f>
        <v>0</v>
      </c>
      <c r="M145" s="527"/>
      <c r="N145" s="524">
        <f>-'Costing Sheet'!W37</f>
        <v>0</v>
      </c>
      <c r="O145" s="527"/>
      <c r="P145" s="527"/>
      <c r="Q145" s="527"/>
      <c r="R145" s="528"/>
    </row>
    <row r="146" spans="2:32" ht="21" customHeight="1" x14ac:dyDescent="0.2">
      <c r="B146" s="599">
        <f>'Costing Sheet'!G38</f>
        <v>0</v>
      </c>
      <c r="C146" s="241"/>
      <c r="D146" s="1125" t="str">
        <f>UPPER('Costing Sheet'!Y38)</f>
        <v/>
      </c>
      <c r="E146" s="1125"/>
      <c r="F146" s="1125"/>
      <c r="G146" s="241"/>
      <c r="H146" s="1126">
        <f>'Costing Sheet'!AU38</f>
        <v>0</v>
      </c>
      <c r="I146" s="1126"/>
      <c r="J146" s="1126"/>
      <c r="K146" s="547"/>
      <c r="L146" s="547">
        <f>'Costing Sheet'!C38</f>
        <v>0</v>
      </c>
      <c r="M146" s="547"/>
      <c r="N146" s="544">
        <f>-'Costing Sheet'!W38</f>
        <v>0</v>
      </c>
      <c r="O146" s="547"/>
      <c r="P146" s="547"/>
      <c r="Q146" s="547"/>
      <c r="R146" s="548"/>
    </row>
    <row r="147" spans="2:32" x14ac:dyDescent="0.2">
      <c r="B147" s="600"/>
      <c r="D147" s="510"/>
      <c r="E147" s="510"/>
      <c r="F147" s="510"/>
      <c r="G147" s="240"/>
      <c r="H147" s="510"/>
      <c r="I147" s="510"/>
      <c r="J147" s="510"/>
      <c r="N147" s="510"/>
      <c r="P147" s="537"/>
      <c r="Q147" s="537"/>
    </row>
    <row r="148" spans="2:32" x14ac:dyDescent="0.2">
      <c r="B148" s="600"/>
      <c r="D148" s="510"/>
      <c r="E148" s="510"/>
      <c r="F148" s="510"/>
      <c r="G148" s="240"/>
      <c r="H148" s="510"/>
      <c r="I148" s="510"/>
      <c r="J148" s="510"/>
      <c r="N148" s="510"/>
      <c r="P148" s="537"/>
      <c r="Q148" s="537"/>
    </row>
    <row r="149" spans="2:32" ht="21" customHeight="1" x14ac:dyDescent="0.2">
      <c r="B149" s="240" t="s">
        <v>412</v>
      </c>
      <c r="D149" s="784" t="str">
        <f>+Calculations!B568</f>
        <v/>
      </c>
      <c r="E149" s="784"/>
      <c r="F149" s="784"/>
      <c r="G149" s="240"/>
      <c r="H149" s="240"/>
      <c r="I149" s="240"/>
      <c r="J149" s="784" t="s">
        <v>207</v>
      </c>
      <c r="K149" s="784"/>
      <c r="L149" s="784"/>
      <c r="N149" s="784">
        <f>+'Finance Manager Input Sheet'!C$28</f>
        <v>0</v>
      </c>
      <c r="O149" s="784"/>
      <c r="P149" s="784"/>
      <c r="Q149" s="784"/>
      <c r="R149" s="784"/>
    </row>
    <row r="150" spans="2:32" ht="21" x14ac:dyDescent="0.2">
      <c r="B150" s="240" t="s">
        <v>92</v>
      </c>
      <c r="D150" s="851">
        <f>+'Costing Sheet'!C13</f>
        <v>0</v>
      </c>
      <c r="E150" s="851"/>
      <c r="F150" s="851"/>
      <c r="G150" s="240"/>
      <c r="H150" s="240"/>
      <c r="I150" s="240"/>
      <c r="J150" s="784" t="s">
        <v>271</v>
      </c>
      <c r="K150" s="784"/>
      <c r="L150" s="784"/>
      <c r="N150" s="784">
        <f>'Sales Input Sheet'!C$11</f>
        <v>0</v>
      </c>
      <c r="O150" s="784"/>
      <c r="P150" s="784"/>
      <c r="Q150" s="784"/>
      <c r="R150" s="784"/>
    </row>
    <row r="151" spans="2:32" ht="21" x14ac:dyDescent="0.2">
      <c r="B151" s="240" t="s">
        <v>87</v>
      </c>
      <c r="D151" s="1122">
        <f>'Costing Sheet'!C11</f>
        <v>0</v>
      </c>
      <c r="E151" s="1122"/>
      <c r="F151" s="1122"/>
      <c r="G151" s="240"/>
      <c r="H151" s="510"/>
      <c r="I151" s="510"/>
      <c r="J151" s="1121" t="s">
        <v>305</v>
      </c>
      <c r="K151" s="1121"/>
      <c r="L151" s="1121"/>
      <c r="N151" s="1127">
        <f>'Costing Sheet'!C$11</f>
        <v>0</v>
      </c>
      <c r="O151" s="1127"/>
      <c r="P151" s="1127"/>
    </row>
    <row r="152" spans="2:32" x14ac:dyDescent="0.2">
      <c r="D152" s="601"/>
      <c r="E152" s="601"/>
      <c r="F152" s="601"/>
      <c r="G152" s="240"/>
      <c r="H152" s="1123" t="s">
        <v>413</v>
      </c>
      <c r="I152" s="1123"/>
      <c r="J152" s="1123"/>
      <c r="K152" s="510"/>
      <c r="L152" s="1128">
        <f>'Costing Sheet'!E7</f>
        <v>0</v>
      </c>
      <c r="M152" s="1128"/>
      <c r="N152" s="1128"/>
      <c r="P152" s="603">
        <f>+'Costing Sheet'!I7</f>
        <v>0</v>
      </c>
      <c r="Q152" s="603"/>
    </row>
    <row r="153" spans="2:32" ht="21" x14ac:dyDescent="0.2">
      <c r="B153" s="240" t="s">
        <v>8</v>
      </c>
      <c r="D153" s="784">
        <f>+'Customer Input Screen'!C9</f>
        <v>0</v>
      </c>
      <c r="E153" s="784"/>
      <c r="F153" s="784"/>
      <c r="G153" s="240"/>
      <c r="H153" s="1123" t="s">
        <v>414</v>
      </c>
      <c r="I153" s="1123"/>
      <c r="J153" s="1123"/>
      <c r="K153" s="510"/>
      <c r="L153" s="1129">
        <f>+'Sales Input Sheet'!C16</f>
        <v>0</v>
      </c>
      <c r="M153" s="1129"/>
      <c r="N153" s="1129"/>
      <c r="P153" s="605">
        <f>+'Costing Sheet'!I9</f>
        <v>1</v>
      </c>
      <c r="Q153" s="605"/>
    </row>
    <row r="154" spans="2:32" ht="21" x14ac:dyDescent="0.2">
      <c r="B154" s="286" t="s">
        <v>43</v>
      </c>
      <c r="D154" s="845" t="str">
        <f>+Calculations!B3</f>
        <v xml:space="preserve">  </v>
      </c>
      <c r="E154" s="845"/>
      <c r="F154" s="845"/>
      <c r="G154" s="240"/>
      <c r="H154" s="510"/>
      <c r="I154" s="510"/>
      <c r="J154" s="510"/>
      <c r="N154" s="510"/>
      <c r="P154" s="537"/>
      <c r="Q154" s="537"/>
    </row>
    <row r="155" spans="2:32" ht="42" x14ac:dyDescent="0.2">
      <c r="B155" s="286" t="s">
        <v>415</v>
      </c>
      <c r="D155" s="845" t="str">
        <f>+Calculations!B598</f>
        <v xml:space="preserve">  </v>
      </c>
      <c r="E155" s="845"/>
      <c r="F155" s="845"/>
      <c r="G155" s="240"/>
      <c r="H155" s="240" t="s">
        <v>416</v>
      </c>
      <c r="I155" s="240"/>
      <c r="J155" s="784">
        <f>'Finance Manager Input Sheet'!C16</f>
        <v>0</v>
      </c>
      <c r="K155" s="784"/>
      <c r="L155" s="784"/>
      <c r="N155" s="510"/>
      <c r="P155" s="537"/>
      <c r="Q155" s="537"/>
    </row>
    <row r="156" spans="2:32" ht="21" x14ac:dyDescent="0.2">
      <c r="B156" s="240" t="s">
        <v>20</v>
      </c>
      <c r="D156" s="784" t="str">
        <f>Calculations!B602</f>
        <v/>
      </c>
      <c r="E156" s="784"/>
      <c r="F156" s="784"/>
      <c r="G156" s="240"/>
      <c r="H156" s="240" t="s">
        <v>417</v>
      </c>
      <c r="I156" s="240"/>
      <c r="J156" s="784" t="str">
        <f>UPPER(_xlfn.CONCAT('Finance Manager Input Sheet'!C19," ",'Finance Manager Input Sheet'!I19))</f>
        <v xml:space="preserve"> </v>
      </c>
      <c r="K156" s="784"/>
      <c r="L156" s="784"/>
      <c r="N156" s="510"/>
      <c r="P156" s="537"/>
      <c r="Q156" s="537"/>
    </row>
    <row r="157" spans="2:32" ht="21" x14ac:dyDescent="0.2">
      <c r="B157" s="240" t="s">
        <v>22</v>
      </c>
      <c r="D157" s="890" t="str">
        <f>+'Customer Input Screen'!I24</f>
        <v/>
      </c>
      <c r="E157" s="890"/>
      <c r="F157" s="890"/>
      <c r="G157" s="240"/>
      <c r="H157" s="842" t="s">
        <v>418</v>
      </c>
      <c r="I157" s="842"/>
      <c r="J157" s="842"/>
      <c r="K157" s="842">
        <f>+'Costing Sheet'!E19</f>
        <v>0</v>
      </c>
      <c r="L157" s="842"/>
      <c r="M157" s="842"/>
      <c r="N157" s="842"/>
      <c r="O157" s="842"/>
      <c r="P157" s="842"/>
      <c r="Q157" s="537"/>
    </row>
    <row r="158" spans="2:32" ht="20.25" customHeight="1" x14ac:dyDescent="0.2">
      <c r="B158" s="240" t="s">
        <v>21</v>
      </c>
      <c r="D158" s="890" t="str">
        <f>+'Customer Input Screen'!I22</f>
        <v/>
      </c>
      <c r="E158" s="890"/>
      <c r="F158" s="890"/>
      <c r="G158" s="240"/>
      <c r="H158" s="851" t="s">
        <v>419</v>
      </c>
      <c r="I158" s="851"/>
      <c r="J158" s="851"/>
      <c r="K158" s="784" t="str">
        <f>UPPER('Costing Sheet'!C17)</f>
        <v/>
      </c>
      <c r="L158" s="784"/>
      <c r="M158" s="784"/>
      <c r="N158" s="784"/>
      <c r="P158" s="537"/>
      <c r="Q158" s="537"/>
    </row>
    <row r="159" spans="2:32" x14ac:dyDescent="0.2">
      <c r="B159" s="958"/>
      <c r="C159" s="958"/>
      <c r="D159" s="421"/>
      <c r="E159" s="240"/>
      <c r="F159" s="240"/>
      <c r="G159" s="240"/>
      <c r="H159" s="6" t="s">
        <v>420</v>
      </c>
      <c r="I159" s="16"/>
      <c r="J159" s="16"/>
      <c r="K159" s="748">
        <f>+'Costing Sheet'!C19</f>
        <v>0</v>
      </c>
      <c r="L159" s="748"/>
      <c r="M159" s="748"/>
      <c r="N159" s="748"/>
      <c r="O159" s="16"/>
      <c r="P159" s="16"/>
      <c r="Q159"/>
      <c r="R159"/>
      <c r="S159"/>
      <c r="T159"/>
      <c r="U159"/>
      <c r="V159"/>
      <c r="W159"/>
      <c r="X159"/>
      <c r="Y159"/>
      <c r="Z159"/>
      <c r="AA159"/>
      <c r="AB159"/>
      <c r="AC159"/>
      <c r="AD159"/>
      <c r="AE159"/>
      <c r="AF159"/>
    </row>
    <row r="160" spans="2:32" ht="21" x14ac:dyDescent="0.2">
      <c r="B160" s="606" t="s">
        <v>298</v>
      </c>
      <c r="C160" s="607"/>
      <c r="D160" s="381">
        <f>+Calculations!B302</f>
        <v>0</v>
      </c>
      <c r="E160" s="527"/>
      <c r="F160" s="608" t="s">
        <v>342</v>
      </c>
      <c r="G160" s="607"/>
      <c r="H160" s="1139">
        <f>+'Costing Sheet'!Q15</f>
        <v>0</v>
      </c>
      <c r="I160" s="1139"/>
      <c r="J160" s="1140"/>
      <c r="K160" s="342"/>
      <c r="L160" s="609" t="s">
        <v>343</v>
      </c>
      <c r="M160" s="218"/>
      <c r="N160" s="610"/>
      <c r="O160"/>
      <c r="S160"/>
      <c r="T160"/>
      <c r="U160"/>
      <c r="V160"/>
      <c r="W160"/>
      <c r="X160"/>
      <c r="Y160"/>
      <c r="Z160"/>
      <c r="AA160"/>
      <c r="AB160"/>
      <c r="AC160"/>
      <c r="AD160"/>
      <c r="AE160"/>
      <c r="AF160"/>
    </row>
    <row r="161" spans="2:32" ht="21" customHeight="1" x14ac:dyDescent="0.2">
      <c r="B161" s="417"/>
      <c r="C161" s="409"/>
      <c r="D161" s="422"/>
      <c r="E161" s="527"/>
      <c r="F161" s="417" t="s">
        <v>94</v>
      </c>
      <c r="G161" s="409"/>
      <c r="H161" s="1134">
        <f>+'Costing Sheet'!Q13</f>
        <v>0</v>
      </c>
      <c r="I161" s="1134"/>
      <c r="J161" s="1135"/>
      <c r="K161" s="342"/>
      <c r="L161" s="862" t="s">
        <v>344</v>
      </c>
      <c r="M161" s="221"/>
      <c r="N161" s="1133">
        <f>-'Costing Sheet'!Q17</f>
        <v>0</v>
      </c>
      <c r="O161"/>
      <c r="S161"/>
      <c r="T161"/>
      <c r="U161"/>
      <c r="V161"/>
      <c r="W161"/>
      <c r="X161"/>
      <c r="Y161"/>
      <c r="Z161"/>
      <c r="AA161"/>
      <c r="AB161"/>
      <c r="AC161"/>
      <c r="AD161"/>
      <c r="AE161"/>
      <c r="AF161"/>
    </row>
    <row r="162" spans="2:32" ht="21" x14ac:dyDescent="0.2">
      <c r="B162" s="417" t="s">
        <v>300</v>
      </c>
      <c r="C162" s="409"/>
      <c r="D162" s="277">
        <f>+'Costing Sheet'!Q3</f>
        <v>0</v>
      </c>
      <c r="E162" s="527"/>
      <c r="F162" s="417" t="str">
        <f>+Calculations!B403</f>
        <v xml:space="preserve"> SALES TAX</v>
      </c>
      <c r="G162" s="409"/>
      <c r="H162" s="1136">
        <f>+Calculations!B405</f>
        <v>0</v>
      </c>
      <c r="I162" s="1136"/>
      <c r="J162" s="964"/>
      <c r="K162" s="342"/>
      <c r="L162" s="862"/>
      <c r="M162" s="221"/>
      <c r="N162" s="1133"/>
      <c r="O162"/>
      <c r="S162"/>
      <c r="T162"/>
      <c r="U162"/>
      <c r="V162"/>
      <c r="W162"/>
      <c r="X162"/>
      <c r="Y162"/>
      <c r="Z162"/>
      <c r="AA162"/>
      <c r="AB162"/>
      <c r="AC162"/>
      <c r="AD162"/>
      <c r="AE162"/>
      <c r="AF162"/>
    </row>
    <row r="163" spans="2:32" ht="21" x14ac:dyDescent="0.2">
      <c r="B163" s="417" t="s">
        <v>301</v>
      </c>
      <c r="C163" s="409"/>
      <c r="D163" s="277">
        <f>+'Costing Sheet'!Q5</f>
        <v>0</v>
      </c>
      <c r="E163" s="527"/>
      <c r="F163" s="417" t="str">
        <f>+Calculations!B399</f>
        <v/>
      </c>
      <c r="G163" s="409"/>
      <c r="H163" s="1136">
        <f>+Calculations!B412</f>
        <v>0</v>
      </c>
      <c r="I163" s="1136"/>
      <c r="J163" s="964"/>
      <c r="K163" s="342"/>
      <c r="L163" s="862"/>
      <c r="M163" s="221"/>
      <c r="N163" s="1133"/>
      <c r="O163"/>
      <c r="S163"/>
      <c r="T163"/>
      <c r="U163"/>
      <c r="V163"/>
      <c r="W163"/>
      <c r="X163"/>
      <c r="Y163"/>
      <c r="Z163"/>
      <c r="AA163"/>
      <c r="AB163"/>
      <c r="AC163"/>
      <c r="AD163"/>
      <c r="AE163"/>
      <c r="AF163"/>
    </row>
    <row r="164" spans="2:32" ht="21" x14ac:dyDescent="0.2">
      <c r="B164" s="417" t="s">
        <v>291</v>
      </c>
      <c r="C164" s="409"/>
      <c r="D164" s="277">
        <f>+Calculations!B386</f>
        <v>0</v>
      </c>
      <c r="E164" s="527"/>
      <c r="F164" s="862" t="str">
        <f>+Calculations!B406</f>
        <v xml:space="preserve"> COUNTY SALES TAX  OUT OF STATE OR NO COUNTY WAS SPECIFIED FOR CUSTOMER</v>
      </c>
      <c r="G164" s="409"/>
      <c r="H164" s="1136">
        <f>+Calculations!B413</f>
        <v>0</v>
      </c>
      <c r="I164" s="1136"/>
      <c r="J164" s="964"/>
      <c r="K164" s="342"/>
      <c r="L164" s="862"/>
      <c r="M164" s="221"/>
      <c r="N164" s="1133"/>
      <c r="O164"/>
      <c r="S164"/>
      <c r="T164"/>
      <c r="U164"/>
      <c r="V164"/>
      <c r="W164"/>
      <c r="X164"/>
      <c r="Y164"/>
      <c r="Z164"/>
      <c r="AA164"/>
      <c r="AB164"/>
      <c r="AC164"/>
      <c r="AD164"/>
      <c r="AE164"/>
      <c r="AF164"/>
    </row>
    <row r="165" spans="2:32" ht="21" customHeight="1" x14ac:dyDescent="0.2">
      <c r="B165" s="417"/>
      <c r="C165" s="409"/>
      <c r="D165" s="277"/>
      <c r="E165" s="527"/>
      <c r="F165" s="862"/>
      <c r="G165" s="409"/>
      <c r="H165" s="1136"/>
      <c r="I165" s="1136"/>
      <c r="J165" s="964"/>
      <c r="K165" s="342"/>
      <c r="L165" s="862"/>
      <c r="M165" s="221"/>
      <c r="N165" s="1133"/>
      <c r="O165"/>
      <c r="S165"/>
      <c r="T165"/>
      <c r="U165"/>
      <c r="V165"/>
      <c r="W165"/>
      <c r="X165"/>
      <c r="Y165"/>
      <c r="Z165"/>
      <c r="AA165"/>
      <c r="AB165"/>
      <c r="AC165"/>
      <c r="AD165"/>
      <c r="AE165"/>
      <c r="AF165"/>
    </row>
    <row r="166" spans="2:32" ht="20.25" customHeight="1" x14ac:dyDescent="0.2">
      <c r="B166" s="417"/>
      <c r="C166" s="409"/>
      <c r="D166" s="277"/>
      <c r="E166" s="527"/>
      <c r="F166" s="862"/>
      <c r="G166" s="409"/>
      <c r="H166" s="1136"/>
      <c r="I166" s="1136"/>
      <c r="J166" s="964"/>
      <c r="K166" s="342"/>
      <c r="L166" s="862" t="s">
        <v>345</v>
      </c>
      <c r="M166" s="221"/>
      <c r="N166" s="1133">
        <f>-'Costing Sheet'!Q19</f>
        <v>0</v>
      </c>
      <c r="O166"/>
      <c r="S166"/>
      <c r="T166"/>
      <c r="U166"/>
      <c r="V166"/>
      <c r="W166"/>
      <c r="X166"/>
      <c r="Y166"/>
      <c r="Z166"/>
      <c r="AA166"/>
      <c r="AB166"/>
      <c r="AC166"/>
      <c r="AD166"/>
      <c r="AE166"/>
      <c r="AF166"/>
    </row>
    <row r="167" spans="2:32" x14ac:dyDescent="0.2">
      <c r="B167" s="417"/>
      <c r="C167" s="409"/>
      <c r="D167" s="277"/>
      <c r="E167" s="527"/>
      <c r="F167" s="862"/>
      <c r="G167" s="409"/>
      <c r="H167" s="1136"/>
      <c r="I167" s="1136"/>
      <c r="J167" s="964"/>
      <c r="K167" s="342"/>
      <c r="L167" s="862"/>
      <c r="M167" s="221"/>
      <c r="N167" s="1133"/>
      <c r="O167"/>
      <c r="S167"/>
      <c r="T167"/>
      <c r="U167"/>
      <c r="V167"/>
      <c r="W167"/>
      <c r="X167"/>
      <c r="Y167"/>
      <c r="Z167"/>
      <c r="AA167"/>
      <c r="AB167"/>
      <c r="AC167"/>
      <c r="AD167"/>
      <c r="AE167"/>
      <c r="AF167"/>
    </row>
    <row r="168" spans="2:32" x14ac:dyDescent="0.2">
      <c r="B168" s="417"/>
      <c r="C168" s="409"/>
      <c r="D168" s="277"/>
      <c r="E168" s="527"/>
      <c r="F168" s="417"/>
      <c r="G168" s="409"/>
      <c r="H168" s="1136"/>
      <c r="I168" s="1136"/>
      <c r="J168" s="964"/>
      <c r="K168" s="342"/>
      <c r="L168" s="862"/>
      <c r="M168" s="221"/>
      <c r="N168" s="1133"/>
      <c r="O168"/>
      <c r="S168"/>
      <c r="T168"/>
      <c r="U168"/>
      <c r="V168"/>
      <c r="W168"/>
      <c r="X168"/>
      <c r="Y168"/>
      <c r="Z168"/>
      <c r="AA168"/>
      <c r="AB168"/>
      <c r="AC168"/>
      <c r="AD168"/>
      <c r="AE168"/>
      <c r="AF168"/>
    </row>
    <row r="169" spans="2:32" ht="21" x14ac:dyDescent="0.2">
      <c r="B169" s="417" t="s">
        <v>293</v>
      </c>
      <c r="C169" s="409"/>
      <c r="D169" s="277">
        <f>+Calculations!B385</f>
        <v>0</v>
      </c>
      <c r="E169" s="527"/>
      <c r="F169" s="862" t="str">
        <f>+Calculations!B414</f>
        <v/>
      </c>
      <c r="G169" s="409"/>
      <c r="H169" s="1136">
        <f>+Calculations!B407</f>
        <v>0</v>
      </c>
      <c r="I169" s="1136"/>
      <c r="J169" s="964"/>
      <c r="K169" s="342"/>
      <c r="L169" s="862"/>
      <c r="M169" s="221"/>
      <c r="N169" s="1133"/>
      <c r="O169"/>
      <c r="S169"/>
      <c r="T169"/>
      <c r="U169"/>
      <c r="V169"/>
      <c r="W169"/>
      <c r="X169"/>
      <c r="Y169"/>
      <c r="Z169"/>
      <c r="AA169"/>
      <c r="AB169"/>
      <c r="AC169"/>
      <c r="AD169"/>
      <c r="AE169"/>
      <c r="AF169"/>
    </row>
    <row r="170" spans="2:32" x14ac:dyDescent="0.2">
      <c r="B170" s="417"/>
      <c r="C170" s="409"/>
      <c r="D170" s="277"/>
      <c r="E170" s="527"/>
      <c r="F170" s="862"/>
      <c r="G170" s="409"/>
      <c r="H170" s="1136"/>
      <c r="I170" s="1136"/>
      <c r="J170" s="964"/>
      <c r="K170" s="342"/>
      <c r="L170" s="419"/>
      <c r="M170" s="221"/>
      <c r="N170" s="420"/>
      <c r="O170"/>
      <c r="S170"/>
      <c r="T170"/>
      <c r="U170"/>
      <c r="V170"/>
      <c r="W170"/>
      <c r="X170"/>
      <c r="Y170"/>
      <c r="Z170"/>
      <c r="AA170"/>
      <c r="AB170"/>
      <c r="AC170"/>
      <c r="AD170"/>
      <c r="AE170"/>
      <c r="AF170"/>
    </row>
    <row r="171" spans="2:32" x14ac:dyDescent="0.2">
      <c r="B171" s="417"/>
      <c r="C171" s="409"/>
      <c r="D171" s="277"/>
      <c r="E171" s="527"/>
      <c r="F171" s="862"/>
      <c r="G171" s="409"/>
      <c r="H171" s="1136"/>
      <c r="I171" s="1136"/>
      <c r="J171" s="964"/>
      <c r="K171" s="342"/>
      <c r="L171" s="419"/>
      <c r="M171" s="221"/>
      <c r="N171" s="420"/>
      <c r="O171"/>
      <c r="S171"/>
      <c r="T171"/>
      <c r="U171"/>
      <c r="V171"/>
      <c r="W171"/>
      <c r="X171"/>
      <c r="Y171"/>
      <c r="Z171"/>
      <c r="AA171"/>
      <c r="AB171"/>
      <c r="AC171"/>
      <c r="AD171"/>
      <c r="AE171"/>
      <c r="AF171"/>
    </row>
    <row r="172" spans="2:32" x14ac:dyDescent="0.2">
      <c r="B172" s="417"/>
      <c r="C172" s="409"/>
      <c r="D172" s="277"/>
      <c r="E172" s="527"/>
      <c r="F172" s="862"/>
      <c r="G172" s="409"/>
      <c r="H172" s="1136"/>
      <c r="I172" s="1136"/>
      <c r="J172" s="964"/>
      <c r="K172" s="342"/>
      <c r="L172" s="419"/>
      <c r="M172" s="221"/>
      <c r="N172" s="420"/>
      <c r="O172"/>
      <c r="S172"/>
      <c r="T172"/>
      <c r="U172"/>
      <c r="V172"/>
      <c r="W172"/>
      <c r="X172"/>
      <c r="Y172"/>
      <c r="Z172"/>
      <c r="AA172"/>
      <c r="AB172"/>
      <c r="AC172"/>
      <c r="AD172"/>
      <c r="AE172"/>
      <c r="AF172"/>
    </row>
    <row r="173" spans="2:32" x14ac:dyDescent="0.2">
      <c r="B173" s="417"/>
      <c r="C173" s="409"/>
      <c r="D173" s="277"/>
      <c r="E173" s="527"/>
      <c r="F173" s="862" t="str">
        <f>Calculations!$B$653</f>
        <v/>
      </c>
      <c r="G173" s="863"/>
      <c r="H173" s="863"/>
      <c r="I173" s="342"/>
      <c r="J173" s="611"/>
      <c r="K173" s="342"/>
      <c r="L173" s="419"/>
      <c r="M173" s="221"/>
      <c r="N173" s="420"/>
      <c r="O173"/>
      <c r="S173"/>
      <c r="T173"/>
      <c r="U173"/>
      <c r="V173"/>
      <c r="W173"/>
      <c r="X173"/>
      <c r="Y173"/>
      <c r="Z173"/>
      <c r="AA173"/>
      <c r="AB173"/>
      <c r="AC173"/>
      <c r="AD173"/>
      <c r="AE173"/>
      <c r="AF173"/>
    </row>
    <row r="174" spans="2:32" ht="72" customHeight="1" x14ac:dyDescent="0.2">
      <c r="B174" s="417" t="s">
        <v>346</v>
      </c>
      <c r="C174" s="409"/>
      <c r="D174" s="426">
        <f>+Calculations!B439</f>
        <v>0</v>
      </c>
      <c r="E174" s="527"/>
      <c r="F174" s="417" t="str">
        <f>Calculations!B651</f>
        <v/>
      </c>
      <c r="G174" s="427"/>
      <c r="H174" s="1134">
        <f>-Calculations!B318</f>
        <v>0</v>
      </c>
      <c r="I174" s="1134"/>
      <c r="J174" s="1135"/>
      <c r="K174" s="342"/>
      <c r="L174" s="419"/>
      <c r="M174" s="527"/>
      <c r="N174" s="528"/>
      <c r="O174"/>
      <c r="S174"/>
      <c r="T174"/>
      <c r="U174"/>
      <c r="V174"/>
      <c r="W174"/>
      <c r="X174"/>
      <c r="Y174"/>
      <c r="Z174"/>
      <c r="AA174"/>
      <c r="AB174"/>
      <c r="AC174"/>
      <c r="AD174"/>
      <c r="AE174"/>
      <c r="AF174"/>
    </row>
    <row r="175" spans="2:32" ht="63" x14ac:dyDescent="0.2">
      <c r="B175" s="414" t="s">
        <v>340</v>
      </c>
      <c r="C175" s="431"/>
      <c r="D175" s="432">
        <f>+Calculations!B437</f>
        <v>0</v>
      </c>
      <c r="E175" s="527"/>
      <c r="F175" s="414" t="s">
        <v>341</v>
      </c>
      <c r="G175" s="431"/>
      <c r="H175" s="1137">
        <f>+Calculations!B436</f>
        <v>0</v>
      </c>
      <c r="I175" s="1137"/>
      <c r="J175" s="1138"/>
      <c r="K175" s="342"/>
      <c r="L175" s="414" t="s">
        <v>347</v>
      </c>
      <c r="M175" s="429"/>
      <c r="N175" s="415">
        <f>+Calculations!B438</f>
        <v>0</v>
      </c>
      <c r="O175"/>
      <c r="P175" s="240" t="str">
        <f>+J156</f>
        <v xml:space="preserve"> </v>
      </c>
      <c r="S175"/>
      <c r="T175"/>
      <c r="U175"/>
      <c r="V175"/>
      <c r="W175"/>
      <c r="X175"/>
      <c r="Y175"/>
      <c r="Z175"/>
      <c r="AA175"/>
      <c r="AB175"/>
      <c r="AC175"/>
      <c r="AD175"/>
      <c r="AE175"/>
      <c r="AF175"/>
    </row>
    <row r="176" spans="2:32" x14ac:dyDescent="0.2">
      <c r="D176" s="240"/>
      <c r="E176" s="240"/>
      <c r="F176" s="240"/>
      <c r="G176" s="569"/>
      <c r="H176"/>
      <c r="I176"/>
      <c r="J176"/>
      <c r="K176"/>
      <c r="L176"/>
      <c r="M176"/>
      <c r="N176"/>
      <c r="O176"/>
      <c r="P176"/>
      <c r="Q176"/>
      <c r="R176"/>
      <c r="S176"/>
      <c r="T176"/>
      <c r="U176"/>
      <c r="V176"/>
      <c r="W176"/>
      <c r="X176"/>
      <c r="Y176"/>
      <c r="Z176"/>
      <c r="AA176"/>
      <c r="AB176"/>
      <c r="AC176"/>
      <c r="AD176"/>
      <c r="AE176"/>
      <c r="AF176"/>
    </row>
    <row r="177" spans="2:32" x14ac:dyDescent="0.2">
      <c r="D177" s="240"/>
      <c r="E177" s="240"/>
      <c r="F177" s="240"/>
      <c r="G177" s="569"/>
      <c r="H177"/>
      <c r="I177"/>
      <c r="J177"/>
      <c r="K177"/>
      <c r="L177"/>
      <c r="M177"/>
      <c r="N177"/>
      <c r="O177"/>
      <c r="P177"/>
      <c r="Q177"/>
      <c r="R177"/>
      <c r="S177"/>
      <c r="T177"/>
      <c r="U177"/>
      <c r="V177"/>
      <c r="W177"/>
      <c r="X177"/>
      <c r="Y177"/>
      <c r="Z177"/>
      <c r="AA177"/>
      <c r="AB177"/>
      <c r="AC177"/>
      <c r="AD177"/>
      <c r="AE177"/>
      <c r="AF177"/>
    </row>
    <row r="178" spans="2:32" x14ac:dyDescent="0.2">
      <c r="D178" s="240"/>
      <c r="E178" s="416"/>
      <c r="F178" s="240"/>
      <c r="G178" s="240"/>
      <c r="H178"/>
      <c r="I178"/>
      <c r="J178"/>
      <c r="K178"/>
      <c r="L178"/>
      <c r="M178"/>
      <c r="N178"/>
      <c r="O178"/>
      <c r="P178"/>
      <c r="Q178"/>
      <c r="R178"/>
      <c r="S178"/>
      <c r="T178"/>
      <c r="U178"/>
      <c r="V178"/>
      <c r="W178"/>
      <c r="X178"/>
      <c r="Y178"/>
      <c r="Z178"/>
      <c r="AA178"/>
      <c r="AB178"/>
      <c r="AC178"/>
      <c r="AD178"/>
      <c r="AE178"/>
      <c r="AF178"/>
    </row>
    <row r="179" spans="2:32" x14ac:dyDescent="0.2">
      <c r="D179" s="416"/>
      <c r="E179" s="240"/>
      <c r="F179" s="240"/>
      <c r="G179" s="240"/>
      <c r="H179"/>
      <c r="I179"/>
      <c r="J179"/>
      <c r="K179"/>
      <c r="L179"/>
      <c r="M179"/>
      <c r="N179"/>
      <c r="O179"/>
      <c r="P179"/>
      <c r="Q179"/>
      <c r="R179"/>
      <c r="S179"/>
      <c r="T179"/>
      <c r="U179"/>
      <c r="V179"/>
      <c r="W179"/>
      <c r="X179"/>
      <c r="Y179"/>
      <c r="Z179"/>
      <c r="AA179"/>
      <c r="AB179"/>
      <c r="AC179"/>
      <c r="AD179"/>
      <c r="AE179"/>
      <c r="AF179"/>
    </row>
    <row r="180" spans="2:32" x14ac:dyDescent="0.2">
      <c r="E180" s="240"/>
      <c r="F180" s="240"/>
      <c r="G180" s="240"/>
      <c r="H180"/>
      <c r="I180"/>
      <c r="J180"/>
      <c r="K180"/>
      <c r="L180"/>
      <c r="M180"/>
      <c r="N180"/>
      <c r="O180"/>
      <c r="P180"/>
      <c r="Q180"/>
      <c r="R180"/>
      <c r="S180"/>
      <c r="T180"/>
      <c r="U180"/>
      <c r="V180"/>
      <c r="W180"/>
      <c r="X180"/>
      <c r="Y180"/>
      <c r="Z180"/>
      <c r="AA180"/>
      <c r="AB180"/>
      <c r="AC180"/>
      <c r="AD180"/>
      <c r="AE180"/>
      <c r="AF180"/>
    </row>
    <row r="181" spans="2:32" x14ac:dyDescent="0.2">
      <c r="E181" s="240"/>
      <c r="F181" s="240"/>
      <c r="G181" s="240"/>
      <c r="H181"/>
      <c r="I181"/>
      <c r="J181"/>
      <c r="K181"/>
      <c r="L181"/>
      <c r="M181"/>
      <c r="N181"/>
      <c r="O181"/>
      <c r="P181"/>
      <c r="Q181"/>
      <c r="R181"/>
      <c r="S181"/>
      <c r="T181"/>
      <c r="U181"/>
      <c r="V181"/>
      <c r="W181"/>
      <c r="X181"/>
      <c r="Y181"/>
      <c r="Z181"/>
      <c r="AA181"/>
      <c r="AB181"/>
      <c r="AC181"/>
      <c r="AD181"/>
      <c r="AE181"/>
      <c r="AF181"/>
    </row>
    <row r="182" spans="2:32" x14ac:dyDescent="0.2">
      <c r="D182" s="510"/>
      <c r="E182" s="510"/>
      <c r="F182" s="240"/>
      <c r="G182" s="240"/>
      <c r="H182"/>
      <c r="I182"/>
      <c r="J182"/>
      <c r="K182"/>
      <c r="L182"/>
      <c r="M182"/>
      <c r="N182"/>
      <c r="O182"/>
      <c r="P182"/>
      <c r="Q182"/>
      <c r="R182"/>
      <c r="S182"/>
      <c r="T182"/>
      <c r="U182"/>
      <c r="V182"/>
      <c r="W182"/>
      <c r="X182"/>
      <c r="Y182"/>
      <c r="Z182"/>
      <c r="AA182"/>
      <c r="AB182"/>
      <c r="AC182"/>
      <c r="AD182"/>
      <c r="AE182"/>
      <c r="AF182"/>
    </row>
    <row r="183" spans="2:32" s="14" customFormat="1" x14ac:dyDescent="0.2">
      <c r="B183" s="240"/>
      <c r="D183" s="510"/>
      <c r="E183" s="510"/>
      <c r="F183" s="240"/>
      <c r="G183" s="240"/>
      <c r="H183"/>
      <c r="I183"/>
      <c r="J183"/>
      <c r="K183"/>
      <c r="L183"/>
      <c r="M183"/>
      <c r="N183"/>
      <c r="O183"/>
      <c r="P183"/>
      <c r="Q183"/>
      <c r="R183"/>
      <c r="S183"/>
      <c r="T183"/>
      <c r="U183"/>
      <c r="V183"/>
      <c r="W183"/>
      <c r="X183"/>
      <c r="Y183"/>
      <c r="Z183"/>
      <c r="AA183"/>
      <c r="AB183"/>
      <c r="AC183"/>
      <c r="AD183"/>
      <c r="AE183"/>
      <c r="AF183"/>
    </row>
    <row r="184" spans="2:32" s="14" customFormat="1" x14ac:dyDescent="0.2">
      <c r="B184" s="286"/>
      <c r="D184" s="1128"/>
      <c r="E184" s="1128"/>
      <c r="F184" s="1128"/>
      <c r="G184" s="602"/>
      <c r="H184"/>
      <c r="I184"/>
      <c r="J184"/>
      <c r="K184"/>
      <c r="L184"/>
      <c r="M184"/>
      <c r="N184"/>
      <c r="O184"/>
      <c r="P184"/>
      <c r="Q184"/>
      <c r="R184"/>
      <c r="S184"/>
      <c r="T184"/>
      <c r="U184"/>
      <c r="V184"/>
      <c r="W184"/>
      <c r="X184"/>
      <c r="Y184"/>
      <c r="Z184"/>
      <c r="AA184"/>
      <c r="AB184"/>
      <c r="AC184"/>
      <c r="AD184"/>
      <c r="AE184"/>
      <c r="AF184"/>
    </row>
    <row r="185" spans="2:32" s="14" customFormat="1" x14ac:dyDescent="0.2">
      <c r="B185" s="240"/>
      <c r="D185" s="1129"/>
      <c r="E185" s="1129"/>
      <c r="F185" s="1129"/>
      <c r="G185" s="604"/>
      <c r="H185"/>
      <c r="I185"/>
      <c r="J185"/>
      <c r="K185"/>
      <c r="L185"/>
      <c r="M185"/>
      <c r="N185"/>
      <c r="O185"/>
      <c r="P185"/>
      <c r="Q185"/>
      <c r="R185"/>
      <c r="S185"/>
      <c r="T185"/>
      <c r="U185"/>
      <c r="V185"/>
      <c r="W185"/>
      <c r="X185"/>
      <c r="Y185"/>
      <c r="Z185"/>
      <c r="AA185"/>
      <c r="AB185"/>
      <c r="AC185"/>
      <c r="AD185"/>
      <c r="AE185"/>
      <c r="AF185"/>
    </row>
    <row r="186" spans="2:32" s="14" customFormat="1" x14ac:dyDescent="0.2">
      <c r="B186" s="240"/>
      <c r="D186" s="510"/>
      <c r="E186" s="510"/>
      <c r="F186" s="240"/>
      <c r="G186" s="240"/>
      <c r="H186"/>
      <c r="I186"/>
      <c r="J186"/>
      <c r="K186"/>
      <c r="L186"/>
      <c r="M186"/>
      <c r="N186"/>
      <c r="O186"/>
      <c r="P186"/>
      <c r="Q186"/>
      <c r="R186"/>
      <c r="S186"/>
      <c r="T186"/>
      <c r="U186"/>
      <c r="V186"/>
      <c r="W186"/>
      <c r="X186"/>
      <c r="Y186"/>
      <c r="Z186"/>
      <c r="AA186"/>
      <c r="AB186"/>
      <c r="AC186"/>
      <c r="AD186"/>
      <c r="AE186"/>
      <c r="AF186"/>
    </row>
    <row r="187" spans="2:32" s="14" customFormat="1" x14ac:dyDescent="0.2">
      <c r="B187" s="240"/>
      <c r="D187" s="510"/>
      <c r="E187" s="510"/>
      <c r="F187" s="240"/>
      <c r="G187" s="240"/>
      <c r="H187"/>
      <c r="I187"/>
      <c r="J187"/>
      <c r="K187"/>
      <c r="L187"/>
      <c r="M187"/>
      <c r="N187"/>
      <c r="O187"/>
      <c r="P187"/>
      <c r="Q187"/>
      <c r="R187"/>
      <c r="S187"/>
      <c r="T187"/>
      <c r="U187"/>
      <c r="V187"/>
      <c r="W187"/>
      <c r="X187"/>
      <c r="Y187"/>
      <c r="Z187"/>
      <c r="AA187"/>
      <c r="AB187"/>
      <c r="AC187"/>
      <c r="AD187"/>
      <c r="AE187"/>
      <c r="AF187"/>
    </row>
    <row r="188" spans="2:32" s="14" customFormat="1" x14ac:dyDescent="0.2">
      <c r="B188" s="240"/>
      <c r="D188" s="510"/>
      <c r="E188" s="510"/>
      <c r="F188" s="240"/>
      <c r="G188" s="240"/>
      <c r="H188"/>
      <c r="I188"/>
      <c r="J188"/>
      <c r="K188"/>
      <c r="L188"/>
      <c r="M188"/>
      <c r="N188"/>
      <c r="O188"/>
      <c r="P188"/>
      <c r="Q188"/>
      <c r="R188"/>
      <c r="S188"/>
      <c r="T188"/>
      <c r="U188"/>
      <c r="V188"/>
      <c r="W188"/>
      <c r="X188"/>
      <c r="Y188"/>
      <c r="Z188"/>
      <c r="AA188"/>
      <c r="AB188"/>
      <c r="AC188"/>
      <c r="AD188"/>
      <c r="AE188"/>
      <c r="AF188"/>
    </row>
    <row r="189" spans="2:32" s="14" customFormat="1" ht="16" x14ac:dyDescent="0.2">
      <c r="H189"/>
      <c r="I189"/>
      <c r="J189"/>
      <c r="K189"/>
      <c r="L189"/>
      <c r="M189"/>
      <c r="N189"/>
      <c r="O189"/>
      <c r="P189"/>
      <c r="Q189"/>
      <c r="R189"/>
      <c r="S189"/>
      <c r="T189"/>
      <c r="U189"/>
      <c r="V189"/>
      <c r="W189"/>
      <c r="X189"/>
      <c r="Y189"/>
      <c r="Z189"/>
      <c r="AA189"/>
      <c r="AB189"/>
      <c r="AC189"/>
      <c r="AD189"/>
      <c r="AE189"/>
      <c r="AF189"/>
    </row>
    <row r="190" spans="2:32" s="14" customFormat="1" ht="16" x14ac:dyDescent="0.2">
      <c r="H190"/>
      <c r="I190"/>
      <c r="J190"/>
      <c r="K190"/>
      <c r="L190"/>
      <c r="M190"/>
      <c r="N190"/>
      <c r="O190"/>
      <c r="P190"/>
      <c r="Q190"/>
      <c r="R190"/>
      <c r="S190"/>
      <c r="T190"/>
      <c r="U190"/>
      <c r="V190"/>
      <c r="W190"/>
      <c r="X190"/>
      <c r="Y190"/>
      <c r="Z190"/>
      <c r="AA190"/>
      <c r="AB190"/>
      <c r="AC190"/>
      <c r="AD190"/>
      <c r="AE190"/>
      <c r="AF190"/>
    </row>
    <row r="191" spans="2:32" x14ac:dyDescent="0.2">
      <c r="D191" s="510"/>
      <c r="E191" s="510"/>
      <c r="F191" s="223"/>
      <c r="G191" s="223"/>
      <c r="H191"/>
      <c r="I191"/>
      <c r="J191"/>
      <c r="K191"/>
      <c r="L191"/>
      <c r="M191"/>
      <c r="N191"/>
      <c r="O191"/>
      <c r="P191"/>
      <c r="Q191"/>
      <c r="R191"/>
      <c r="S191"/>
      <c r="T191"/>
      <c r="U191"/>
      <c r="V191"/>
      <c r="W191"/>
      <c r="X191"/>
      <c r="Y191"/>
      <c r="Z191"/>
      <c r="AA191"/>
      <c r="AB191"/>
      <c r="AC191"/>
      <c r="AD191"/>
      <c r="AE191"/>
      <c r="AF191"/>
    </row>
    <row r="192" spans="2:32" x14ac:dyDescent="0.2">
      <c r="D192" s="510"/>
      <c r="E192" s="510"/>
      <c r="F192" s="223"/>
      <c r="G192" s="223"/>
      <c r="H192"/>
      <c r="I192"/>
      <c r="J192"/>
      <c r="K192"/>
      <c r="L192"/>
      <c r="M192"/>
      <c r="N192"/>
      <c r="O192"/>
      <c r="P192"/>
      <c r="Q192"/>
      <c r="R192"/>
      <c r="S192"/>
      <c r="T192"/>
      <c r="U192"/>
      <c r="V192"/>
      <c r="W192"/>
      <c r="X192"/>
      <c r="Y192"/>
      <c r="Z192"/>
      <c r="AA192"/>
      <c r="AB192"/>
      <c r="AC192"/>
      <c r="AD192"/>
      <c r="AE192"/>
      <c r="AF192"/>
    </row>
    <row r="193" spans="4:27" x14ac:dyDescent="0.2">
      <c r="D193" s="510"/>
      <c r="E193" s="510"/>
      <c r="F193" s="240"/>
      <c r="G193" s="240"/>
      <c r="H193" s="240"/>
      <c r="I193" s="240"/>
      <c r="J193" s="537"/>
      <c r="AA193" s="510"/>
    </row>
    <row r="194" spans="4:27" x14ac:dyDescent="0.2">
      <c r="D194" s="510"/>
      <c r="E194" s="510"/>
      <c r="F194" s="223"/>
      <c r="G194" s="223"/>
      <c r="H194" s="223"/>
      <c r="I194" s="240"/>
      <c r="J194" s="602"/>
    </row>
    <row r="195" spans="4:27" x14ac:dyDescent="0.2">
      <c r="D195" s="510"/>
      <c r="E195" s="510"/>
      <c r="F195" s="223"/>
      <c r="G195" s="223"/>
      <c r="H195" s="223"/>
      <c r="I195" s="510"/>
      <c r="J195" s="602"/>
    </row>
    <row r="196" spans="4:27" x14ac:dyDescent="0.2">
      <c r="D196" s="510"/>
      <c r="E196" s="510"/>
      <c r="F196" s="223"/>
      <c r="G196" s="223"/>
      <c r="H196" s="223"/>
      <c r="I196" s="510"/>
      <c r="J196" s="602"/>
    </row>
    <row r="197" spans="4:27" x14ac:dyDescent="0.2">
      <c r="D197" s="510"/>
      <c r="E197" s="510"/>
      <c r="F197" s="240"/>
      <c r="G197" s="240"/>
      <c r="H197" s="240"/>
      <c r="I197" s="240"/>
      <c r="J197" s="602"/>
    </row>
    <row r="198" spans="4:27" x14ac:dyDescent="0.2">
      <c r="D198" s="510"/>
      <c r="E198" s="510"/>
      <c r="F198" s="240"/>
      <c r="G198" s="240"/>
      <c r="H198" s="240"/>
      <c r="I198" s="240"/>
      <c r="J198" s="223"/>
    </row>
    <row r="199" spans="4:27" x14ac:dyDescent="0.2">
      <c r="D199" s="510"/>
      <c r="E199" s="510"/>
      <c r="F199" s="240"/>
      <c r="G199" s="240"/>
      <c r="H199" s="240"/>
      <c r="I199" s="240"/>
      <c r="J199" s="223"/>
    </row>
    <row r="200" spans="4:27" x14ac:dyDescent="0.2">
      <c r="D200" s="510"/>
      <c r="E200" s="510"/>
      <c r="F200" s="240"/>
      <c r="G200" s="240"/>
      <c r="H200" s="240"/>
      <c r="I200" s="240"/>
      <c r="J200" s="223"/>
    </row>
    <row r="201" spans="4:27" x14ac:dyDescent="0.2">
      <c r="D201" s="510"/>
      <c r="E201" s="510"/>
      <c r="F201" s="223"/>
      <c r="G201" s="223"/>
      <c r="H201" s="223"/>
      <c r="I201" s="510"/>
      <c r="J201" s="223"/>
    </row>
    <row r="202" spans="4:27" x14ac:dyDescent="0.2">
      <c r="D202" s="510"/>
      <c r="E202" s="510"/>
      <c r="F202" s="223"/>
      <c r="G202" s="223"/>
      <c r="H202" s="223"/>
      <c r="I202" s="510"/>
      <c r="J202" s="223"/>
    </row>
    <row r="203" spans="4:27" x14ac:dyDescent="0.2">
      <c r="D203" s="510"/>
      <c r="E203" s="510"/>
      <c r="F203" s="510"/>
      <c r="G203" s="510"/>
      <c r="H203" s="510"/>
      <c r="I203" s="510"/>
    </row>
    <row r="204" spans="4:27" x14ac:dyDescent="0.2">
      <c r="D204" s="510"/>
      <c r="E204" s="510"/>
      <c r="F204" s="510"/>
      <c r="G204" s="510"/>
      <c r="H204" s="510"/>
      <c r="I204" s="510"/>
    </row>
    <row r="205" spans="4:27" x14ac:dyDescent="0.2">
      <c r="D205" s="510"/>
      <c r="E205" s="510"/>
      <c r="F205" s="510"/>
      <c r="G205" s="510"/>
      <c r="H205" s="510"/>
      <c r="I205" s="510"/>
    </row>
  </sheetData>
  <sheetProtection selectLockedCells="1"/>
  <mergeCells count="141">
    <mergeCell ref="F173:H173"/>
    <mergeCell ref="H174:J174"/>
    <mergeCell ref="H175:J175"/>
    <mergeCell ref="D184:F184"/>
    <mergeCell ref="D185:F185"/>
    <mergeCell ref="H139:J139"/>
    <mergeCell ref="D140:F140"/>
    <mergeCell ref="H140:J140"/>
    <mergeCell ref="H141:J141"/>
    <mergeCell ref="D141:F141"/>
    <mergeCell ref="H160:J160"/>
    <mergeCell ref="D154:F154"/>
    <mergeCell ref="J155:L155"/>
    <mergeCell ref="D155:F155"/>
    <mergeCell ref="J156:L156"/>
    <mergeCell ref="D156:F156"/>
    <mergeCell ref="K157:P157"/>
    <mergeCell ref="H157:J157"/>
    <mergeCell ref="D157:F157"/>
    <mergeCell ref="H158:J158"/>
    <mergeCell ref="D158:F158"/>
    <mergeCell ref="K158:N158"/>
    <mergeCell ref="J150:L150"/>
    <mergeCell ref="D150:F150"/>
    <mergeCell ref="N161:N165"/>
    <mergeCell ref="L161:L165"/>
    <mergeCell ref="H161:J161"/>
    <mergeCell ref="H162:J162"/>
    <mergeCell ref="H163:J163"/>
    <mergeCell ref="H164:J164"/>
    <mergeCell ref="F164:F167"/>
    <mergeCell ref="H165:J165"/>
    <mergeCell ref="N166:N169"/>
    <mergeCell ref="L166:L169"/>
    <mergeCell ref="H166:J166"/>
    <mergeCell ref="H167:J167"/>
    <mergeCell ref="H168:J168"/>
    <mergeCell ref="F169:F172"/>
    <mergeCell ref="H169:J169"/>
    <mergeCell ref="H170:J170"/>
    <mergeCell ref="H171:J171"/>
    <mergeCell ref="H172:J172"/>
    <mergeCell ref="K159:N159"/>
    <mergeCell ref="B159:C159"/>
    <mergeCell ref="B104:D104"/>
    <mergeCell ref="B105:D105"/>
    <mergeCell ref="B106:D106"/>
    <mergeCell ref="B107:D107"/>
    <mergeCell ref="B108:D108"/>
    <mergeCell ref="B109:D109"/>
    <mergeCell ref="B110:D110"/>
    <mergeCell ref="B111:D111"/>
    <mergeCell ref="B112:D112"/>
    <mergeCell ref="B113:D113"/>
    <mergeCell ref="B115:E115"/>
    <mergeCell ref="H132:J132"/>
    <mergeCell ref="D132:F132"/>
    <mergeCell ref="H133:J133"/>
    <mergeCell ref="D133:F133"/>
    <mergeCell ref="H134:J134"/>
    <mergeCell ref="D134:F134"/>
    <mergeCell ref="H135:J135"/>
    <mergeCell ref="D135:F135"/>
    <mergeCell ref="D136:F136"/>
    <mergeCell ref="H136:J136"/>
    <mergeCell ref="H142:J142"/>
    <mergeCell ref="N150:R150"/>
    <mergeCell ref="N151:P151"/>
    <mergeCell ref="J151:L151"/>
    <mergeCell ref="D151:F151"/>
    <mergeCell ref="L152:N152"/>
    <mergeCell ref="H152:J152"/>
    <mergeCell ref="L153:N153"/>
    <mergeCell ref="D153:F153"/>
    <mergeCell ref="H153:J153"/>
    <mergeCell ref="N72:R72"/>
    <mergeCell ref="N73:R73"/>
    <mergeCell ref="D73:H73"/>
    <mergeCell ref="J73:L73"/>
    <mergeCell ref="N74:P74"/>
    <mergeCell ref="D74:H74"/>
    <mergeCell ref="J74:L74"/>
    <mergeCell ref="N149:R149"/>
    <mergeCell ref="J149:L149"/>
    <mergeCell ref="D149:F149"/>
    <mergeCell ref="D142:F142"/>
    <mergeCell ref="H143:J143"/>
    <mergeCell ref="D144:F144"/>
    <mergeCell ref="H144:J144"/>
    <mergeCell ref="D145:F145"/>
    <mergeCell ref="H145:J145"/>
    <mergeCell ref="D146:F146"/>
    <mergeCell ref="H146:J146"/>
    <mergeCell ref="D143:F143"/>
    <mergeCell ref="D137:F137"/>
    <mergeCell ref="H137:J137"/>
    <mergeCell ref="H138:J138"/>
    <mergeCell ref="D138:F138"/>
    <mergeCell ref="D139:F139"/>
    <mergeCell ref="D101:H101"/>
    <mergeCell ref="J101:L101"/>
    <mergeCell ref="N101:P101"/>
    <mergeCell ref="J1:L1"/>
    <mergeCell ref="D1:H1"/>
    <mergeCell ref="N1:R1"/>
    <mergeCell ref="D2:H2"/>
    <mergeCell ref="N2:R2"/>
    <mergeCell ref="J2:L2"/>
    <mergeCell ref="J3:L3"/>
    <mergeCell ref="N3:P3"/>
    <mergeCell ref="D3:H3"/>
    <mergeCell ref="N46:R46"/>
    <mergeCell ref="J46:L46"/>
    <mergeCell ref="D46:H46"/>
    <mergeCell ref="J47:L47"/>
    <mergeCell ref="D47:H47"/>
    <mergeCell ref="N47:R47"/>
    <mergeCell ref="N48:P48"/>
    <mergeCell ref="J48:L48"/>
    <mergeCell ref="D48:H48"/>
    <mergeCell ref="B50:D50"/>
    <mergeCell ref="D72:H72"/>
    <mergeCell ref="J72:L72"/>
    <mergeCell ref="J93:L93"/>
    <mergeCell ref="J94:L94"/>
    <mergeCell ref="J95:L95"/>
    <mergeCell ref="J99:L99"/>
    <mergeCell ref="D99:H99"/>
    <mergeCell ref="N99:R99"/>
    <mergeCell ref="D100:H100"/>
    <mergeCell ref="N100:R100"/>
    <mergeCell ref="J100:L100"/>
    <mergeCell ref="L77:N77"/>
    <mergeCell ref="L78:N78"/>
    <mergeCell ref="L79:N79"/>
    <mergeCell ref="L80:N80"/>
    <mergeCell ref="L81:N81"/>
    <mergeCell ref="L82:N82"/>
    <mergeCell ref="B89:D89"/>
    <mergeCell ref="J91:L91"/>
    <mergeCell ref="J92:L92"/>
  </mergeCells>
  <dataValidations count="1">
    <dataValidation type="decimal" allowBlank="1" showInputMessage="1" showErrorMessage="1" sqref="F53:G64 F77:G89 G66:G71 B66:B71 H89 H77:H82 J66:J71" xr:uid="{00000000-0002-0000-1100-000000000000}">
      <formula1>-100000</formula1>
      <formula2>100000</formula2>
    </dataValidation>
  </dataValidations>
  <printOptions horizontalCentered="1" verticalCentered="1"/>
  <pageMargins left="0.2" right="0.2" top="0.2" bottom="0.2" header="0" footer="0"/>
  <pageSetup scale="43" fitToHeight="90" orientation="landscape" r:id="rId1"/>
  <rowBreaks count="4" manualBreakCount="4">
    <brk id="45" max="18" man="1"/>
    <brk id="71" max="18" man="1"/>
    <brk id="98" max="18" man="1"/>
    <brk id="147" max="18"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71"/>
  <sheetViews>
    <sheetView workbookViewId="0">
      <selection activeCell="G22" sqref="G22"/>
    </sheetView>
  </sheetViews>
  <sheetFormatPr baseColWidth="10" defaultColWidth="10.5" defaultRowHeight="16" x14ac:dyDescent="0.2"/>
  <cols>
    <col min="1" max="1" width="20.5" customWidth="1"/>
    <col min="3" max="3" width="31.5" customWidth="1"/>
    <col min="7" max="7" width="16.5" customWidth="1"/>
  </cols>
  <sheetData>
    <row r="1" spans="1:9" ht="19" x14ac:dyDescent="0.25">
      <c r="A1" s="612" t="s">
        <v>118</v>
      </c>
      <c r="C1" s="613" t="s">
        <v>119</v>
      </c>
      <c r="G1" s="614"/>
      <c r="H1" s="614"/>
      <c r="I1" s="614"/>
    </row>
    <row r="2" spans="1:9" x14ac:dyDescent="0.2">
      <c r="E2" t="s">
        <v>421</v>
      </c>
      <c r="G2" s="614"/>
      <c r="H2" s="614"/>
      <c r="I2" s="614"/>
    </row>
    <row r="3" spans="1:9" x14ac:dyDescent="0.2">
      <c r="E3" t="s">
        <v>422</v>
      </c>
      <c r="G3" s="614"/>
      <c r="H3" s="614"/>
      <c r="I3" s="614"/>
    </row>
    <row r="4" spans="1:9" x14ac:dyDescent="0.2">
      <c r="E4" t="s">
        <v>423</v>
      </c>
      <c r="G4" s="614"/>
      <c r="H4" s="614"/>
      <c r="I4" s="614"/>
    </row>
    <row r="5" spans="1:9" x14ac:dyDescent="0.2">
      <c r="E5" t="s">
        <v>424</v>
      </c>
      <c r="G5" s="614"/>
      <c r="H5" s="614"/>
      <c r="I5" s="614"/>
    </row>
    <row r="6" spans="1:9" x14ac:dyDescent="0.2">
      <c r="E6" t="s">
        <v>425</v>
      </c>
      <c r="G6" s="614"/>
      <c r="H6" s="614"/>
      <c r="I6" s="614"/>
    </row>
    <row r="7" spans="1:9" x14ac:dyDescent="0.2">
      <c r="E7" t="s">
        <v>426</v>
      </c>
      <c r="G7" s="614"/>
      <c r="H7" s="614"/>
      <c r="I7" s="614"/>
    </row>
    <row r="8" spans="1:9" x14ac:dyDescent="0.2">
      <c r="E8" t="s">
        <v>427</v>
      </c>
      <c r="G8" s="614"/>
      <c r="H8" s="614"/>
      <c r="I8" s="614"/>
    </row>
    <row r="9" spans="1:9" x14ac:dyDescent="0.2">
      <c r="E9" t="s">
        <v>428</v>
      </c>
      <c r="G9" s="614"/>
      <c r="H9" s="614"/>
      <c r="I9" s="614"/>
    </row>
    <row r="10" spans="1:9" x14ac:dyDescent="0.2">
      <c r="E10" t="s">
        <v>429</v>
      </c>
      <c r="G10" s="614"/>
      <c r="H10" s="614"/>
      <c r="I10" s="614"/>
    </row>
    <row r="11" spans="1:9" x14ac:dyDescent="0.2">
      <c r="E11" t="s">
        <v>430</v>
      </c>
      <c r="G11" s="614"/>
      <c r="H11" s="614"/>
      <c r="I11" s="614"/>
    </row>
    <row r="13" spans="1:9" x14ac:dyDescent="0.2">
      <c r="A13" s="615"/>
    </row>
    <row r="14" spans="1:9" x14ac:dyDescent="0.2">
      <c r="A14" s="612"/>
      <c r="G14" s="614"/>
      <c r="H14" s="614"/>
      <c r="I14" s="614"/>
    </row>
    <row r="15" spans="1:9" ht="19" x14ac:dyDescent="0.25">
      <c r="A15" s="612" t="s">
        <v>118</v>
      </c>
      <c r="C15" s="613" t="s">
        <v>119</v>
      </c>
      <c r="G15" s="614"/>
      <c r="H15" s="614"/>
      <c r="I15" s="614"/>
    </row>
    <row r="16" spans="1:9" ht="19" x14ac:dyDescent="0.25">
      <c r="A16" s="616"/>
      <c r="C16" s="97"/>
      <c r="E16" t="s">
        <v>431</v>
      </c>
      <c r="G16" s="614"/>
      <c r="H16" s="614"/>
      <c r="I16" s="614"/>
    </row>
    <row r="17" spans="1:9" ht="19" x14ac:dyDescent="0.25">
      <c r="A17" s="616"/>
      <c r="C17" s="97"/>
      <c r="E17" t="s">
        <v>432</v>
      </c>
      <c r="G17" s="614"/>
      <c r="H17" s="614"/>
      <c r="I17" s="614"/>
    </row>
    <row r="18" spans="1:9" ht="19" x14ac:dyDescent="0.25">
      <c r="A18" s="616"/>
      <c r="C18" s="97"/>
      <c r="E18" t="s">
        <v>433</v>
      </c>
      <c r="G18" s="614"/>
      <c r="H18" s="614"/>
      <c r="I18" s="614"/>
    </row>
    <row r="19" spans="1:9" ht="19" x14ac:dyDescent="0.25">
      <c r="A19" s="616"/>
      <c r="C19" s="97"/>
      <c r="E19" t="s">
        <v>434</v>
      </c>
      <c r="G19" s="614"/>
      <c r="H19" s="614"/>
      <c r="I19" s="614"/>
    </row>
    <row r="20" spans="1:9" ht="19" x14ac:dyDescent="0.25">
      <c r="A20" s="616"/>
      <c r="C20" s="97"/>
      <c r="E20" t="s">
        <v>435</v>
      </c>
      <c r="G20" s="614"/>
      <c r="H20" s="614"/>
      <c r="I20" s="614"/>
    </row>
    <row r="22" spans="1:9" x14ac:dyDescent="0.2">
      <c r="A22" s="614"/>
      <c r="G22" s="614"/>
      <c r="H22" s="614"/>
      <c r="I22" s="614"/>
    </row>
    <row r="23" spans="1:9" ht="35" x14ac:dyDescent="0.25">
      <c r="A23" s="617" t="s">
        <v>436</v>
      </c>
      <c r="C23" s="613" t="s">
        <v>119</v>
      </c>
      <c r="G23" s="617"/>
      <c r="H23" s="617"/>
      <c r="I23" s="617"/>
    </row>
    <row r="24" spans="1:9" ht="19" x14ac:dyDescent="0.25">
      <c r="A24" s="616"/>
      <c r="C24" s="97"/>
      <c r="E24" t="s">
        <v>437</v>
      </c>
      <c r="G24" s="614"/>
      <c r="H24" s="614"/>
      <c r="I24" s="614"/>
    </row>
    <row r="25" spans="1:9" ht="19" x14ac:dyDescent="0.25">
      <c r="A25" s="616"/>
      <c r="C25" s="97"/>
      <c r="E25" t="s">
        <v>438</v>
      </c>
      <c r="G25" s="614"/>
      <c r="H25" s="614"/>
      <c r="I25" s="614"/>
    </row>
    <row r="26" spans="1:9" ht="19" x14ac:dyDescent="0.25">
      <c r="A26" s="616"/>
      <c r="C26" s="97"/>
      <c r="E26" t="s">
        <v>439</v>
      </c>
      <c r="G26" s="614"/>
      <c r="H26" s="614"/>
      <c r="I26" s="614"/>
    </row>
    <row r="27" spans="1:9" ht="19" x14ac:dyDescent="0.25">
      <c r="A27" s="616"/>
      <c r="C27" s="97"/>
      <c r="E27" t="s">
        <v>440</v>
      </c>
      <c r="G27" s="614"/>
      <c r="H27" s="614"/>
      <c r="I27" s="614"/>
    </row>
    <row r="28" spans="1:9" ht="19" x14ac:dyDescent="0.25">
      <c r="A28" s="616"/>
      <c r="C28" s="97"/>
      <c r="E28" t="s">
        <v>441</v>
      </c>
      <c r="G28" s="614"/>
      <c r="H28" s="614"/>
      <c r="I28" s="614"/>
    </row>
    <row r="29" spans="1:9" x14ac:dyDescent="0.2">
      <c r="A29" s="614"/>
    </row>
    <row r="31" spans="1:9" ht="17" x14ac:dyDescent="0.2">
      <c r="A31" s="618" t="s">
        <v>442</v>
      </c>
      <c r="B31" s="619">
        <f>IF('Costing Sheet'!M$19="Regular Equipment Rate",'Extra Cells Not used'!B46,IF('Costing Sheet'!M19="Mower And UTV Rate",'Extra Cells Not used'!D46,0))</f>
        <v>0</v>
      </c>
    </row>
    <row r="32" spans="1:9" ht="17" x14ac:dyDescent="0.2">
      <c r="A32" s="618" t="s">
        <v>443</v>
      </c>
      <c r="B32" s="619">
        <f>IF('Costing Sheet'!M$19="Regular Equipment Rate",'Extra Cells Not used'!B47,IF('Costing Sheet'!M19="Mower and UTV Rate",'Extra Cells Not used'!D47,0))</f>
        <v>0</v>
      </c>
    </row>
    <row r="33" spans="1:4" ht="17" x14ac:dyDescent="0.2">
      <c r="A33" s="618" t="s">
        <v>444</v>
      </c>
      <c r="B33" s="619">
        <f>IF('Costing Sheet'!M$19="Regular Equipment Rate",'Extra Cells Not used'!B48,IF('Costing Sheet'!M19="Mower and UTV Rate",'Extra Cells Not used'!D48,0))</f>
        <v>0</v>
      </c>
    </row>
    <row r="36" spans="1:4" ht="51" x14ac:dyDescent="0.2">
      <c r="A36" s="618" t="s">
        <v>445</v>
      </c>
      <c r="B36" s="620">
        <f>IF(Calculations!B$435&gt;Calculations!B$429,-PMT('Extra Cells Not used'!B$31/12,'Rates for Quote'!B$4,(Calculations!B$435+IF('Costing Sheet'!M$17="Include Kubota Insurance",Calculations!B$422,0)-Calculations!B$429)),0)</f>
        <v>0</v>
      </c>
    </row>
    <row r="37" spans="1:4" ht="51" x14ac:dyDescent="0.2">
      <c r="A37" s="618" t="s">
        <v>446</v>
      </c>
      <c r="B37" s="620">
        <f>IF(Calculations!B$435&gt;Calculations!B$429,-PMT('Extra Cells Not used'!B$32/12,'Rates for Quote'!B$6,(Calculations!B$435+IF('Costing Sheet'!M$17="Include Kubota Insurance",Calculations!B$423,0)-Calculations!B$429)),0)</f>
        <v>0</v>
      </c>
    </row>
    <row r="38" spans="1:4" ht="51" x14ac:dyDescent="0.2">
      <c r="A38" s="618" t="s">
        <v>447</v>
      </c>
      <c r="B38" s="620">
        <f>IF(Calculations!B$435&gt;Calculations!B$429,-PMT('Extra Cells Not used'!B$33/12,'Rates for Quote'!B$8,(Calculations!B$435+IF('Costing Sheet'!M$17="Include Kubota Insurance",Calculations!B$424,0)-Calculations!B$429)),0)</f>
        <v>0</v>
      </c>
    </row>
    <row r="39" spans="1:4" ht="34" x14ac:dyDescent="0.2">
      <c r="A39" s="618" t="s">
        <v>448</v>
      </c>
      <c r="B39" s="620">
        <f>IF(Calculations!B$435&gt;Calculations!B$430,-PMT('Extra Cells Not used'!B$31/12,'Rates for Quote'!B$4,(Calculations!B$435+IF('Costing Sheet'!M$17="Include Kubota Insurance",Calculations!B$422,0)-Calculations!B$430)),0)</f>
        <v>0</v>
      </c>
    </row>
    <row r="40" spans="1:4" ht="34" x14ac:dyDescent="0.2">
      <c r="A40" s="618" t="s">
        <v>449</v>
      </c>
      <c r="B40" s="620">
        <f>IF(Calculations!B$435&gt;Calculations!B$430,-PMT('Extra Cells Not used'!B$32/12,'Rates for Quote'!B$6,(Calculations!B$435+IF('Costing Sheet'!M$17="Include Kubota Insurance",Calculations!B$423,0)-Calculations!B$430)),0)</f>
        <v>0</v>
      </c>
    </row>
    <row r="41" spans="1:4" ht="34" x14ac:dyDescent="0.2">
      <c r="A41" s="618" t="s">
        <v>450</v>
      </c>
      <c r="B41" s="620">
        <f>IF(Calculations!B$435&gt;Calculations!B$430,-PMT('Extra Cells Not used'!B$33/12,'Rates for Quote'!B$8,(Calculations!B$435+IF('Costing Sheet'!M$17="Include Kubota Insurance",Calculations!B$424,0)-Calculations!B$430)),0)</f>
        <v>0</v>
      </c>
    </row>
    <row r="42" spans="1:4" ht="51" x14ac:dyDescent="0.2">
      <c r="A42" s="618" t="s">
        <v>451</v>
      </c>
      <c r="B42" s="620">
        <f>IF(Calculations!B$435&gt;Calculations!B$431,-PMT('Extra Cells Not used'!B$31/12,'Rates for Quote'!B$4,(Calculations!B$435+IF('Costing Sheet'!M$17="Include Kubota Insurance",Calculations!B$422,0)-Calculations!B$431)),0)</f>
        <v>0</v>
      </c>
    </row>
    <row r="43" spans="1:4" ht="51" x14ac:dyDescent="0.2">
      <c r="A43" s="618" t="s">
        <v>452</v>
      </c>
      <c r="B43" s="620">
        <f>IF(Calculations!B$435&gt;Calculations!B$431,-PMT('Extra Cells Not used'!B$32/12,'Rates for Quote'!B$6,(Calculations!B$435+IF('Costing Sheet'!M$17="Include Kubota Insurance",Calculations!B$423,0)-Calculations!B$431)),0)</f>
        <v>0</v>
      </c>
    </row>
    <row r="44" spans="1:4" ht="51" x14ac:dyDescent="0.2">
      <c r="A44" s="618" t="s">
        <v>453</v>
      </c>
      <c r="B44" s="620">
        <f>IF(Calculations!B$435&gt;Calculations!B$431,-PMT('Extra Cells Not used'!B$33/12,'Rates for Quote'!B$8,(Calculations!B$435+IF('Costing Sheet'!M$17="Include Kubota Insurance",Calculations!B$424,0)-Calculations!B$431)),0)</f>
        <v>0</v>
      </c>
    </row>
    <row r="46" spans="1:4" x14ac:dyDescent="0.2">
      <c r="A46" t="str">
        <f>+'Rates for Quote'!B4&amp;" LOW RATE"</f>
        <v xml:space="preserve"> LOW RATE</v>
      </c>
      <c r="B46" s="621">
        <f>IFERROR(VLOOKUP('Rates for Quote'!$A$1,'Store LOCATIONS'!$A:$AG,22,FALSE),0)</f>
        <v>0</v>
      </c>
      <c r="C46" s="622"/>
      <c r="D46" s="621">
        <f>IFERROR(VLOOKUP('Rates for Quote'!$A$1,'Store LOCATIONS'!$A:$AG,28,FALSE),0)</f>
        <v>0</v>
      </c>
    </row>
    <row r="47" spans="1:4" x14ac:dyDescent="0.2">
      <c r="A47" t="str">
        <f>+'Rates for Quote'!B6&amp;" LOW RATE"</f>
        <v xml:space="preserve"> LOW RATE</v>
      </c>
      <c r="B47" s="621">
        <f>IFERROR(VLOOKUP('Rates for Quote'!$A$1,'Store LOCATIONS'!$A:$AG,23,FALSE),0)</f>
        <v>0</v>
      </c>
      <c r="C47" s="622"/>
      <c r="D47" s="621">
        <f>IFERROR(VLOOKUP('Rates for Quote'!$A$1,'Store LOCATIONS'!$A:$AG,29,FALSE),0)</f>
        <v>0</v>
      </c>
    </row>
    <row r="48" spans="1:4" x14ac:dyDescent="0.2">
      <c r="A48" t="str">
        <f>+'Rates for Quote'!B8&amp;" LOW RATE"</f>
        <v xml:space="preserve"> LOW RATE</v>
      </c>
      <c r="B48" s="621">
        <f>IFERROR(VLOOKUP('Rates for Quote'!$A$1,'Store LOCATIONS'!$A:$AG,24,FALSE),0)</f>
        <v>0</v>
      </c>
      <c r="C48" s="622"/>
      <c r="D48" s="621">
        <f>IFERROR(VLOOKUP('Rates for Quote'!$A$1,'Store LOCATIONS'!$A:$AG,30,FALSE),0)</f>
        <v>0</v>
      </c>
    </row>
    <row r="50" spans="1:4" ht="19" x14ac:dyDescent="0.25">
      <c r="B50" s="623" t="s">
        <v>213</v>
      </c>
    </row>
    <row r="51" spans="1:4" ht="19" x14ac:dyDescent="0.25">
      <c r="A51" t="s">
        <v>421</v>
      </c>
      <c r="B51" s="624"/>
    </row>
    <row r="52" spans="1:4" ht="19" x14ac:dyDescent="0.25">
      <c r="A52" t="s">
        <v>422</v>
      </c>
      <c r="B52" s="624"/>
    </row>
    <row r="53" spans="1:4" ht="19" x14ac:dyDescent="0.25">
      <c r="A53" t="s">
        <v>423</v>
      </c>
      <c r="B53" s="624"/>
    </row>
    <row r="54" spans="1:4" ht="19" x14ac:dyDescent="0.25">
      <c r="A54" t="s">
        <v>424</v>
      </c>
      <c r="B54" s="624"/>
    </row>
    <row r="55" spans="1:4" ht="19" x14ac:dyDescent="0.25">
      <c r="A55" t="s">
        <v>425</v>
      </c>
      <c r="B55" s="624"/>
    </row>
    <row r="57" spans="1:4" ht="19" x14ac:dyDescent="0.25">
      <c r="B57" s="623" t="s">
        <v>213</v>
      </c>
    </row>
    <row r="58" spans="1:4" ht="19" x14ac:dyDescent="0.25">
      <c r="A58" t="s">
        <v>431</v>
      </c>
      <c r="B58" s="624"/>
    </row>
    <row r="59" spans="1:4" ht="19" x14ac:dyDescent="0.25">
      <c r="A59" t="s">
        <v>432</v>
      </c>
      <c r="B59" s="624"/>
    </row>
    <row r="60" spans="1:4" ht="19" x14ac:dyDescent="0.25">
      <c r="A60" t="s">
        <v>433</v>
      </c>
      <c r="B60" s="624"/>
    </row>
    <row r="61" spans="1:4" ht="19" x14ac:dyDescent="0.25">
      <c r="A61" t="s">
        <v>434</v>
      </c>
      <c r="B61" s="624"/>
      <c r="D61" s="16"/>
    </row>
    <row r="62" spans="1:4" ht="19" x14ac:dyDescent="0.25">
      <c r="A62" t="s">
        <v>435</v>
      </c>
      <c r="B62" s="624"/>
    </row>
    <row r="64" spans="1:4" ht="19" x14ac:dyDescent="0.25">
      <c r="B64" s="623"/>
    </row>
    <row r="65" spans="1:2" ht="19" x14ac:dyDescent="0.25">
      <c r="B65" s="623" t="s">
        <v>213</v>
      </c>
    </row>
    <row r="66" spans="1:2" ht="19" x14ac:dyDescent="0.25">
      <c r="A66" t="s">
        <v>437</v>
      </c>
      <c r="B66" s="624"/>
    </row>
    <row r="67" spans="1:2" ht="19" x14ac:dyDescent="0.25">
      <c r="A67" t="s">
        <v>438</v>
      </c>
      <c r="B67" s="624"/>
    </row>
    <row r="68" spans="1:2" ht="19" x14ac:dyDescent="0.25">
      <c r="A68" t="s">
        <v>439</v>
      </c>
      <c r="B68" s="624"/>
    </row>
    <row r="69" spans="1:2" ht="19" x14ac:dyDescent="0.25">
      <c r="A69" t="s">
        <v>440</v>
      </c>
      <c r="B69" s="624"/>
    </row>
    <row r="70" spans="1:2" ht="19" x14ac:dyDescent="0.25">
      <c r="A70" t="s">
        <v>441</v>
      </c>
      <c r="B70" s="624"/>
    </row>
    <row r="71" spans="1:2" ht="19" x14ac:dyDescent="0.25">
      <c r="B71" s="613"/>
    </row>
  </sheetData>
  <dataValidations count="2">
    <dataValidation type="decimal" allowBlank="1" showInputMessage="1" showErrorMessage="1" sqref="A24:A28 A16:A20" xr:uid="{00000000-0002-0000-1200-000000000000}">
      <formula1>-100000</formula1>
      <formula2>100000</formula2>
    </dataValidation>
    <dataValidation type="list" allowBlank="1" showInputMessage="1" showErrorMessage="1" sqref="B58:B62 B51:B55 B66:B70" xr:uid="{00000000-0002-0000-1200-000001000000}">
      <formula1>"Taxable, Non Taxable"</formula1>
    </dataValidation>
  </dataValidations>
  <pageMargins left="0" right="0" top="0" bottom="0" header="0" footer="0"/>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55"/>
  <sheetViews>
    <sheetView workbookViewId="0">
      <selection activeCell="E9" sqref="E9"/>
    </sheetView>
  </sheetViews>
  <sheetFormatPr baseColWidth="10" defaultColWidth="10.5" defaultRowHeight="16" x14ac:dyDescent="0.2"/>
  <cols>
    <col min="1" max="2" width="13.33203125" bestFit="1" customWidth="1"/>
    <col min="3" max="3" width="21.5" customWidth="1"/>
    <col min="4" max="5" width="13.33203125" bestFit="1" customWidth="1"/>
    <col min="6" max="6" width="19.5" customWidth="1"/>
    <col min="7" max="25" width="13.33203125" bestFit="1" customWidth="1"/>
    <col min="259" max="281" width="13.33203125" bestFit="1" customWidth="1"/>
    <col min="515" max="537" width="13.33203125" bestFit="1" customWidth="1"/>
    <col min="771" max="793" width="13.33203125" bestFit="1" customWidth="1"/>
    <col min="1027" max="1049" width="13.33203125" bestFit="1" customWidth="1"/>
    <col min="1283" max="1305" width="13.33203125" bestFit="1" customWidth="1"/>
    <col min="1539" max="1561" width="13.33203125" bestFit="1" customWidth="1"/>
    <col min="1795" max="1817" width="13.33203125" bestFit="1" customWidth="1"/>
    <col min="2051" max="2073" width="13.33203125" bestFit="1" customWidth="1"/>
    <col min="2307" max="2329" width="13.33203125" bestFit="1" customWidth="1"/>
    <col min="2563" max="2585" width="13.33203125" bestFit="1" customWidth="1"/>
    <col min="2819" max="2841" width="13.33203125" bestFit="1" customWidth="1"/>
    <col min="3075" max="3097" width="13.33203125" bestFit="1" customWidth="1"/>
    <col min="3331" max="3353" width="13.33203125" bestFit="1" customWidth="1"/>
    <col min="3587" max="3609" width="13.33203125" bestFit="1" customWidth="1"/>
    <col min="3843" max="3865" width="13.33203125" bestFit="1" customWidth="1"/>
    <col min="4099" max="4121" width="13.33203125" bestFit="1" customWidth="1"/>
    <col min="4355" max="4377" width="13.33203125" bestFit="1" customWidth="1"/>
    <col min="4611" max="4633" width="13.33203125" bestFit="1" customWidth="1"/>
    <col min="4867" max="4889" width="13.33203125" bestFit="1" customWidth="1"/>
    <col min="5123" max="5145" width="13.33203125" bestFit="1" customWidth="1"/>
    <col min="5379" max="5401" width="13.33203125" bestFit="1" customWidth="1"/>
    <col min="5635" max="5657" width="13.33203125" bestFit="1" customWidth="1"/>
    <col min="5891" max="5913" width="13.33203125" bestFit="1" customWidth="1"/>
    <col min="6147" max="6169" width="13.33203125" bestFit="1" customWidth="1"/>
    <col min="6403" max="6425" width="13.33203125" bestFit="1" customWidth="1"/>
    <col min="6659" max="6681" width="13.33203125" bestFit="1" customWidth="1"/>
    <col min="6915" max="6937" width="13.33203125" bestFit="1" customWidth="1"/>
    <col min="7171" max="7193" width="13.33203125" bestFit="1" customWidth="1"/>
    <col min="7427" max="7449" width="13.33203125" bestFit="1" customWidth="1"/>
    <col min="7683" max="7705" width="13.33203125" bestFit="1" customWidth="1"/>
    <col min="7939" max="7961" width="13.33203125" bestFit="1" customWidth="1"/>
    <col min="8195" max="8217" width="13.33203125" bestFit="1" customWidth="1"/>
    <col min="8451" max="8473" width="13.33203125" bestFit="1" customWidth="1"/>
    <col min="8707" max="8729" width="13.33203125" bestFit="1" customWidth="1"/>
    <col min="8963" max="8985" width="13.33203125" bestFit="1" customWidth="1"/>
    <col min="9219" max="9241" width="13.33203125" bestFit="1" customWidth="1"/>
    <col min="9475" max="9497" width="13.33203125" bestFit="1" customWidth="1"/>
    <col min="9731" max="9753" width="13.33203125" bestFit="1" customWidth="1"/>
    <col min="9987" max="10009" width="13.33203125" bestFit="1" customWidth="1"/>
    <col min="10243" max="10265" width="13.33203125" bestFit="1" customWidth="1"/>
    <col min="10499" max="10521" width="13.33203125" bestFit="1" customWidth="1"/>
    <col min="10755" max="10777" width="13.33203125" bestFit="1" customWidth="1"/>
    <col min="11011" max="11033" width="13.33203125" bestFit="1" customWidth="1"/>
    <col min="11267" max="11289" width="13.33203125" bestFit="1" customWidth="1"/>
    <col min="11523" max="11545" width="13.33203125" bestFit="1" customWidth="1"/>
    <col min="11779" max="11801" width="13.33203125" bestFit="1" customWidth="1"/>
    <col min="12035" max="12057" width="13.33203125" bestFit="1" customWidth="1"/>
    <col min="12291" max="12313" width="13.33203125" bestFit="1" customWidth="1"/>
    <col min="12547" max="12569" width="13.33203125" bestFit="1" customWidth="1"/>
    <col min="12803" max="12825" width="13.33203125" bestFit="1" customWidth="1"/>
    <col min="13059" max="13081" width="13.33203125" bestFit="1" customWidth="1"/>
    <col min="13315" max="13337" width="13.33203125" bestFit="1" customWidth="1"/>
    <col min="13571" max="13593" width="13.33203125" bestFit="1" customWidth="1"/>
    <col min="13827" max="13849" width="13.33203125" bestFit="1" customWidth="1"/>
    <col min="14083" max="14105" width="13.33203125" bestFit="1" customWidth="1"/>
    <col min="14339" max="14361" width="13.33203125" bestFit="1" customWidth="1"/>
    <col min="14595" max="14617" width="13.33203125" bestFit="1" customWidth="1"/>
    <col min="14851" max="14873" width="13.33203125" bestFit="1" customWidth="1"/>
    <col min="15107" max="15129" width="13.33203125" bestFit="1" customWidth="1"/>
    <col min="15363" max="15385" width="13.33203125" bestFit="1" customWidth="1"/>
    <col min="15619" max="15641" width="13.33203125" bestFit="1" customWidth="1"/>
    <col min="15875" max="15897" width="13.33203125" bestFit="1" customWidth="1"/>
    <col min="16131" max="16153" width="13.33203125" bestFit="1" customWidth="1"/>
  </cols>
  <sheetData>
    <row r="1" spans="1:27" x14ac:dyDescent="0.2">
      <c r="E1">
        <v>1</v>
      </c>
      <c r="F1">
        <v>2</v>
      </c>
      <c r="G1">
        <v>3</v>
      </c>
      <c r="H1">
        <v>4</v>
      </c>
      <c r="I1">
        <v>5</v>
      </c>
      <c r="J1">
        <v>6</v>
      </c>
      <c r="K1">
        <v>7</v>
      </c>
      <c r="L1">
        <v>8</v>
      </c>
      <c r="M1">
        <v>9</v>
      </c>
      <c r="N1">
        <v>10</v>
      </c>
      <c r="O1">
        <v>11</v>
      </c>
      <c r="P1">
        <v>12</v>
      </c>
      <c r="Q1">
        <v>13</v>
      </c>
    </row>
    <row r="2" spans="1:27" x14ac:dyDescent="0.2">
      <c r="A2" t="s">
        <v>454</v>
      </c>
      <c r="B2" t="s">
        <v>455</v>
      </c>
      <c r="C2" t="s">
        <v>456</v>
      </c>
      <c r="D2" t="s">
        <v>457</v>
      </c>
      <c r="E2" t="s">
        <v>458</v>
      </c>
      <c r="F2" t="s">
        <v>459</v>
      </c>
      <c r="G2" t="s">
        <v>460</v>
      </c>
      <c r="H2" t="s">
        <v>461</v>
      </c>
      <c r="I2" t="s">
        <v>12</v>
      </c>
      <c r="J2" t="s">
        <v>462</v>
      </c>
      <c r="K2" t="s">
        <v>463</v>
      </c>
      <c r="L2" t="s">
        <v>464</v>
      </c>
      <c r="M2" t="s">
        <v>465</v>
      </c>
      <c r="N2" t="s">
        <v>466</v>
      </c>
      <c r="O2" t="s">
        <v>467</v>
      </c>
      <c r="P2" t="s">
        <v>468</v>
      </c>
      <c r="Q2" t="s">
        <v>469</v>
      </c>
      <c r="R2" t="s">
        <v>470</v>
      </c>
      <c r="S2" t="s">
        <v>471</v>
      </c>
      <c r="T2" t="s">
        <v>472</v>
      </c>
      <c r="U2" t="s">
        <v>473</v>
      </c>
      <c r="V2" t="s">
        <v>474</v>
      </c>
      <c r="W2" t="s">
        <v>475</v>
      </c>
      <c r="X2" t="s">
        <v>476</v>
      </c>
      <c r="Y2" t="s">
        <v>477</v>
      </c>
      <c r="Z2" t="s">
        <v>478</v>
      </c>
      <c r="AA2" t="s">
        <v>479</v>
      </c>
    </row>
    <row r="3" spans="1:27" x14ac:dyDescent="0.2">
      <c r="A3">
        <v>3214424490</v>
      </c>
      <c r="B3" t="s">
        <v>480</v>
      </c>
      <c r="C3" t="s">
        <v>481</v>
      </c>
      <c r="D3" t="s">
        <v>482</v>
      </c>
      <c r="E3" t="s">
        <v>483</v>
      </c>
      <c r="F3" t="s">
        <v>484</v>
      </c>
      <c r="G3" t="s">
        <v>485</v>
      </c>
      <c r="H3" t="s">
        <v>486</v>
      </c>
      <c r="I3" t="s">
        <v>487</v>
      </c>
      <c r="J3" t="s">
        <v>488</v>
      </c>
      <c r="K3" t="s">
        <v>486</v>
      </c>
      <c r="L3" t="s">
        <v>489</v>
      </c>
      <c r="M3" t="s">
        <v>490</v>
      </c>
      <c r="N3" t="s">
        <v>491</v>
      </c>
      <c r="O3" t="s">
        <v>492</v>
      </c>
      <c r="P3" t="s">
        <v>493</v>
      </c>
      <c r="Q3" t="s">
        <v>486</v>
      </c>
      <c r="R3" t="s">
        <v>494</v>
      </c>
      <c r="S3" t="s">
        <v>495</v>
      </c>
      <c r="T3" t="s">
        <v>486</v>
      </c>
      <c r="U3" t="s">
        <v>486</v>
      </c>
      <c r="V3" t="s">
        <v>486</v>
      </c>
      <c r="W3">
        <v>20221022</v>
      </c>
      <c r="X3">
        <v>20190226</v>
      </c>
      <c r="Y3">
        <v>0</v>
      </c>
      <c r="Z3" t="s">
        <v>486</v>
      </c>
      <c r="AA3" t="s">
        <v>486</v>
      </c>
    </row>
    <row r="55" spans="4:4" x14ac:dyDescent="0.2">
      <c r="D55" s="16"/>
    </row>
  </sheetData>
  <pageMargins left="0.75" right="0.75" top="1" bottom="1" header="0.5" footer="0.5"/>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G724"/>
  <sheetViews>
    <sheetView topLeftCell="A405" zoomScale="103" workbookViewId="0">
      <selection activeCell="B416" sqref="B416"/>
    </sheetView>
  </sheetViews>
  <sheetFormatPr baseColWidth="10" defaultColWidth="10.5" defaultRowHeight="22" x14ac:dyDescent="0.3"/>
  <cols>
    <col min="1" max="1" width="63.5" style="274" customWidth="1"/>
    <col min="2" max="2" width="55" style="625" customWidth="1"/>
    <col min="3" max="3" width="4.5" style="274" customWidth="1"/>
    <col min="4" max="4" width="22.33203125" style="274" customWidth="1"/>
    <col min="5" max="5" width="11" style="274" bestFit="1" customWidth="1"/>
    <col min="6" max="6" width="12.5" style="274" bestFit="1" customWidth="1"/>
    <col min="7" max="16384" width="10.5" style="274"/>
  </cols>
  <sheetData>
    <row r="2" spans="1:4" x14ac:dyDescent="0.3">
      <c r="A2" s="274" t="s">
        <v>496</v>
      </c>
      <c r="B2" s="626" t="e">
        <f>+#REF!+'Costing Sheet'!C9</f>
        <v>#REF!</v>
      </c>
    </row>
    <row r="3" spans="1:4" x14ac:dyDescent="0.3">
      <c r="A3" s="274" t="s">
        <v>497</v>
      </c>
      <c r="B3" s="1142" t="str">
        <f>UPPER('Customer Input Screen'!I11&amp;" "&amp;'Customer Input Screen'!I12&amp;" "&amp;'Customer Input Screen'!I13)</f>
        <v xml:space="preserve">  </v>
      </c>
      <c r="C3" s="1142"/>
      <c r="D3" s="1142"/>
    </row>
    <row r="4" spans="1:4" x14ac:dyDescent="0.3">
      <c r="A4" s="274" t="s">
        <v>498</v>
      </c>
      <c r="B4" s="627">
        <f>1-'Costing Sheet'!I7</f>
        <v>1</v>
      </c>
    </row>
    <row r="5" spans="1:4" x14ac:dyDescent="0.3">
      <c r="A5" s="274" t="s">
        <v>499</v>
      </c>
      <c r="B5" s="628" t="str">
        <f>IF('Sales Input Sheet'!A$19&lt;&gt;"",IFERROR(VLOOKUP('Sales Input Sheet'!A$19,'Inventory Data'!$B$1:$J$12000,3,FALSE),"Not Found"),"")</f>
        <v/>
      </c>
    </row>
    <row r="6" spans="1:4" x14ac:dyDescent="0.3">
      <c r="A6" s="274" t="s">
        <v>500</v>
      </c>
      <c r="B6" s="628" t="str">
        <f>IF(B5&lt;&gt;"",IFERROR(VLOOKUP(Calculations!$B5,Brands!$A$1:$B$200,2,FALSE),"OTHER"),"")</f>
        <v/>
      </c>
    </row>
    <row r="7" spans="1:4" x14ac:dyDescent="0.3">
      <c r="A7" s="274" t="s">
        <v>501</v>
      </c>
      <c r="B7" s="628" t="str">
        <f>IF('Sales Input Sheet'!A$19&lt;&gt;"",IFERROR(VLOOKUP('Sales Input Sheet'!A$19,'Inventory Data'!$B$1:$J$12000,4,FALSE),"Not Found"),"")</f>
        <v/>
      </c>
    </row>
    <row r="8" spans="1:4" x14ac:dyDescent="0.3">
      <c r="A8" s="274" t="s">
        <v>502</v>
      </c>
      <c r="B8" s="628" t="str">
        <f>IF('Sales Input Sheet'!A$19&lt;&gt;"",IFERROR(VLOOKUP('Sales Input Sheet'!A$19,'Inventory Data'!$B$1:$J$12000,6,FALSE),"Not Found"),"")</f>
        <v/>
      </c>
    </row>
    <row r="9" spans="1:4" x14ac:dyDescent="0.3">
      <c r="A9" s="274" t="s">
        <v>503</v>
      </c>
      <c r="B9" s="1141" t="str">
        <f>IF('Sales Input Sheet'!A$19&lt;&gt;"",IFERROR(VLOOKUP('Sales Input Sheet'!A$19,'Inventory Data'!$B$1:$J$12000,5,FALSE),"Not Found"),"")</f>
        <v/>
      </c>
      <c r="C9" s="1141"/>
      <c r="D9" s="1141"/>
    </row>
    <row r="10" spans="1:4" x14ac:dyDescent="0.3">
      <c r="A10" s="274" t="s">
        <v>504</v>
      </c>
      <c r="B10" s="629" t="str">
        <f>IF('Sales Input Sheet'!A$19&lt;&gt;"",IFERROR(VLOOKUP('Sales Input Sheet'!A$19,'Inventory Data'!$B$1:$J$12000,9,FALSE),"Not Found"),"")</f>
        <v/>
      </c>
    </row>
    <row r="11" spans="1:4" x14ac:dyDescent="0.3">
      <c r="A11" s="274" t="s">
        <v>505</v>
      </c>
      <c r="B11" s="629">
        <f>IF('Sales Input Sheet'!A$19&lt;&gt;"",IFERROR(VLOOKUP('Sales Input Sheet'!A$19,'Inventory Data'!$B$1:$J$12000,8,FALSE),"Not Found"),0)</f>
        <v>0</v>
      </c>
    </row>
    <row r="12" spans="1:4" x14ac:dyDescent="0.3">
      <c r="A12" s="274" t="s">
        <v>506</v>
      </c>
      <c r="B12" s="628" t="str">
        <f>UPPER('Sales Input Sheet'!I$19&amp;"  "&amp;'Sales Input Sheet'!K$19&amp;" "&amp;'Sales Input Sheet'!M$19&amp;" "&amp;UPPER('Sales Input Sheet'!O$19))</f>
        <v xml:space="preserve">    </v>
      </c>
    </row>
    <row r="13" spans="1:4" x14ac:dyDescent="0.3">
      <c r="A13" s="274" t="s">
        <v>507</v>
      </c>
      <c r="B13" s="630">
        <f>IF('Sales Input Sheet'!A$19&lt;&gt;"",IFERROR(VLOOKUP('Sales Input Sheet'!A$19,'Inventory Data'!$B$1:$J$12000,2,FALSE),"Not Found"),0)</f>
        <v>0</v>
      </c>
    </row>
    <row r="14" spans="1:4" x14ac:dyDescent="0.3">
      <c r="A14" s="274" t="s">
        <v>508</v>
      </c>
      <c r="B14" s="629">
        <f>'Costing Sheet'!I$22-'Costing Sheet'!K$22-'Costing Sheet'!AE$22-B11+'Costing Sheet'!Q22-'Costing Sheet'!AI22-'Costing Sheet'!AO22</f>
        <v>0</v>
      </c>
    </row>
    <row r="15" spans="1:4" x14ac:dyDescent="0.3">
      <c r="A15" s="274" t="s">
        <v>509</v>
      </c>
      <c r="B15" s="629">
        <f>IF(B$652="Tax Exempt",0,IF('Extra Cells Not used'!B$51&lt;&gt;"Non Taxable",'Costing Sheet'!I$22-'Costing Sheet'!K$22,0))</f>
        <v>0</v>
      </c>
    </row>
    <row r="16" spans="1:4" x14ac:dyDescent="0.3">
      <c r="A16" s="274" t="s">
        <v>510</v>
      </c>
      <c r="B16" s="629">
        <f>+Calculations!B15</f>
        <v>0</v>
      </c>
    </row>
    <row r="17" spans="1:4" x14ac:dyDescent="0.3">
      <c r="A17" s="274" t="s">
        <v>511</v>
      </c>
      <c r="B17" s="628" t="str">
        <f>IF('Sales Input Sheet'!A$20&lt;&gt;"",IFERROR(VLOOKUP('Sales Input Sheet'!A$20,'Inventory Data'!$B$1:$J$12000,3,FALSE),"Not Found"),"")</f>
        <v/>
      </c>
    </row>
    <row r="18" spans="1:4" x14ac:dyDescent="0.3">
      <c r="A18" s="274" t="s">
        <v>512</v>
      </c>
      <c r="B18" s="628" t="str">
        <f>IF(B17&lt;&gt;"",IFERROR(VLOOKUP(Calculations!$B17,Brands!$A$1:$B$200,2,FALSE),"OTHER"),"")</f>
        <v/>
      </c>
    </row>
    <row r="19" spans="1:4" x14ac:dyDescent="0.3">
      <c r="A19" s="274" t="s">
        <v>513</v>
      </c>
      <c r="B19" s="628" t="str">
        <f>IF('Sales Input Sheet'!A$20&lt;&gt;"",IFERROR(VLOOKUP('Sales Input Sheet'!A$20,'Inventory Data'!$B$1:$J$12000,4,FALSE),"Not Found"),"")</f>
        <v/>
      </c>
    </row>
    <row r="20" spans="1:4" x14ac:dyDescent="0.3">
      <c r="A20" s="274" t="s">
        <v>514</v>
      </c>
      <c r="B20" s="628" t="str">
        <f>IF('Sales Input Sheet'!A$20&lt;&gt;"",IFERROR(VLOOKUP('Sales Input Sheet'!A$20,'Inventory Data'!$B$1:$J$12000,6,FALSE),"Not Found"),"")</f>
        <v/>
      </c>
    </row>
    <row r="21" spans="1:4" x14ac:dyDescent="0.3">
      <c r="A21" s="274" t="s">
        <v>515</v>
      </c>
      <c r="B21" s="1141" t="str">
        <f>IF('Sales Input Sheet'!A$20&lt;&gt;"",IFERROR(VLOOKUP('Sales Input Sheet'!A$20,'Inventory Data'!$B$1:$J$12000,5,FALSE),"Not Found"),"")</f>
        <v/>
      </c>
      <c r="C21" s="1141"/>
      <c r="D21" s="1141"/>
    </row>
    <row r="22" spans="1:4" x14ac:dyDescent="0.3">
      <c r="A22" s="274" t="s">
        <v>516</v>
      </c>
      <c r="B22" s="629" t="str">
        <f>IF('Sales Input Sheet'!A$20&lt;&gt;"",IFERROR(VLOOKUP('Sales Input Sheet'!A$20,'Inventory Data'!$B$1:$J$12000,9,FALSE),"Not Found"),"")</f>
        <v/>
      </c>
    </row>
    <row r="23" spans="1:4" x14ac:dyDescent="0.3">
      <c r="A23" s="274" t="s">
        <v>517</v>
      </c>
      <c r="B23" s="629">
        <f>IF('Sales Input Sheet'!A$20&lt;&gt;"",IFERROR(VLOOKUP('Sales Input Sheet'!A$20,'Inventory Data'!$B$1:$J$12000,8,FALSE),"Not Found"),0)</f>
        <v>0</v>
      </c>
    </row>
    <row r="24" spans="1:4" x14ac:dyDescent="0.3">
      <c r="A24" s="274" t="s">
        <v>518</v>
      </c>
      <c r="B24" s="628" t="str">
        <f>IF(OR('Sales Input Sheet'!I$20&lt;&gt;"",'Sales Input Sheet'!O$20&lt;&gt;""),"INCLUDES "&amp;'Sales Input Sheet'!I$20&amp;"  "&amp;'Sales Input Sheet'!K$20&amp;" "&amp;'Sales Input Sheet'!M$20&amp;" "&amp;UPPER('Sales Input Sheet'!O$20),"")</f>
        <v/>
      </c>
    </row>
    <row r="25" spans="1:4" x14ac:dyDescent="0.3">
      <c r="A25" s="274" t="s">
        <v>519</v>
      </c>
      <c r="B25" s="630">
        <f>IF('Sales Input Sheet'!A$20&lt;&gt;"",IFERROR(VLOOKUP('Sales Input Sheet'!A$20,'Inventory Data'!$B$1:$J$12000,2,FALSE),"Not Found"),0)</f>
        <v>0</v>
      </c>
    </row>
    <row r="26" spans="1:4" x14ac:dyDescent="0.3">
      <c r="A26" s="274" t="s">
        <v>520</v>
      </c>
      <c r="B26" s="629">
        <f>'Costing Sheet'!I$23-'Costing Sheet'!K$23-'Costing Sheet'!AE$23-B23+'Costing Sheet'!Q23-'Costing Sheet'!AI$23-'Costing Sheet'!AO23</f>
        <v>0</v>
      </c>
    </row>
    <row r="27" spans="1:4" x14ac:dyDescent="0.3">
      <c r="A27" s="274" t="s">
        <v>521</v>
      </c>
      <c r="B27" s="629">
        <f>IF(B$652="Tax Exempt",0,IF('Extra Cells Not used'!B$52&lt;&gt;"Non Taxable",'Costing Sheet'!I$23-'Costing Sheet'!K$23,0))</f>
        <v>0</v>
      </c>
    </row>
    <row r="28" spans="1:4" x14ac:dyDescent="0.3">
      <c r="A28" s="274" t="s">
        <v>522</v>
      </c>
      <c r="B28" s="629">
        <f>+Calculations!B27</f>
        <v>0</v>
      </c>
    </row>
    <row r="29" spans="1:4" x14ac:dyDescent="0.3">
      <c r="A29" s="274" t="s">
        <v>523</v>
      </c>
      <c r="B29" s="628" t="str">
        <f>IF('Sales Input Sheet'!A$21&lt;&gt;"",IFERROR(VLOOKUP('Sales Input Sheet'!A$21,'Inventory Data'!$B$1:$J$12000,3,FALSE),"Not Found"),"")</f>
        <v/>
      </c>
    </row>
    <row r="30" spans="1:4" x14ac:dyDescent="0.3">
      <c r="A30" s="274" t="s">
        <v>524</v>
      </c>
      <c r="B30" s="628" t="str">
        <f>IF(B29&lt;&gt;"",IFERROR(VLOOKUP(Calculations!$B29,Brands!$A$1:$B$200,2,FALSE),"OTHER"),"")</f>
        <v/>
      </c>
    </row>
    <row r="31" spans="1:4" x14ac:dyDescent="0.3">
      <c r="A31" s="274" t="s">
        <v>525</v>
      </c>
      <c r="B31" s="628" t="str">
        <f>IF('Sales Input Sheet'!A$21&lt;&gt;"",IFERROR(VLOOKUP('Sales Input Sheet'!A$21,'Inventory Data'!$B$1:$J$12000,4,FALSE),"Not Found"),"")</f>
        <v/>
      </c>
    </row>
    <row r="32" spans="1:4" x14ac:dyDescent="0.3">
      <c r="A32" s="274" t="s">
        <v>526</v>
      </c>
      <c r="B32" s="628" t="str">
        <f>IF('Sales Input Sheet'!A$21&lt;&gt;"",IFERROR(VLOOKUP('Sales Input Sheet'!A$21,'Inventory Data'!$B$1:$J$12000,6,FALSE),"Not Found"),"")</f>
        <v/>
      </c>
    </row>
    <row r="33" spans="1:4" x14ac:dyDescent="0.3">
      <c r="A33" s="274" t="s">
        <v>527</v>
      </c>
      <c r="B33" s="1141" t="str">
        <f>IF('Sales Input Sheet'!A$21&lt;&gt;"",IFERROR(VLOOKUP('Sales Input Sheet'!A$21,'Inventory Data'!$B$1:$J$12000,5,FALSE),"Not Found"),"")</f>
        <v/>
      </c>
      <c r="C33" s="1141"/>
      <c r="D33" s="1141"/>
    </row>
    <row r="34" spans="1:4" x14ac:dyDescent="0.3">
      <c r="A34" s="274" t="s">
        <v>528</v>
      </c>
      <c r="B34" s="629" t="str">
        <f>IF('Sales Input Sheet'!A$21&lt;&gt;"",IFERROR(VLOOKUP('Sales Input Sheet'!A$21,'Inventory Data'!$B$1:$J$12000,9,FALSE),"Not Found"),"")</f>
        <v/>
      </c>
    </row>
    <row r="35" spans="1:4" x14ac:dyDescent="0.3">
      <c r="A35" s="274" t="s">
        <v>529</v>
      </c>
      <c r="B35" s="629">
        <f>IF('Sales Input Sheet'!A$21&lt;&gt;"",IFERROR(VLOOKUP('Sales Input Sheet'!A$21,'Inventory Data'!$B$1:$J$12000,8,FALSE),"Not Found"),0)</f>
        <v>0</v>
      </c>
    </row>
    <row r="36" spans="1:4" x14ac:dyDescent="0.3">
      <c r="A36" s="274" t="s">
        <v>530</v>
      </c>
      <c r="B36" s="628" t="str">
        <f>IF(OR('Sales Input Sheet'!I$21&lt;&gt;"",'Sales Input Sheet'!O$21&lt;&gt;""),"INCLUDES "&amp;'Sales Input Sheet'!I$21&amp;"  "&amp;'Sales Input Sheet'!K$21&amp;" "&amp;'Sales Input Sheet'!M$21&amp;" "&amp;UPPER('Sales Input Sheet'!O$21),"")</f>
        <v/>
      </c>
    </row>
    <row r="37" spans="1:4" x14ac:dyDescent="0.3">
      <c r="A37" s="274" t="s">
        <v>531</v>
      </c>
      <c r="B37" s="630">
        <f>IF('Sales Input Sheet'!A$21&lt;&gt;"",IFERROR(VLOOKUP('Sales Input Sheet'!A$21,'Inventory Data'!$B$1:$J$12000,2,FALSE),"Not Found"),0)</f>
        <v>0</v>
      </c>
    </row>
    <row r="38" spans="1:4" x14ac:dyDescent="0.3">
      <c r="A38" s="274" t="s">
        <v>532</v>
      </c>
      <c r="B38" s="629">
        <f>'Costing Sheet'!I$24-'Costing Sheet'!K$24-'Costing Sheet'!AE$24-B35+'Costing Sheet'!Q24-'Costing Sheet'!AI$24-'Costing Sheet'!AO24</f>
        <v>0</v>
      </c>
    </row>
    <row r="39" spans="1:4" x14ac:dyDescent="0.3">
      <c r="A39" s="274" t="s">
        <v>533</v>
      </c>
      <c r="B39" s="629">
        <f>IF(B$652="Tax Exempt",0,IF('Extra Cells Not used'!B$53&lt;&gt;"Non Taxable",'Costing Sheet'!I$24-'Costing Sheet'!K$24,0))</f>
        <v>0</v>
      </c>
    </row>
    <row r="40" spans="1:4" x14ac:dyDescent="0.3">
      <c r="A40" s="274" t="s">
        <v>534</v>
      </c>
      <c r="B40" s="629">
        <f>+Calculations!B39</f>
        <v>0</v>
      </c>
    </row>
    <row r="41" spans="1:4" x14ac:dyDescent="0.3">
      <c r="A41" s="274" t="s">
        <v>535</v>
      </c>
      <c r="B41" s="628" t="str">
        <f>IF('Sales Input Sheet'!A$22&lt;&gt;"",IFERROR(VLOOKUP('Sales Input Sheet'!A$22,'Inventory Data'!$B$1:$J$12000,3,FALSE),"Not Found"),"")</f>
        <v/>
      </c>
    </row>
    <row r="42" spans="1:4" x14ac:dyDescent="0.3">
      <c r="A42" s="274" t="s">
        <v>536</v>
      </c>
      <c r="B42" s="628" t="str">
        <f>IF(B41&lt;&gt;"",IFERROR(VLOOKUP(Calculations!$B41,Brands!$A$1:$B$200,2,FALSE),"OTHER"),"")</f>
        <v/>
      </c>
    </row>
    <row r="43" spans="1:4" x14ac:dyDescent="0.3">
      <c r="A43" s="274" t="s">
        <v>537</v>
      </c>
      <c r="B43" s="628" t="str">
        <f>IF('Sales Input Sheet'!A$22&lt;&gt;"",IFERROR(VLOOKUP('Sales Input Sheet'!A$22,'Inventory Data'!$B$1:$J$12000,4,FALSE),"Not Found"),"")</f>
        <v/>
      </c>
    </row>
    <row r="44" spans="1:4" x14ac:dyDescent="0.3">
      <c r="A44" s="274" t="s">
        <v>538</v>
      </c>
      <c r="B44" s="628" t="str">
        <f>IF('Sales Input Sheet'!A$22&lt;&gt;"",IFERROR(VLOOKUP('Sales Input Sheet'!A$22,'Inventory Data'!$B$1:$J$12000,6,FALSE),"Not Found"),"")</f>
        <v/>
      </c>
    </row>
    <row r="45" spans="1:4" x14ac:dyDescent="0.3">
      <c r="A45" s="274" t="s">
        <v>539</v>
      </c>
      <c r="B45" s="1141" t="str">
        <f>IF('Sales Input Sheet'!A$22&lt;&gt;"",IFERROR(VLOOKUP('Sales Input Sheet'!A$22,'Inventory Data'!$B$1:$J$12000,5,FALSE),"Not Found"),"")</f>
        <v/>
      </c>
      <c r="C45" s="1141"/>
      <c r="D45" s="1141"/>
    </row>
    <row r="46" spans="1:4" x14ac:dyDescent="0.3">
      <c r="A46" s="274" t="s">
        <v>540</v>
      </c>
      <c r="B46" s="629" t="str">
        <f>IF('Sales Input Sheet'!A$22&lt;&gt;"",IFERROR(VLOOKUP('Sales Input Sheet'!A$22,'Inventory Data'!$B$1:$J$12000,9,FALSE),"Not Found"),"")</f>
        <v/>
      </c>
    </row>
    <row r="47" spans="1:4" x14ac:dyDescent="0.3">
      <c r="A47" s="274" t="s">
        <v>541</v>
      </c>
      <c r="B47" s="629">
        <f>IF('Sales Input Sheet'!A$22&lt;&gt;"",IFERROR(VLOOKUP('Sales Input Sheet'!A$22,'Inventory Data'!$B$1:$J$12000,8,FALSE),"Not Found"),0)</f>
        <v>0</v>
      </c>
    </row>
    <row r="48" spans="1:4" x14ac:dyDescent="0.3">
      <c r="A48" s="274" t="s">
        <v>542</v>
      </c>
      <c r="B48" s="628" t="str">
        <f>IF(OR('Sales Input Sheet'!I$22&lt;&gt;"",'Sales Input Sheet'!O$22&lt;&gt;""),"INCLUDES "&amp;'Sales Input Sheet'!I$22&amp;"  "&amp;'Sales Input Sheet'!K$22&amp;" "&amp;'Sales Input Sheet'!M$22&amp;" "&amp;UPPER('Sales Input Sheet'!O$22),"")</f>
        <v/>
      </c>
    </row>
    <row r="49" spans="1:4" x14ac:dyDescent="0.3">
      <c r="A49" s="274" t="s">
        <v>543</v>
      </c>
      <c r="B49" s="630">
        <f>IF('Sales Input Sheet'!A$22&lt;&gt;"",IFERROR(VLOOKUP('Sales Input Sheet'!A$22,'Inventory Data'!$B$1:$J$12000,2,FALSE),"Not Found"),0)</f>
        <v>0</v>
      </c>
    </row>
    <row r="50" spans="1:4" x14ac:dyDescent="0.3">
      <c r="A50" s="274" t="s">
        <v>544</v>
      </c>
      <c r="B50" s="629">
        <f>'Costing Sheet'!I$25-'Costing Sheet'!K$25-'Costing Sheet'!AE$25-B47+'Costing Sheet'!Q25-'Costing Sheet'!AI$25-'Costing Sheet'!AO25</f>
        <v>0</v>
      </c>
    </row>
    <row r="51" spans="1:4" x14ac:dyDescent="0.3">
      <c r="A51" s="274" t="s">
        <v>545</v>
      </c>
      <c r="B51" s="629">
        <f>IF(B$652="Tax Exempt",0,IF('Extra Cells Not used'!B$54&lt;&gt;"Non Taxable",'Costing Sheet'!I$25-'Costing Sheet'!K$25,0))</f>
        <v>0</v>
      </c>
    </row>
    <row r="52" spans="1:4" x14ac:dyDescent="0.3">
      <c r="A52" s="274" t="s">
        <v>546</v>
      </c>
      <c r="B52" s="629">
        <f>+Calculations!B51</f>
        <v>0</v>
      </c>
    </row>
    <row r="53" spans="1:4" x14ac:dyDescent="0.3">
      <c r="A53" s="274" t="s">
        <v>547</v>
      </c>
      <c r="B53" s="628" t="str">
        <f>IF('Sales Input Sheet'!A$23&lt;&gt;"",IFERROR(VLOOKUP('Sales Input Sheet'!A$23,'Inventory Data'!$B$1:$J$12000,3,FALSE),"Not Found"),"")</f>
        <v/>
      </c>
    </row>
    <row r="54" spans="1:4" x14ac:dyDescent="0.3">
      <c r="A54" s="274" t="s">
        <v>548</v>
      </c>
      <c r="B54" s="628" t="str">
        <f>IF(B53&lt;&gt;"",IFERROR(VLOOKUP(Calculations!$B53,Brands!$A$1:$B$200,2,FALSE),"OTHER"),"")</f>
        <v/>
      </c>
    </row>
    <row r="55" spans="1:4" x14ac:dyDescent="0.3">
      <c r="A55" s="274" t="s">
        <v>549</v>
      </c>
      <c r="B55" s="628" t="str">
        <f>IF('Sales Input Sheet'!A$23&lt;&gt;"",IFERROR(VLOOKUP('Sales Input Sheet'!A$23,'Inventory Data'!$B$1:$J$12000,4,FALSE),"Not Found"),"")</f>
        <v/>
      </c>
      <c r="D55" s="16"/>
    </row>
    <row r="56" spans="1:4" x14ac:dyDescent="0.3">
      <c r="A56" s="274" t="s">
        <v>550</v>
      </c>
      <c r="B56" s="628" t="str">
        <f>IF('Sales Input Sheet'!A$23&lt;&gt;"",IFERROR(VLOOKUP('Sales Input Sheet'!A$23,'Inventory Data'!$B$1:$J$12000,6,FALSE),"Not Found"),"")</f>
        <v/>
      </c>
    </row>
    <row r="57" spans="1:4" x14ac:dyDescent="0.3">
      <c r="A57" s="274" t="s">
        <v>551</v>
      </c>
      <c r="B57" s="1141" t="str">
        <f>IF('Sales Input Sheet'!A$23&lt;&gt;"",IFERROR(VLOOKUP('Sales Input Sheet'!A$23,'Inventory Data'!$B$1:$J$12000,5,FALSE),"Not Found"),"")</f>
        <v/>
      </c>
      <c r="C57" s="1141"/>
      <c r="D57" s="1141"/>
    </row>
    <row r="58" spans="1:4" x14ac:dyDescent="0.3">
      <c r="A58" s="274" t="s">
        <v>552</v>
      </c>
      <c r="B58" s="629" t="str">
        <f>IF('Sales Input Sheet'!A$23&lt;&gt;"",IFERROR(VLOOKUP('Sales Input Sheet'!A$23,'Inventory Data'!$B$1:$J$12000,9,FALSE),"Not Found"),"")</f>
        <v/>
      </c>
    </row>
    <row r="59" spans="1:4" x14ac:dyDescent="0.3">
      <c r="A59" s="274" t="s">
        <v>553</v>
      </c>
      <c r="B59" s="629">
        <f>IF('Sales Input Sheet'!A$23&lt;&gt;"",IFERROR(VLOOKUP('Sales Input Sheet'!A$23,'Inventory Data'!$B$1:$J$12000,8,FALSE),"Not Found"),0)</f>
        <v>0</v>
      </c>
    </row>
    <row r="60" spans="1:4" x14ac:dyDescent="0.3">
      <c r="A60" s="274" t="s">
        <v>554</v>
      </c>
      <c r="B60" s="628" t="str">
        <f>IF(OR('Sales Input Sheet'!I$23&lt;&gt;"",'Sales Input Sheet'!O$23&lt;&gt;""),"INCLUDES "&amp;'Sales Input Sheet'!I$23&amp;"  "&amp;'Sales Input Sheet'!K$23&amp;" "&amp;'Sales Input Sheet'!M$23&amp;" "&amp;UPPER('Sales Input Sheet'!O$23),"")</f>
        <v/>
      </c>
    </row>
    <row r="61" spans="1:4" x14ac:dyDescent="0.3">
      <c r="A61" s="274" t="s">
        <v>555</v>
      </c>
      <c r="B61" s="630">
        <f>IF('Sales Input Sheet'!A$23&lt;&gt;"",IFERROR(VLOOKUP('Sales Input Sheet'!A$23,'Inventory Data'!$B$1:$J$12000,2,FALSE),"Not Found"),0)</f>
        <v>0</v>
      </c>
    </row>
    <row r="62" spans="1:4" x14ac:dyDescent="0.3">
      <c r="A62" s="274" t="s">
        <v>556</v>
      </c>
      <c r="B62" s="629">
        <f>'Costing Sheet'!I$26-'Costing Sheet'!K$26-'Costing Sheet'!AE$26-B59+'Costing Sheet'!Q26-'Costing Sheet'!AI$26-'Costing Sheet'!AO26</f>
        <v>0</v>
      </c>
    </row>
    <row r="63" spans="1:4" x14ac:dyDescent="0.3">
      <c r="A63" s="274" t="s">
        <v>557</v>
      </c>
      <c r="B63" s="629">
        <f>IF(B$652="Tax Exempt",0,IF('Extra Cells Not used'!B$55&lt;&gt;"Non Taxable",'Costing Sheet'!I$26-'Costing Sheet'!K$26,0))</f>
        <v>0</v>
      </c>
    </row>
    <row r="64" spans="1:4" x14ac:dyDescent="0.3">
      <c r="A64" s="274" t="s">
        <v>558</v>
      </c>
      <c r="B64" s="629">
        <f>+Calculations!B63</f>
        <v>0</v>
      </c>
    </row>
    <row r="65" spans="1:4" x14ac:dyDescent="0.3">
      <c r="A65" s="274" t="s">
        <v>559</v>
      </c>
      <c r="B65" s="628" t="str">
        <f>IF('Sales Input Sheet'!A$24&lt;&gt;"",IFERROR(VLOOKUP('Sales Input Sheet'!A$24,'Inventory Data'!$B$1:$J$12000,3,FALSE),"Not Found"),"")</f>
        <v/>
      </c>
    </row>
    <row r="66" spans="1:4" x14ac:dyDescent="0.3">
      <c r="A66" s="274" t="s">
        <v>560</v>
      </c>
      <c r="B66" s="628" t="str">
        <f>IF(B65&lt;&gt;"",IFERROR(VLOOKUP(Calculations!$B65,Brands!$A$1:$B$200,2,FALSE),"OTHER"),"")</f>
        <v/>
      </c>
    </row>
    <row r="67" spans="1:4" x14ac:dyDescent="0.3">
      <c r="A67" s="274" t="s">
        <v>561</v>
      </c>
      <c r="B67" s="628" t="str">
        <f>IF('Sales Input Sheet'!A$24&lt;&gt;"",IFERROR(VLOOKUP('Sales Input Sheet'!A$24,'Inventory Data'!$B$1:$J$12000,4,FALSE),"Not Found"),"")</f>
        <v/>
      </c>
      <c r="D67" s="16"/>
    </row>
    <row r="68" spans="1:4" x14ac:dyDescent="0.3">
      <c r="A68" s="274" t="s">
        <v>562</v>
      </c>
      <c r="B68" s="628" t="str">
        <f>IF('Sales Input Sheet'!A$24&lt;&gt;"",IFERROR(VLOOKUP('Sales Input Sheet'!A$24,'Inventory Data'!$B$1:$J$12000,6,FALSE),"Not Found"),"")</f>
        <v/>
      </c>
    </row>
    <row r="69" spans="1:4" x14ac:dyDescent="0.3">
      <c r="A69" s="274" t="s">
        <v>563</v>
      </c>
      <c r="B69" s="1141" t="str">
        <f>IF('Sales Input Sheet'!A$24&lt;&gt;"",IFERROR(VLOOKUP('Sales Input Sheet'!A$24,'Inventory Data'!$B$1:$J$12000,5,FALSE),"Not Found"),"")</f>
        <v/>
      </c>
      <c r="C69" s="1141"/>
      <c r="D69" s="1141"/>
    </row>
    <row r="70" spans="1:4" x14ac:dyDescent="0.3">
      <c r="A70" s="274" t="s">
        <v>564</v>
      </c>
      <c r="B70" s="629" t="str">
        <f>IF('Sales Input Sheet'!A$24&lt;&gt;"",IFERROR(VLOOKUP('Sales Input Sheet'!A$24,'Inventory Data'!$B$1:$J$12000,9,FALSE),"Not Found"),"")</f>
        <v/>
      </c>
    </row>
    <row r="71" spans="1:4" x14ac:dyDescent="0.3">
      <c r="A71" s="274" t="s">
        <v>565</v>
      </c>
      <c r="B71" s="629">
        <f>IF('Sales Input Sheet'!A$24&lt;&gt;"",IFERROR(VLOOKUP('Sales Input Sheet'!A$24,'Inventory Data'!$B$1:$J$12000,8,FALSE),"Not Found"),0)</f>
        <v>0</v>
      </c>
    </row>
    <row r="72" spans="1:4" x14ac:dyDescent="0.3">
      <c r="A72" s="274" t="s">
        <v>566</v>
      </c>
      <c r="B72" s="628" t="str">
        <f>IF(OR('Sales Input Sheet'!I$24&lt;&gt;"",'Sales Input Sheet'!O$24&lt;&gt;""),"INCLUDES "&amp;'Sales Input Sheet'!I$24&amp;"  "&amp;'Sales Input Sheet'!K$24&amp;" "&amp;'Sales Input Sheet'!M$24&amp;" "&amp;UPPER('Sales Input Sheet'!O$24),"")</f>
        <v/>
      </c>
    </row>
    <row r="73" spans="1:4" x14ac:dyDescent="0.3">
      <c r="A73" s="274" t="s">
        <v>567</v>
      </c>
      <c r="B73" s="630">
        <f>IF('Sales Input Sheet'!A$24&lt;&gt;"",IFERROR(VLOOKUP('Sales Input Sheet'!A$24,'Inventory Data'!$B$1:$J$12000,2,FALSE),"Not Found"),0)</f>
        <v>0</v>
      </c>
    </row>
    <row r="74" spans="1:4" x14ac:dyDescent="0.3">
      <c r="A74" s="274" t="s">
        <v>568</v>
      </c>
      <c r="B74" s="629">
        <f>'Costing Sheet'!I$27-'Costing Sheet'!K$27-'Costing Sheet'!AE$27-B71+'Costing Sheet'!Q27-'Costing Sheet'!AI$27-'Costing Sheet'!AO27</f>
        <v>0</v>
      </c>
    </row>
    <row r="75" spans="1:4" x14ac:dyDescent="0.3">
      <c r="A75" s="274" t="s">
        <v>569</v>
      </c>
      <c r="B75" s="629">
        <f>IF(B$652="Tax Exempt",0,IF('Extra Cells Not used'!B$55&lt;&gt;"Non Taxable",'Costing Sheet'!I$27-'Costing Sheet'!K$27,0))</f>
        <v>0</v>
      </c>
    </row>
    <row r="76" spans="1:4" x14ac:dyDescent="0.3">
      <c r="A76" s="274" t="s">
        <v>570</v>
      </c>
      <c r="B76" s="629">
        <f>+Calculations!B75</f>
        <v>0</v>
      </c>
    </row>
    <row r="77" spans="1:4" x14ac:dyDescent="0.3">
      <c r="A77" s="274" t="s">
        <v>571</v>
      </c>
      <c r="B77" s="628" t="str">
        <f>IF('Sales Input Sheet'!A$25&lt;&gt;"",IFERROR(VLOOKUP('Sales Input Sheet'!A$25,'Inventory Data'!$B$1:$J$12000,3,FALSE),"Not Found"),"")</f>
        <v/>
      </c>
    </row>
    <row r="78" spans="1:4" x14ac:dyDescent="0.3">
      <c r="A78" s="274" t="s">
        <v>572</v>
      </c>
      <c r="B78" s="628" t="str">
        <f>IF(B77&lt;&gt;"",IFERROR(VLOOKUP(Calculations!$B77,Brands!$A$1:$B$200,2,FALSE),"OTHER"),"")</f>
        <v/>
      </c>
    </row>
    <row r="79" spans="1:4" x14ac:dyDescent="0.3">
      <c r="A79" s="274" t="s">
        <v>573</v>
      </c>
      <c r="B79" s="628" t="str">
        <f>IF('Sales Input Sheet'!A$25&lt;&gt;"",IFERROR(VLOOKUP('Sales Input Sheet'!A$25,'Inventory Data'!$B$1:$J$12000,4,FALSE),"Not Found"),"")</f>
        <v/>
      </c>
      <c r="D79" s="16"/>
    </row>
    <row r="80" spans="1:4" x14ac:dyDescent="0.3">
      <c r="A80" s="274" t="s">
        <v>574</v>
      </c>
      <c r="B80" s="628" t="str">
        <f>IF('Sales Input Sheet'!A$25&lt;&gt;"",IFERROR(VLOOKUP('Sales Input Sheet'!A$25,'Inventory Data'!$B$1:$J$12000,6,FALSE),"Not Found"),"")</f>
        <v/>
      </c>
    </row>
    <row r="81" spans="1:4" x14ac:dyDescent="0.3">
      <c r="A81" s="274" t="s">
        <v>575</v>
      </c>
      <c r="B81" s="1141" t="str">
        <f>IF('Sales Input Sheet'!A$25&lt;&gt;"",IFERROR(VLOOKUP('Sales Input Sheet'!A$25,'Inventory Data'!$B$1:$J$12000,5,FALSE),"Not Found"),"")</f>
        <v/>
      </c>
      <c r="C81" s="1141"/>
      <c r="D81" s="1141"/>
    </row>
    <row r="82" spans="1:4" x14ac:dyDescent="0.3">
      <c r="A82" s="274" t="s">
        <v>576</v>
      </c>
      <c r="B82" s="629" t="str">
        <f>IF('Sales Input Sheet'!A$25&lt;&gt;"",IFERROR(VLOOKUP('Sales Input Sheet'!A$25,'Inventory Data'!$B$1:$J$12000,9,FALSE),"Not Found"),"")</f>
        <v/>
      </c>
    </row>
    <row r="83" spans="1:4" x14ac:dyDescent="0.3">
      <c r="A83" s="274" t="s">
        <v>577</v>
      </c>
      <c r="B83" s="629">
        <f>IF('Sales Input Sheet'!A$25&lt;&gt;"",IFERROR(VLOOKUP('Sales Input Sheet'!A$25,'Inventory Data'!$B$1:$J$12000,8,FALSE),"Not Found"),0)</f>
        <v>0</v>
      </c>
    </row>
    <row r="84" spans="1:4" x14ac:dyDescent="0.3">
      <c r="A84" s="274" t="s">
        <v>578</v>
      </c>
      <c r="B84" s="628" t="str">
        <f>IF(OR('Sales Input Sheet'!I$25&lt;&gt;"",'Sales Input Sheet'!O$25&lt;&gt;""),"INCLUDES "&amp;'Sales Input Sheet'!I$25&amp;"  "&amp;'Sales Input Sheet'!K$25&amp;" "&amp;'Sales Input Sheet'!M$25&amp;" "&amp;UPPER('Sales Input Sheet'!O$25),"")</f>
        <v/>
      </c>
    </row>
    <row r="85" spans="1:4" x14ac:dyDescent="0.3">
      <c r="A85" s="274" t="s">
        <v>579</v>
      </c>
      <c r="B85" s="630">
        <f>IF('Sales Input Sheet'!A$25&lt;&gt;"",IFERROR(VLOOKUP('Sales Input Sheet'!A$25,'Inventory Data'!$B$1:$J$12000,2,FALSE),"Not Found"),0)</f>
        <v>0</v>
      </c>
    </row>
    <row r="86" spans="1:4" x14ac:dyDescent="0.3">
      <c r="A86" s="274" t="s">
        <v>580</v>
      </c>
      <c r="B86" s="629">
        <f>'Costing Sheet'!I$28-'Costing Sheet'!K$28-'Costing Sheet'!AE$28-B83+'Costing Sheet'!Q28-'Costing Sheet'!AI$28-'Costing Sheet'!AO28</f>
        <v>0</v>
      </c>
    </row>
    <row r="87" spans="1:4" x14ac:dyDescent="0.3">
      <c r="A87" s="274" t="s">
        <v>581</v>
      </c>
      <c r="B87" s="629">
        <f>IF(B$652="Tax Exempt",0,IF('Extra Cells Not used'!B$55&lt;&gt;"Non Taxable",'Costing Sheet'!I$28-'Costing Sheet'!K$28,0))</f>
        <v>0</v>
      </c>
    </row>
    <row r="88" spans="1:4" x14ac:dyDescent="0.3">
      <c r="A88" s="274" t="s">
        <v>582</v>
      </c>
      <c r="B88" s="629">
        <f>+Calculations!B87</f>
        <v>0</v>
      </c>
    </row>
    <row r="89" spans="1:4" x14ac:dyDescent="0.3">
      <c r="A89" s="274" t="s">
        <v>583</v>
      </c>
      <c r="B89" s="628" t="str">
        <f>IF('Sales Input Sheet'!A$26&lt;&gt;"",IFERROR(VLOOKUP('Sales Input Sheet'!A$26,'Inventory Data'!$B$1:$J$12000,3,FALSE),"Not Found"),"")</f>
        <v/>
      </c>
    </row>
    <row r="90" spans="1:4" x14ac:dyDescent="0.3">
      <c r="A90" s="274" t="s">
        <v>584</v>
      </c>
      <c r="B90" s="628" t="str">
        <f>IF(B89&lt;&gt;"",IFERROR(VLOOKUP(Calculations!$B89,Brands!$A$1:$B$200,2,FALSE),"OTHER"),"")</f>
        <v/>
      </c>
    </row>
    <row r="91" spans="1:4" x14ac:dyDescent="0.3">
      <c r="A91" s="274" t="s">
        <v>585</v>
      </c>
      <c r="B91" s="628" t="str">
        <f>IF('Sales Input Sheet'!A$26&lt;&gt;"",IFERROR(VLOOKUP('Sales Input Sheet'!A$26,'Inventory Data'!$B$1:$J$12000,4,FALSE),"Not Found"),"")</f>
        <v/>
      </c>
      <c r="D91" s="16"/>
    </row>
    <row r="92" spans="1:4" x14ac:dyDescent="0.3">
      <c r="A92" s="274" t="s">
        <v>586</v>
      </c>
      <c r="B92" s="628" t="str">
        <f>IF('Sales Input Sheet'!A$26&lt;&gt;"",IFERROR(VLOOKUP('Sales Input Sheet'!A$26,'Inventory Data'!$B$1:$J$12000,6,FALSE),"Not Found"),"")</f>
        <v/>
      </c>
    </row>
    <row r="93" spans="1:4" x14ac:dyDescent="0.3">
      <c r="A93" s="274" t="s">
        <v>587</v>
      </c>
      <c r="B93" s="1141" t="str">
        <f>IF('Sales Input Sheet'!A$26&lt;&gt;"",IFERROR(VLOOKUP('Sales Input Sheet'!A$26,'Inventory Data'!$B$1:$J$12000,5,FALSE),"Not Found"),"")</f>
        <v/>
      </c>
      <c r="C93" s="1141"/>
      <c r="D93" s="1141"/>
    </row>
    <row r="94" spans="1:4" x14ac:dyDescent="0.3">
      <c r="A94" s="274" t="s">
        <v>588</v>
      </c>
      <c r="B94" s="629" t="str">
        <f>IF('Sales Input Sheet'!A$26&lt;&gt;"",IFERROR(VLOOKUP('Sales Input Sheet'!A$26,'Inventory Data'!$B$1:$J$12000,9,FALSE),"Not Found"),"")</f>
        <v/>
      </c>
    </row>
    <row r="95" spans="1:4" x14ac:dyDescent="0.3">
      <c r="A95" s="274" t="s">
        <v>589</v>
      </c>
      <c r="B95" s="629">
        <f>IF('Sales Input Sheet'!A$26&lt;&gt;"",IFERROR(VLOOKUP('Sales Input Sheet'!A$26,'Inventory Data'!$B$1:$J$12000,8,FALSE),"Not Found"),0)</f>
        <v>0</v>
      </c>
    </row>
    <row r="96" spans="1:4" x14ac:dyDescent="0.3">
      <c r="A96" s="274" t="s">
        <v>590</v>
      </c>
      <c r="B96" s="628" t="str">
        <f>IF(OR('Sales Input Sheet'!I$26&lt;&gt;"",'Sales Input Sheet'!O$26&lt;&gt;""),"INCLUDES "&amp;'Sales Input Sheet'!I$26&amp;"  "&amp;'Sales Input Sheet'!K$26&amp;" "&amp;'Sales Input Sheet'!M$26&amp;" "&amp;UPPER('Sales Input Sheet'!O$26),"")</f>
        <v/>
      </c>
    </row>
    <row r="97" spans="1:4" x14ac:dyDescent="0.3">
      <c r="A97" s="274" t="s">
        <v>591</v>
      </c>
      <c r="B97" s="630">
        <f>IF('Sales Input Sheet'!A$26&lt;&gt;"",IFERROR(VLOOKUP('Sales Input Sheet'!A$26,'Inventory Data'!$B$1:$J$12000,2,FALSE),"Not Found"),0)</f>
        <v>0</v>
      </c>
    </row>
    <row r="98" spans="1:4" x14ac:dyDescent="0.3">
      <c r="A98" s="274" t="s">
        <v>592</v>
      </c>
      <c r="B98" s="629">
        <f>'Costing Sheet'!I$29-'Costing Sheet'!K$29-'Costing Sheet'!AE$29-B95+'Costing Sheet'!Q29-'Costing Sheet'!AI$29-'Costing Sheet'!AO29</f>
        <v>0</v>
      </c>
    </row>
    <row r="99" spans="1:4" x14ac:dyDescent="0.3">
      <c r="A99" s="274" t="s">
        <v>593</v>
      </c>
      <c r="B99" s="629">
        <f>IF(B$652="Tax Exempt",0,IF('Extra Cells Not used'!B$55&lt;&gt;"Non Taxable",'Costing Sheet'!I$29-'Costing Sheet'!K$29,0))</f>
        <v>0</v>
      </c>
    </row>
    <row r="100" spans="1:4" x14ac:dyDescent="0.3">
      <c r="A100" s="274" t="s">
        <v>594</v>
      </c>
      <c r="B100" s="629">
        <f>+Calculations!B99</f>
        <v>0</v>
      </c>
    </row>
    <row r="101" spans="1:4" x14ac:dyDescent="0.3">
      <c r="A101" s="274" t="s">
        <v>595</v>
      </c>
      <c r="B101" s="628" t="str">
        <f>IF('Sales Input Sheet'!A$27&lt;&gt;"",IFERROR(VLOOKUP('Sales Input Sheet'!A$27,'Inventory Data'!$B$1:$J$12000,3,FALSE),"Not Found"),"")</f>
        <v/>
      </c>
    </row>
    <row r="102" spans="1:4" x14ac:dyDescent="0.3">
      <c r="A102" s="274" t="s">
        <v>596</v>
      </c>
      <c r="B102" s="628" t="str">
        <f>IF(B101&lt;&gt;"",IFERROR(VLOOKUP(Calculations!$B101,Brands!$A$1:$B$200,2,FALSE),"OTHER"),"")</f>
        <v/>
      </c>
    </row>
    <row r="103" spans="1:4" x14ac:dyDescent="0.3">
      <c r="A103" s="274" t="s">
        <v>597</v>
      </c>
      <c r="B103" s="628" t="str">
        <f>IF('Sales Input Sheet'!A$27&lt;&gt;"",IFERROR(VLOOKUP('Sales Input Sheet'!A$27,'Inventory Data'!$B$1:$J$12000,4,FALSE),"Not Found"),"")</f>
        <v/>
      </c>
      <c r="D103" s="16"/>
    </row>
    <row r="104" spans="1:4" x14ac:dyDescent="0.3">
      <c r="A104" s="274" t="s">
        <v>598</v>
      </c>
      <c r="B104" s="628" t="str">
        <f>IF('Sales Input Sheet'!A$27&lt;&gt;"",IFERROR(VLOOKUP('Sales Input Sheet'!A$27,'Inventory Data'!$B$1:$J$12000,6,FALSE),"Not Found"),"")</f>
        <v/>
      </c>
    </row>
    <row r="105" spans="1:4" x14ac:dyDescent="0.3">
      <c r="A105" s="274" t="s">
        <v>599</v>
      </c>
      <c r="B105" s="1141" t="str">
        <f>IF('Sales Input Sheet'!A$27&lt;&gt;"",IFERROR(VLOOKUP('Sales Input Sheet'!A$27,'Inventory Data'!$B$1:$J$12000,5,FALSE),"Not Found"),"")</f>
        <v/>
      </c>
      <c r="C105" s="1141"/>
      <c r="D105" s="1141"/>
    </row>
    <row r="106" spans="1:4" x14ac:dyDescent="0.3">
      <c r="A106" s="274" t="s">
        <v>600</v>
      </c>
      <c r="B106" s="629" t="str">
        <f>IF('Sales Input Sheet'!A$27&lt;&gt;"",IFERROR(VLOOKUP('Sales Input Sheet'!A$27,'Inventory Data'!$B$1:$J$12000,9,FALSE),"Not Found"),"")</f>
        <v/>
      </c>
    </row>
    <row r="107" spans="1:4" x14ac:dyDescent="0.3">
      <c r="A107" s="274" t="s">
        <v>601</v>
      </c>
      <c r="B107" s="629">
        <f>IF('Sales Input Sheet'!A$27&lt;&gt;"",IFERROR(VLOOKUP('Sales Input Sheet'!A$27,'Inventory Data'!$B$1:$J$12000,8,FALSE),"Not Found"),0)</f>
        <v>0</v>
      </c>
    </row>
    <row r="108" spans="1:4" x14ac:dyDescent="0.3">
      <c r="A108" s="274" t="s">
        <v>602</v>
      </c>
      <c r="B108" s="628" t="str">
        <f>IF(OR('Sales Input Sheet'!I$27&lt;&gt;"",'Sales Input Sheet'!O$27&lt;&gt;""),"INCLUDES "&amp;'Sales Input Sheet'!I$27&amp;"  "&amp;'Sales Input Sheet'!K$27&amp;" "&amp;'Sales Input Sheet'!M$27&amp;" "&amp;UPPER('Sales Input Sheet'!O$27),"")</f>
        <v/>
      </c>
    </row>
    <row r="109" spans="1:4" x14ac:dyDescent="0.3">
      <c r="A109" s="274" t="s">
        <v>603</v>
      </c>
      <c r="B109" s="630">
        <f>IF('Sales Input Sheet'!A$27&lt;&gt;"",IFERROR(VLOOKUP('Sales Input Sheet'!A$27,'Inventory Data'!$B$1:$J$12000,2,FALSE),"Not Found"),0)</f>
        <v>0</v>
      </c>
    </row>
    <row r="110" spans="1:4" x14ac:dyDescent="0.3">
      <c r="A110" s="274" t="s">
        <v>604</v>
      </c>
      <c r="B110" s="629">
        <f>'Costing Sheet'!I$30-'Costing Sheet'!K$30-'Costing Sheet'!AE$30-B107+'Costing Sheet'!Q30-'Costing Sheet'!AI$30-'Costing Sheet'!AO30</f>
        <v>0</v>
      </c>
    </row>
    <row r="111" spans="1:4" x14ac:dyDescent="0.3">
      <c r="A111" s="274" t="s">
        <v>605</v>
      </c>
      <c r="B111" s="629">
        <f>IF(B$652="Tax Exempt",0,IF('Extra Cells Not used'!B$55&lt;&gt;"Non Taxable",'Costing Sheet'!I$30-'Costing Sheet'!K$30,0))</f>
        <v>0</v>
      </c>
    </row>
    <row r="112" spans="1:4" x14ac:dyDescent="0.3">
      <c r="A112" s="274" t="s">
        <v>606</v>
      </c>
      <c r="B112" s="629">
        <f>+Calculations!B111</f>
        <v>0</v>
      </c>
    </row>
    <row r="113" spans="1:4" x14ac:dyDescent="0.3">
      <c r="A113" s="274" t="s">
        <v>607</v>
      </c>
      <c r="B113" s="628" t="str">
        <f>IF('Sales Input Sheet'!A$28&lt;&gt;"",IFERROR(VLOOKUP('Sales Input Sheet'!A$28,'Inventory Data'!$B$1:$J$12000,3,FALSE),"Not Found"),"")</f>
        <v/>
      </c>
    </row>
    <row r="114" spans="1:4" x14ac:dyDescent="0.3">
      <c r="A114" s="274" t="s">
        <v>608</v>
      </c>
      <c r="B114" s="628" t="str">
        <f>IF(B113&lt;&gt;"",IFERROR(VLOOKUP(Calculations!$B113,Brands!$A$1:$B$200,2,FALSE),"OTHER"),"")</f>
        <v/>
      </c>
    </row>
    <row r="115" spans="1:4" x14ac:dyDescent="0.3">
      <c r="A115" s="274" t="s">
        <v>609</v>
      </c>
      <c r="B115" s="628" t="str">
        <f>IF('Sales Input Sheet'!A$28&lt;&gt;"",IFERROR(VLOOKUP('Sales Input Sheet'!A$28,'Inventory Data'!$B$1:$J$12000,4,FALSE),"Not Found"),"")</f>
        <v/>
      </c>
      <c r="D115" s="16"/>
    </row>
    <row r="116" spans="1:4" x14ac:dyDescent="0.3">
      <c r="A116" s="274" t="s">
        <v>610</v>
      </c>
      <c r="B116" s="628" t="str">
        <f>IF('Sales Input Sheet'!A$28&lt;&gt;"",IFERROR(VLOOKUP('Sales Input Sheet'!A$28,'Inventory Data'!$B$1:$J$12000,6,FALSE),"Not Found"),"")</f>
        <v/>
      </c>
    </row>
    <row r="117" spans="1:4" x14ac:dyDescent="0.3">
      <c r="A117" s="274" t="s">
        <v>611</v>
      </c>
      <c r="B117" s="1141" t="str">
        <f>IF('Sales Input Sheet'!A$28&lt;&gt;"",IFERROR(VLOOKUP('Sales Input Sheet'!A$28,'Inventory Data'!$B$1:$J$12000,5,FALSE),"Not Found"),"")</f>
        <v/>
      </c>
      <c r="C117" s="1141"/>
      <c r="D117" s="1141"/>
    </row>
    <row r="118" spans="1:4" x14ac:dyDescent="0.3">
      <c r="A118" s="274" t="s">
        <v>612</v>
      </c>
      <c r="B118" s="629" t="str">
        <f>IF('Sales Input Sheet'!A$28&lt;&gt;"",IFERROR(VLOOKUP('Sales Input Sheet'!A$28,'Inventory Data'!$B$1:$J$12000,9,FALSE),"Not Found"),"")</f>
        <v/>
      </c>
    </row>
    <row r="119" spans="1:4" x14ac:dyDescent="0.3">
      <c r="A119" s="274" t="s">
        <v>613</v>
      </c>
      <c r="B119" s="629">
        <f>IF('Sales Input Sheet'!A$28&lt;&gt;"",IFERROR(VLOOKUP('Sales Input Sheet'!A$28,'Inventory Data'!$B$1:$J$12000,8,FALSE),"Not Found"),0)</f>
        <v>0</v>
      </c>
    </row>
    <row r="120" spans="1:4" x14ac:dyDescent="0.3">
      <c r="A120" s="274" t="s">
        <v>614</v>
      </c>
      <c r="B120" s="628" t="str">
        <f>IF(OR('Sales Input Sheet'!I$28&lt;&gt;"",'Sales Input Sheet'!O$28&lt;&gt;""),"INCLUDES "&amp;'Sales Input Sheet'!I$28&amp;"  "&amp;'Sales Input Sheet'!K$28&amp;" "&amp;'Sales Input Sheet'!M$28&amp;" "&amp;UPPER('Sales Input Sheet'!O$28),"")</f>
        <v/>
      </c>
    </row>
    <row r="121" spans="1:4" x14ac:dyDescent="0.3">
      <c r="A121" s="274" t="s">
        <v>615</v>
      </c>
      <c r="B121" s="630">
        <f>IF('Sales Input Sheet'!A$28&lt;&gt;"",IFERROR(VLOOKUP('Sales Input Sheet'!A$23,'Inventory Data'!$B$1:$J$12000,2,FALSE),"Not Found"),0)</f>
        <v>0</v>
      </c>
    </row>
    <row r="122" spans="1:4" x14ac:dyDescent="0.3">
      <c r="A122" s="274" t="s">
        <v>616</v>
      </c>
      <c r="B122" s="629">
        <f>'Costing Sheet'!I$31-'Costing Sheet'!K$31-'Costing Sheet'!AE$31-B119+'Costing Sheet'!Q31-'Costing Sheet'!AI$31-'Costing Sheet'!AO31</f>
        <v>0</v>
      </c>
    </row>
    <row r="123" spans="1:4" x14ac:dyDescent="0.3">
      <c r="A123" s="274" t="s">
        <v>617</v>
      </c>
      <c r="B123" s="629">
        <f>IF(B$652="Tax Exempt",0,IF('Extra Cells Not used'!B$55&lt;&gt;"Non Taxable",'Costing Sheet'!I$31-'Costing Sheet'!K$31,0))</f>
        <v>0</v>
      </c>
    </row>
    <row r="124" spans="1:4" x14ac:dyDescent="0.3">
      <c r="A124" s="274" t="s">
        <v>558</v>
      </c>
      <c r="B124" s="629">
        <f>+Calculations!B123</f>
        <v>0</v>
      </c>
    </row>
    <row r="125" spans="1:4" x14ac:dyDescent="0.3">
      <c r="A125" s="274" t="s">
        <v>618</v>
      </c>
      <c r="B125" s="628" t="str">
        <f>'Sales Input Sheet'!I$31&amp;" "&amp;'Sales Input Sheet'!M$31</f>
        <v xml:space="preserve"> </v>
      </c>
    </row>
    <row r="126" spans="1:4" x14ac:dyDescent="0.3">
      <c r="A126" s="274" t="s">
        <v>619</v>
      </c>
      <c r="B126" s="629">
        <f>'Costing Sheet'!I$34-'Costing Sheet'!K$34-'Extra Cells Not used'!A$16-'Costing Sheet'!O$34+'Costing Sheet'!Q34-'Costing Sheet'!AE34</f>
        <v>0</v>
      </c>
    </row>
    <row r="127" spans="1:4" x14ac:dyDescent="0.3">
      <c r="A127" s="274" t="s">
        <v>620</v>
      </c>
      <c r="B127" s="629">
        <f>IF(B$652="Tax Exempt",0,IF('Extra Cells Not used'!B$58&lt;&gt;"Non Taxable",'Costing Sheet'!I$34-'Costing Sheet'!K$34,0))</f>
        <v>0</v>
      </c>
    </row>
    <row r="128" spans="1:4" x14ac:dyDescent="0.3">
      <c r="A128" s="274" t="s">
        <v>621</v>
      </c>
      <c r="B128" s="629">
        <f>+Calculations!B127</f>
        <v>0</v>
      </c>
    </row>
    <row r="129" spans="1:2" x14ac:dyDescent="0.3">
      <c r="A129" s="274" t="s">
        <v>622</v>
      </c>
      <c r="B129" s="628" t="str">
        <f>'Sales Input Sheet'!I$32&amp;" "&amp;'Sales Input Sheet'!M$32</f>
        <v xml:space="preserve"> </v>
      </c>
    </row>
    <row r="130" spans="1:2" x14ac:dyDescent="0.3">
      <c r="A130" s="274" t="s">
        <v>623</v>
      </c>
      <c r="B130" s="629">
        <f>'Costing Sheet'!I$35-'Costing Sheet'!K$35-'Extra Cells Not used'!A$17-'Costing Sheet'!O$35+'Costing Sheet'!Q35-'Costing Sheet'!AE35</f>
        <v>0</v>
      </c>
    </row>
    <row r="131" spans="1:2" x14ac:dyDescent="0.3">
      <c r="A131" s="274" t="s">
        <v>624</v>
      </c>
      <c r="B131" s="629">
        <f>IF(B$652="Tax Exempt",0,IF('Extra Cells Not used'!B$59&lt;&gt;"Non Taxable",'Costing Sheet'!I$35-'Costing Sheet'!K$35,0))</f>
        <v>0</v>
      </c>
    </row>
    <row r="132" spans="1:2" x14ac:dyDescent="0.3">
      <c r="A132" s="274" t="s">
        <v>625</v>
      </c>
      <c r="B132" s="629">
        <f>+Calculations!B131</f>
        <v>0</v>
      </c>
    </row>
    <row r="133" spans="1:2" x14ac:dyDescent="0.3">
      <c r="A133" s="274" t="s">
        <v>626</v>
      </c>
      <c r="B133" s="628" t="str">
        <f>'Sales Input Sheet'!I$33&amp;" "&amp;'Sales Input Sheet'!M$33</f>
        <v xml:space="preserve"> </v>
      </c>
    </row>
    <row r="134" spans="1:2" x14ac:dyDescent="0.3">
      <c r="A134" s="274" t="s">
        <v>627</v>
      </c>
      <c r="B134" s="629">
        <f>'Costing Sheet'!I$36-'Costing Sheet'!K$36-'Extra Cells Not used'!A$18-'Costing Sheet'!O$36+'Costing Sheet'!Q36-'Costing Sheet'!AE36</f>
        <v>0</v>
      </c>
    </row>
    <row r="135" spans="1:2" x14ac:dyDescent="0.3">
      <c r="A135" s="274" t="s">
        <v>628</v>
      </c>
      <c r="B135" s="629">
        <f>IF(B$652="Tax Exempt",0,IF('Extra Cells Not used'!B$60&lt;&gt;"Non Taxable",'Costing Sheet'!I$36-'Costing Sheet'!K$36,0))</f>
        <v>0</v>
      </c>
    </row>
    <row r="136" spans="1:2" x14ac:dyDescent="0.3">
      <c r="A136" s="274" t="s">
        <v>629</v>
      </c>
      <c r="B136" s="629">
        <f>+Calculations!B135</f>
        <v>0</v>
      </c>
    </row>
    <row r="137" spans="1:2" x14ac:dyDescent="0.3">
      <c r="A137" s="274" t="s">
        <v>630</v>
      </c>
      <c r="B137" s="628" t="str">
        <f>'Sales Input Sheet'!I$34&amp;" "&amp;'Sales Input Sheet'!M$34</f>
        <v xml:space="preserve"> </v>
      </c>
    </row>
    <row r="138" spans="1:2" x14ac:dyDescent="0.3">
      <c r="A138" s="274" t="s">
        <v>631</v>
      </c>
      <c r="B138" s="629">
        <f>'Costing Sheet'!I$37-'Costing Sheet'!K$37-'Extra Cells Not used'!A$19-'Costing Sheet'!O$37+'Costing Sheet'!Q37-'Costing Sheet'!AE37</f>
        <v>0</v>
      </c>
    </row>
    <row r="139" spans="1:2" x14ac:dyDescent="0.3">
      <c r="A139" s="274" t="s">
        <v>632</v>
      </c>
      <c r="B139" s="629">
        <f>IF(B$652="Tax Exempt",0,IF('Extra Cells Not used'!$B$61&lt;&gt;"Non Taxable",'Costing Sheet'!$I$37-'Costing Sheet'!$K$37,0))</f>
        <v>0</v>
      </c>
    </row>
    <row r="140" spans="1:2" x14ac:dyDescent="0.3">
      <c r="A140" s="274" t="s">
        <v>633</v>
      </c>
      <c r="B140" s="629">
        <f>+Calculations!B139</f>
        <v>0</v>
      </c>
    </row>
    <row r="141" spans="1:2" x14ac:dyDescent="0.3">
      <c r="A141" s="274" t="s">
        <v>634</v>
      </c>
      <c r="B141" s="628" t="str">
        <f>'Sales Input Sheet'!I$35&amp;" "&amp;'Sales Input Sheet'!M$35</f>
        <v xml:space="preserve"> </v>
      </c>
    </row>
    <row r="142" spans="1:2" x14ac:dyDescent="0.3">
      <c r="A142" s="274" t="s">
        <v>635</v>
      </c>
      <c r="B142" s="629">
        <f>'Costing Sheet'!I$38-'Costing Sheet'!K$38-'Extra Cells Not used'!A$20-'Costing Sheet'!O$38+'Costing Sheet'!Q38-'Costing Sheet'!AE38</f>
        <v>0</v>
      </c>
    </row>
    <row r="143" spans="1:2" x14ac:dyDescent="0.3">
      <c r="A143" s="274" t="s">
        <v>636</v>
      </c>
      <c r="B143" s="629">
        <f>IF(B$652="Tax Exempt",0,IF('Extra Cells Not used'!B$62&lt;&gt;"Non Taxable",'Costing Sheet'!I$38-'Costing Sheet'!K$38,0))</f>
        <v>0</v>
      </c>
    </row>
    <row r="144" spans="1:2" x14ac:dyDescent="0.3">
      <c r="A144" s="274" t="s">
        <v>637</v>
      </c>
      <c r="B144" s="629">
        <f>+Calculations!B143</f>
        <v>0</v>
      </c>
    </row>
    <row r="145" spans="1:2" x14ac:dyDescent="0.3">
      <c r="A145" s="274" t="s">
        <v>638</v>
      </c>
      <c r="B145" s="628" t="str">
        <f>'Sales Input Sheet'!K$38&amp;" "&amp;'Sales Input Sheet'!O$38</f>
        <v xml:space="preserve"> </v>
      </c>
    </row>
    <row r="146" spans="1:2" x14ac:dyDescent="0.3">
      <c r="A146" s="274" t="s">
        <v>639</v>
      </c>
      <c r="B146" s="629">
        <f>+B149-B150-B151-B152</f>
        <v>0</v>
      </c>
    </row>
    <row r="147" spans="1:2" x14ac:dyDescent="0.3">
      <c r="A147" s="274" t="s">
        <v>640</v>
      </c>
      <c r="B147" s="629">
        <f>IF(B$652="Tax Exempt",0,IF('Extra Cells Not used'!B$66&lt;&gt;"Non Taxable",B149-B150,0))</f>
        <v>0</v>
      </c>
    </row>
    <row r="148" spans="1:2" x14ac:dyDescent="0.3">
      <c r="A148" s="274" t="s">
        <v>641</v>
      </c>
      <c r="B148" s="629">
        <f>+Calculations!B147</f>
        <v>0</v>
      </c>
    </row>
    <row r="149" spans="1:2" x14ac:dyDescent="0.3">
      <c r="A149" s="274" t="s">
        <v>642</v>
      </c>
      <c r="B149" s="629">
        <f>+'Sales Input Sheet'!A$38*'Costing Sheet'!I$42</f>
        <v>0</v>
      </c>
    </row>
    <row r="150" spans="1:2" x14ac:dyDescent="0.3">
      <c r="A150" s="274" t="s">
        <v>643</v>
      </c>
      <c r="B150" s="629">
        <f>+'Sales Input Sheet'!A$38*'Costing Sheet'!K$42</f>
        <v>0</v>
      </c>
    </row>
    <row r="151" spans="1:2" x14ac:dyDescent="0.3">
      <c r="A151" s="274" t="s">
        <v>644</v>
      </c>
      <c r="B151" s="629">
        <f>+'Sales Input Sheet'!A$38*'Costing Sheet'!O$42</f>
        <v>0</v>
      </c>
    </row>
    <row r="152" spans="1:2" x14ac:dyDescent="0.3">
      <c r="A152" s="274" t="s">
        <v>645</v>
      </c>
      <c r="B152" s="629">
        <f>+'Sales Input Sheet'!A$38*'Extra Cells Not used'!A$24</f>
        <v>0</v>
      </c>
    </row>
    <row r="153" spans="1:2" x14ac:dyDescent="0.3">
      <c r="A153" s="274" t="s">
        <v>646</v>
      </c>
      <c r="B153" s="628" t="str">
        <f>'Sales Input Sheet'!K$39&amp;" "&amp;'Sales Input Sheet'!O$39</f>
        <v xml:space="preserve"> </v>
      </c>
    </row>
    <row r="154" spans="1:2" x14ac:dyDescent="0.3">
      <c r="A154" s="274" t="s">
        <v>647</v>
      </c>
      <c r="B154" s="629">
        <f>+B157-B158-B159-B160</f>
        <v>0</v>
      </c>
    </row>
    <row r="155" spans="1:2" x14ac:dyDescent="0.3">
      <c r="A155" s="274" t="s">
        <v>648</v>
      </c>
      <c r="B155" s="629">
        <f>IF(B$652="Tax Exempt",0,IF('Extra Cells Not used'!B$67&lt;&gt;"Non Taxable",B157-B158,0))</f>
        <v>0</v>
      </c>
    </row>
    <row r="156" spans="1:2" x14ac:dyDescent="0.3">
      <c r="A156" s="274" t="s">
        <v>649</v>
      </c>
      <c r="B156" s="629">
        <f>+Calculations!B155</f>
        <v>0</v>
      </c>
    </row>
    <row r="157" spans="1:2" x14ac:dyDescent="0.3">
      <c r="A157" s="274" t="s">
        <v>650</v>
      </c>
      <c r="B157" s="629">
        <f>+'Sales Input Sheet'!A$39*'Costing Sheet'!I$43</f>
        <v>0</v>
      </c>
    </row>
    <row r="158" spans="1:2" x14ac:dyDescent="0.3">
      <c r="A158" s="274" t="s">
        <v>651</v>
      </c>
      <c r="B158" s="629">
        <f>+'Sales Input Sheet'!A$39*'Costing Sheet'!K$43</f>
        <v>0</v>
      </c>
    </row>
    <row r="159" spans="1:2" x14ac:dyDescent="0.3">
      <c r="A159" s="274" t="s">
        <v>652</v>
      </c>
      <c r="B159" s="629">
        <f>+'Sales Input Sheet'!A$39*'Costing Sheet'!O$43</f>
        <v>0</v>
      </c>
    </row>
    <row r="160" spans="1:2" x14ac:dyDescent="0.3">
      <c r="A160" s="274" t="s">
        <v>653</v>
      </c>
      <c r="B160" s="629">
        <f>+'Sales Input Sheet'!A$39*'Extra Cells Not used'!A$25</f>
        <v>0</v>
      </c>
    </row>
    <row r="161" spans="1:2" x14ac:dyDescent="0.3">
      <c r="A161" s="274" t="s">
        <v>654</v>
      </c>
      <c r="B161" s="628" t="str">
        <f>'Sales Input Sheet'!K$40&amp;" "&amp;'Sales Input Sheet'!O$40</f>
        <v xml:space="preserve"> </v>
      </c>
    </row>
    <row r="162" spans="1:2" x14ac:dyDescent="0.3">
      <c r="A162" s="274" t="s">
        <v>655</v>
      </c>
      <c r="B162" s="629">
        <f>+B165-B166-B167-B168</f>
        <v>0</v>
      </c>
    </row>
    <row r="163" spans="1:2" x14ac:dyDescent="0.3">
      <c r="A163" s="274" t="s">
        <v>656</v>
      </c>
      <c r="B163" s="629">
        <f>IF(B$652="Tax Exempt",0,IF('Extra Cells Not used'!B$68&lt;&gt;"Non Taxable",B165-B166,0))</f>
        <v>0</v>
      </c>
    </row>
    <row r="164" spans="1:2" x14ac:dyDescent="0.3">
      <c r="A164" s="274" t="s">
        <v>657</v>
      </c>
      <c r="B164" s="629">
        <f>+Calculations!B163</f>
        <v>0</v>
      </c>
    </row>
    <row r="165" spans="1:2" x14ac:dyDescent="0.3">
      <c r="A165" s="274" t="s">
        <v>658</v>
      </c>
      <c r="B165" s="629">
        <f>+'Sales Input Sheet'!A$40*'Costing Sheet'!I$44</f>
        <v>0</v>
      </c>
    </row>
    <row r="166" spans="1:2" x14ac:dyDescent="0.3">
      <c r="A166" s="274" t="s">
        <v>659</v>
      </c>
      <c r="B166" s="629">
        <f>+'Sales Input Sheet'!A$40*'Costing Sheet'!K$44</f>
        <v>0</v>
      </c>
    </row>
    <row r="167" spans="1:2" x14ac:dyDescent="0.3">
      <c r="A167" s="274" t="s">
        <v>660</v>
      </c>
      <c r="B167" s="629">
        <f>+'Sales Input Sheet'!A$40*'Costing Sheet'!O$44</f>
        <v>0</v>
      </c>
    </row>
    <row r="168" spans="1:2" x14ac:dyDescent="0.3">
      <c r="A168" s="274" t="s">
        <v>661</v>
      </c>
      <c r="B168" s="629">
        <f>+'Sales Input Sheet'!A$40*'Extra Cells Not used'!A$26</f>
        <v>0</v>
      </c>
    </row>
    <row r="169" spans="1:2" x14ac:dyDescent="0.3">
      <c r="A169" s="274" t="s">
        <v>662</v>
      </c>
      <c r="B169" s="628" t="str">
        <f>'Sales Input Sheet'!K$41&amp;" "&amp;'Sales Input Sheet'!O$41</f>
        <v xml:space="preserve"> </v>
      </c>
    </row>
    <row r="170" spans="1:2" x14ac:dyDescent="0.3">
      <c r="A170" s="274" t="s">
        <v>663</v>
      </c>
      <c r="B170" s="629">
        <f>+B173-B174-B175-B176</f>
        <v>0</v>
      </c>
    </row>
    <row r="171" spans="1:2" x14ac:dyDescent="0.3">
      <c r="A171" s="274" t="s">
        <v>664</v>
      </c>
      <c r="B171" s="629">
        <f>IF(B$652="Tax Exempt",0,IF('Extra Cells Not used'!B$69&lt;&gt;"Non Taxable",B173-B174,0))</f>
        <v>0</v>
      </c>
    </row>
    <row r="172" spans="1:2" x14ac:dyDescent="0.3">
      <c r="A172" s="274" t="s">
        <v>665</v>
      </c>
      <c r="B172" s="629">
        <f>+Calculations!B171</f>
        <v>0</v>
      </c>
    </row>
    <row r="173" spans="1:2" x14ac:dyDescent="0.3">
      <c r="A173" s="274" t="s">
        <v>666</v>
      </c>
      <c r="B173" s="629">
        <f>+'Sales Input Sheet'!A$41*'Costing Sheet'!I$45</f>
        <v>0</v>
      </c>
    </row>
    <row r="174" spans="1:2" x14ac:dyDescent="0.3">
      <c r="A174" s="274" t="s">
        <v>667</v>
      </c>
      <c r="B174" s="629">
        <f>+'Sales Input Sheet'!A$41*'Costing Sheet'!K$45</f>
        <v>0</v>
      </c>
    </row>
    <row r="175" spans="1:2" x14ac:dyDescent="0.3">
      <c r="A175" s="274" t="s">
        <v>668</v>
      </c>
      <c r="B175" s="629">
        <f>+'Sales Input Sheet'!A$41*'Costing Sheet'!O$45</f>
        <v>0</v>
      </c>
    </row>
    <row r="176" spans="1:2" x14ac:dyDescent="0.3">
      <c r="A176" s="274" t="s">
        <v>669</v>
      </c>
      <c r="B176" s="629">
        <f>+'Sales Input Sheet'!A$41*'Extra Cells Not used'!A$27</f>
        <v>0</v>
      </c>
    </row>
    <row r="177" spans="1:2" x14ac:dyDescent="0.3">
      <c r="A177" s="274" t="s">
        <v>670</v>
      </c>
      <c r="B177" s="628" t="str">
        <f>'Sales Input Sheet'!K$42&amp;" "&amp;'Sales Input Sheet'!O$42</f>
        <v xml:space="preserve"> </v>
      </c>
    </row>
    <row r="178" spans="1:2" x14ac:dyDescent="0.3">
      <c r="A178" s="274" t="s">
        <v>671</v>
      </c>
      <c r="B178" s="629">
        <f>+B181-B182-B183-B184</f>
        <v>0</v>
      </c>
    </row>
    <row r="179" spans="1:2" x14ac:dyDescent="0.3">
      <c r="A179" s="274" t="s">
        <v>672</v>
      </c>
      <c r="B179" s="629">
        <f>IF(B$652="Tax Exempt",0,IF('Extra Cells Not used'!B$70&lt;&gt;"Non Taxable",B181-B182,0))</f>
        <v>0</v>
      </c>
    </row>
    <row r="180" spans="1:2" x14ac:dyDescent="0.3">
      <c r="A180" s="274" t="s">
        <v>673</v>
      </c>
      <c r="B180" s="629">
        <f>+Calculations!B179</f>
        <v>0</v>
      </c>
    </row>
    <row r="181" spans="1:2" x14ac:dyDescent="0.3">
      <c r="A181" s="274" t="s">
        <v>674</v>
      </c>
      <c r="B181" s="629">
        <f>+'Sales Input Sheet'!A$42*'Costing Sheet'!I$46</f>
        <v>0</v>
      </c>
    </row>
    <row r="182" spans="1:2" x14ac:dyDescent="0.3">
      <c r="A182" s="274" t="s">
        <v>675</v>
      </c>
      <c r="B182" s="629">
        <f>+'Sales Input Sheet'!A$42*'Costing Sheet'!K$46</f>
        <v>0</v>
      </c>
    </row>
    <row r="183" spans="1:2" x14ac:dyDescent="0.3">
      <c r="A183" s="274" t="s">
        <v>676</v>
      </c>
      <c r="B183" s="629">
        <f>+'Sales Input Sheet'!A$42*'Costing Sheet'!O$46</f>
        <v>0</v>
      </c>
    </row>
    <row r="184" spans="1:2" x14ac:dyDescent="0.3">
      <c r="A184" s="274" t="s">
        <v>677</v>
      </c>
      <c r="B184" s="629">
        <f>+'Sales Input Sheet'!A$42*'Extra Cells Not used'!A$28</f>
        <v>0</v>
      </c>
    </row>
    <row r="185" spans="1:2" x14ac:dyDescent="0.3">
      <c r="A185" s="274" t="s">
        <v>678</v>
      </c>
      <c r="B185" s="629">
        <f>-'Costing Sheet'!I49+'Costing Sheet'!O49</f>
        <v>0</v>
      </c>
    </row>
    <row r="186" spans="1:2" x14ac:dyDescent="0.3">
      <c r="A186" s="274" t="s">
        <v>679</v>
      </c>
      <c r="B186" s="629">
        <f>-'Costing Sheet'!I50+'Costing Sheet'!O50</f>
        <v>0</v>
      </c>
    </row>
    <row r="187" spans="1:2" x14ac:dyDescent="0.3">
      <c r="A187" s="274" t="s">
        <v>680</v>
      </c>
      <c r="B187" s="629">
        <f>IF(B$652="Tax Exempt",0,IF('Costing Sheet'!AA$49="Reduce Taxable Amount by Trade",'Costing Sheet'!I$49,0))</f>
        <v>0</v>
      </c>
    </row>
    <row r="188" spans="1:2" x14ac:dyDescent="0.3">
      <c r="A188" s="274" t="s">
        <v>681</v>
      </c>
      <c r="B188" s="629">
        <f>+Calculations!B187</f>
        <v>0</v>
      </c>
    </row>
    <row r="189" spans="1:2" x14ac:dyDescent="0.3">
      <c r="A189" s="274" t="s">
        <v>682</v>
      </c>
      <c r="B189" s="629">
        <f>IF(B$652="Tax Exempt",0,IF('Costing Sheet'!AA$50="Reduce Taxable Amount by Trade",'Costing Sheet'!I$50,0))</f>
        <v>0</v>
      </c>
    </row>
    <row r="190" spans="1:2" x14ac:dyDescent="0.3">
      <c r="A190" s="274" t="s">
        <v>683</v>
      </c>
      <c r="B190" s="629">
        <f>+Calculations!B189</f>
        <v>0</v>
      </c>
    </row>
    <row r="191" spans="1:2" x14ac:dyDescent="0.3">
      <c r="A191" s="274" t="s">
        <v>684</v>
      </c>
      <c r="B191" s="629">
        <f>+'Costing Sheet'!O57</f>
        <v>0</v>
      </c>
    </row>
    <row r="192" spans="1:2" x14ac:dyDescent="0.3">
      <c r="A192" s="274" t="s">
        <v>685</v>
      </c>
      <c r="B192" s="629">
        <f>+'Costing Sheet'!O58</f>
        <v>0</v>
      </c>
    </row>
    <row r="193" spans="1:2" x14ac:dyDescent="0.3">
      <c r="A193" s="274" t="s">
        <v>685</v>
      </c>
      <c r="B193" s="629">
        <f>+'Costing Sheet'!O59</f>
        <v>0</v>
      </c>
    </row>
    <row r="194" spans="1:2" x14ac:dyDescent="0.3">
      <c r="A194" s="274" t="s">
        <v>686</v>
      </c>
      <c r="B194" s="629">
        <f>+'Costing Sheet'!O60</f>
        <v>0</v>
      </c>
    </row>
    <row r="195" spans="1:2" x14ac:dyDescent="0.3">
      <c r="A195" s="274" t="s">
        <v>687</v>
      </c>
      <c r="B195" s="629">
        <f>+'Costing Sheet'!O61</f>
        <v>0</v>
      </c>
    </row>
    <row r="196" spans="1:2" ht="23" x14ac:dyDescent="0.3">
      <c r="A196" s="274" t="s">
        <v>688</v>
      </c>
      <c r="B196" s="631" t="str">
        <f>UPPER(_xlfn.CONCAT('Costing Sheet'!Q57," ",'Costing Sheet'!U57," ",'Costing Sheet'!Y57))</f>
        <v xml:space="preserve">  </v>
      </c>
    </row>
    <row r="197" spans="1:2" ht="23" x14ac:dyDescent="0.3">
      <c r="A197" s="274" t="s">
        <v>689</v>
      </c>
      <c r="B197" s="631" t="str">
        <f>UPPER(_xlfn.CONCAT('Costing Sheet'!Q58," ",'Costing Sheet'!U58," ",'Costing Sheet'!Y58))</f>
        <v xml:space="preserve">  </v>
      </c>
    </row>
    <row r="198" spans="1:2" ht="23" x14ac:dyDescent="0.3">
      <c r="A198" s="274" t="s">
        <v>689</v>
      </c>
      <c r="B198" s="631" t="str">
        <f>UPPER(_xlfn.CONCAT('Costing Sheet'!Q59," ",'Costing Sheet'!U59," ",'Costing Sheet'!Y59))</f>
        <v xml:space="preserve">  </v>
      </c>
    </row>
    <row r="199" spans="1:2" ht="23" x14ac:dyDescent="0.3">
      <c r="A199" s="274" t="s">
        <v>690</v>
      </c>
      <c r="B199" s="631" t="str">
        <f>UPPER(_xlfn.CONCAT('Costing Sheet'!Q60," ",'Costing Sheet'!U60," ",'Costing Sheet'!Y60))</f>
        <v xml:space="preserve">  </v>
      </c>
    </row>
    <row r="200" spans="1:2" ht="23" x14ac:dyDescent="0.3">
      <c r="A200" s="274" t="s">
        <v>691</v>
      </c>
      <c r="B200" s="631" t="str">
        <f>UPPER(_xlfn.CONCAT('Costing Sheet'!Q61," ",'Costing Sheet'!U61," ",'Costing Sheet'!Y61))</f>
        <v xml:space="preserve">  </v>
      </c>
    </row>
    <row r="201" spans="1:2" x14ac:dyDescent="0.3">
      <c r="A201" s="274" t="s">
        <v>692</v>
      </c>
      <c r="B201" s="629">
        <f>+B14+B26+B38+B50+B62+B74+B86+B98+B110+B122+B126+B130+B134+B138+B142+B146+B154+B162+B170+B178+B185+B186-B191-B192-B193-B194-B195+B666+B669+B672+B675</f>
        <v>0</v>
      </c>
    </row>
    <row r="202" spans="1:2" x14ac:dyDescent="0.3">
      <c r="A202" s="274" t="s">
        <v>693</v>
      </c>
      <c r="B202" s="629">
        <f>IF(B$652="Tax Exempt",0,IFERROR(VLOOKUP('Finance Manager Input Sheet'!C$4,'Admin Input Sheet'!C$9:I$18,3,FALSE),0))</f>
        <v>0</v>
      </c>
    </row>
    <row r="203" spans="1:2" x14ac:dyDescent="0.3">
      <c r="A203" s="274" t="s">
        <v>694</v>
      </c>
      <c r="B203" s="629">
        <f>IF(B$652="Tax Exempt",0,IFERROR(VLOOKUP('Finance Manager Input Sheet'!C$5,'Admin Input Sheet'!C$9:I$18,3,FALSE),0))</f>
        <v>0</v>
      </c>
    </row>
    <row r="204" spans="1:2" x14ac:dyDescent="0.3">
      <c r="A204" s="274" t="s">
        <v>695</v>
      </c>
      <c r="B204" s="629">
        <f>IF(B$652="Tax Exempt",0,IFERROR(VLOOKUP('Finance Manager Input Sheet'!C$6,'Admin Input Sheet'!C$9:I$18,3,FALSE),0))</f>
        <v>0</v>
      </c>
    </row>
    <row r="205" spans="1:2" x14ac:dyDescent="0.3">
      <c r="A205" s="274" t="s">
        <v>696</v>
      </c>
      <c r="B205" s="629">
        <f>IF(B$652="Tax Exempt",0,IFERROR(VLOOKUP('Finance Manager Input Sheet'!C$7,'Admin Input Sheet'!C$9:I$18,3,FALSE),0))</f>
        <v>0</v>
      </c>
    </row>
    <row r="206" spans="1:2" x14ac:dyDescent="0.3">
      <c r="A206" s="274" t="s">
        <v>697</v>
      </c>
      <c r="B206" s="629">
        <f>IF(B$652="Tax Exempt",0,IFERROR(VLOOKUP('Finance Manager Input Sheet'!C$8,'Admin Input Sheet'!C$9:I$18,3,FALSE),0))</f>
        <v>0</v>
      </c>
    </row>
    <row r="207" spans="1:2" x14ac:dyDescent="0.3">
      <c r="A207" s="274" t="s">
        <v>698</v>
      </c>
      <c r="B207" s="629">
        <f>IF(B$652="Tax Exempt",0,IFERROR(VLOOKUP('Finance Manager Input Sheet'!C$9,'Admin Input Sheet'!C$9:I$18,3,FALSE),0))</f>
        <v>0</v>
      </c>
    </row>
    <row r="208" spans="1:2" x14ac:dyDescent="0.3">
      <c r="A208" s="274" t="s">
        <v>699</v>
      </c>
      <c r="B208" s="629">
        <f>IF(B$652="Tax Exempt",0,IFERROR(VLOOKUP('Finance Manager Input Sheet'!C$10,'Admin Input Sheet'!C$9:I$18,3,FALSE),0))</f>
        <v>0</v>
      </c>
    </row>
    <row r="209" spans="1:2" x14ac:dyDescent="0.3">
      <c r="A209" s="274" t="s">
        <v>700</v>
      </c>
      <c r="B209" s="629">
        <f>IF(B$652="Tax Exempt",0,IFERROR(VLOOKUP('Finance Manager Input Sheet'!C$11,'Admin Input Sheet'!C$9:I$18,3,FALSE),0))</f>
        <v>0</v>
      </c>
    </row>
    <row r="210" spans="1:2" x14ac:dyDescent="0.3">
      <c r="A210" s="274" t="s">
        <v>701</v>
      </c>
      <c r="B210" s="629">
        <f>IF(B$652="Tax Exempt",0,IFERROR(VLOOKUP('Finance Manager Input Sheet'!C$12,'Admin Input Sheet'!C$9:I$18,3,FALSE),0))</f>
        <v>0</v>
      </c>
    </row>
    <row r="211" spans="1:2" x14ac:dyDescent="0.3">
      <c r="A211" s="274" t="s">
        <v>702</v>
      </c>
      <c r="B211" s="629">
        <f>IF(B$652="Tax Exempt",0,IFERROR(VLOOKUP('Finance Manager Input Sheet'!C$13,'Admin Input Sheet'!C$9:I$18,3,FALSE),0))</f>
        <v>0</v>
      </c>
    </row>
    <row r="212" spans="1:2" x14ac:dyDescent="0.3">
      <c r="A212" s="274" t="s">
        <v>703</v>
      </c>
      <c r="B212" s="629">
        <f>IF(B$652="Tax Exempt",0,IFERROR(VLOOKUP('Finance Manager Input Sheet'!C$4,'Admin Input Sheet'!C$9:I$18,5,FALSE),0))</f>
        <v>0</v>
      </c>
    </row>
    <row r="213" spans="1:2" x14ac:dyDescent="0.3">
      <c r="A213" s="274" t="s">
        <v>704</v>
      </c>
      <c r="B213" s="629">
        <f>IF(B$652="Tax Exempt",0,IFERROR(VLOOKUP('Finance Manager Input Sheet'!C$5,'Admin Input Sheet'!C$9:I$18,5,FALSE),0))</f>
        <v>0</v>
      </c>
    </row>
    <row r="214" spans="1:2" x14ac:dyDescent="0.3">
      <c r="A214" s="274" t="s">
        <v>705</v>
      </c>
      <c r="B214" s="629">
        <f>IF(B$652="Tax Exempt",0,IFERROR(VLOOKUP('Finance Manager Input Sheet'!C$6,'Admin Input Sheet'!C$9:I$18,5,FALSE),0))</f>
        <v>0</v>
      </c>
    </row>
    <row r="215" spans="1:2" x14ac:dyDescent="0.3">
      <c r="A215" s="274" t="s">
        <v>706</v>
      </c>
      <c r="B215" s="629">
        <f>IF(B$652="Tax Exempt",0,IFERROR(VLOOKUP('Finance Manager Input Sheet'!C$7,'Admin Input Sheet'!C$9:I$18,5,FALSE),0))</f>
        <v>0</v>
      </c>
    </row>
    <row r="216" spans="1:2" x14ac:dyDescent="0.3">
      <c r="A216" s="274" t="s">
        <v>707</v>
      </c>
      <c r="B216" s="629">
        <f>IF(B$652="Tax Exempt",0,IFERROR(VLOOKUP('Finance Manager Input Sheet'!C$8,'Admin Input Sheet'!C$9:I$18,5,FALSE),0))</f>
        <v>0</v>
      </c>
    </row>
    <row r="217" spans="1:2" x14ac:dyDescent="0.3">
      <c r="A217" s="274" t="s">
        <v>708</v>
      </c>
      <c r="B217" s="629">
        <f>IF(B$652="Tax Exempt",0,IFERROR(VLOOKUP('Finance Manager Input Sheet'!C$9,'Admin Input Sheet'!C$9:I$18,5,FALSE),0))</f>
        <v>0</v>
      </c>
    </row>
    <row r="218" spans="1:2" x14ac:dyDescent="0.3">
      <c r="A218" s="274" t="s">
        <v>709</v>
      </c>
      <c r="B218" s="629">
        <f>IF(B$652="Tax Exempt",0,IFERROR(VLOOKUP('Finance Manager Input Sheet'!C$10,'Admin Input Sheet'!C$9:I$18,5,FALSE),0))</f>
        <v>0</v>
      </c>
    </row>
    <row r="219" spans="1:2" x14ac:dyDescent="0.3">
      <c r="A219" s="274" t="s">
        <v>710</v>
      </c>
      <c r="B219" s="629">
        <f>IF(B$652="Tax Exempt",0,IFERROR(VLOOKUP('Finance Manager Input Sheet'!C$11,'Admin Input Sheet'!C$9:I$18,5,FALSE),0))</f>
        <v>0</v>
      </c>
    </row>
    <row r="220" spans="1:2" x14ac:dyDescent="0.3">
      <c r="A220" s="274" t="s">
        <v>711</v>
      </c>
      <c r="B220" s="629">
        <f>IF(B$652="Tax Exempt",0,IFERROR(VLOOKUP('Finance Manager Input Sheet'!C$12,'Admin Input Sheet'!C$9:I$18,5,FALSE),0))</f>
        <v>0</v>
      </c>
    </row>
    <row r="221" spans="1:2" x14ac:dyDescent="0.3">
      <c r="A221" s="274" t="s">
        <v>712</v>
      </c>
      <c r="B221" s="629">
        <f>IF(B$652="Tax Exempt",0,IFERROR(VLOOKUP('Finance Manager Input Sheet'!C$13,'Admin Input Sheet'!C$9:I$18,5,FALSE),0))</f>
        <v>0</v>
      </c>
    </row>
    <row r="222" spans="1:2" x14ac:dyDescent="0.3">
      <c r="A222" s="274" t="s">
        <v>713</v>
      </c>
      <c r="B222" s="629">
        <f>IF(B$652="Tax Exempt",0,IFERROR(VLOOKUP('Finance Manager Input Sheet'!C$4,'Admin Input Sheet'!C$9:I$18,7,FALSE),0))</f>
        <v>0</v>
      </c>
    </row>
    <row r="223" spans="1:2" x14ac:dyDescent="0.3">
      <c r="A223" s="274" t="s">
        <v>714</v>
      </c>
      <c r="B223" s="629">
        <f>IF(B$652="Tax Exempt",0,IFERROR(VLOOKUP('Finance Manager Input Sheet'!C$5,'Admin Input Sheet'!C$9:I$18,7,FALSE),0))</f>
        <v>0</v>
      </c>
    </row>
    <row r="224" spans="1:2" x14ac:dyDescent="0.3">
      <c r="A224" s="274" t="s">
        <v>715</v>
      </c>
      <c r="B224" s="629">
        <f>IF(B$652="Tax Exempt",0,IFERROR(VLOOKUP('Finance Manager Input Sheet'!C$6,'Admin Input Sheet'!C$9:I$18,7,FALSE),0))</f>
        <v>0</v>
      </c>
    </row>
    <row r="225" spans="1:2" x14ac:dyDescent="0.3">
      <c r="A225" s="274" t="s">
        <v>716</v>
      </c>
      <c r="B225" s="629">
        <f>IF(B$652="Tax Exempt",0,IFERROR(VLOOKUP('Finance Manager Input Sheet'!C$7,'Admin Input Sheet'!C$9:I$18,7,FALSE),0))</f>
        <v>0</v>
      </c>
    </row>
    <row r="226" spans="1:2" x14ac:dyDescent="0.3">
      <c r="A226" s="274" t="s">
        <v>717</v>
      </c>
      <c r="B226" s="629">
        <f>IF(B$652="Tax Exempt",0,IFERROR(VLOOKUP('Finance Manager Input Sheet'!C$8,'Admin Input Sheet'!C$9:I$18,7,FALSE),0))</f>
        <v>0</v>
      </c>
    </row>
    <row r="227" spans="1:2" x14ac:dyDescent="0.3">
      <c r="A227" s="274" t="s">
        <v>718</v>
      </c>
      <c r="B227" s="629">
        <f>IF(B$652="Tax Exempt",0,IFERROR(VLOOKUP('Finance Manager Input Sheet'!C$9,'Admin Input Sheet'!C$9:I$18,7,FALSE),0))</f>
        <v>0</v>
      </c>
    </row>
    <row r="228" spans="1:2" x14ac:dyDescent="0.3">
      <c r="A228" s="274" t="s">
        <v>719</v>
      </c>
      <c r="B228" s="629">
        <f>IF(B$652="Tax Exempt",0,IFERROR(VLOOKUP('Finance Manager Input Sheet'!C$10,'Admin Input Sheet'!C$9:I$18,7,FALSE),0))</f>
        <v>0</v>
      </c>
    </row>
    <row r="229" spans="1:2" x14ac:dyDescent="0.3">
      <c r="A229" s="274" t="s">
        <v>720</v>
      </c>
      <c r="B229" s="629">
        <f>IF(B$652="Tax Exempt",0,IFERROR(VLOOKUP('Finance Manager Input Sheet'!C$11,'Admin Input Sheet'!C$9:I$18,7,FALSE),0))</f>
        <v>0</v>
      </c>
    </row>
    <row r="230" spans="1:2" x14ac:dyDescent="0.3">
      <c r="A230" s="274" t="s">
        <v>721</v>
      </c>
      <c r="B230" s="629">
        <f>IF(B$652="Tax Exempt",0,IFERROR(VLOOKUP('Finance Manager Input Sheet'!C$12,'Admin Input Sheet'!C$9:I$18,7,FALSE),0))</f>
        <v>0</v>
      </c>
    </row>
    <row r="231" spans="1:2" x14ac:dyDescent="0.3">
      <c r="A231" s="274" t="s">
        <v>722</v>
      </c>
      <c r="B231" s="629">
        <f>IF(B$652="Tax Exempt",0,IFERROR(VLOOKUP('Finance Manager Input Sheet'!C$13,'Admin Input Sheet'!C$9:I$18,7,FALSE),0))</f>
        <v>0</v>
      </c>
    </row>
    <row r="232" spans="1:2" x14ac:dyDescent="0.3">
      <c r="A232" s="274" t="s">
        <v>723</v>
      </c>
      <c r="B232" s="629">
        <f>IF('Finance Manager Input Sheet'!N4="Customer Accepted",'Finance Manager Input Sheet'!I4,0)</f>
        <v>0</v>
      </c>
    </row>
    <row r="233" spans="1:2" x14ac:dyDescent="0.3">
      <c r="A233" s="274" t="s">
        <v>724</v>
      </c>
      <c r="B233" s="629">
        <f>IF('Finance Manager Input Sheet'!N5="Customer Accepted",'Finance Manager Input Sheet'!I5,0)</f>
        <v>0</v>
      </c>
    </row>
    <row r="234" spans="1:2" x14ac:dyDescent="0.3">
      <c r="A234" s="274" t="s">
        <v>725</v>
      </c>
      <c r="B234" s="629">
        <f>IF('Finance Manager Input Sheet'!N6="Customer Accepted",'Finance Manager Input Sheet'!I6,0)</f>
        <v>0</v>
      </c>
    </row>
    <row r="235" spans="1:2" x14ac:dyDescent="0.3">
      <c r="A235" s="274" t="s">
        <v>726</v>
      </c>
      <c r="B235" s="629">
        <f>IF('Finance Manager Input Sheet'!N7="Customer Accepted",'Finance Manager Input Sheet'!I7,0)</f>
        <v>0</v>
      </c>
    </row>
    <row r="236" spans="1:2" x14ac:dyDescent="0.3">
      <c r="A236" s="274" t="s">
        <v>727</v>
      </c>
      <c r="B236" s="629">
        <f>IF('Finance Manager Input Sheet'!N8="Customer Accepted",'Finance Manager Input Sheet'!I8,0)</f>
        <v>0</v>
      </c>
    </row>
    <row r="237" spans="1:2" x14ac:dyDescent="0.3">
      <c r="A237" s="274" t="s">
        <v>728</v>
      </c>
      <c r="B237" s="629">
        <f>IF('Finance Manager Input Sheet'!N9="Customer Accepted",'Finance Manager Input Sheet'!I9,0)</f>
        <v>0</v>
      </c>
    </row>
    <row r="238" spans="1:2" x14ac:dyDescent="0.3">
      <c r="A238" s="274" t="s">
        <v>729</v>
      </c>
      <c r="B238" s="629">
        <f>IF('Finance Manager Input Sheet'!N10="Customer Accepted",'Finance Manager Input Sheet'!I10,0)</f>
        <v>0</v>
      </c>
    </row>
    <row r="239" spans="1:2" x14ac:dyDescent="0.3">
      <c r="A239" s="274" t="s">
        <v>730</v>
      </c>
      <c r="B239" s="629">
        <f>IF('Finance Manager Input Sheet'!N11="Customer Accepted",'Finance Manager Input Sheet'!I11,0)</f>
        <v>0</v>
      </c>
    </row>
    <row r="240" spans="1:2" x14ac:dyDescent="0.3">
      <c r="A240" s="274" t="s">
        <v>731</v>
      </c>
      <c r="B240" s="629">
        <f>IF('Finance Manager Input Sheet'!N12="Customer Accepted",'Finance Manager Input Sheet'!I12,0)</f>
        <v>0</v>
      </c>
    </row>
    <row r="241" spans="1:2" x14ac:dyDescent="0.3">
      <c r="A241" s="274" t="s">
        <v>732</v>
      </c>
      <c r="B241" s="629">
        <f>IF('Finance Manager Input Sheet'!N13="Customer Accepted",'Finance Manager Input Sheet'!I13,0)</f>
        <v>0</v>
      </c>
    </row>
    <row r="242" spans="1:2" x14ac:dyDescent="0.3">
      <c r="A242" s="274" t="s">
        <v>733</v>
      </c>
      <c r="B242" s="629">
        <f>IF('Finance Manager Input Sheet'!N4="Customer Accepted",'Finance Manager Input Sheet'!K4,0)</f>
        <v>0</v>
      </c>
    </row>
    <row r="243" spans="1:2" x14ac:dyDescent="0.3">
      <c r="A243" s="274" t="s">
        <v>734</v>
      </c>
      <c r="B243" s="629">
        <f>IF('Finance Manager Input Sheet'!N5="Customer Accepted",'Finance Manager Input Sheet'!K5,0)</f>
        <v>0</v>
      </c>
    </row>
    <row r="244" spans="1:2" x14ac:dyDescent="0.3">
      <c r="A244" s="274" t="s">
        <v>735</v>
      </c>
      <c r="B244" s="629">
        <f>IF('Finance Manager Input Sheet'!N6="Customer Accepted",'Finance Manager Input Sheet'!K6,0)</f>
        <v>0</v>
      </c>
    </row>
    <row r="245" spans="1:2" x14ac:dyDescent="0.3">
      <c r="A245" s="274" t="s">
        <v>736</v>
      </c>
      <c r="B245" s="629">
        <f>IF('Finance Manager Input Sheet'!N7="Customer Accepted",'Finance Manager Input Sheet'!K7,0)</f>
        <v>0</v>
      </c>
    </row>
    <row r="246" spans="1:2" x14ac:dyDescent="0.3">
      <c r="A246" s="274" t="s">
        <v>737</v>
      </c>
      <c r="B246" s="629">
        <f>IF('Finance Manager Input Sheet'!N8="Customer Accepted",'Finance Manager Input Sheet'!K8,0)</f>
        <v>0</v>
      </c>
    </row>
    <row r="247" spans="1:2" x14ac:dyDescent="0.3">
      <c r="A247" s="274" t="s">
        <v>738</v>
      </c>
      <c r="B247" s="629">
        <f>IF('Finance Manager Input Sheet'!N9="Customer Accepted",'Finance Manager Input Sheet'!K9,0)</f>
        <v>0</v>
      </c>
    </row>
    <row r="248" spans="1:2" x14ac:dyDescent="0.3">
      <c r="A248" s="274" t="s">
        <v>739</v>
      </c>
      <c r="B248" s="629">
        <f>IF('Finance Manager Input Sheet'!N10="Customer Accepted",'Finance Manager Input Sheet'!K10,0)</f>
        <v>0</v>
      </c>
    </row>
    <row r="249" spans="1:2" x14ac:dyDescent="0.3">
      <c r="A249" s="274" t="s">
        <v>740</v>
      </c>
      <c r="B249" s="629">
        <f>IF('Finance Manager Input Sheet'!N11="Customer Accepted",'Finance Manager Input Sheet'!K11,0)</f>
        <v>0</v>
      </c>
    </row>
    <row r="250" spans="1:2" x14ac:dyDescent="0.3">
      <c r="A250" s="274" t="s">
        <v>741</v>
      </c>
      <c r="B250" s="629">
        <f>IF('Finance Manager Input Sheet'!N12="Customer Accepted",'Finance Manager Input Sheet'!K12,0)</f>
        <v>0</v>
      </c>
    </row>
    <row r="251" spans="1:2" x14ac:dyDescent="0.3">
      <c r="A251" s="274" t="s">
        <v>742</v>
      </c>
      <c r="B251" s="629">
        <f>IF('Finance Manager Input Sheet'!N13="Customer Accepted",'Finance Manager Input Sheet'!K13,0)</f>
        <v>0</v>
      </c>
    </row>
    <row r="252" spans="1:2" x14ac:dyDescent="0.3">
      <c r="A252" s="274" t="s">
        <v>693</v>
      </c>
      <c r="B252" s="629">
        <f>IF(B$652="Tax Exempt",0,IF(B202="non taxable",0,IF('Finance Manager Input Sheet'!N$4="Customer Accepted",'Finance Manager Input Sheet'!I$4,0)))</f>
        <v>0</v>
      </c>
    </row>
    <row r="253" spans="1:2" x14ac:dyDescent="0.3">
      <c r="A253" s="274" t="s">
        <v>694</v>
      </c>
      <c r="B253" s="629">
        <f>IF(B$652="Tax Exempt",0,IF(B203="non taxable",0,IF('Finance Manager Input Sheet'!N5="Customer Accepted",'Finance Manager Input Sheet'!I5,0)))</f>
        <v>0</v>
      </c>
    </row>
    <row r="254" spans="1:2" x14ac:dyDescent="0.3">
      <c r="A254" s="274" t="s">
        <v>695</v>
      </c>
      <c r="B254" s="629">
        <f>IF(B$652="Tax Exempt",0,IF(B204="non taxable",0,IF('Finance Manager Input Sheet'!N6="Customer Accepted",'Finance Manager Input Sheet'!I6,0)))</f>
        <v>0</v>
      </c>
    </row>
    <row r="255" spans="1:2" x14ac:dyDescent="0.3">
      <c r="A255" s="274" t="s">
        <v>696</v>
      </c>
      <c r="B255" s="629">
        <f>IF(B$652="Tax Exempt",0,IF(B205="non taxable",0,IF('Finance Manager Input Sheet'!N7="Customer Accepted",'Finance Manager Input Sheet'!I7,0)))</f>
        <v>0</v>
      </c>
    </row>
    <row r="256" spans="1:2" x14ac:dyDescent="0.3">
      <c r="A256" s="274" t="s">
        <v>697</v>
      </c>
      <c r="B256" s="629">
        <f>IF(B$652="Tax Exempt",0,IF(B206="non taxable",0,IF('Finance Manager Input Sheet'!N8="Customer Accepted",'Finance Manager Input Sheet'!I8,0)))</f>
        <v>0</v>
      </c>
    </row>
    <row r="257" spans="1:2" x14ac:dyDescent="0.3">
      <c r="A257" s="274" t="s">
        <v>698</v>
      </c>
      <c r="B257" s="629">
        <f>IF(B$652="Tax Exempt",0,IF(B207="non taxable",0,IF('Finance Manager Input Sheet'!N9="Customer Accepted",'Finance Manager Input Sheet'!I9,0)))</f>
        <v>0</v>
      </c>
    </row>
    <row r="258" spans="1:2" x14ac:dyDescent="0.3">
      <c r="A258" s="274" t="s">
        <v>699</v>
      </c>
      <c r="B258" s="629">
        <f>IF(B$652="Tax Exempt",0,IF(B208="non taxable",0,IF('Finance Manager Input Sheet'!N10="Customer Accepted",'Finance Manager Input Sheet'!I10,0)))</f>
        <v>0</v>
      </c>
    </row>
    <row r="259" spans="1:2" x14ac:dyDescent="0.3">
      <c r="A259" s="274" t="s">
        <v>700</v>
      </c>
      <c r="B259" s="629">
        <f>IF(B$652="Tax Exempt",0,IF(B209="non taxable",0,IF('Finance Manager Input Sheet'!N11="Customer Accepted",'Finance Manager Input Sheet'!I11,0)))</f>
        <v>0</v>
      </c>
    </row>
    <row r="260" spans="1:2" x14ac:dyDescent="0.3">
      <c r="A260" s="274" t="s">
        <v>701</v>
      </c>
      <c r="B260" s="629">
        <f>IF(B$652="Tax Exempt",0,IF(B210="non taxable",0,IF('Finance Manager Input Sheet'!N12="Customer Accepted",'Finance Manager Input Sheet'!I12,0)))</f>
        <v>0</v>
      </c>
    </row>
    <row r="261" spans="1:2" x14ac:dyDescent="0.3">
      <c r="A261" s="274" t="s">
        <v>702</v>
      </c>
      <c r="B261" s="629">
        <f>IF(B$652="Tax Exempt",0,IF(B211="non taxable",0,IF('Finance Manager Input Sheet'!N13="Customer Accepted",'Finance Manager Input Sheet'!I13,0)))</f>
        <v>0</v>
      </c>
    </row>
    <row r="262" spans="1:2" x14ac:dyDescent="0.3">
      <c r="A262" s="274" t="s">
        <v>743</v>
      </c>
      <c r="B262" s="632">
        <f>IF(B212="Customer",B252,0)</f>
        <v>0</v>
      </c>
    </row>
    <row r="263" spans="1:2" x14ac:dyDescent="0.3">
      <c r="A263" s="274" t="s">
        <v>744</v>
      </c>
      <c r="B263" s="632">
        <f t="shared" ref="B263:B271" si="0">IF(B213="customer",B253,0)</f>
        <v>0</v>
      </c>
    </row>
    <row r="264" spans="1:2" x14ac:dyDescent="0.3">
      <c r="A264" s="274" t="s">
        <v>745</v>
      </c>
      <c r="B264" s="632">
        <f t="shared" si="0"/>
        <v>0</v>
      </c>
    </row>
    <row r="265" spans="1:2" x14ac:dyDescent="0.3">
      <c r="A265" s="274" t="s">
        <v>746</v>
      </c>
      <c r="B265" s="632">
        <f t="shared" si="0"/>
        <v>0</v>
      </c>
    </row>
    <row r="266" spans="1:2" x14ac:dyDescent="0.3">
      <c r="A266" s="274" t="s">
        <v>747</v>
      </c>
      <c r="B266" s="632">
        <f t="shared" si="0"/>
        <v>0</v>
      </c>
    </row>
    <row r="267" spans="1:2" x14ac:dyDescent="0.3">
      <c r="A267" s="274" t="s">
        <v>748</v>
      </c>
      <c r="B267" s="632">
        <f t="shared" si="0"/>
        <v>0</v>
      </c>
    </row>
    <row r="268" spans="1:2" x14ac:dyDescent="0.3">
      <c r="A268" s="274" t="s">
        <v>749</v>
      </c>
      <c r="B268" s="632">
        <f t="shared" si="0"/>
        <v>0</v>
      </c>
    </row>
    <row r="269" spans="1:2" x14ac:dyDescent="0.3">
      <c r="A269" s="274" t="s">
        <v>750</v>
      </c>
      <c r="B269" s="632">
        <f t="shared" si="0"/>
        <v>0</v>
      </c>
    </row>
    <row r="270" spans="1:2" x14ac:dyDescent="0.3">
      <c r="A270" s="274" t="s">
        <v>751</v>
      </c>
      <c r="B270" s="632">
        <f t="shared" si="0"/>
        <v>0</v>
      </c>
    </row>
    <row r="271" spans="1:2" x14ac:dyDescent="0.3">
      <c r="A271" s="274" t="s">
        <v>752</v>
      </c>
      <c r="B271" s="632">
        <f t="shared" si="0"/>
        <v>0</v>
      </c>
    </row>
    <row r="272" spans="1:2" x14ac:dyDescent="0.3">
      <c r="A272" s="274" t="s">
        <v>753</v>
      </c>
      <c r="B272" s="632">
        <f t="shared" ref="B272:B281" si="1">IF(B212="store",B252,0)</f>
        <v>0</v>
      </c>
    </row>
    <row r="273" spans="1:2" x14ac:dyDescent="0.3">
      <c r="A273" s="274" t="s">
        <v>754</v>
      </c>
      <c r="B273" s="632">
        <f t="shared" si="1"/>
        <v>0</v>
      </c>
    </row>
    <row r="274" spans="1:2" x14ac:dyDescent="0.3">
      <c r="A274" s="274" t="s">
        <v>755</v>
      </c>
      <c r="B274" s="632">
        <f t="shared" si="1"/>
        <v>0</v>
      </c>
    </row>
    <row r="275" spans="1:2" x14ac:dyDescent="0.3">
      <c r="A275" s="274" t="s">
        <v>756</v>
      </c>
      <c r="B275" s="632">
        <f t="shared" si="1"/>
        <v>0</v>
      </c>
    </row>
    <row r="276" spans="1:2" x14ac:dyDescent="0.3">
      <c r="A276" s="274" t="s">
        <v>757</v>
      </c>
      <c r="B276" s="632">
        <f t="shared" si="1"/>
        <v>0</v>
      </c>
    </row>
    <row r="277" spans="1:2" x14ac:dyDescent="0.3">
      <c r="A277" s="274" t="s">
        <v>758</v>
      </c>
      <c r="B277" s="632">
        <f t="shared" si="1"/>
        <v>0</v>
      </c>
    </row>
    <row r="278" spans="1:2" x14ac:dyDescent="0.3">
      <c r="A278" s="274" t="s">
        <v>759</v>
      </c>
      <c r="B278" s="632">
        <f t="shared" si="1"/>
        <v>0</v>
      </c>
    </row>
    <row r="279" spans="1:2" x14ac:dyDescent="0.3">
      <c r="A279" s="274" t="s">
        <v>760</v>
      </c>
      <c r="B279" s="632">
        <f t="shared" si="1"/>
        <v>0</v>
      </c>
    </row>
    <row r="280" spans="1:2" x14ac:dyDescent="0.3">
      <c r="A280" s="274" t="s">
        <v>761</v>
      </c>
      <c r="B280" s="632">
        <f t="shared" si="1"/>
        <v>0</v>
      </c>
    </row>
    <row r="281" spans="1:2" x14ac:dyDescent="0.3">
      <c r="A281" s="274" t="s">
        <v>762</v>
      </c>
      <c r="B281" s="632">
        <f t="shared" si="1"/>
        <v>0</v>
      </c>
    </row>
    <row r="282" spans="1:2" x14ac:dyDescent="0.3">
      <c r="A282" s="274" t="s">
        <v>763</v>
      </c>
      <c r="B282" s="632">
        <f t="shared" ref="B282:B291" si="2">IF(B222="Customer",B252,0)</f>
        <v>0</v>
      </c>
    </row>
    <row r="283" spans="1:2" x14ac:dyDescent="0.3">
      <c r="A283" s="274" t="s">
        <v>764</v>
      </c>
      <c r="B283" s="632">
        <f t="shared" si="2"/>
        <v>0</v>
      </c>
    </row>
    <row r="284" spans="1:2" x14ac:dyDescent="0.3">
      <c r="A284" s="274" t="s">
        <v>765</v>
      </c>
      <c r="B284" s="632">
        <f t="shared" si="2"/>
        <v>0</v>
      </c>
    </row>
    <row r="285" spans="1:2" x14ac:dyDescent="0.3">
      <c r="A285" s="274" t="s">
        <v>766</v>
      </c>
      <c r="B285" s="632">
        <f t="shared" si="2"/>
        <v>0</v>
      </c>
    </row>
    <row r="286" spans="1:2" x14ac:dyDescent="0.3">
      <c r="A286" s="274" t="s">
        <v>767</v>
      </c>
      <c r="B286" s="632">
        <f t="shared" si="2"/>
        <v>0</v>
      </c>
    </row>
    <row r="287" spans="1:2" x14ac:dyDescent="0.3">
      <c r="A287" s="274" t="s">
        <v>768</v>
      </c>
      <c r="B287" s="632">
        <f t="shared" si="2"/>
        <v>0</v>
      </c>
    </row>
    <row r="288" spans="1:2" x14ac:dyDescent="0.3">
      <c r="A288" s="274" t="s">
        <v>769</v>
      </c>
      <c r="B288" s="632">
        <f t="shared" si="2"/>
        <v>0</v>
      </c>
    </row>
    <row r="289" spans="1:5" x14ac:dyDescent="0.3">
      <c r="A289" s="274" t="s">
        <v>770</v>
      </c>
      <c r="B289" s="632">
        <f t="shared" si="2"/>
        <v>0</v>
      </c>
    </row>
    <row r="290" spans="1:5" x14ac:dyDescent="0.3">
      <c r="A290" s="274" t="s">
        <v>771</v>
      </c>
      <c r="B290" s="632">
        <f t="shared" si="2"/>
        <v>0</v>
      </c>
    </row>
    <row r="291" spans="1:5" x14ac:dyDescent="0.3">
      <c r="A291" s="274" t="s">
        <v>772</v>
      </c>
      <c r="B291" s="632">
        <f t="shared" si="2"/>
        <v>0</v>
      </c>
    </row>
    <row r="292" spans="1:5" x14ac:dyDescent="0.3">
      <c r="A292" s="274" t="s">
        <v>773</v>
      </c>
      <c r="B292" s="632">
        <f t="shared" ref="B292:B301" si="3">IF(B222="store",B252,0)</f>
        <v>0</v>
      </c>
    </row>
    <row r="293" spans="1:5" x14ac:dyDescent="0.3">
      <c r="A293" s="274" t="s">
        <v>774</v>
      </c>
      <c r="B293" s="632">
        <f t="shared" si="3"/>
        <v>0</v>
      </c>
    </row>
    <row r="294" spans="1:5" x14ac:dyDescent="0.3">
      <c r="A294" s="274" t="s">
        <v>775</v>
      </c>
      <c r="B294" s="632">
        <f t="shared" si="3"/>
        <v>0</v>
      </c>
    </row>
    <row r="295" spans="1:5" x14ac:dyDescent="0.3">
      <c r="A295" s="274" t="s">
        <v>776</v>
      </c>
      <c r="B295" s="632">
        <f t="shared" si="3"/>
        <v>0</v>
      </c>
    </row>
    <row r="296" spans="1:5" x14ac:dyDescent="0.3">
      <c r="A296" s="274" t="s">
        <v>777</v>
      </c>
      <c r="B296" s="632">
        <f t="shared" si="3"/>
        <v>0</v>
      </c>
    </row>
    <row r="297" spans="1:5" x14ac:dyDescent="0.3">
      <c r="A297" s="274" t="s">
        <v>778</v>
      </c>
      <c r="B297" s="632">
        <f t="shared" si="3"/>
        <v>0</v>
      </c>
    </row>
    <row r="298" spans="1:5" x14ac:dyDescent="0.3">
      <c r="A298" s="274" t="s">
        <v>779</v>
      </c>
      <c r="B298" s="632">
        <f t="shared" si="3"/>
        <v>0</v>
      </c>
    </row>
    <row r="299" spans="1:5" x14ac:dyDescent="0.3">
      <c r="A299" s="274" t="s">
        <v>780</v>
      </c>
      <c r="B299" s="632">
        <f t="shared" si="3"/>
        <v>0</v>
      </c>
    </row>
    <row r="300" spans="1:5" x14ac:dyDescent="0.3">
      <c r="A300" s="274" t="s">
        <v>781</v>
      </c>
      <c r="B300" s="632">
        <f t="shared" si="3"/>
        <v>0</v>
      </c>
    </row>
    <row r="301" spans="1:5" x14ac:dyDescent="0.3">
      <c r="A301" s="274" t="s">
        <v>782</v>
      </c>
      <c r="B301" s="632">
        <f t="shared" si="3"/>
        <v>0</v>
      </c>
    </row>
    <row r="302" spans="1:5" ht="25" x14ac:dyDescent="0.3">
      <c r="A302" s="274" t="s">
        <v>783</v>
      </c>
      <c r="B302" s="629">
        <f>IF(OR('Costing Sheet'!C17="wholesale",'Costing Sheet'!C17="Fulfill We Owe",'Costing Sheet'!C17="Exchange",'Costing Sheet'!C17="Substitution of Collateral"),0,IF(MAX('Costing Sheet'!M22:M31,'Costing Sheet'!M34:M38,'Costing Sheet'!M42:M46)&lt;'Admin Input Sheet'!E21+0.01,0,IF(B312&lt;'Admin Input Sheet'!E21+0.01,'Admin Input Sheet'!C21,IF(B312&lt;'Admin Input Sheet'!E22+0.01,'Admin Input Sheet'!C22,IF(B312&lt;'Admin Input Sheet'!E23+0.01,'Admin Input Sheet'!C23,IF(B312&lt;'Admin Input Sheet'!E24+0.01,'Admin Input Sheet'!C24,IF(B312&lt;'Admin Input Sheet'!E25+0.01,'Admin Input Sheet'!C25,'Admin Input Sheet'!C26)))))))</f>
        <v>0</v>
      </c>
      <c r="D302" s="274" t="s">
        <v>784</v>
      </c>
      <c r="E302" s="121"/>
    </row>
    <row r="303" spans="1:5" x14ac:dyDescent="0.3">
      <c r="A303" s="274" t="s">
        <v>785</v>
      </c>
      <c r="B303" s="629">
        <f>IF(B$652="Tax Exempt",0,Calculations!B302)</f>
        <v>0</v>
      </c>
    </row>
    <row r="304" spans="1:5" x14ac:dyDescent="0.3">
      <c r="A304" s="274" t="s">
        <v>786</v>
      </c>
      <c r="B304" s="629">
        <f>+B303</f>
        <v>0</v>
      </c>
    </row>
    <row r="305" spans="1:6" x14ac:dyDescent="0.3">
      <c r="A305" s="274" t="s">
        <v>787</v>
      </c>
      <c r="B305" s="632">
        <f>+'Sales Input Sheet'!C53*'Admin Input Sheet'!C28</f>
        <v>0</v>
      </c>
    </row>
    <row r="306" spans="1:6" x14ac:dyDescent="0.3">
      <c r="A306" s="274" t="s">
        <v>788</v>
      </c>
      <c r="B306" s="632">
        <f>+'Sales Input Sheet'!C52*'Admin Input Sheet'!C30</f>
        <v>0</v>
      </c>
    </row>
    <row r="307" spans="1:6" x14ac:dyDescent="0.3">
      <c r="A307" s="274" t="s">
        <v>789</v>
      </c>
      <c r="B307" s="632">
        <f>IF('Sales Input Sheet'!C6="cairo, Ga",'Sales Input Sheet'!C52*'Admin Input Sheet'!C31,0)</f>
        <v>0</v>
      </c>
    </row>
    <row r="308" spans="1:6" x14ac:dyDescent="0.3">
      <c r="A308" s="274" t="s">
        <v>790</v>
      </c>
      <c r="B308" s="632">
        <f>IF('Sales Input Sheet'!C6="cairo, Ga",'Sales Input Sheet'!C53*'Admin Input Sheet'!C29,0)</f>
        <v>0</v>
      </c>
    </row>
    <row r="309" spans="1:6" x14ac:dyDescent="0.3">
      <c r="A309" s="274" t="s">
        <v>791</v>
      </c>
      <c r="B309" s="633" cm="1">
        <f t="array" aca="1" ref="B309" ca="1">('Costing Sheet'!I22-'Costing Sheet'!K22)*IF(AND(CELL("type",'Costing Sheet'!AA22)="v",'Costing Sheet'!AA22&gt;0),'Costing Sheet'!AA22,'Costing Sheet'!AC22)+('Costing Sheet'!I23-'Costing Sheet'!K23)*IF(AND(CELL("type",'Costing Sheet'!AA23)="v",'Costing Sheet'!AA23&gt;0),'Costing Sheet'!AA23,'Costing Sheet'!AC23)+('Costing Sheet'!I24-'Costing Sheet'!K24)*IF(AND(CELL("type",'Costing Sheet'!AA24)="v",'Costing Sheet'!AA24&gt;0),'Costing Sheet'!AA24,'Costing Sheet'!AC24)+('Costing Sheet'!I25-'Costing Sheet'!K25)*IF(AND(CELL("type",'Costing Sheet'!AA25)="v",'Costing Sheet'!AA25&gt;0),'Costing Sheet'!AA25,'Costing Sheet'!AC25)+('Costing Sheet'!I26-'Costing Sheet'!K26)*IF(AND(CELL("type",'Costing Sheet'!AA26)="v",'Costing Sheet'!AA26&gt;0),'Costing Sheet'!AA26,'Costing Sheet'!AC26)+('Costing Sheet'!I34-'Costing Sheet'!K34)*IF(AND(CELL("type",'Costing Sheet'!AA34)="v",'Costing Sheet'!AA34&gt;0),'Costing Sheet'!AA34,'Costing Sheet'!AC34)+('Costing Sheet'!I35-'Costing Sheet'!K35)*IF(AND(CELL("type",'Costing Sheet'!AA35)="v",'Costing Sheet'!AA35&gt;0),'Costing Sheet'!AA35,'Costing Sheet'!AC35)+('Costing Sheet'!I36-'Costing Sheet'!K36)*IF(AND(CELL("type",'Costing Sheet'!AA36)="v",'Costing Sheet'!AA36&gt;0),'Costing Sheet'!AA36,'Costing Sheet'!AC36)+('Costing Sheet'!I37-'Costing Sheet'!K37)*IF(AND(CELL("type",'Costing Sheet'!AA37)="v",'Costing Sheet'!AA37&gt;0),'Costing Sheet'!AA37,'Costing Sheet'!AC37)+('Costing Sheet'!I38-'Costing Sheet'!K38)*IF(AND(CELL("type",'Costing Sheet'!AA38)="v",'Costing Sheet'!AA38&gt;0),'Costing Sheet'!AA38,'Costing Sheet'!AC38)+('Costing Sheet'!M42)*IF(AND(CELL("type",'Costing Sheet'!AA42)="v",'Costing Sheet'!AA42&gt;0),'Costing Sheet'!AA42,'Costing Sheet'!AC42)+('Costing Sheet'!M43)*IF(AND(CELL("type",'Costing Sheet'!AA43)="v",'Costing Sheet'!AA43&gt;0),'Costing Sheet'!AA43,'Costing Sheet'!AC43)+('Costing Sheet'!M44)*IF(AND(CELL("type",'Costing Sheet'!AA44)="v",'Costing Sheet'!AA44&gt;0),'Costing Sheet'!AA44,'Costing Sheet'!AC44)+('Costing Sheet'!M45)*IF(AND(CELL("type",'Costing Sheet'!AA45)="v",'Costing Sheet'!AA45&gt;0),'Costing Sheet'!AA45,'Costing Sheet'!AC45)+('Costing Sheet'!M46)*IF(AND(CELL("type",'Costing Sheet'!AA46)="v",'Costing Sheet'!AA46&gt;0),'Costing Sheet'!AA46,'Costing Sheet'!AC46)+('Costing Sheet'!I27-'Costing Sheet'!K27)*IF(AND(CELL("type",'Costing Sheet'!AA27)="v",'Costing Sheet'!AA27&gt;0),'Costing Sheet'!AA27,'Costing Sheet'!AC27)+('Costing Sheet'!I28-'Costing Sheet'!K28)*IF(AND(CELL("type",'Costing Sheet'!AA28)="v",'Costing Sheet'!AA28&gt;0),'Costing Sheet'!AA28,'Costing Sheet'!AC28)+('Costing Sheet'!I29-'Costing Sheet'!K29)*IF(AND(CELL("type",'Costing Sheet'!AA29)="v",'Costing Sheet'!AA29&gt;0),'Costing Sheet'!AA29,'Costing Sheet'!AC29)+('Costing Sheet'!I30-'Costing Sheet'!K30)*IF(AND(CELL("type",'Costing Sheet'!AA30)="v",'Costing Sheet'!AA30&gt;0),'Costing Sheet'!AA30,'Costing Sheet'!AC30)+('Costing Sheet'!I31-'Costing Sheet'!K31)*IF(AND(CELL("type",'Costing Sheet'!AA31)="v",'Costing Sheet'!AA31&gt;0),'Costing Sheet'!AA31,'Costing Sheet'!AC31)</f>
        <v>0</v>
      </c>
    </row>
    <row r="310" spans="1:6" x14ac:dyDescent="0.3">
      <c r="A310" s="274" t="s">
        <v>792</v>
      </c>
      <c r="B310" s="632">
        <f>SUM('Costing Sheet'!I22:I31)+SUM('Costing Sheet'!I34:I38)+B149+B157+B165+B173+B181</f>
        <v>0</v>
      </c>
      <c r="D310" s="634" t="s">
        <v>793</v>
      </c>
    </row>
    <row r="311" spans="1:6" x14ac:dyDescent="0.3">
      <c r="A311" s="274" t="s">
        <v>794</v>
      </c>
      <c r="B311" s="632">
        <f>SUM('Costing Sheet'!K22:K31)+SUM('Costing Sheet'!K34:K38)+B150+B158+B166+B174+B182</f>
        <v>0</v>
      </c>
      <c r="D311" s="634">
        <f>+B311-'Work a Quote'!H23</f>
        <v>0</v>
      </c>
      <c r="E311" s="634"/>
    </row>
    <row r="312" spans="1:6" x14ac:dyDescent="0.3">
      <c r="A312" s="274" t="s">
        <v>795</v>
      </c>
      <c r="B312" s="632">
        <f>+B310-B311</f>
        <v>0</v>
      </c>
      <c r="D312" s="634">
        <f>+B310-D311</f>
        <v>0</v>
      </c>
    </row>
    <row r="313" spans="1:6" x14ac:dyDescent="0.3">
      <c r="A313" s="274" t="s">
        <v>796</v>
      </c>
      <c r="B313" s="632">
        <f>SUM('Costing Sheet'!O34:O38)+Calculations!B11+Calculations!B23+Calculations!B35+Calculations!B47+Calculations!B59+Calculations!B71+Calculations!B83+Calculations!B95+Calculations!B107+Calculations!B119+B151+B159+B167+B175+B183</f>
        <v>0</v>
      </c>
    </row>
    <row r="314" spans="1:6" x14ac:dyDescent="0.3">
      <c r="A314" s="274" t="s">
        <v>797</v>
      </c>
      <c r="B314" s="632">
        <f>SUM('Costing Sheet'!AG22:AG31)+SUM('Extra Cells Not used'!C16:C20)+B152+B160+B168+B176+B184</f>
        <v>0</v>
      </c>
    </row>
    <row r="315" spans="1:6" x14ac:dyDescent="0.3">
      <c r="A315" s="274" t="s">
        <v>798</v>
      </c>
      <c r="B315" s="632">
        <f>SUM('Costing Sheet'!I49:I54)</f>
        <v>0</v>
      </c>
      <c r="D315" s="634">
        <f>+B315-'Work a Quote'!H24</f>
        <v>0</v>
      </c>
      <c r="E315" s="634"/>
    </row>
    <row r="316" spans="1:6" x14ac:dyDescent="0.3">
      <c r="A316" s="274" t="s">
        <v>799</v>
      </c>
      <c r="B316" s="632">
        <f>SUM('Sales Input Sheet'!M45:M50)</f>
        <v>0</v>
      </c>
    </row>
    <row r="317" spans="1:6" x14ac:dyDescent="0.3">
      <c r="A317" s="274" t="s">
        <v>800</v>
      </c>
      <c r="B317" s="632">
        <f>SUM('Costing Sheet'!O49:O54)</f>
        <v>0</v>
      </c>
    </row>
    <row r="318" spans="1:6" x14ac:dyDescent="0.3">
      <c r="A318" s="274" t="s">
        <v>801</v>
      </c>
      <c r="B318" s="632">
        <f>+'Costing Sheet'!W22+'Costing Sheet'!W23+'Costing Sheet'!W24+'Costing Sheet'!W25+'Costing Sheet'!W26+'Costing Sheet'!W27+'Costing Sheet'!W28+'Costing Sheet'!W29+'Costing Sheet'!W30+'Costing Sheet'!W31+'Costing Sheet'!W34+'Costing Sheet'!W35+'Costing Sheet'!W36+'Costing Sheet'!W37+'Costing Sheet'!W38</f>
        <v>0</v>
      </c>
      <c r="D318" s="634">
        <f>+B318</f>
        <v>0</v>
      </c>
    </row>
    <row r="319" spans="1:6" x14ac:dyDescent="0.3">
      <c r="A319" s="274" t="s">
        <v>802</v>
      </c>
      <c r="B319" s="632">
        <f>+B310-B311-B315+B316+B321+B302+'Costing Sheet'!Q3+'Costing Sheet'!Q5</f>
        <v>0</v>
      </c>
      <c r="D319" s="634">
        <f>+B319+B$311-D$311-D$315+B$315</f>
        <v>0</v>
      </c>
      <c r="F319" s="274" t="s">
        <v>2289</v>
      </c>
    </row>
    <row r="320" spans="1:6" x14ac:dyDescent="0.3">
      <c r="A320" s="274" t="s">
        <v>803</v>
      </c>
      <c r="B320" s="632">
        <f>+B421+B312-B315+B316+B321</f>
        <v>0</v>
      </c>
      <c r="D320" s="632"/>
    </row>
    <row r="321" spans="1:6" x14ac:dyDescent="0.3">
      <c r="A321" s="274" t="s">
        <v>804</v>
      </c>
      <c r="B321" s="632">
        <f>SUM(B232:B241)</f>
        <v>0</v>
      </c>
      <c r="D321" s="632">
        <f>+B321</f>
        <v>0</v>
      </c>
      <c r="F321" s="634">
        <v>0</v>
      </c>
    </row>
    <row r="322" spans="1:6" x14ac:dyDescent="0.3">
      <c r="A322" s="274" t="s">
        <v>805</v>
      </c>
      <c r="B322" s="632">
        <f>SUM(B242:B251)</f>
        <v>0</v>
      </c>
    </row>
    <row r="323" spans="1:6" x14ac:dyDescent="0.3">
      <c r="A323" s="274" t="s">
        <v>806</v>
      </c>
      <c r="B323" s="632">
        <f>SUM('Costing Sheet'!E61:E65)</f>
        <v>0</v>
      </c>
    </row>
    <row r="324" spans="1:6" x14ac:dyDescent="0.3">
      <c r="A324" s="274" t="s">
        <v>807</v>
      </c>
      <c r="B324" s="632">
        <f>+'Costing Sheet'!Q22+'Costing Sheet'!Q23+'Costing Sheet'!Q24+'Costing Sheet'!Q25+'Costing Sheet'!Q26+'Costing Sheet'!Q27+'Costing Sheet'!Q28+'Costing Sheet'!Q29+'Costing Sheet'!Q30+'Costing Sheet'!Q31+'Costing Sheet'!Q34+'Costing Sheet'!Q35+'Costing Sheet'!Q36+'Costing Sheet'!Q37+'Costing Sheet'!Q38</f>
        <v>0</v>
      </c>
    </row>
    <row r="325" spans="1:6" x14ac:dyDescent="0.3">
      <c r="A325" s="274" t="s">
        <v>808</v>
      </c>
      <c r="B325" s="632">
        <f>IF(-$B187-$B189+$B15+$B27+$B39+$B51+$B63+$B75+$B87+$B99+$B111+$B123+$B127+$B131+$B135+$B139+$B143+$B147+$B155+$B163+$B171+$B179+$B303-B667-B670-B673-B676&lt;0,0,-$B187-$B189+$B15+$B27+$B39+$B51+$B63+$B75+$B87+$B99+$B111+$B123+$B127+$B131+$B135+$B139+$B143+$B147+$B155+$B163+$B171+$B179+$B303-B667-B670-B673-B676)</f>
        <v>0</v>
      </c>
      <c r="D325" s="632">
        <f>-$B187-$B189+$B15+$B27+$B39+$B51+$B63+$B127+$B131+$B135+$B139+$B143+$B147+$B155+$B163+$B171+$B179+$B303+IF(B$652="Tax Exempt",0,$B$311-$D$311-$D$315+$B$315)</f>
        <v>0</v>
      </c>
      <c r="F325" s="635"/>
    </row>
    <row r="326" spans="1:6" x14ac:dyDescent="0.3">
      <c r="A326" s="274" t="s">
        <v>809</v>
      </c>
      <c r="B326" s="632">
        <f>IF(-$B188-$B190+$B16+$B28+$B40+$B52+$B64+$B76+$B88+$B100+$B112+$B124+$B128+$B132+$B136+$B140+$B144+$B148+$B156+$B164+$B172+$B180+$B304-B668-B671-B674-B677&lt;0,0,-$B188-$B190+$B16+$B28+$B40+$B52+$B64+$B76+$B88+$B100+$B112+$B124+$B128+$B132+$B136+$B140+$B144+$B148+$B156+$B164+$B172+$B180+$B304-B668-B671-B674-B677)</f>
        <v>0</v>
      </c>
      <c r="D326" s="632">
        <f>-$B188-$B190+$B16+$B28+$B40+$B52+$B64+$B128+$B132+$B136+$B140+$B144+$B148+$B156+$B164+$B172+$B180+$B304+IF(B$652="Tax Exempt",0,$B$311-$D$311-$D$315+$B$315)</f>
        <v>0</v>
      </c>
    </row>
    <row r="327" spans="1:6" x14ac:dyDescent="0.3">
      <c r="A327" s="274" t="s">
        <v>810</v>
      </c>
      <c r="B327" s="632">
        <f>IF('Admin Input Sheet'!$C43&gt;B326,B326,'Admin Input Sheet'!$C43)</f>
        <v>0</v>
      </c>
      <c r="D327" s="632">
        <f>IF('Admin Input Sheet'!$C43&gt;D326,D326,'Admin Input Sheet'!$C43)</f>
        <v>0</v>
      </c>
    </row>
    <row r="328" spans="1:6" x14ac:dyDescent="0.3">
      <c r="A328" s="274" t="s">
        <v>811</v>
      </c>
      <c r="B328" s="632">
        <f>IF('Admin Input Sheet'!$C44&gt;B326,B326,'Admin Input Sheet'!$C44)</f>
        <v>0</v>
      </c>
      <c r="D328" s="632">
        <f>IF('Admin Input Sheet'!$C44&gt;D326,D326,'Admin Input Sheet'!$C44)</f>
        <v>0</v>
      </c>
      <c r="E328" s="634"/>
    </row>
    <row r="329" spans="1:6" x14ac:dyDescent="0.3">
      <c r="A329" s="274" t="s">
        <v>812</v>
      </c>
      <c r="B329" s="632">
        <f>SUM(B252:B261)</f>
        <v>0</v>
      </c>
      <c r="D329" s="632">
        <f t="shared" ref="D329:D335" si="4">+B329</f>
        <v>0</v>
      </c>
    </row>
    <row r="330" spans="1:6" x14ac:dyDescent="0.3">
      <c r="A330" s="274" t="s">
        <v>813</v>
      </c>
      <c r="B330" s="632">
        <f>SUM(B262:B271)</f>
        <v>0</v>
      </c>
      <c r="D330" s="634">
        <f t="shared" si="4"/>
        <v>0</v>
      </c>
    </row>
    <row r="331" spans="1:6" x14ac:dyDescent="0.3">
      <c r="A331" s="274" t="s">
        <v>814</v>
      </c>
      <c r="B331" s="632">
        <f>SUM(B272:B281)</f>
        <v>0</v>
      </c>
      <c r="D331" s="634">
        <f t="shared" si="4"/>
        <v>0</v>
      </c>
    </row>
    <row r="332" spans="1:6" x14ac:dyDescent="0.3">
      <c r="A332" s="274" t="s">
        <v>815</v>
      </c>
      <c r="B332" s="632">
        <f>SUM(B282:B291)</f>
        <v>0</v>
      </c>
      <c r="D332" s="634">
        <f t="shared" si="4"/>
        <v>0</v>
      </c>
    </row>
    <row r="333" spans="1:6" x14ac:dyDescent="0.3">
      <c r="A333" s="274" t="s">
        <v>816</v>
      </c>
      <c r="B333" s="632">
        <f>SUM(B292:B301)</f>
        <v>0</v>
      </c>
      <c r="D333" s="634">
        <f t="shared" si="4"/>
        <v>0</v>
      </c>
    </row>
    <row r="334" spans="1:6" ht="23" x14ac:dyDescent="0.3">
      <c r="A334" s="636" t="s">
        <v>817</v>
      </c>
      <c r="B334" s="629">
        <f>IF(B$652="Tax Exempt",0,IF('Admin Input Sheet'!C35="non taxable",0,'Costing Sheet'!Q3))</f>
        <v>0</v>
      </c>
      <c r="D334" s="634">
        <f t="shared" si="4"/>
        <v>0</v>
      </c>
    </row>
    <row r="335" spans="1:6" ht="23" x14ac:dyDescent="0.3">
      <c r="A335" s="636" t="s">
        <v>818</v>
      </c>
      <c r="B335" s="629">
        <f>IF(B$652="Tax Exempt",0,IF('Admin Input Sheet'!C36="non taxable",0,'Costing Sheet'!Q5))</f>
        <v>0</v>
      </c>
      <c r="D335" s="634">
        <f t="shared" si="4"/>
        <v>0</v>
      </c>
    </row>
    <row r="336" spans="1:6" ht="23" x14ac:dyDescent="0.3">
      <c r="A336" s="636" t="s">
        <v>819</v>
      </c>
      <c r="B336" s="629">
        <f>IF(B$652="Tax Exempt",0,IF('Admin Input Sheet'!C37="non taxable",0,'Costing Sheet'!Q7))</f>
        <v>0</v>
      </c>
      <c r="D336" s="634">
        <f t="shared" ref="D336:D363" si="5">+B336</f>
        <v>0</v>
      </c>
    </row>
    <row r="337" spans="1:4" ht="23" x14ac:dyDescent="0.3">
      <c r="A337" s="636" t="s">
        <v>820</v>
      </c>
      <c r="B337" s="629">
        <f>IF(B$652="Tax Exempt",0,IF('Admin Input Sheet'!C38="non taxable",0,'Costing Sheet'!Q9))</f>
        <v>0</v>
      </c>
      <c r="D337" s="634">
        <f t="shared" si="5"/>
        <v>0</v>
      </c>
    </row>
    <row r="338" spans="1:4" ht="23" x14ac:dyDescent="0.3">
      <c r="A338" s="636" t="s">
        <v>821</v>
      </c>
      <c r="B338" s="629">
        <f>IF(B$652="Tax Exempt",0,IF('Admin Input Sheet'!C39="non taxable",0,'Costing Sheet'!Q11))</f>
        <v>0</v>
      </c>
      <c r="D338" s="634">
        <f t="shared" si="5"/>
        <v>0</v>
      </c>
    </row>
    <row r="339" spans="1:4" ht="46" x14ac:dyDescent="0.3">
      <c r="A339" s="636" t="s">
        <v>822</v>
      </c>
      <c r="B339" s="632">
        <f>IF('Admin Input Sheet'!E35="customer",Calculations!B334,0)</f>
        <v>0</v>
      </c>
      <c r="D339" s="634">
        <f t="shared" si="5"/>
        <v>0</v>
      </c>
    </row>
    <row r="340" spans="1:4" ht="46" x14ac:dyDescent="0.3">
      <c r="A340" s="636" t="s">
        <v>823</v>
      </c>
      <c r="B340" s="632">
        <f>IF('Admin Input Sheet'!E36="customer",Calculations!B335,0)</f>
        <v>0</v>
      </c>
      <c r="D340" s="634">
        <f t="shared" si="5"/>
        <v>0</v>
      </c>
    </row>
    <row r="341" spans="1:4" ht="46" x14ac:dyDescent="0.3">
      <c r="A341" s="636" t="s">
        <v>824</v>
      </c>
      <c r="B341" s="632">
        <f>IF('Admin Input Sheet'!E37="customer",Calculations!B336,0)</f>
        <v>0</v>
      </c>
      <c r="D341" s="634">
        <f t="shared" si="5"/>
        <v>0</v>
      </c>
    </row>
    <row r="342" spans="1:4" ht="46" x14ac:dyDescent="0.3">
      <c r="A342" s="636" t="s">
        <v>825</v>
      </c>
      <c r="B342" s="632">
        <f>IF('Admin Input Sheet'!E38="customer",Calculations!B337,0)</f>
        <v>0</v>
      </c>
      <c r="D342" s="634">
        <f t="shared" si="5"/>
        <v>0</v>
      </c>
    </row>
    <row r="343" spans="1:4" ht="46" x14ac:dyDescent="0.3">
      <c r="A343" s="636" t="s">
        <v>826</v>
      </c>
      <c r="B343" s="632">
        <f>IF('Admin Input Sheet'!E39="customer",Calculations!B338,0)</f>
        <v>0</v>
      </c>
      <c r="D343" s="634">
        <f t="shared" si="5"/>
        <v>0</v>
      </c>
    </row>
    <row r="344" spans="1:4" ht="46" x14ac:dyDescent="0.3">
      <c r="A344" s="636" t="s">
        <v>827</v>
      </c>
      <c r="B344" s="632">
        <f>IF('Admin Input Sheet'!E35="store",Calculations!B334,0)</f>
        <v>0</v>
      </c>
      <c r="D344" s="634">
        <f t="shared" si="5"/>
        <v>0</v>
      </c>
    </row>
    <row r="345" spans="1:4" ht="46" x14ac:dyDescent="0.3">
      <c r="A345" s="636" t="s">
        <v>828</v>
      </c>
      <c r="B345" s="632">
        <f>IF('Admin Input Sheet'!E36="store",Calculations!B335,0)</f>
        <v>0</v>
      </c>
      <c r="D345" s="634">
        <f t="shared" si="5"/>
        <v>0</v>
      </c>
    </row>
    <row r="346" spans="1:4" ht="46" x14ac:dyDescent="0.3">
      <c r="A346" s="636" t="s">
        <v>829</v>
      </c>
      <c r="B346" s="632">
        <f>IF('Admin Input Sheet'!E37="store",Calculations!B336,0)</f>
        <v>0</v>
      </c>
      <c r="D346" s="634">
        <f t="shared" si="5"/>
        <v>0</v>
      </c>
    </row>
    <row r="347" spans="1:4" ht="46" x14ac:dyDescent="0.3">
      <c r="A347" s="636" t="s">
        <v>830</v>
      </c>
      <c r="B347" s="632">
        <f>IF('Admin Input Sheet'!E38="store",Calculations!B337,0)</f>
        <v>0</v>
      </c>
      <c r="D347" s="634">
        <f t="shared" si="5"/>
        <v>0</v>
      </c>
    </row>
    <row r="348" spans="1:4" ht="46" x14ac:dyDescent="0.3">
      <c r="A348" s="636" t="s">
        <v>831</v>
      </c>
      <c r="B348" s="632">
        <f>IF('Admin Input Sheet'!E39="store",Calculations!B338,0)</f>
        <v>0</v>
      </c>
      <c r="D348" s="634">
        <f t="shared" si="5"/>
        <v>0</v>
      </c>
    </row>
    <row r="349" spans="1:4" ht="46" x14ac:dyDescent="0.3">
      <c r="A349" s="636" t="s">
        <v>832</v>
      </c>
      <c r="B349" s="632">
        <f>IF('Admin Input Sheet'!G35="customer",Calculations!B334,0)</f>
        <v>0</v>
      </c>
      <c r="D349" s="634">
        <f t="shared" si="5"/>
        <v>0</v>
      </c>
    </row>
    <row r="350" spans="1:4" ht="46" x14ac:dyDescent="0.3">
      <c r="A350" s="636" t="s">
        <v>833</v>
      </c>
      <c r="B350" s="632">
        <f>IF('Admin Input Sheet'!G36="customer",Calculations!B335,0)</f>
        <v>0</v>
      </c>
      <c r="D350" s="634">
        <f t="shared" si="5"/>
        <v>0</v>
      </c>
    </row>
    <row r="351" spans="1:4" ht="46" x14ac:dyDescent="0.3">
      <c r="A351" s="636" t="s">
        <v>834</v>
      </c>
      <c r="B351" s="632">
        <f>IF('Admin Input Sheet'!G37="customer",Calculations!B336,0)</f>
        <v>0</v>
      </c>
      <c r="D351" s="634">
        <f t="shared" si="5"/>
        <v>0</v>
      </c>
    </row>
    <row r="352" spans="1:4" ht="46" x14ac:dyDescent="0.3">
      <c r="A352" s="636" t="s">
        <v>835</v>
      </c>
      <c r="B352" s="632">
        <f>IF('Admin Input Sheet'!G38="customer",Calculations!B337,0)</f>
        <v>0</v>
      </c>
      <c r="D352" s="634">
        <f t="shared" si="5"/>
        <v>0</v>
      </c>
    </row>
    <row r="353" spans="1:6" ht="46" x14ac:dyDescent="0.3">
      <c r="A353" s="636" t="s">
        <v>836</v>
      </c>
      <c r="B353" s="632">
        <f>IF('Admin Input Sheet'!G39="customer",Calculations!B338,0)</f>
        <v>0</v>
      </c>
      <c r="D353" s="634">
        <f t="shared" si="5"/>
        <v>0</v>
      </c>
    </row>
    <row r="354" spans="1:6" ht="46" x14ac:dyDescent="0.3">
      <c r="A354" s="636" t="s">
        <v>837</v>
      </c>
      <c r="B354" s="632">
        <f>IF('Admin Input Sheet'!G35="store",B334,0)</f>
        <v>0</v>
      </c>
      <c r="D354" s="634">
        <f t="shared" si="5"/>
        <v>0</v>
      </c>
    </row>
    <row r="355" spans="1:6" ht="46" x14ac:dyDescent="0.3">
      <c r="A355" s="636" t="s">
        <v>838</v>
      </c>
      <c r="B355" s="632">
        <f>IF('Admin Input Sheet'!G36="store",B335,0)</f>
        <v>0</v>
      </c>
      <c r="D355" s="634">
        <f t="shared" si="5"/>
        <v>0</v>
      </c>
    </row>
    <row r="356" spans="1:6" ht="46" x14ac:dyDescent="0.3">
      <c r="A356" s="636" t="s">
        <v>839</v>
      </c>
      <c r="B356" s="632">
        <f>IF('Admin Input Sheet'!G37="store",B336,0)</f>
        <v>0</v>
      </c>
      <c r="D356" s="634">
        <f t="shared" si="5"/>
        <v>0</v>
      </c>
    </row>
    <row r="357" spans="1:6" ht="46" x14ac:dyDescent="0.3">
      <c r="A357" s="636" t="s">
        <v>840</v>
      </c>
      <c r="B357" s="632">
        <f>IF('Admin Input Sheet'!G38="store",B337,0)</f>
        <v>0</v>
      </c>
      <c r="D357" s="634">
        <f t="shared" si="5"/>
        <v>0</v>
      </c>
    </row>
    <row r="358" spans="1:6" ht="46" x14ac:dyDescent="0.3">
      <c r="A358" s="636" t="s">
        <v>841</v>
      </c>
      <c r="B358" s="632">
        <f>IF('Admin Input Sheet'!G39="store",B338,0)</f>
        <v>0</v>
      </c>
      <c r="D358" s="634">
        <f t="shared" si="5"/>
        <v>0</v>
      </c>
    </row>
    <row r="359" spans="1:6" ht="23" x14ac:dyDescent="0.3">
      <c r="A359" s="636" t="s">
        <v>842</v>
      </c>
      <c r="B359" s="632">
        <f>SUM(B334:B338)</f>
        <v>0</v>
      </c>
      <c r="D359" s="634">
        <f t="shared" si="5"/>
        <v>0</v>
      </c>
    </row>
    <row r="360" spans="1:6" ht="23" x14ac:dyDescent="0.3">
      <c r="A360" s="636" t="s">
        <v>843</v>
      </c>
      <c r="B360" s="632">
        <f>SUM(B339:B343)</f>
        <v>0</v>
      </c>
      <c r="D360" s="634">
        <f t="shared" si="5"/>
        <v>0</v>
      </c>
    </row>
    <row r="361" spans="1:6" ht="23" x14ac:dyDescent="0.3">
      <c r="A361" s="636" t="s">
        <v>844</v>
      </c>
      <c r="B361" s="632">
        <f>SUM(B344:B348)</f>
        <v>0</v>
      </c>
      <c r="D361" s="634">
        <f t="shared" si="5"/>
        <v>0</v>
      </c>
    </row>
    <row r="362" spans="1:6" ht="23" x14ac:dyDescent="0.3">
      <c r="A362" s="636" t="s">
        <v>845</v>
      </c>
      <c r="B362" s="632">
        <f>SUM(B349:B353)</f>
        <v>0</v>
      </c>
      <c r="D362" s="634">
        <f t="shared" si="5"/>
        <v>0</v>
      </c>
    </row>
    <row r="363" spans="1:6" ht="23" x14ac:dyDescent="0.3">
      <c r="A363" s="636" t="s">
        <v>846</v>
      </c>
      <c r="B363" s="632">
        <f>SUM(B354:B358)</f>
        <v>0</v>
      </c>
      <c r="D363" s="634">
        <f t="shared" si="5"/>
        <v>0</v>
      </c>
      <c r="F363" s="274" t="s">
        <v>2290</v>
      </c>
    </row>
    <row r="364" spans="1:6" ht="23" x14ac:dyDescent="0.3">
      <c r="A364" s="636" t="s">
        <v>847</v>
      </c>
      <c r="B364" s="632">
        <f>+B325+B329+B359+B387+B389</f>
        <v>0</v>
      </c>
      <c r="D364" s="634">
        <f>+B364+B$311-D$311-D$315+B$315</f>
        <v>0</v>
      </c>
      <c r="F364" s="634">
        <f>+B325+B359+B387+B389</f>
        <v>0</v>
      </c>
    </row>
    <row r="365" spans="1:6" ht="23" x14ac:dyDescent="0.3">
      <c r="A365" s="636" t="s">
        <v>848</v>
      </c>
      <c r="B365" s="632">
        <f>+B325+B329+B334+B335+B388+B390</f>
        <v>0</v>
      </c>
      <c r="D365" s="634">
        <f>+B365++B$311-D$311-D$315+B$315</f>
        <v>0</v>
      </c>
      <c r="F365" s="634">
        <f>+B325+B334+B335+B388+B390</f>
        <v>0</v>
      </c>
    </row>
    <row r="366" spans="1:6" ht="23" x14ac:dyDescent="0.3">
      <c r="A366" s="636" t="s">
        <v>849</v>
      </c>
      <c r="B366" s="632">
        <f>+IF('Sales Input Sheet'!C6="Cairo, GA",B328,B327)</f>
        <v>0</v>
      </c>
      <c r="D366" s="632">
        <f>+IF('Sales Input Sheet'!C6="Cairo, GA",D328,D327)</f>
        <v>0</v>
      </c>
      <c r="F366" s="634">
        <f>+IF('Sales Input Sheet'!C6="Cairo, GA",B328,B327)</f>
        <v>0</v>
      </c>
    </row>
    <row r="367" spans="1:6" ht="23" x14ac:dyDescent="0.3">
      <c r="A367" s="636" t="s">
        <v>850</v>
      </c>
      <c r="B367" s="632">
        <f>+B330+B360+B391+B393</f>
        <v>0</v>
      </c>
      <c r="D367" s="634">
        <f>+B367</f>
        <v>0</v>
      </c>
      <c r="F367" s="634">
        <f>+B360+B391+B393</f>
        <v>0</v>
      </c>
    </row>
    <row r="368" spans="1:6" ht="23" x14ac:dyDescent="0.3">
      <c r="A368" s="636" t="s">
        <v>851</v>
      </c>
      <c r="B368" s="632">
        <f>+B331+B361+B395+B397</f>
        <v>0</v>
      </c>
      <c r="D368" s="634">
        <f>+B368</f>
        <v>0</v>
      </c>
      <c r="F368" s="634">
        <f>B361+B395+B397</f>
        <v>0</v>
      </c>
    </row>
    <row r="369" spans="1:6" ht="23" x14ac:dyDescent="0.3">
      <c r="A369" s="636" t="s">
        <v>852</v>
      </c>
      <c r="B369" s="632">
        <f>+B332+B362+B392+B394</f>
        <v>0</v>
      </c>
      <c r="D369" s="634">
        <f>+B369</f>
        <v>0</v>
      </c>
      <c r="F369" s="634">
        <f>B362+B392+B394</f>
        <v>0</v>
      </c>
    </row>
    <row r="370" spans="1:6" ht="23" x14ac:dyDescent="0.3">
      <c r="A370" s="636" t="s">
        <v>853</v>
      </c>
      <c r="B370" s="632">
        <f>+B363+B333+B396+B398</f>
        <v>0</v>
      </c>
      <c r="D370" s="634">
        <f>+B370</f>
        <v>0</v>
      </c>
      <c r="F370" s="634">
        <f>+B363+B396+B398</f>
        <v>0</v>
      </c>
    </row>
    <row r="371" spans="1:6" ht="23" x14ac:dyDescent="0.3">
      <c r="A371" s="636" t="s">
        <v>854</v>
      </c>
      <c r="B371" s="1144" t="s">
        <v>855</v>
      </c>
      <c r="C371" s="1144"/>
      <c r="D371" s="1144"/>
      <c r="E371" s="1144"/>
      <c r="F371" s="1144"/>
    </row>
    <row r="372" spans="1:6" x14ac:dyDescent="0.3">
      <c r="B372" s="1144"/>
      <c r="C372" s="1144"/>
      <c r="D372" s="1144"/>
      <c r="E372" s="1144"/>
      <c r="F372" s="1144"/>
    </row>
    <row r="373" spans="1:6" x14ac:dyDescent="0.3">
      <c r="B373" s="1144"/>
      <c r="C373" s="1144"/>
      <c r="D373" s="1144"/>
      <c r="E373" s="1144"/>
      <c r="F373" s="1144"/>
    </row>
    <row r="374" spans="1:6" x14ac:dyDescent="0.3">
      <c r="B374" s="1144"/>
      <c r="C374" s="1144"/>
      <c r="D374" s="1144"/>
      <c r="E374" s="1144"/>
      <c r="F374" s="1144"/>
    </row>
    <row r="375" spans="1:6" x14ac:dyDescent="0.3">
      <c r="B375" s="1144"/>
      <c r="C375" s="1144"/>
      <c r="D375" s="1144"/>
      <c r="E375" s="1144"/>
      <c r="F375" s="1144"/>
    </row>
    <row r="376" spans="1:6" x14ac:dyDescent="0.3">
      <c r="A376" s="274" t="s">
        <v>854</v>
      </c>
      <c r="B376" s="1144" t="str">
        <f>"For presentation purposes, "&amp;'Rates for Quote'!B4&amp;" month term payments are presented at an interest rate of "&amp;TEXT(B432,"0.000%")&amp;" , "&amp;'Rates for Quote'!B6&amp;" month term payments are presented at an interest rate of "&amp;TEXT(B433,"0.000%")&amp;", "</f>
        <v xml:space="preserve">For presentation purposes,  month term payments are presented at an interest rate of 0.000% ,  month term payments are presented at an interest rate of 0.000%, </v>
      </c>
      <c r="C376" s="1144"/>
      <c r="D376" s="1144"/>
      <c r="E376" s="1144"/>
      <c r="F376" s="1144"/>
    </row>
    <row r="377" spans="1:6" x14ac:dyDescent="0.3">
      <c r="B377" s="1144"/>
      <c r="C377" s="1144"/>
      <c r="D377" s="1144"/>
      <c r="E377" s="1144"/>
      <c r="F377" s="1144"/>
    </row>
    <row r="378" spans="1:6" x14ac:dyDescent="0.3">
      <c r="B378" s="1144"/>
      <c r="C378" s="1144"/>
      <c r="D378" s="1144"/>
      <c r="E378" s="1144"/>
      <c r="F378" s="1144"/>
    </row>
    <row r="379" spans="1:6" x14ac:dyDescent="0.3">
      <c r="B379" s="1144"/>
      <c r="C379" s="1144"/>
      <c r="D379" s="1144"/>
      <c r="E379" s="1144"/>
      <c r="F379" s="1144"/>
    </row>
    <row r="380" spans="1:6" x14ac:dyDescent="0.3">
      <c r="B380" s="1144"/>
      <c r="C380" s="1144"/>
      <c r="D380" s="1144"/>
      <c r="E380" s="1144"/>
      <c r="F380" s="1144"/>
    </row>
    <row r="381" spans="1:6" x14ac:dyDescent="0.3">
      <c r="A381" s="274" t="s">
        <v>854</v>
      </c>
      <c r="B381" s="1144" t="str">
        <f>'Rates for Quote'!B8&amp;" month term payments are presented with an interest rate of "&amp;TEXT(B434,"0.000%")&amp;"."</f>
        <v xml:space="preserve"> month term payments are presented with an interest rate of 0.000%.</v>
      </c>
      <c r="C381" s="1144"/>
      <c r="D381" s="1144"/>
      <c r="E381" s="1144"/>
      <c r="F381" s="1144"/>
    </row>
    <row r="382" spans="1:6" x14ac:dyDescent="0.3">
      <c r="B382" s="1144"/>
      <c r="C382" s="1144"/>
      <c r="D382" s="1144"/>
      <c r="E382" s="1144"/>
      <c r="F382" s="1144"/>
    </row>
    <row r="383" spans="1:6" x14ac:dyDescent="0.3">
      <c r="B383" s="1144"/>
      <c r="C383" s="1144"/>
      <c r="D383" s="1144"/>
      <c r="E383" s="1144"/>
      <c r="F383" s="1144"/>
    </row>
    <row r="384" spans="1:6" ht="71.25" customHeight="1" x14ac:dyDescent="0.3">
      <c r="A384" s="274" t="s">
        <v>856</v>
      </c>
      <c r="B384" s="1146" t="str">
        <f>"For presentation purposes and submitting for approval of financing, payments are based upon a "&amp;'Costing Sheet'!U7&amp;" month term at an annual interest rate of "&amp;TEXT('Costing Sheet'!U9,"0.000%")&amp;".  Actual term and rates may vary based upon financing available based upon customers credit and other factors."</f>
        <v>For presentation purposes and submitting for approval of financing, payments are based upon a  month term at an annual interest rate of 0.000%.  Actual term and rates may vary based upon financing available based upon customers credit and other factors.</v>
      </c>
      <c r="C384" s="1146"/>
      <c r="D384" s="1146"/>
      <c r="E384" s="1146"/>
      <c r="F384" s="1146"/>
    </row>
    <row r="385" spans="1:4" x14ac:dyDescent="0.3">
      <c r="A385" s="274" t="s">
        <v>857</v>
      </c>
      <c r="B385" s="629">
        <f>IF('Sales Input Sheet'!C6="Cairo, ga",Calculations!B308,Calculations!B305)</f>
        <v>0</v>
      </c>
      <c r="D385" s="632">
        <f>+B385</f>
        <v>0</v>
      </c>
    </row>
    <row r="386" spans="1:4" x14ac:dyDescent="0.3">
      <c r="A386" s="274" t="s">
        <v>858</v>
      </c>
      <c r="B386" s="629">
        <f>IF('Sales Input Sheet'!C6="Cairo, ga",Calculations!B307,Calculations!B306)</f>
        <v>0</v>
      </c>
      <c r="D386" s="632">
        <f t="shared" ref="D386:D398" si="6">+B386</f>
        <v>0</v>
      </c>
    </row>
    <row r="387" spans="1:4" x14ac:dyDescent="0.3">
      <c r="A387" s="274" t="s">
        <v>859</v>
      </c>
      <c r="B387" s="629">
        <f>IF('Admin Input Sheet'!E$28="No State Tax",0,Calculations!B$305)</f>
        <v>0</v>
      </c>
      <c r="D387" s="632">
        <f t="shared" si="6"/>
        <v>0</v>
      </c>
    </row>
    <row r="388" spans="1:4" x14ac:dyDescent="0.3">
      <c r="A388" s="274" t="s">
        <v>860</v>
      </c>
      <c r="B388" s="629">
        <f>IF('Admin Input Sheet'!E$29="No State Tax",0,Calculations!B$308)</f>
        <v>0</v>
      </c>
      <c r="D388" s="632">
        <f t="shared" si="6"/>
        <v>0</v>
      </c>
    </row>
    <row r="389" spans="1:4" x14ac:dyDescent="0.3">
      <c r="A389" s="274" t="s">
        <v>861</v>
      </c>
      <c r="B389" s="629">
        <f>IF('Admin Input Sheet'!E$30="No State Tax",0,B$306)</f>
        <v>0</v>
      </c>
      <c r="D389" s="632">
        <f t="shared" si="6"/>
        <v>0</v>
      </c>
    </row>
    <row r="390" spans="1:4" x14ac:dyDescent="0.3">
      <c r="A390" s="274" t="s">
        <v>862</v>
      </c>
      <c r="B390" s="629">
        <f>IF('Admin Input Sheet'!E$31="No State Tax",0,B$307)</f>
        <v>0</v>
      </c>
      <c r="D390" s="632">
        <f t="shared" si="6"/>
        <v>0</v>
      </c>
    </row>
    <row r="391" spans="1:4" x14ac:dyDescent="0.3">
      <c r="A391" s="274" t="s">
        <v>863</v>
      </c>
      <c r="B391" s="629">
        <f>IF('Admin Input Sheet'!G$28="Customer",B387,0)</f>
        <v>0</v>
      </c>
      <c r="D391" s="632">
        <f t="shared" si="6"/>
        <v>0</v>
      </c>
    </row>
    <row r="392" spans="1:4" x14ac:dyDescent="0.3">
      <c r="A392" s="274" t="s">
        <v>864</v>
      </c>
      <c r="B392" s="629">
        <f>IF('Admin Input Sheet'!G$29="CUSTOMER",+B$388,0)</f>
        <v>0</v>
      </c>
      <c r="D392" s="632">
        <f t="shared" si="6"/>
        <v>0</v>
      </c>
    </row>
    <row r="393" spans="1:4" x14ac:dyDescent="0.3">
      <c r="A393" s="274" t="s">
        <v>865</v>
      </c>
      <c r="B393" s="629">
        <f>IF('Admin Input Sheet'!G$30="Customer",B$389,0)</f>
        <v>0</v>
      </c>
      <c r="D393" s="632">
        <f t="shared" si="6"/>
        <v>0</v>
      </c>
    </row>
    <row r="394" spans="1:4" x14ac:dyDescent="0.3">
      <c r="A394" s="274" t="s">
        <v>866</v>
      </c>
      <c r="B394" s="629">
        <f>IF('Admin Input Sheet'!G$31="customer",B$390,0)</f>
        <v>0</v>
      </c>
      <c r="D394" s="632">
        <f t="shared" si="6"/>
        <v>0</v>
      </c>
    </row>
    <row r="395" spans="1:4" x14ac:dyDescent="0.3">
      <c r="A395" s="274" t="s">
        <v>867</v>
      </c>
      <c r="B395" s="629">
        <f>IF('Admin Input Sheet'!G$28="Store",B391,0)</f>
        <v>0</v>
      </c>
      <c r="D395" s="632">
        <f t="shared" si="6"/>
        <v>0</v>
      </c>
    </row>
    <row r="396" spans="1:4" x14ac:dyDescent="0.3">
      <c r="A396" s="274" t="s">
        <v>868</v>
      </c>
      <c r="B396" s="629">
        <f>IF('Admin Input Sheet'!G$29="Store",+B$388,0)</f>
        <v>0</v>
      </c>
      <c r="D396" s="632">
        <f t="shared" si="6"/>
        <v>0</v>
      </c>
    </row>
    <row r="397" spans="1:4" x14ac:dyDescent="0.3">
      <c r="A397" s="274" t="s">
        <v>869</v>
      </c>
      <c r="B397" s="629">
        <f>IF('Admin Input Sheet'!G$30="Store",B$389,0)</f>
        <v>0</v>
      </c>
      <c r="D397" s="632">
        <f t="shared" si="6"/>
        <v>0</v>
      </c>
    </row>
    <row r="398" spans="1:4" x14ac:dyDescent="0.3">
      <c r="A398" s="274" t="s">
        <v>870</v>
      </c>
      <c r="B398" s="629">
        <f>IF('Admin Input Sheet'!G$31="Store",B$390,0)</f>
        <v>0</v>
      </c>
      <c r="D398" s="632">
        <f t="shared" si="6"/>
        <v>0</v>
      </c>
    </row>
    <row r="399" spans="1:4" x14ac:dyDescent="0.3">
      <c r="A399" s="274" t="s">
        <v>871</v>
      </c>
      <c r="B399" s="628" t="str" cm="1">
        <f t="array" ref="B399">IF(OR('Customer Input Screen'!I17:K17="FL",'Customer Input Screen'!I17:K17="ga"),IF('Sales Input Sheet'!C6&lt;&gt;"cairo, ga",UPPER('Customer Input Screen'!I19),UPPER('Customer Input Screen'!I20)),"")</f>
        <v/>
      </c>
    </row>
    <row r="400" spans="1:4" x14ac:dyDescent="0.3">
      <c r="A400" s="274" t="s">
        <v>872</v>
      </c>
      <c r="B400" s="628" t="str">
        <f>IF(AND('Customer Input Screen'!I17="FL",'Customer Input Screen'!I19="")," STORE COUNTY TAX DUE TO NO KNOWN CUSTOMER COUNTY","")</f>
        <v/>
      </c>
    </row>
    <row r="401" spans="1:6" x14ac:dyDescent="0.3">
      <c r="A401" s="274" t="s">
        <v>873</v>
      </c>
      <c r="B401" s="628" t="str">
        <f>_xlfn.CONCAT(B399,B400)</f>
        <v/>
      </c>
    </row>
    <row r="402" spans="1:6" x14ac:dyDescent="0.3">
      <c r="A402" s="274" t="s">
        <v>874</v>
      </c>
      <c r="B402" s="628" t="str">
        <f>(IFERROR(VLOOKUP('Sales Input Sheet'!C6,'Store LOCATIONS'!A:F,6,FALSE),""))</f>
        <v/>
      </c>
    </row>
    <row r="403" spans="1:6" x14ac:dyDescent="0.3">
      <c r="A403" s="274" t="s">
        <v>875</v>
      </c>
      <c r="B403" s="628" t="str">
        <f>(IFERROR(VLOOKUP('Sales Input Sheet'!C6,'Store LOCATIONS'!A:F,6,FALSE),"")&amp;" SALES TAX")</f>
        <v xml:space="preserve"> SALES TAX</v>
      </c>
    </row>
    <row r="404" spans="1:6" x14ac:dyDescent="0.3">
      <c r="A404" s="274" t="s">
        <v>876</v>
      </c>
      <c r="B404" s="637">
        <f>IF(B$652="Tax Exempt",0,IF('Sales Input Sheet'!$C$6&lt;&gt;"CAIRO, GA",'Admin Input Sheet'!$C$41,'Admin Input Sheet'!$C$42))</f>
        <v>0.06</v>
      </c>
      <c r="F404" s="634"/>
    </row>
    <row r="405" spans="1:6" x14ac:dyDescent="0.3">
      <c r="A405" s="274" t="s">
        <v>877</v>
      </c>
      <c r="B405" s="629">
        <f>ROUND(IF(B$652="Tax Exempt",0,IF('Sales Input Sheet'!$C$6&lt;&gt;"CAIRO, GA",IF('Costing Sheet'!$C$17="Lease",B329+'Costing Sheet'!$Q$17+'Costing Sheet'!$Q$19,B364)*'Admin Input Sheet'!$C$41,B365*'Admin Input Sheet'!$C$42)),2)</f>
        <v>0</v>
      </c>
      <c r="D405" s="629">
        <f>IF(D$652="Tax Exempt",0,IF('Sales Input Sheet'!$C$6&lt;&gt;"CAIRO, GA",IF('Costing Sheet'!$C$17="Lease",D329+'Costing Sheet'!$Q$17+'Costing Sheet'!$Q$19,D364)*'Admin Input Sheet'!$C$41,D365*'Admin Input Sheet'!$C$42))</f>
        <v>0</v>
      </c>
      <c r="F405" s="634">
        <f>ROUND(IF(B$652="Tax Exempt",0,IF('Sales Input Sheet'!$C$6&lt;&gt;"CAIRO, GA",IF('Costing Sheet'!$C$17="Lease",F329+'Costing Sheet'!$Q$17+'Costing Sheet'!$Q$19,F364)*'Admin Input Sheet'!$C$41,F365*'Admin Input Sheet'!$C$42)),2)</f>
        <v>0</v>
      </c>
    </row>
    <row r="406" spans="1:6" x14ac:dyDescent="0.3">
      <c r="A406" s="274" t="s">
        <v>878</v>
      </c>
      <c r="B406" s="628" t="str">
        <f>IF(Calculations!B399&lt;&gt;"","",B409&amp;" COUNTY SALES TAX  OUT OF STATE OR NO COUNTY WAS SPECIFIED FOR CUSTOMER")</f>
        <v xml:space="preserve"> COUNTY SALES TAX  OUT OF STATE OR NO COUNTY WAS SPECIFIED FOR CUSTOMER</v>
      </c>
    </row>
    <row r="407" spans="1:6" x14ac:dyDescent="0.3">
      <c r="A407" s="274" t="s">
        <v>879</v>
      </c>
      <c r="B407" s="629">
        <f>ROUND(IF((B$368+B$370)&gt;0,(IF('Sales Input Sheet'!$C$6&lt;&gt;"cairo, ga",(B368*IFERROR(VLOOKUP($B$409,FlSalesSurtaxRates!$A$7:$B$90,2,FALSE),0)),(B370*IFERROR(VLOOKUP("Grady",'GA DISC TAX'!$A$2:$B$162,2,FALSE),0)))),0),2)</f>
        <v>0</v>
      </c>
      <c r="D407" s="629">
        <f>IF((D368+D370)&gt;0,(IF('Sales Input Sheet'!$C6&lt;&gt;"cairo, ga",(D368*IFERROR(VLOOKUP($B$409,FlSalesSurtaxRates!$A$7:$B$90,2,FALSE),0)),(D370*IFERROR(VLOOKUP("Grady",'GA DISC TAX'!$A$2:$B$162,2,FALSE),0)))),0)</f>
        <v>0</v>
      </c>
      <c r="F407" s="634">
        <f>ROUND(IF((F$368+F$370)&gt;0,(IF('Sales Input Sheet'!$C$6&lt;&gt;"cairo, ga",(F368*IFERROR(VLOOKUP($B$409,FlSalesSurtaxRates!$A$7:$B$90,2,FALSE),0)),(F370*IFERROR(VLOOKUP("Grady",'GA DISC TAX'!$A$2:$B$162,2,FALSE),0)))),0),2)</f>
        <v>0</v>
      </c>
    </row>
    <row r="408" spans="1:6" x14ac:dyDescent="0.3">
      <c r="A408" s="274" t="s">
        <v>880</v>
      </c>
      <c r="B408" s="637">
        <f>IF(B$652="Tax Exempt",0,IF('Sales Input Sheet'!$C$6&lt;&gt;"cairo, ga",(IFERROR(VLOOKUP($B$409,FlSalesSurtaxRates!$A$7:$B$90,2,FALSE),0)),(IFERROR(VLOOKUP("Grady",'GA DISC TAX'!$A$2:$B$162,2,FALSE),0))))</f>
        <v>0</v>
      </c>
      <c r="D408" s="629"/>
    </row>
    <row r="409" spans="1:6" x14ac:dyDescent="0.3">
      <c r="A409" s="274" t="s">
        <v>881</v>
      </c>
      <c r="B409" s="628" t="str">
        <f>IF('Sales Input Sheet'!$C$6&lt;&gt;"Cairo, GA",IFERROR(VLOOKUP('Sales Input Sheet'!$C$6,'Store LOCATIONS'!A2:O25,8,FALSE),""),"")</f>
        <v/>
      </c>
    </row>
    <row r="410" spans="1:6" x14ac:dyDescent="0.3">
      <c r="A410" s="274" t="s">
        <v>882</v>
      </c>
      <c r="B410" s="637">
        <f>IF(B$652="Tax Exempt",0,IF($B$399="",0,IF('Sales Input Sheet'!$C$6&lt;&gt;"CAIRO, GA",IFERROR(VLOOKUP('Customer Input Screen'!$I$19,FlSalesSurtaxRates!$A$7:$B$80,2,FALSE),0),IFERROR(VLOOKUP('Customer Input Screen'!$I$20,'GA DISC TAX'!$A$2:$B$160,2,FALSE),0))))</f>
        <v>0</v>
      </c>
    </row>
    <row r="411" spans="1:6" x14ac:dyDescent="0.3">
      <c r="A411" s="274" t="s">
        <v>883</v>
      </c>
      <c r="B411" s="637">
        <f>IF(B$652="Tax Exempt",0,IF(Calculations!$B$406="",0,IF('Sales Input Sheet'!$C$6&lt;&gt;"CAIRO, GA",IFERROR(VLOOKUP($B$409,FlSalesSurtaxRates!$A$7:$B$74,2,FALSE),0),IFERROR(VLOOKUP("Grady",'GA DISC TAX'!$A$2:$B$160,2,FALSE),0))))</f>
        <v>0</v>
      </c>
    </row>
    <row r="412" spans="1:6" x14ac:dyDescent="0.3">
      <c r="A412" s="274" t="s">
        <v>884</v>
      </c>
      <c r="B412" s="629">
        <f>IF($B$399="",0,IF('Sales Input Sheet'!$C$6&lt;&gt;"CAIRO, GA",IFERROR(VLOOKUP('Customer Input Screen'!$I$19,FlSalesSurtaxRates!$A$7:$B$80,2,FALSE),0),IFERROR(VLOOKUP('Customer Input Screen'!$I$20,'GA DISC TAX'!$A$2:$B$160,2,FALSE),0))*(IF('Sales Input Sheet'!$C$6="CAIRO, GA",(B366+B369+B332),(IF('Costing Sheet'!$C$17="Lease",('Costing Sheet'!Q17+'Costing Sheet'!Q19),B366)+B360+B330))))</f>
        <v>0</v>
      </c>
      <c r="D412" s="638">
        <f>IF($B$399="",0,IF('Sales Input Sheet'!$C$6&lt;&gt;"CAIRO, GA",IFERROR(VLOOKUP('Customer Input Screen'!$I$19,FlSalesSurtaxRates!$A$7:$B$80,2,FALSE),0),IFERROR(VLOOKUP('Customer Input Screen'!$I$20,'GA DISC TAX'!$A$2:$B$160,2,FALSE),0))*(IF('Sales Input Sheet'!$C$6="CAIRO, GA",(D366+D369+D332),(D366+D360+D330))))</f>
        <v>0</v>
      </c>
      <c r="F412" s="634">
        <f>IF($B$399="",0,IF('Sales Input Sheet'!$C$6&lt;&gt;"CAIRO, GA",IFERROR(VLOOKUP('Customer Input Screen'!$I$19,FlSalesSurtaxRates!$A$7:$B$80,2,FALSE),0),IFERROR(VLOOKUP('Customer Input Screen'!$I$20,'GA DISC TAX'!$A$2:$B$160,2,FALSE),0))*(IF('Sales Input Sheet'!$C$6="CAIRO, GA",(F366+F369),(IF('Costing Sheet'!$C$17="Lease",('Costing Sheet'!Q17+'Costing Sheet'!Q19),F366)+B360))))</f>
        <v>0</v>
      </c>
    </row>
    <row r="413" spans="1:6" x14ac:dyDescent="0.3">
      <c r="A413" s="274" t="s">
        <v>885</v>
      </c>
      <c r="B413" s="629">
        <f>ROUND(IF(Calculations!$B$406="",0,IF('Sales Input Sheet'!$C$6&lt;&gt;"CAIRO, GA",IFERROR(VLOOKUP($B$409,FlSalesSurtaxRates!$A$7:$B$74,2,FALSE),0),IFERROR(VLOOKUP("Grady",'GA DISC TAX'!$A$2:$B$160,2,FALSE),0))*(IF('Sales Input Sheet'!$C$6="CAIRO, GA",(B366+B369),SUM(B366+B367)))),2)</f>
        <v>0</v>
      </c>
      <c r="D413" s="629">
        <f>IF(Calculations!$B406="",0,IF('Sales Input Sheet'!$C$6&lt;&gt;"CAIRO, GA",IFERROR(VLOOKUP($B409,FlSalesSurtaxRates!$A$7:$B$74,2,FALSE),0),IFERROR(VLOOKUP("Grady",'GA DISC TAX'!$A$2:$B$160,2,FALSE),0))*(IF('Sales Input Sheet'!$C$6="CAIRO, GA",(D366+D369),SUM(D366+D367))))</f>
        <v>0</v>
      </c>
      <c r="F413" s="634">
        <f>ROUND(IF(Calculations!$B$406="",0,IF('Sales Input Sheet'!$C$6&lt;&gt;"CAIRO, GA",IFERROR(VLOOKUP($B$409,FlSalesSurtaxRates!$A$7:$B$74,2,FALSE),0),IFERROR(VLOOKUP("Grady",'GA DISC TAX'!$A$2:$B$160,2,FALSE),0))*(IF('Sales Input Sheet'!$C$6="CAIRO, GA",(F366+F369),SUM(F366+F367)))),2)</f>
        <v>0</v>
      </c>
    </row>
    <row r="414" spans="1:6" x14ac:dyDescent="0.3">
      <c r="A414" s="274" t="s">
        <v>886</v>
      </c>
      <c r="B414" s="628" t="str">
        <f>IF(B407=0,"",B409&amp;" COUNTY TAX DUE BASED ON SALE AT STORE LOCATION")</f>
        <v/>
      </c>
    </row>
    <row r="415" spans="1:6" ht="23" x14ac:dyDescent="0.3">
      <c r="A415" s="274" t="s">
        <v>887</v>
      </c>
      <c r="B415" s="639" t="str">
        <f>IF('Costing Sheet'!Y7="Include Kubota Insurance","Estimated Cost of Kubota Insurance included in payments.","")</f>
        <v/>
      </c>
    </row>
    <row r="416" spans="1:6" x14ac:dyDescent="0.3">
      <c r="A416" s="274" t="s">
        <v>888</v>
      </c>
      <c r="B416" s="628" t="str">
        <f>IF(OR('Costing Sheet'!Y11="Include Kubota Insurance",'Costing Sheet'!Y9="Include Kubota Insurance"),"Estimated Cost of Kubota Ins incl in pmts","")</f>
        <v/>
      </c>
    </row>
    <row r="417" spans="1:4" x14ac:dyDescent="0.3">
      <c r="A417" s="274" t="s">
        <v>889</v>
      </c>
      <c r="B417" s="628" t="str">
        <f>IF('Costing Sheet'!Y9="Include Kubota Insurance","KUBOTA PROPERTY INSURANCE","")</f>
        <v/>
      </c>
    </row>
    <row r="418" spans="1:4" x14ac:dyDescent="0.3">
      <c r="A418" s="274" t="s">
        <v>890</v>
      </c>
      <c r="B418" s="629">
        <f>IF('Costing Sheet'!Y7="Include Kubota Insurance",B422,0)</f>
        <v>0</v>
      </c>
    </row>
    <row r="419" spans="1:4" x14ac:dyDescent="0.3">
      <c r="A419" s="274" t="s">
        <v>891</v>
      </c>
      <c r="B419" s="629">
        <f>IF('Costing Sheet'!Y7="Include Kubota Insurance",B423,0)</f>
        <v>0</v>
      </c>
    </row>
    <row r="420" spans="1:4" x14ac:dyDescent="0.3">
      <c r="A420" s="274" t="s">
        <v>892</v>
      </c>
      <c r="B420" s="629">
        <f>IF('Costing Sheet'!Y7="Include Kubota Insurance",B424,0)</f>
        <v>0</v>
      </c>
    </row>
    <row r="421" spans="1:4" ht="23" x14ac:dyDescent="0.3">
      <c r="A421" s="640" t="s">
        <v>893</v>
      </c>
      <c r="B421" s="641">
        <f>IF(B417="Kubota Property Insurance",B426,0)</f>
        <v>0</v>
      </c>
    </row>
    <row r="422" spans="1:4" ht="24" customHeight="1" x14ac:dyDescent="0.3">
      <c r="A422" s="640" t="s">
        <v>894</v>
      </c>
      <c r="B422" s="642">
        <f ca="1">IF(AND(B309&gt;0,'Rates for Quote'!B4&gt;0),'Rates for Quote'!B4*Calculations!B$309+50,0)</f>
        <v>0</v>
      </c>
      <c r="D422" s="274" t="s">
        <v>895</v>
      </c>
    </row>
    <row r="423" spans="1:4" ht="17.25" customHeight="1" x14ac:dyDescent="0.3">
      <c r="A423" s="640" t="s">
        <v>896</v>
      </c>
      <c r="B423" s="642">
        <f ca="1">IF(AND(B309&gt;0,'Rates for Quote'!B6&gt;0),'Rates for Quote'!B6*Calculations!B$309+50,0)</f>
        <v>0</v>
      </c>
      <c r="D423" s="274" t="s">
        <v>895</v>
      </c>
    </row>
    <row r="424" spans="1:4" ht="25" customHeight="1" x14ac:dyDescent="0.3">
      <c r="A424" s="640" t="s">
        <v>897</v>
      </c>
      <c r="B424" s="642">
        <f ca="1">IF(AND(B309&gt;0,'Rates for Quote'!B8),'Rates for Quote'!B8*Calculations!B$309+50,0)</f>
        <v>0</v>
      </c>
      <c r="D424" s="274" t="s">
        <v>895</v>
      </c>
    </row>
    <row r="425" spans="1:4" ht="28" customHeight="1" x14ac:dyDescent="0.3">
      <c r="A425" s="640" t="s">
        <v>898</v>
      </c>
      <c r="B425" s="642">
        <f ca="1">IF(B426=0,0,IF(AND(B309&gt;0,'Costing Sheet'!U7&gt;0),'Costing Sheet'!U7*Calculations!B$309+50,0))</f>
        <v>0</v>
      </c>
    </row>
    <row r="426" spans="1:4" ht="27" customHeight="1" x14ac:dyDescent="0.3">
      <c r="A426" s="640" t="s">
        <v>899</v>
      </c>
      <c r="B426" s="643" cm="1">
        <f t="array" aca="1" ref="B426" ca="1">IF(AND(CELL("type",'Finance Manager Input Sheet'!E15)="v",'Finance Manager Input Sheet'!E15&gt;0),'Finance Manager Input Sheet'!E15,IF(AND(B309&gt;0,'Finance Manager Input Sheet'!C16&gt;0),'Finance Manager Input Sheet'!C16*B309+50,0))</f>
        <v>0</v>
      </c>
      <c r="D426" s="274" t="s">
        <v>895</v>
      </c>
    </row>
    <row r="427" spans="1:4" ht="16" customHeight="1" x14ac:dyDescent="0.3">
      <c r="A427" s="640" t="s">
        <v>900</v>
      </c>
      <c r="B427" s="642"/>
      <c r="D427" s="274">
        <f ca="1">IF(AND('Work a Quote'!D28="Include Kubota Insurance",B309&gt;0,'Work a Quote'!D3&gt;0),'Work a Quote'!D3*Calculations!B309+50,0)</f>
        <v>0</v>
      </c>
    </row>
    <row r="428" spans="1:4" ht="16" customHeight="1" x14ac:dyDescent="0.3">
      <c r="A428" s="640" t="s">
        <v>901</v>
      </c>
      <c r="B428" s="642"/>
      <c r="D428" s="274">
        <f ca="1">IF(AND('Work a Quote'!F28="Include Kubota Insurance",B309&gt;0,'Work a Quote'!F17&gt;0),'Work a Quote'!F17*Calculations!B309+50,0)</f>
        <v>0</v>
      </c>
    </row>
    <row r="429" spans="1:4" ht="23" x14ac:dyDescent="0.3">
      <c r="A429" s="640" t="s">
        <v>902</v>
      </c>
      <c r="B429" s="629">
        <f>IF('Rates for Quote'!B10&lt;B435,'Rates for Quote'!B10,B435)</f>
        <v>0</v>
      </c>
    </row>
    <row r="430" spans="1:4" ht="23" x14ac:dyDescent="0.3">
      <c r="A430" s="640" t="s">
        <v>903</v>
      </c>
      <c r="B430" s="629">
        <f>IF('Rates for Quote'!B11&lt;B435,'Rates for Quote'!B11,B435)</f>
        <v>0</v>
      </c>
    </row>
    <row r="431" spans="1:4" ht="23" x14ac:dyDescent="0.3">
      <c r="A431" s="640" t="s">
        <v>904</v>
      </c>
      <c r="B431" s="629">
        <f>IF('Rates for Quote'!B12&lt;B435,'Rates for Quote'!B12,B435)</f>
        <v>0</v>
      </c>
    </row>
    <row r="432" spans="1:4" ht="23" x14ac:dyDescent="0.3">
      <c r="A432" s="640" t="s">
        <v>905</v>
      </c>
      <c r="B432" s="644">
        <f>IF('Costing Sheet'!M$19="Regular Equipment Rate",'Rates for Quote'!C4,IF('Costing Sheet'!M19="Mower and UTV Rate",'Rates for Quote'!D4,IF('Costing Sheet'!M$19="Prime Rate",'Rates for Quote'!E4,IF('Costing Sheet'!M$19="Overide Rate",'Rates for Quote'!F4,'Rates for Quote'!C4))))</f>
        <v>0</v>
      </c>
    </row>
    <row r="433" spans="1:6" ht="23" x14ac:dyDescent="0.3">
      <c r="A433" s="640" t="s">
        <v>906</v>
      </c>
      <c r="B433" s="644">
        <f>IF('Costing Sheet'!M$19="Regular Equipment Rate",'Rates for Quote'!C6,IF('Costing Sheet'!M19="Mower and UTV Rate",'Rates for Quote'!D6,IF('Costing Sheet'!M$19="Prime Rate",'Rates for Quote'!E6,IF('Costing Sheet'!M$19="Overide Rate",'Rates for Quote'!F6,'Rates for Quote'!C6))))</f>
        <v>0</v>
      </c>
    </row>
    <row r="434" spans="1:6" ht="23" x14ac:dyDescent="0.3">
      <c r="A434" s="640" t="s">
        <v>907</v>
      </c>
      <c r="B434" s="644">
        <f>IF('Costing Sheet'!M$19="Regular Equipment Rate",'Rates for Quote'!C8,IF('Costing Sheet'!M19="Mower and UTV Rate",'Rates for Quote'!D8,IF('Costing Sheet'!M$19="Prime Rate",'Rates for Quote'!E8,IF('Costing Sheet'!M$19="Overide Rate",'Rates for Quote'!F8,'Rates for Quote'!C8))))</f>
        <v>0</v>
      </c>
    </row>
    <row r="435" spans="1:6" x14ac:dyDescent="0.3">
      <c r="A435" s="274" t="s">
        <v>908</v>
      </c>
      <c r="B435" s="632">
        <f>+B$413+B$412+B$407+B$405+B$386+B$385+B$319+B$439+'Costing Sheet'!$Q13-B$318+'Costing Sheet'!$Q15</f>
        <v>0</v>
      </c>
      <c r="D435" s="632">
        <f>+D$413+D$412+D$407+D$405+D$386+D$385+D$319+B$439+'Costing Sheet'!$Q13-D$318+'Costing Sheet'!$Q15</f>
        <v>0</v>
      </c>
      <c r="F435" s="634">
        <f>+F$413+F$412+F$407+F$405+B$386+B$385+B$319+B$439+'Costing Sheet'!$Q13-B$318+'Costing Sheet'!$Q15-B321</f>
        <v>0</v>
      </c>
    </row>
    <row r="436" spans="1:6" ht="23" x14ac:dyDescent="0.3">
      <c r="A436" s="640" t="s">
        <v>909</v>
      </c>
      <c r="B436" s="632">
        <f>+B435+B421</f>
        <v>0</v>
      </c>
      <c r="F436" s="634">
        <f>+F435+B421</f>
        <v>0</v>
      </c>
    </row>
    <row r="437" spans="1:6" x14ac:dyDescent="0.3">
      <c r="A437" s="645" t="s">
        <v>340</v>
      </c>
      <c r="B437" s="632">
        <f>+B$320+B$302+'Costing Sheet'!Q$3+'Costing Sheet'!Q$5+B439+B385+B386</f>
        <v>0</v>
      </c>
    </row>
    <row r="438" spans="1:6" ht="23" x14ac:dyDescent="0.3">
      <c r="A438" s="640" t="s">
        <v>347</v>
      </c>
      <c r="B438" s="632">
        <f>+B436-'Costing Sheet'!Q17-'Costing Sheet'!Q19</f>
        <v>0</v>
      </c>
    </row>
    <row r="439" spans="1:6" x14ac:dyDescent="0.3">
      <c r="A439" s="274" t="s">
        <v>910</v>
      </c>
      <c r="B439" s="632">
        <f>+'Costing Sheet'!Q7+'Costing Sheet'!Q9+'Costing Sheet'!Q11</f>
        <v>0</v>
      </c>
      <c r="D439" s="646" t="s">
        <v>911</v>
      </c>
    </row>
    <row r="440" spans="1:6" ht="23" x14ac:dyDescent="0.3">
      <c r="A440" s="640" t="s">
        <v>912</v>
      </c>
      <c r="B440" s="647">
        <f>IF(B$435&gt;B$429,-PMT(B$432/12,'Rates for Quote'!B$4,(B$435+IF('Costing Sheet'!Y7="Include Kubota Insurance",B$422,0)-B$429)),0)</f>
        <v>0</v>
      </c>
    </row>
    <row r="441" spans="1:6" ht="23" x14ac:dyDescent="0.3">
      <c r="A441" s="640" t="s">
        <v>913</v>
      </c>
      <c r="B441" s="647">
        <f>IF(B$435&gt;B$429,-PMT(B$433/12,'Rates for Quote'!B$6,(B$435+IF('Costing Sheet'!Y7="Include Kubota Insurance",B$423,0)-B$429)),0)</f>
        <v>0</v>
      </c>
    </row>
    <row r="442" spans="1:6" ht="23" x14ac:dyDescent="0.3">
      <c r="A442" s="640" t="s">
        <v>914</v>
      </c>
      <c r="B442" s="647">
        <f>IF(B$435&gt;B$429,-PMT(Calculations!B434/12,'Rates for Quote'!B$8,(B$435+IF('Costing Sheet'!Y7="Include Kubota Insurance",B$424,0)-B$429)),0)</f>
        <v>0</v>
      </c>
    </row>
    <row r="443" spans="1:6" ht="23" x14ac:dyDescent="0.3">
      <c r="A443" s="640" t="s">
        <v>915</v>
      </c>
      <c r="B443" s="647">
        <f>IF(B$435&gt;B$430,-PMT(B$432/12,'Rates for Quote'!B$4,(B$435+IF('Costing Sheet'!Y7="Include Kubota Insurance",B$422,0)-B$430)),0)</f>
        <v>0</v>
      </c>
    </row>
    <row r="444" spans="1:6" ht="23" x14ac:dyDescent="0.3">
      <c r="A444" s="640" t="s">
        <v>916</v>
      </c>
      <c r="B444" s="647">
        <f>IF(B$435&gt;B$430,-PMT(B$433/12,'Rates for Quote'!B$6,(B$435+IF('Costing Sheet'!Y7="Include Kubota Insurance",B$423,0)-B$430)),0)</f>
        <v>0</v>
      </c>
    </row>
    <row r="445" spans="1:6" ht="23" x14ac:dyDescent="0.3">
      <c r="A445" s="640" t="s">
        <v>917</v>
      </c>
      <c r="B445" s="647">
        <f>IF(B$435&gt;B$430,-PMT(B434/12,'Rates for Quote'!B$8,(B$435+IF('Costing Sheet'!Y7="Include Kubota Insurance",B$424,0)-B$430)),0)</f>
        <v>0</v>
      </c>
    </row>
    <row r="446" spans="1:6" ht="23" x14ac:dyDescent="0.3">
      <c r="A446" s="640" t="s">
        <v>918</v>
      </c>
      <c r="B446" s="647">
        <f>IF(B$435&gt;B$431,-PMT(B$432/12,'Rates for Quote'!B$4,(B$435+IF('Costing Sheet'!Y7="Include Kubota Insurance",B$422,0)-B$431)),0)</f>
        <v>0</v>
      </c>
    </row>
    <row r="447" spans="1:6" ht="23" x14ac:dyDescent="0.3">
      <c r="A447" s="640" t="s">
        <v>919</v>
      </c>
      <c r="B447" s="647">
        <f>IF(B$435&gt;B$431,-PMT(B$433/12,'Rates for Quote'!B$6,(B$435+IF('Costing Sheet'!Y7="Include Kubota Insurance",B$423,0)-B$431)),0)</f>
        <v>0</v>
      </c>
    </row>
    <row r="448" spans="1:6" ht="23" x14ac:dyDescent="0.3">
      <c r="A448" s="640" t="s">
        <v>920</v>
      </c>
      <c r="B448" s="647">
        <f>IF(B$435&gt;B$431,-PMT(B434/12,'Rates for Quote'!B$8,(B$435+IF('Costing Sheet'!Y7="Include Kubota Insurance",B$424,0)-B$431)),0)</f>
        <v>0</v>
      </c>
    </row>
    <row r="449" spans="1:4" ht="23" x14ac:dyDescent="0.3">
      <c r="A449" s="640" t="s">
        <v>921</v>
      </c>
      <c r="B449" s="647">
        <f>IF(B$435&gt;'Costing Sheet'!U11,-PMT('Costing Sheet'!U9/12,'Costing Sheet'!U7,(B$435+IF('Costing Sheet'!Y11="Include Kubota Insurance",'Costing Sheet'!U7*Calculations!B309+50,0)-'Costing Sheet'!U11)),0)</f>
        <v>0</v>
      </c>
      <c r="D449" s="634"/>
    </row>
    <row r="450" spans="1:4" ht="23" x14ac:dyDescent="0.3">
      <c r="A450" s="640" t="s">
        <v>922</v>
      </c>
      <c r="B450" s="648">
        <f>IF(B$435&gt;'Costing Sheet'!U11,-PMT('Finance Manager Input Sheet'!C17/12,'Finance Manager Input Sheet'!C16,B435+IF('Costing Sheet'!Y9="Include Kubota Insurance",B426,0)-'Costing Sheet'!U11+('Finance Manager Input Sheet'!C18-30)*'Finance Manager Input Sheet'!C17/360*(B435+IF('Costing Sheet'!Y9="Include Kubota Insurance",B426,0)-'Costing Sheet'!U11)),0)</f>
        <v>0</v>
      </c>
    </row>
    <row r="451" spans="1:4" ht="23" x14ac:dyDescent="0.3">
      <c r="A451" s="640" t="s">
        <v>923</v>
      </c>
      <c r="B451" s="628" t="str">
        <f>IF('Sales Input Sheet'!A19&lt;&gt;"",'Sales Input Sheet'!A19,"")</f>
        <v/>
      </c>
    </row>
    <row r="452" spans="1:4" ht="23" x14ac:dyDescent="0.3">
      <c r="A452" s="640" t="s">
        <v>924</v>
      </c>
      <c r="B452" s="628" t="str">
        <f>IF('Sales Input Sheet'!A20&lt;&gt;"",'Sales Input Sheet'!A20,"")</f>
        <v/>
      </c>
    </row>
    <row r="453" spans="1:4" ht="23" x14ac:dyDescent="0.3">
      <c r="A453" s="640" t="s">
        <v>925</v>
      </c>
      <c r="B453" s="628" t="str">
        <f>IF('Sales Input Sheet'!A21&lt;&gt;"",'Sales Input Sheet'!A21,"")</f>
        <v/>
      </c>
    </row>
    <row r="454" spans="1:4" x14ac:dyDescent="0.3">
      <c r="A454" s="274" t="s">
        <v>926</v>
      </c>
      <c r="B454" s="628" t="str">
        <f>IF('Sales Input Sheet'!A22&lt;&gt;"",'Sales Input Sheet'!A22,"")</f>
        <v/>
      </c>
    </row>
    <row r="455" spans="1:4" x14ac:dyDescent="0.3">
      <c r="A455" s="274" t="s">
        <v>927</v>
      </c>
      <c r="B455" s="628" t="str">
        <f>IF('Sales Input Sheet'!A23&lt;&gt;"",'Sales Input Sheet'!A23,"")</f>
        <v/>
      </c>
    </row>
    <row r="456" spans="1:4" x14ac:dyDescent="0.3">
      <c r="A456" s="274" t="s">
        <v>928</v>
      </c>
      <c r="B456" s="628" t="str">
        <f>IF('Sales Input Sheet'!A24&lt;&gt;"",'Sales Input Sheet'!A24,"")</f>
        <v/>
      </c>
    </row>
    <row r="457" spans="1:4" x14ac:dyDescent="0.3">
      <c r="A457" s="274" t="s">
        <v>929</v>
      </c>
      <c r="B457" s="628" t="str">
        <f>IF('Sales Input Sheet'!A25&lt;&gt;"",'Sales Input Sheet'!A25,"")</f>
        <v/>
      </c>
    </row>
    <row r="458" spans="1:4" x14ac:dyDescent="0.3">
      <c r="A458" s="274" t="s">
        <v>930</v>
      </c>
      <c r="B458" s="628" t="str">
        <f>IF('Sales Input Sheet'!A26&lt;&gt;"",'Sales Input Sheet'!A26,"")</f>
        <v/>
      </c>
    </row>
    <row r="459" spans="1:4" x14ac:dyDescent="0.3">
      <c r="A459" s="274" t="s">
        <v>931</v>
      </c>
      <c r="B459" s="628" t="str">
        <f>IF('Sales Input Sheet'!A27&lt;&gt;"",'Sales Input Sheet'!A27,"")</f>
        <v/>
      </c>
    </row>
    <row r="460" spans="1:4" x14ac:dyDescent="0.3">
      <c r="A460" s="274" t="s">
        <v>932</v>
      </c>
      <c r="B460" s="628" t="str">
        <f>IF('Sales Input Sheet'!A28&lt;&gt;"",'Sales Input Sheet'!A28,"")</f>
        <v/>
      </c>
    </row>
    <row r="461" spans="1:4" ht="23" x14ac:dyDescent="0.3">
      <c r="A461" s="640" t="s">
        <v>933</v>
      </c>
      <c r="B461" s="649">
        <f>+'Sales Input Sheet'!C31</f>
        <v>0</v>
      </c>
    </row>
    <row r="462" spans="1:4" ht="23" x14ac:dyDescent="0.3">
      <c r="A462" s="640" t="s">
        <v>934</v>
      </c>
      <c r="B462" s="649">
        <f>+'Sales Input Sheet'!C32</f>
        <v>0</v>
      </c>
    </row>
    <row r="463" spans="1:4" ht="23" x14ac:dyDescent="0.3">
      <c r="A463" s="640" t="s">
        <v>935</v>
      </c>
      <c r="B463" s="649">
        <f>+'Sales Input Sheet'!C33</f>
        <v>0</v>
      </c>
    </row>
    <row r="464" spans="1:4" ht="23" x14ac:dyDescent="0.3">
      <c r="A464" s="640" t="s">
        <v>936</v>
      </c>
      <c r="B464" s="649">
        <f>+'Sales Input Sheet'!C34</f>
        <v>0</v>
      </c>
    </row>
    <row r="465" spans="1:7" ht="23" x14ac:dyDescent="0.3">
      <c r="A465" s="640" t="s">
        <v>937</v>
      </c>
      <c r="B465" s="649">
        <f>+'Sales Input Sheet'!C35</f>
        <v>0</v>
      </c>
    </row>
    <row r="466" spans="1:7" ht="23" x14ac:dyDescent="0.3">
      <c r="A466" s="640" t="s">
        <v>938</v>
      </c>
      <c r="B466" s="628" t="str">
        <f>IF('Sales Input Sheet'!E31&lt;&gt;"",UPPER('Sales Input Sheet'!E31),"")</f>
        <v/>
      </c>
    </row>
    <row r="467" spans="1:7" ht="23" x14ac:dyDescent="0.3">
      <c r="A467" s="640" t="s">
        <v>939</v>
      </c>
      <c r="B467" s="628" t="str">
        <f>IF('Sales Input Sheet'!E32&lt;&gt;"",UPPER('Sales Input Sheet'!E32),"")</f>
        <v/>
      </c>
    </row>
    <row r="468" spans="1:7" ht="23" x14ac:dyDescent="0.3">
      <c r="A468" s="640" t="s">
        <v>940</v>
      </c>
      <c r="B468" s="628" t="str">
        <f>IF('Sales Input Sheet'!E33&lt;&gt;"",UPPER('Sales Input Sheet'!E33),"")</f>
        <v/>
      </c>
    </row>
    <row r="469" spans="1:7" ht="23" x14ac:dyDescent="0.3">
      <c r="A469" s="640" t="s">
        <v>941</v>
      </c>
      <c r="B469" s="628" t="str">
        <f>IF('Sales Input Sheet'!E34&lt;&gt;"",UPPER('Sales Input Sheet'!E34),"")</f>
        <v/>
      </c>
    </row>
    <row r="470" spans="1:7" ht="23" x14ac:dyDescent="0.3">
      <c r="A470" s="640" t="s">
        <v>942</v>
      </c>
      <c r="B470" s="628" t="str">
        <f>IF('Sales Input Sheet'!E35&lt;&gt;"",UPPER('Sales Input Sheet'!E35),"")</f>
        <v/>
      </c>
    </row>
    <row r="471" spans="1:7" ht="23" x14ac:dyDescent="0.3">
      <c r="A471" s="640" t="s">
        <v>943</v>
      </c>
      <c r="B471" s="628" t="str">
        <f>IF('Sales Input Sheet'!G31&lt;&gt;"",UPPER('Sales Input Sheet'!G31),"")</f>
        <v/>
      </c>
    </row>
    <row r="472" spans="1:7" ht="23" x14ac:dyDescent="0.3">
      <c r="A472" s="640" t="s">
        <v>944</v>
      </c>
      <c r="B472" s="628" t="str">
        <f>IF('Sales Input Sheet'!G32&lt;&gt;"",UPPER('Sales Input Sheet'!G32),"")</f>
        <v/>
      </c>
    </row>
    <row r="473" spans="1:7" ht="23" x14ac:dyDescent="0.3">
      <c r="A473" s="640" t="s">
        <v>945</v>
      </c>
      <c r="B473" s="628" t="str">
        <f>IF('Sales Input Sheet'!G33&lt;&gt;"",UPPER('Sales Input Sheet'!G33),"")</f>
        <v/>
      </c>
    </row>
    <row r="474" spans="1:7" ht="23" x14ac:dyDescent="0.3">
      <c r="A474" s="640" t="s">
        <v>946</v>
      </c>
      <c r="B474" s="628" t="str">
        <f>IF('Sales Input Sheet'!G34&lt;&gt;"",UPPER('Sales Input Sheet'!G34),"")</f>
        <v/>
      </c>
    </row>
    <row r="475" spans="1:7" ht="23" x14ac:dyDescent="0.3">
      <c r="A475" s="640" t="s">
        <v>947</v>
      </c>
      <c r="B475" s="628" t="str">
        <f>IF('Sales Input Sheet'!G35&lt;&gt;"",UPPER('Sales Input Sheet'!G35),"")</f>
        <v/>
      </c>
    </row>
    <row r="476" spans="1:7" ht="23" x14ac:dyDescent="0.3">
      <c r="A476" s="640" t="s">
        <v>948</v>
      </c>
      <c r="B476" s="628" t="str">
        <f>IF('Sales Input Sheet'!A38&lt;&gt;"",'Sales Input Sheet'!A38,"")</f>
        <v/>
      </c>
      <c r="G476" s="274" t="e">
        <f>IF(#REF!&lt;&gt;"",IFERROR(VLOOKUP(#REF!,Brands!$A$1:$B$200,2,FALSE),"OTHER"),"")</f>
        <v>#REF!</v>
      </c>
    </row>
    <row r="477" spans="1:7" ht="23" x14ac:dyDescent="0.3">
      <c r="A477" s="640" t="s">
        <v>949</v>
      </c>
      <c r="B477" s="628" t="str">
        <f>IF('Sales Input Sheet'!A39&lt;&gt;"",'Sales Input Sheet'!A39,"")</f>
        <v/>
      </c>
    </row>
    <row r="478" spans="1:7" ht="23" x14ac:dyDescent="0.3">
      <c r="A478" s="640" t="s">
        <v>950</v>
      </c>
      <c r="B478" s="628" t="str">
        <f>IF('Sales Input Sheet'!A40&lt;&gt;"",'Sales Input Sheet'!A40,"")</f>
        <v/>
      </c>
      <c r="G478" s="274" t="e">
        <f>IF(#REF!&lt;&gt;"",IFERROR(VLOOKUP(#REF!,Brands!$A$1:$B$200,2,FALSE),"OTHER"),"")</f>
        <v>#REF!</v>
      </c>
    </row>
    <row r="479" spans="1:7" ht="23" x14ac:dyDescent="0.3">
      <c r="A479" s="640" t="s">
        <v>951</v>
      </c>
      <c r="B479" s="628" t="str">
        <f>IF('Sales Input Sheet'!A41&lt;&gt;"",'Sales Input Sheet'!A41,"")</f>
        <v/>
      </c>
      <c r="G479" s="274" t="e">
        <f>IF(#REF!&lt;&gt;"",IFERROR(VLOOKUP(#REF!,Brands!$A$1:$B$200,2,FALSE),"OTHER"),"")</f>
        <v>#REF!</v>
      </c>
    </row>
    <row r="480" spans="1:7" ht="23" x14ac:dyDescent="0.3">
      <c r="A480" s="640" t="s">
        <v>952</v>
      </c>
      <c r="B480" s="628" t="str">
        <f>IF('Sales Input Sheet'!A42&lt;&gt;"",'Sales Input Sheet'!A42,"")</f>
        <v/>
      </c>
      <c r="G480" s="274" t="e">
        <f>IF(#REF!&lt;&gt;"",IFERROR(VLOOKUP(#REF!,Brands!$A$1:$B$200,2,FALSE),"OTHER"),"")</f>
        <v>#REF!</v>
      </c>
    </row>
    <row r="481" spans="1:5" ht="23" x14ac:dyDescent="0.3">
      <c r="A481" s="640" t="s">
        <v>953</v>
      </c>
      <c r="B481" s="628" t="str">
        <f>IF('Sales Input Sheet'!E38&lt;&gt;"",UPPER('Sales Input Sheet'!E38),"")</f>
        <v/>
      </c>
    </row>
    <row r="482" spans="1:5" ht="23" x14ac:dyDescent="0.3">
      <c r="A482" s="640" t="s">
        <v>954</v>
      </c>
      <c r="B482" s="628" t="str">
        <f>IF('Sales Input Sheet'!E39&lt;&gt;"",UPPER('Sales Input Sheet'!E39),"")</f>
        <v/>
      </c>
    </row>
    <row r="483" spans="1:5" ht="23" x14ac:dyDescent="0.3">
      <c r="A483" s="640" t="s">
        <v>955</v>
      </c>
      <c r="B483" s="628" t="str">
        <f>IF('Sales Input Sheet'!E40&lt;&gt;"",UPPER('Sales Input Sheet'!E40),"")</f>
        <v/>
      </c>
    </row>
    <row r="484" spans="1:5" ht="23" x14ac:dyDescent="0.3">
      <c r="A484" s="640" t="s">
        <v>956</v>
      </c>
      <c r="B484" s="628" t="str">
        <f>IF('Sales Input Sheet'!E41&lt;&gt;"",UPPER('Sales Input Sheet'!E41),"")</f>
        <v/>
      </c>
    </row>
    <row r="485" spans="1:5" ht="23" x14ac:dyDescent="0.3">
      <c r="A485" s="640" t="s">
        <v>957</v>
      </c>
      <c r="B485" s="628" t="str">
        <f>IF('Sales Input Sheet'!E42&lt;&gt;"",UPPER('Sales Input Sheet'!E42),"")</f>
        <v/>
      </c>
    </row>
    <row r="486" spans="1:5" ht="23" x14ac:dyDescent="0.3">
      <c r="A486" s="640" t="s">
        <v>958</v>
      </c>
      <c r="B486" s="628" t="str">
        <f>IF('Sales Input Sheet'!I38&lt;&gt;"",UPPER('Sales Input Sheet'!I38),"")</f>
        <v/>
      </c>
    </row>
    <row r="487" spans="1:5" ht="23" x14ac:dyDescent="0.3">
      <c r="A487" s="640" t="s">
        <v>959</v>
      </c>
      <c r="B487" s="628" t="str">
        <f>IF('Sales Input Sheet'!I39&lt;&gt;"",UPPER('Sales Input Sheet'!I39),"")</f>
        <v/>
      </c>
    </row>
    <row r="488" spans="1:5" ht="23" x14ac:dyDescent="0.3">
      <c r="A488" s="640" t="s">
        <v>960</v>
      </c>
      <c r="B488" s="628" t="str">
        <f>IF('Sales Input Sheet'!I40&lt;&gt;"",UPPER('Sales Input Sheet'!I40),"")</f>
        <v/>
      </c>
    </row>
    <row r="489" spans="1:5" ht="23" x14ac:dyDescent="0.3">
      <c r="A489" s="640" t="s">
        <v>961</v>
      </c>
      <c r="B489" s="628" t="str">
        <f>IF('Sales Input Sheet'!I41&lt;&gt;"",UPPER('Sales Input Sheet'!I41),"")</f>
        <v/>
      </c>
    </row>
    <row r="490" spans="1:5" ht="23" x14ac:dyDescent="0.3">
      <c r="A490" s="640" t="s">
        <v>962</v>
      </c>
      <c r="B490" s="628" t="str">
        <f>IF('Sales Input Sheet'!I42&lt;&gt;"",UPPER('Sales Input Sheet'!I42),"")</f>
        <v/>
      </c>
    </row>
    <row r="491" spans="1:5" ht="23" x14ac:dyDescent="0.3">
      <c r="A491" s="640" t="s">
        <v>963</v>
      </c>
      <c r="B491" s="628" t="str">
        <f>IF('Sales Input Sheet'!A38&lt;&gt;"",UPPER('Sales Input Sheet'!C38),"")</f>
        <v/>
      </c>
    </row>
    <row r="492" spans="1:5" ht="23" x14ac:dyDescent="0.3">
      <c r="A492" s="640" t="s">
        <v>964</v>
      </c>
      <c r="B492" s="628" t="str">
        <f>IF('Sales Input Sheet'!A39&lt;&gt;"",UPPER('Sales Input Sheet'!C39),"")</f>
        <v/>
      </c>
    </row>
    <row r="493" spans="1:5" ht="23" x14ac:dyDescent="0.3">
      <c r="A493" s="640" t="s">
        <v>965</v>
      </c>
      <c r="B493" s="628" t="str">
        <f>IF('Sales Input Sheet'!A40&lt;&gt;"",UPPER('Sales Input Sheet'!C40),"")</f>
        <v/>
      </c>
    </row>
    <row r="494" spans="1:5" ht="23" x14ac:dyDescent="0.3">
      <c r="A494" s="640" t="s">
        <v>966</v>
      </c>
      <c r="B494" s="628" t="str">
        <f>IF('Sales Input Sheet'!A41&lt;&gt;"",UPPER('Sales Input Sheet'!C41),"")</f>
        <v/>
      </c>
    </row>
    <row r="495" spans="1:5" ht="23" x14ac:dyDescent="0.3">
      <c r="A495" s="640" t="s">
        <v>967</v>
      </c>
      <c r="B495" s="628" t="str">
        <f>IF('Sales Input Sheet'!A42&lt;&gt;"",UPPER('Sales Input Sheet'!C42),"")</f>
        <v/>
      </c>
    </row>
    <row r="496" spans="1:5" ht="23" x14ac:dyDescent="0.3">
      <c r="A496" s="640" t="s">
        <v>968</v>
      </c>
      <c r="B496" s="628" t="str">
        <f>+IF('Sales Input Sheet'!S$45&lt;&gt;"",UPPER('Sales Input Sheet'!S$45),"")</f>
        <v/>
      </c>
      <c r="E496" s="650"/>
    </row>
    <row r="497" spans="1:5" ht="23" x14ac:dyDescent="0.3">
      <c r="A497" s="640" t="s">
        <v>969</v>
      </c>
      <c r="B497" s="628" t="str">
        <f>+IF('Sales Input Sheet'!S$46&lt;&gt;"",UPPER('Sales Input Sheet'!S$46),"")</f>
        <v/>
      </c>
      <c r="E497" s="650"/>
    </row>
    <row r="498" spans="1:5" ht="23" x14ac:dyDescent="0.3">
      <c r="A498" s="640" t="s">
        <v>970</v>
      </c>
      <c r="B498" s="629">
        <f>+IF('Costing Sheet'!I49&lt;&gt;"",'Costing Sheet'!I49,0)</f>
        <v>0</v>
      </c>
    </row>
    <row r="499" spans="1:5" ht="23" x14ac:dyDescent="0.3">
      <c r="A499" s="640" t="s">
        <v>971</v>
      </c>
      <c r="B499" s="629">
        <f>+IF('Costing Sheet'!I50&lt;&gt;"",'Costing Sheet'!I50,0)</f>
        <v>0</v>
      </c>
    </row>
    <row r="500" spans="1:5" ht="23" x14ac:dyDescent="0.3">
      <c r="A500" s="640" t="s">
        <v>972</v>
      </c>
      <c r="B500" s="629">
        <f>+IF('Sales Input Sheet'!M45&lt;&gt;"",'Sales Input Sheet'!M45,0)</f>
        <v>0</v>
      </c>
    </row>
    <row r="501" spans="1:5" ht="23" x14ac:dyDescent="0.3">
      <c r="A501" s="640" t="s">
        <v>973</v>
      </c>
      <c r="B501" s="629">
        <f>+IF('Sales Input Sheet'!M46&lt;&gt;"",'Sales Input Sheet'!M46,0)</f>
        <v>0</v>
      </c>
    </row>
    <row r="502" spans="1:5" ht="23" x14ac:dyDescent="0.3">
      <c r="A502" s="640" t="s">
        <v>974</v>
      </c>
      <c r="B502" s="628" t="str">
        <f>+IF('Sales Input Sheet'!G$45&lt;&gt;"",UPPER('Sales Input Sheet'!G$45),"")</f>
        <v/>
      </c>
    </row>
    <row r="503" spans="1:5" ht="23" x14ac:dyDescent="0.3">
      <c r="A503" s="640" t="s">
        <v>975</v>
      </c>
      <c r="B503" s="628" t="str">
        <f>+IF('Sales Input Sheet'!G$46&lt;&gt;"",UPPER('Sales Input Sheet'!G$46),"")</f>
        <v/>
      </c>
    </row>
    <row r="504" spans="1:5" ht="23" x14ac:dyDescent="0.3">
      <c r="A504" s="640" t="s">
        <v>976</v>
      </c>
      <c r="B504" s="628" t="str">
        <f>+IF('Sales Input Sheet'!C$45&lt;&gt;"",UPPER('Sales Input Sheet'!C$45),"")</f>
        <v/>
      </c>
    </row>
    <row r="505" spans="1:5" ht="23" x14ac:dyDescent="0.3">
      <c r="A505" s="640" t="s">
        <v>977</v>
      </c>
      <c r="B505" s="628" t="str">
        <f>+IF('Sales Input Sheet'!C$46&lt;&gt;"",UPPER('Sales Input Sheet'!C$46),"")</f>
        <v/>
      </c>
    </row>
    <row r="506" spans="1:5" ht="23" x14ac:dyDescent="0.3">
      <c r="A506" s="640" t="s">
        <v>978</v>
      </c>
      <c r="B506" s="628" t="str">
        <f>+IF('Sales Input Sheet'!E$45&lt;&gt;"",UPPER('Sales Input Sheet'!E$45),"")</f>
        <v/>
      </c>
    </row>
    <row r="507" spans="1:5" ht="23" x14ac:dyDescent="0.3">
      <c r="A507" s="640" t="s">
        <v>979</v>
      </c>
      <c r="B507" s="628" t="str">
        <f>+IF('Sales Input Sheet'!E$46&lt;&gt;"",UPPER('Sales Input Sheet'!E$46),"")</f>
        <v/>
      </c>
    </row>
    <row r="508" spans="1:5" ht="23" x14ac:dyDescent="0.3">
      <c r="A508" s="640" t="s">
        <v>980</v>
      </c>
      <c r="B508" s="629">
        <f>+IF('Costing Sheet'!O$49&lt;&gt;"",'Costing Sheet'!O$49,0)</f>
        <v>0</v>
      </c>
      <c r="D508" s="634"/>
    </row>
    <row r="509" spans="1:5" ht="23" x14ac:dyDescent="0.3">
      <c r="A509" s="640" t="s">
        <v>981</v>
      </c>
      <c r="B509" s="629">
        <f>+IF('Costing Sheet'!O$50&lt;&gt;"",'Costing Sheet'!O$50,0)</f>
        <v>0</v>
      </c>
    </row>
    <row r="510" spans="1:5" ht="23" x14ac:dyDescent="0.3">
      <c r="A510" s="640" t="s">
        <v>982</v>
      </c>
      <c r="B510" s="628" t="str">
        <f>+IF('Sales Input Sheet'!I$45&lt;&gt;"",UPPER('Sales Input Sheet'!I$45),"")</f>
        <v/>
      </c>
    </row>
    <row r="511" spans="1:5" ht="23" x14ac:dyDescent="0.3">
      <c r="A511" s="640" t="s">
        <v>983</v>
      </c>
      <c r="B511" s="628" t="str">
        <f>+IF('Sales Input Sheet'!I$46&lt;&gt;"",UPPER('Sales Input Sheet'!I$46),"")</f>
        <v/>
      </c>
    </row>
    <row r="512" spans="1:5" ht="23" x14ac:dyDescent="0.3">
      <c r="A512" s="640" t="s">
        <v>984</v>
      </c>
      <c r="B512" s="628" t="str">
        <f>+IF('Costing Sheet'!U$49&lt;&gt;"",UPPER('Costing Sheet'!U$49),"")</f>
        <v/>
      </c>
    </row>
    <row r="513" spans="1:2" ht="23" x14ac:dyDescent="0.3">
      <c r="A513" s="640" t="s">
        <v>985</v>
      </c>
      <c r="B513" s="628" t="str">
        <f>+IF('Costing Sheet'!U$50&lt;&gt;"",UPPER('Costing Sheet'!U$50),"")</f>
        <v/>
      </c>
    </row>
    <row r="514" spans="1:2" ht="23" x14ac:dyDescent="0.3">
      <c r="A514" s="640" t="s">
        <v>968</v>
      </c>
      <c r="B514" s="628" t="str">
        <f>+IF('Sales Input Sheet'!S$45&lt;&gt;"",UPPER('Sales Input Sheet'!S$45),"")</f>
        <v/>
      </c>
    </row>
    <row r="515" spans="1:2" ht="23" x14ac:dyDescent="0.3">
      <c r="A515" s="640" t="s">
        <v>969</v>
      </c>
      <c r="B515" s="628" t="str">
        <f>+IF('Sales Input Sheet'!S$46&lt;&gt;"",UPPER('Sales Input Sheet'!S$46),"")</f>
        <v/>
      </c>
    </row>
    <row r="516" spans="1:2" x14ac:dyDescent="0.3">
      <c r="A516" s="274" t="s">
        <v>986</v>
      </c>
      <c r="B516" s="629">
        <f>B232-B242</f>
        <v>0</v>
      </c>
    </row>
    <row r="517" spans="1:2" x14ac:dyDescent="0.3">
      <c r="A517" s="274" t="s">
        <v>987</v>
      </c>
      <c r="B517" s="629">
        <f t="shared" ref="B517:B525" si="7">B233-B243</f>
        <v>0</v>
      </c>
    </row>
    <row r="518" spans="1:2" x14ac:dyDescent="0.3">
      <c r="A518" s="274" t="s">
        <v>988</v>
      </c>
      <c r="B518" s="629">
        <f t="shared" si="7"/>
        <v>0</v>
      </c>
    </row>
    <row r="519" spans="1:2" x14ac:dyDescent="0.3">
      <c r="A519" s="274" t="s">
        <v>989</v>
      </c>
      <c r="B519" s="629">
        <f t="shared" si="7"/>
        <v>0</v>
      </c>
    </row>
    <row r="520" spans="1:2" x14ac:dyDescent="0.3">
      <c r="A520" s="274" t="s">
        <v>990</v>
      </c>
      <c r="B520" s="629">
        <f t="shared" si="7"/>
        <v>0</v>
      </c>
    </row>
    <row r="521" spans="1:2" x14ac:dyDescent="0.3">
      <c r="A521" s="274" t="s">
        <v>991</v>
      </c>
      <c r="B521" s="629">
        <f t="shared" si="7"/>
        <v>0</v>
      </c>
    </row>
    <row r="522" spans="1:2" x14ac:dyDescent="0.3">
      <c r="A522" s="274" t="s">
        <v>992</v>
      </c>
      <c r="B522" s="629">
        <f t="shared" si="7"/>
        <v>0</v>
      </c>
    </row>
    <row r="523" spans="1:2" x14ac:dyDescent="0.3">
      <c r="A523" s="274" t="s">
        <v>993</v>
      </c>
      <c r="B523" s="629">
        <f t="shared" si="7"/>
        <v>0</v>
      </c>
    </row>
    <row r="524" spans="1:2" x14ac:dyDescent="0.3">
      <c r="A524" s="274" t="s">
        <v>994</v>
      </c>
      <c r="B524" s="629">
        <f t="shared" si="7"/>
        <v>0</v>
      </c>
    </row>
    <row r="525" spans="1:2" x14ac:dyDescent="0.3">
      <c r="A525" s="274" t="s">
        <v>995</v>
      </c>
      <c r="B525" s="629">
        <f t="shared" si="7"/>
        <v>0</v>
      </c>
    </row>
    <row r="526" spans="1:2" x14ac:dyDescent="0.3">
      <c r="A526" s="274" t="s">
        <v>996</v>
      </c>
      <c r="B526" s="651">
        <f>+'Costing Sheet'!I22-'Costing Sheet'!K22</f>
        <v>0</v>
      </c>
    </row>
    <row r="527" spans="1:2" x14ac:dyDescent="0.3">
      <c r="A527" s="274" t="s">
        <v>997</v>
      </c>
      <c r="B527" s="651">
        <f>+'Costing Sheet'!I23-'Costing Sheet'!K23</f>
        <v>0</v>
      </c>
    </row>
    <row r="528" spans="1:2" x14ac:dyDescent="0.3">
      <c r="A528" s="274" t="s">
        <v>998</v>
      </c>
      <c r="B528" s="651">
        <f>+'Costing Sheet'!I24-'Costing Sheet'!K24</f>
        <v>0</v>
      </c>
    </row>
    <row r="529" spans="1:2" x14ac:dyDescent="0.3">
      <c r="A529" s="274" t="s">
        <v>999</v>
      </c>
      <c r="B529" s="651">
        <f>+'Costing Sheet'!I25-'Costing Sheet'!K25</f>
        <v>0</v>
      </c>
    </row>
    <row r="530" spans="1:2" x14ac:dyDescent="0.3">
      <c r="A530" s="274" t="s">
        <v>1000</v>
      </c>
      <c r="B530" s="651">
        <f>+'Costing Sheet'!I26-'Costing Sheet'!K26</f>
        <v>0</v>
      </c>
    </row>
    <row r="531" spans="1:2" x14ac:dyDescent="0.3">
      <c r="A531" s="274" t="s">
        <v>1001</v>
      </c>
      <c r="B531" s="651">
        <f>+'Costing Sheet'!I27-'Costing Sheet'!K27</f>
        <v>0</v>
      </c>
    </row>
    <row r="532" spans="1:2" x14ac:dyDescent="0.3">
      <c r="A532" s="274" t="s">
        <v>1002</v>
      </c>
      <c r="B532" s="651">
        <f>+'Costing Sheet'!I28-'Costing Sheet'!K28</f>
        <v>0</v>
      </c>
    </row>
    <row r="533" spans="1:2" x14ac:dyDescent="0.3">
      <c r="A533" s="274" t="s">
        <v>1003</v>
      </c>
      <c r="B533" s="651">
        <f>+'Costing Sheet'!I29-'Costing Sheet'!K29</f>
        <v>0</v>
      </c>
    </row>
    <row r="534" spans="1:2" x14ac:dyDescent="0.3">
      <c r="A534" s="274" t="s">
        <v>1004</v>
      </c>
      <c r="B534" s="651">
        <f>+'Costing Sheet'!I30-'Costing Sheet'!K30</f>
        <v>0</v>
      </c>
    </row>
    <row r="535" spans="1:2" x14ac:dyDescent="0.3">
      <c r="A535" s="274" t="s">
        <v>1005</v>
      </c>
      <c r="B535" s="651">
        <f>+'Costing Sheet'!I31-'Costing Sheet'!K31</f>
        <v>0</v>
      </c>
    </row>
    <row r="536" spans="1:2" x14ac:dyDescent="0.3">
      <c r="A536" s="274" t="s">
        <v>1006</v>
      </c>
      <c r="B536" s="651">
        <f>+'Costing Sheet'!I34-'Costing Sheet'!K34</f>
        <v>0</v>
      </c>
    </row>
    <row r="537" spans="1:2" x14ac:dyDescent="0.3">
      <c r="A537" s="274" t="s">
        <v>1007</v>
      </c>
      <c r="B537" s="651">
        <f>+'Costing Sheet'!I35-'Costing Sheet'!K35</f>
        <v>0</v>
      </c>
    </row>
    <row r="538" spans="1:2" x14ac:dyDescent="0.3">
      <c r="A538" s="274" t="s">
        <v>1008</v>
      </c>
      <c r="B538" s="651">
        <f>+'Costing Sheet'!I36-'Costing Sheet'!K36</f>
        <v>0</v>
      </c>
    </row>
    <row r="539" spans="1:2" x14ac:dyDescent="0.3">
      <c r="A539" s="274" t="s">
        <v>1009</v>
      </c>
      <c r="B539" s="651">
        <f>+'Costing Sheet'!I37-'Costing Sheet'!K37</f>
        <v>0</v>
      </c>
    </row>
    <row r="540" spans="1:2" x14ac:dyDescent="0.3">
      <c r="A540" s="274" t="s">
        <v>1010</v>
      </c>
      <c r="B540" s="651">
        <f>+'Costing Sheet'!I38-'Costing Sheet'!K38</f>
        <v>0</v>
      </c>
    </row>
    <row r="541" spans="1:2" x14ac:dyDescent="0.3">
      <c r="A541" s="274" t="s">
        <v>1006</v>
      </c>
      <c r="B541" s="651">
        <f>+B149-B150</f>
        <v>0</v>
      </c>
    </row>
    <row r="542" spans="1:2" x14ac:dyDescent="0.3">
      <c r="A542" s="274" t="s">
        <v>1007</v>
      </c>
      <c r="B542" s="651">
        <f>B157-B158</f>
        <v>0</v>
      </c>
    </row>
    <row r="543" spans="1:2" x14ac:dyDescent="0.3">
      <c r="A543" s="274" t="s">
        <v>1008</v>
      </c>
      <c r="B543" s="651">
        <f>B165-B166</f>
        <v>0</v>
      </c>
    </row>
    <row r="544" spans="1:2" x14ac:dyDescent="0.3">
      <c r="A544" s="274" t="s">
        <v>1009</v>
      </c>
      <c r="B544" s="651">
        <f>B173-B174</f>
        <v>0</v>
      </c>
    </row>
    <row r="545" spans="1:2" x14ac:dyDescent="0.3">
      <c r="A545" s="274" t="s">
        <v>1010</v>
      </c>
      <c r="B545" s="651">
        <f>B181-B182</f>
        <v>0</v>
      </c>
    </row>
    <row r="546" spans="1:2" x14ac:dyDescent="0.3">
      <c r="A546" s="274" t="s">
        <v>1011</v>
      </c>
      <c r="B546" s="625">
        <f>'Sales Input Sheet'!A19</f>
        <v>0</v>
      </c>
    </row>
    <row r="547" spans="1:2" x14ac:dyDescent="0.3">
      <c r="A547" s="274" t="s">
        <v>1012</v>
      </c>
      <c r="B547" s="625">
        <f>'Sales Input Sheet'!A20</f>
        <v>0</v>
      </c>
    </row>
    <row r="548" spans="1:2" x14ac:dyDescent="0.3">
      <c r="A548" s="274" t="s">
        <v>1013</v>
      </c>
      <c r="B548" s="625">
        <f>'Sales Input Sheet'!A21</f>
        <v>0</v>
      </c>
    </row>
    <row r="549" spans="1:2" x14ac:dyDescent="0.3">
      <c r="A549" s="274" t="s">
        <v>1014</v>
      </c>
      <c r="B549" s="625">
        <f>'Sales Input Sheet'!A22</f>
        <v>0</v>
      </c>
    </row>
    <row r="550" spans="1:2" x14ac:dyDescent="0.3">
      <c r="A550" s="274" t="s">
        <v>1015</v>
      </c>
      <c r="B550" s="625">
        <f>'Sales Input Sheet'!A23</f>
        <v>0</v>
      </c>
    </row>
    <row r="551" spans="1:2" x14ac:dyDescent="0.3">
      <c r="A551" s="274" t="s">
        <v>1016</v>
      </c>
      <c r="B551" s="625">
        <f>'Sales Input Sheet'!A24</f>
        <v>0</v>
      </c>
    </row>
    <row r="552" spans="1:2" x14ac:dyDescent="0.3">
      <c r="A552" s="274" t="s">
        <v>1017</v>
      </c>
      <c r="B552" s="625">
        <f>'Sales Input Sheet'!A25</f>
        <v>0</v>
      </c>
    </row>
    <row r="553" spans="1:2" x14ac:dyDescent="0.3">
      <c r="A553" s="274" t="s">
        <v>1018</v>
      </c>
      <c r="B553" s="625">
        <f>'Sales Input Sheet'!A26</f>
        <v>0</v>
      </c>
    </row>
    <row r="554" spans="1:2" x14ac:dyDescent="0.3">
      <c r="A554" s="274" t="s">
        <v>1019</v>
      </c>
      <c r="B554" s="625">
        <f>'Sales Input Sheet'!A27</f>
        <v>0</v>
      </c>
    </row>
    <row r="555" spans="1:2" x14ac:dyDescent="0.3">
      <c r="A555" s="274" t="s">
        <v>1020</v>
      </c>
      <c r="B555" s="625">
        <f>'Sales Input Sheet'!A28</f>
        <v>0</v>
      </c>
    </row>
    <row r="556" spans="1:2" x14ac:dyDescent="0.3">
      <c r="A556" s="274" t="s">
        <v>1021</v>
      </c>
      <c r="B556" s="625">
        <f>'Sales Input Sheet'!G31</f>
        <v>0</v>
      </c>
    </row>
    <row r="557" spans="1:2" x14ac:dyDescent="0.3">
      <c r="A557" s="274" t="s">
        <v>1022</v>
      </c>
      <c r="B557" s="625">
        <f>'Sales Input Sheet'!G32</f>
        <v>0</v>
      </c>
    </row>
    <row r="558" spans="1:2" x14ac:dyDescent="0.3">
      <c r="A558" s="274" t="s">
        <v>1023</v>
      </c>
      <c r="B558" s="625">
        <f>'Sales Input Sheet'!G33</f>
        <v>0</v>
      </c>
    </row>
    <row r="559" spans="1:2" x14ac:dyDescent="0.3">
      <c r="A559" s="274" t="s">
        <v>1024</v>
      </c>
      <c r="B559" s="625">
        <f>'Sales Input Sheet'!G34</f>
        <v>0</v>
      </c>
    </row>
    <row r="560" spans="1:2" x14ac:dyDescent="0.3">
      <c r="A560" s="274" t="s">
        <v>1025</v>
      </c>
      <c r="B560" s="625">
        <f>'Sales Input Sheet'!G35</f>
        <v>0</v>
      </c>
    </row>
    <row r="561" spans="1:7" ht="147" x14ac:dyDescent="0.3">
      <c r="A561" s="274" t="s">
        <v>1026</v>
      </c>
      <c r="B561" s="652" t="str">
        <f>UPPER("This is to certify that the items identified below, purchased on or after "&amp;TEXT('Costing Sheet'!C11,"mmmm d, yyyy")&amp;" from "&amp;Calculations!B568&amp;" are purchased, leased, licensed, or rented for the following purpose. This is not intended to be an exhaustive list:")</f>
        <v>THIS IS TO CERTIFY THAT THE ITEMS IDENTIFIED BELOW, PURCHASED ON OR AFTER JANUARY 0, 1900 FROM  ARE PURCHASED, LEASED, LICENSED, OR RENTED FOR THE FOLLOWING PURPOSE. THIS IS NOT INTENDED TO BE AN EXHAUSTIVE LIST:</v>
      </c>
      <c r="D561" s="653"/>
    </row>
    <row r="562" spans="1:7" x14ac:dyDescent="0.3">
      <c r="A562" s="274" t="s">
        <v>1027</v>
      </c>
      <c r="D562" s="653"/>
    </row>
    <row r="563" spans="1:7" x14ac:dyDescent="0.3">
      <c r="A563" s="274" t="s">
        <v>1028</v>
      </c>
      <c r="D563" s="653"/>
    </row>
    <row r="564" spans="1:7" x14ac:dyDescent="0.3">
      <c r="A564" s="274" t="s">
        <v>1029</v>
      </c>
    </row>
    <row r="565" spans="1:7" x14ac:dyDescent="0.3">
      <c r="A565" s="274" t="s">
        <v>1030</v>
      </c>
    </row>
    <row r="566" spans="1:7" x14ac:dyDescent="0.3">
      <c r="A566" s="274" t="s">
        <v>1031</v>
      </c>
    </row>
    <row r="567" spans="1:7" ht="92" x14ac:dyDescent="0.3">
      <c r="A567" s="274" t="s">
        <v>1032</v>
      </c>
      <c r="B567" s="654" t="str">
        <f>UPPER("Customer Acknowledges that they have / it has received all items to be delivered by "&amp;B568&amp;" under invoice number  - "&amp;'Costing Sheet'!C13&amp;" except for those items listed below:")</f>
        <v>CUSTOMER ACKNOWLEDGES THAT THEY HAVE / IT HAS RECEIVED ALL ITEMS TO BE DELIVERED BY  UNDER INVOICE NUMBER  -  EXCEPT FOR THOSE ITEMS LISTED BELOW:</v>
      </c>
    </row>
    <row r="568" spans="1:7" x14ac:dyDescent="0.3">
      <c r="A568" s="274" t="s">
        <v>1033</v>
      </c>
      <c r="B568" s="1145" t="str">
        <f>IFERROR(VLOOKUP('Sales Input Sheet'!C$6,'Store LOCATIONS'!A1:J19,10,FALSE),"")</f>
        <v/>
      </c>
      <c r="C568" s="1145"/>
      <c r="D568" s="1145"/>
      <c r="E568" s="1145"/>
      <c r="F568" s="1145"/>
      <c r="G568" s="1145"/>
    </row>
    <row r="569" spans="1:7" x14ac:dyDescent="0.3">
      <c r="A569" s="274" t="s">
        <v>1034</v>
      </c>
      <c r="B569" s="1145" t="str">
        <f>IFERROR(VLOOKUP('Sales Input Sheet'!C$6,'Store LOCATIONS'!A2:H19,4,FALSE),"")</f>
        <v/>
      </c>
      <c r="C569" s="1145"/>
      <c r="D569" s="1145"/>
      <c r="E569" s="1145"/>
      <c r="F569" s="1145"/>
      <c r="G569" s="1145"/>
    </row>
    <row r="570" spans="1:7" x14ac:dyDescent="0.3">
      <c r="A570" s="274" t="s">
        <v>1035</v>
      </c>
      <c r="B570" s="1145" t="str">
        <f>IFERROR(VLOOKUP('Sales Input Sheet'!C$6,'Store LOCATIONS'!A1:I19,9,FALSE),"")</f>
        <v/>
      </c>
      <c r="C570" s="1145"/>
      <c r="D570" s="1145"/>
      <c r="E570" s="1145"/>
      <c r="F570" s="1145"/>
      <c r="G570" s="1145"/>
    </row>
    <row r="571" spans="1:7" x14ac:dyDescent="0.3">
      <c r="A571" s="274" t="s">
        <v>1036</v>
      </c>
      <c r="B571" s="1145" t="str">
        <f>IFERROR(VLOOKUP('Sales Input Sheet'!C$6,'Store LOCATIONS'!A1:I19,3,FALSE),"")</f>
        <v/>
      </c>
      <c r="C571" s="1145"/>
      <c r="D571" s="1145"/>
      <c r="E571" s="1145"/>
      <c r="F571" s="1145"/>
      <c r="G571" s="1145"/>
    </row>
    <row r="572" spans="1:7" x14ac:dyDescent="0.3">
      <c r="A572" s="274" t="s">
        <v>1037</v>
      </c>
      <c r="B572" s="1145" t="s">
        <v>1038</v>
      </c>
      <c r="C572" s="1145"/>
      <c r="D572" s="1145"/>
      <c r="E572" s="1145"/>
      <c r="F572" s="1145"/>
      <c r="G572" s="1145"/>
    </row>
    <row r="573" spans="1:7" x14ac:dyDescent="0.3">
      <c r="A573" s="274" t="s">
        <v>1039</v>
      </c>
      <c r="B573" s="651">
        <f>'Costing Sheet'!O22-'Costing Sheet'!Q22+'Costing Sheet'!AE22+'Costing Sheet'!AI22+'Costing Sheet'!AO22</f>
        <v>0</v>
      </c>
    </row>
    <row r="574" spans="1:7" x14ac:dyDescent="0.3">
      <c r="A574" s="274" t="s">
        <v>1040</v>
      </c>
      <c r="B574" s="651">
        <f>'Costing Sheet'!O23-'Costing Sheet'!Q23+'Costing Sheet'!AE23+'Costing Sheet'!AI23+'Costing Sheet'!AO23</f>
        <v>0</v>
      </c>
    </row>
    <row r="575" spans="1:7" x14ac:dyDescent="0.3">
      <c r="A575" s="274" t="s">
        <v>1041</v>
      </c>
      <c r="B575" s="651">
        <f>'Costing Sheet'!O24-'Costing Sheet'!Q24+'Costing Sheet'!AE24+'Costing Sheet'!AI24+'Costing Sheet'!AO24</f>
        <v>0</v>
      </c>
    </row>
    <row r="576" spans="1:7" x14ac:dyDescent="0.3">
      <c r="A576" s="274" t="s">
        <v>1042</v>
      </c>
      <c r="B576" s="651">
        <f>'Costing Sheet'!O25-'Costing Sheet'!Q25+'Costing Sheet'!AE25+'Costing Sheet'!AI25+'Costing Sheet'!AO25</f>
        <v>0</v>
      </c>
    </row>
    <row r="577" spans="1:2" x14ac:dyDescent="0.3">
      <c r="A577" s="274" t="s">
        <v>1043</v>
      </c>
      <c r="B577" s="651">
        <f>'Costing Sheet'!O26-'Costing Sheet'!Q26+'Costing Sheet'!AE26+'Costing Sheet'!AI26+'Costing Sheet'!AO26</f>
        <v>0</v>
      </c>
    </row>
    <row r="578" spans="1:2" x14ac:dyDescent="0.3">
      <c r="A578" s="274" t="s">
        <v>1044</v>
      </c>
      <c r="B578" s="651">
        <f>'Costing Sheet'!O27-'Costing Sheet'!Q27+'Costing Sheet'!AE27+'Costing Sheet'!AI27+'Costing Sheet'!AO27</f>
        <v>0</v>
      </c>
    </row>
    <row r="579" spans="1:2" x14ac:dyDescent="0.3">
      <c r="A579" s="274" t="s">
        <v>1045</v>
      </c>
      <c r="B579" s="651">
        <f>'Costing Sheet'!O28-'Costing Sheet'!Q28+'Costing Sheet'!AE28+'Costing Sheet'!AI28+'Costing Sheet'!AO28</f>
        <v>0</v>
      </c>
    </row>
    <row r="580" spans="1:2" x14ac:dyDescent="0.3">
      <c r="A580" s="274" t="s">
        <v>1046</v>
      </c>
      <c r="B580" s="651">
        <f>'Costing Sheet'!O29-'Costing Sheet'!Q29+'Costing Sheet'!AE29+'Costing Sheet'!AI29+'Costing Sheet'!AO29</f>
        <v>0</v>
      </c>
    </row>
    <row r="581" spans="1:2" x14ac:dyDescent="0.3">
      <c r="A581" s="274" t="s">
        <v>1047</v>
      </c>
      <c r="B581" s="651">
        <f>'Costing Sheet'!O30-'Costing Sheet'!Q30+'Costing Sheet'!AE30+'Costing Sheet'!AI30+'Costing Sheet'!AO30</f>
        <v>0</v>
      </c>
    </row>
    <row r="582" spans="1:2" x14ac:dyDescent="0.3">
      <c r="A582" s="274" t="s">
        <v>1048</v>
      </c>
      <c r="B582" s="651">
        <f>'Costing Sheet'!O31-'Costing Sheet'!Q31+'Costing Sheet'!AE31+'Costing Sheet'!AI31+'Costing Sheet'!AO31</f>
        <v>0</v>
      </c>
    </row>
    <row r="583" spans="1:2" x14ac:dyDescent="0.3">
      <c r="A583" s="274" t="s">
        <v>1049</v>
      </c>
      <c r="B583" s="651">
        <f>+'Costing Sheet'!O34-'Costing Sheet'!Q34+'Costing Sheet'!AE34</f>
        <v>0</v>
      </c>
    </row>
    <row r="584" spans="1:2" x14ac:dyDescent="0.3">
      <c r="A584" s="274" t="s">
        <v>1050</v>
      </c>
      <c r="B584" s="651">
        <f>+'Costing Sheet'!O35-'Costing Sheet'!Q35+'Costing Sheet'!AE35</f>
        <v>0</v>
      </c>
    </row>
    <row r="585" spans="1:2" x14ac:dyDescent="0.3">
      <c r="A585" s="274" t="s">
        <v>1051</v>
      </c>
      <c r="B585" s="651">
        <f>+'Costing Sheet'!O36-'Costing Sheet'!Q36+'Costing Sheet'!AE36</f>
        <v>0</v>
      </c>
    </row>
    <row r="586" spans="1:2" x14ac:dyDescent="0.3">
      <c r="A586" s="274" t="s">
        <v>1052</v>
      </c>
      <c r="B586" s="651">
        <f>+'Costing Sheet'!O37-'Costing Sheet'!Q37+'Costing Sheet'!AE37</f>
        <v>0</v>
      </c>
    </row>
    <row r="587" spans="1:2" x14ac:dyDescent="0.3">
      <c r="A587" s="274" t="s">
        <v>1053</v>
      </c>
      <c r="B587" s="651">
        <f>+'Costing Sheet'!O38-'Costing Sheet'!Q38+'Costing Sheet'!AE38</f>
        <v>0</v>
      </c>
    </row>
    <row r="588" spans="1:2" x14ac:dyDescent="0.3">
      <c r="A588" s="274" t="s">
        <v>1054</v>
      </c>
      <c r="B588" s="651">
        <f>+'Costing Sheet'!A42*'Costing Sheet'!O42</f>
        <v>0</v>
      </c>
    </row>
    <row r="589" spans="1:2" x14ac:dyDescent="0.3">
      <c r="A589" s="274" t="s">
        <v>1055</v>
      </c>
      <c r="B589" s="651">
        <f>+'Costing Sheet'!A43*'Costing Sheet'!O43</f>
        <v>0</v>
      </c>
    </row>
    <row r="590" spans="1:2" x14ac:dyDescent="0.3">
      <c r="A590" s="274" t="s">
        <v>1056</v>
      </c>
      <c r="B590" s="651">
        <f>+'Costing Sheet'!A44*'Costing Sheet'!O44</f>
        <v>0</v>
      </c>
    </row>
    <row r="591" spans="1:2" x14ac:dyDescent="0.3">
      <c r="A591" s="274" t="s">
        <v>1057</v>
      </c>
      <c r="B591" s="651">
        <f>+'Costing Sheet'!A45*'Costing Sheet'!O45</f>
        <v>0</v>
      </c>
    </row>
    <row r="592" spans="1:2" x14ac:dyDescent="0.3">
      <c r="A592" s="274" t="s">
        <v>1058</v>
      </c>
      <c r="B592" s="651">
        <f>+'Costing Sheet'!A46*'Costing Sheet'!O46</f>
        <v>0</v>
      </c>
    </row>
    <row r="593" spans="1:5" x14ac:dyDescent="0.3">
      <c r="A593" s="274" t="s">
        <v>1059</v>
      </c>
      <c r="B593" s="651">
        <f>'Costing Sheet'!I49-'Costing Sheet'!O49</f>
        <v>0</v>
      </c>
    </row>
    <row r="594" spans="1:5" x14ac:dyDescent="0.3">
      <c r="A594" s="274" t="s">
        <v>1060</v>
      </c>
      <c r="B594" s="651">
        <f>'Costing Sheet'!I50-'Costing Sheet'!O50</f>
        <v>0</v>
      </c>
      <c r="D594" s="634"/>
    </row>
    <row r="595" spans="1:5" x14ac:dyDescent="0.3">
      <c r="A595" s="274" t="s">
        <v>380</v>
      </c>
      <c r="B595" s="651">
        <f>SUM(B573:B594)+SUM(B191:B195)+SUM(B718:B721)</f>
        <v>0</v>
      </c>
    </row>
    <row r="596" spans="1:5" x14ac:dyDescent="0.3">
      <c r="A596" s="274" t="s">
        <v>1061</v>
      </c>
      <c r="B596" s="655">
        <f>IF(F$435&gt;'Costing Sheet'!U11,-PMT('Finance Manager Input Sheet'!C17/12,'Finance Manager Input Sheet'!C16,F435+IF(OR('Costing Sheet'!Y11="Include Kubota Insurance",'Costing Sheet'!Y9="Include Kubota Insurance"),B724,0)-'Costing Sheet'!U11+('Finance Manager Input Sheet'!C18-30)*'Finance Manager Input Sheet'!C17/360*(F435+IF(OR('Costing Sheet'!Y11="Include Kubota Insurance",'Costing Sheet'!Y9="Include Kubota Insurance"),B724,0)-'Costing Sheet'!U11)),0)</f>
        <v>0</v>
      </c>
      <c r="D596" s="656"/>
    </row>
    <row r="597" spans="1:5" x14ac:dyDescent="0.3">
      <c r="A597" s="274" t="s">
        <v>43</v>
      </c>
      <c r="B597" s="273" t="str">
        <f>IF('Customer Input Screen'!I10&lt;&gt;"",UPPER('Customer Input Screen'!I10),"")</f>
        <v/>
      </c>
    </row>
    <row r="598" spans="1:5" x14ac:dyDescent="0.3">
      <c r="A598" s="274" t="s">
        <v>415</v>
      </c>
      <c r="B598" s="273" t="str">
        <f>IF(Calculations!B3&lt;&gt;"",UPPER(Calculations!B3),"")</f>
        <v xml:space="preserve">  </v>
      </c>
    </row>
    <row r="599" spans="1:5" x14ac:dyDescent="0.3">
      <c r="A599" s="274" t="s">
        <v>1062</v>
      </c>
      <c r="B599" s="273" t="str">
        <f>IF('Customer Input Screen'!I14&lt;&gt;"",UPPER('Customer Input Screen'!I14),"")</f>
        <v/>
      </c>
    </row>
    <row r="600" spans="1:5" x14ac:dyDescent="0.3">
      <c r="A600" s="274" t="s">
        <v>1063</v>
      </c>
      <c r="B600" s="273" t="str">
        <f>IF('Customer Input Screen'!I15&lt;&gt;"",UPPER('Customer Input Screen'!I15),"")</f>
        <v/>
      </c>
    </row>
    <row r="601" spans="1:5" x14ac:dyDescent="0.3">
      <c r="A601" s="274" t="s">
        <v>1064</v>
      </c>
      <c r="B601" s="273" t="str">
        <f>IF('Customer Input Screen'!I16&lt;&gt;"",UPPER(_xlfn.CONCAT('Customer Input Screen'!I16&amp;", "&amp;'Customer Input Screen'!I17&amp;" "&amp;'Customer Input Screen'!I18)),"")</f>
        <v/>
      </c>
    </row>
    <row r="602" spans="1:5" x14ac:dyDescent="0.3">
      <c r="A602" s="274" t="s">
        <v>1065</v>
      </c>
      <c r="B602" s="273" t="str">
        <f>+UPPER('Customer Input Screen'!I21)</f>
        <v/>
      </c>
    </row>
    <row r="603" spans="1:5" x14ac:dyDescent="0.3">
      <c r="A603" s="273" t="s">
        <v>21</v>
      </c>
      <c r="B603" s="1143" t="str">
        <f>+'Customer Input Screen'!I22</f>
        <v/>
      </c>
      <c r="C603" s="1143"/>
      <c r="D603" s="1143"/>
      <c r="E603" s="1143"/>
    </row>
    <row r="604" spans="1:5" x14ac:dyDescent="0.3">
      <c r="A604" s="273" t="s">
        <v>23</v>
      </c>
      <c r="B604" s="1143" t="str">
        <f>+'Customer Input Screen'!I23</f>
        <v/>
      </c>
      <c r="C604" s="1143"/>
      <c r="D604" s="1143"/>
      <c r="E604" s="1143"/>
    </row>
    <row r="605" spans="1:5" x14ac:dyDescent="0.3">
      <c r="A605" s="273" t="s">
        <v>22</v>
      </c>
      <c r="B605" s="1143" t="str">
        <f>+'Customer Input Screen'!I24</f>
        <v/>
      </c>
      <c r="C605" s="1143"/>
      <c r="D605" s="1143"/>
      <c r="E605" s="1143"/>
    </row>
    <row r="606" spans="1:5" x14ac:dyDescent="0.3">
      <c r="A606" s="274" t="s">
        <v>1066</v>
      </c>
      <c r="B606" s="657" t="e">
        <f>RATE('Work a Quote'!D3,-'Work a Quote'!D9,(B435-'Work a Quote'!D4))*12</f>
        <v>#NUM!</v>
      </c>
    </row>
    <row r="607" spans="1:5" x14ac:dyDescent="0.3">
      <c r="A607" s="274" t="s">
        <v>1067</v>
      </c>
      <c r="B607" s="274" t="e">
        <f>NPER('Work a Quote'!D2/12,-'Work a Quote'!D9,(B435-'Work a Quote'!D4))</f>
        <v>#DIV/0!</v>
      </c>
    </row>
    <row r="608" spans="1:5" x14ac:dyDescent="0.3">
      <c r="A608" s="274" t="s">
        <v>1068</v>
      </c>
      <c r="B608" s="656">
        <f>PV('Work a Quote'!D2/12,'Work a Quote'!D3,('Work a Quote'!D9-'Work a Quote'!D5))+'Work a Quote'!D4</f>
        <v>0</v>
      </c>
    </row>
    <row r="609" spans="1:6" x14ac:dyDescent="0.3">
      <c r="A609" s="274" t="s">
        <v>1069</v>
      </c>
      <c r="B609" s="658" cm="1">
        <f t="array" aca="1" ref="B609" ca="1">IF(AND(CELL("type",'Finance Manager Input Sheet'!C20)="v",'Finance Manager Input Sheet'!C20&gt;0),(('Finance Manager Input Sheet'!$C$16*-PMT('Finance Manager Input Sheet'!$C$17/12,'Finance Manager Input Sheet'!$C$16,Calculations!B436-'Costing Sheet'!U11))-('Finance Manager Input Sheet'!$C$16*-PMT('Finance Manager Input Sheet'!$C$20/12,'Finance Manager Input Sheet'!$C$16,Calculations!B436-'Costing Sheet'!U11)))*'Finance Manager Input Sheet'!C21,0)</f>
        <v>0</v>
      </c>
    </row>
    <row r="610" spans="1:6" ht="22" customHeight="1" x14ac:dyDescent="0.3">
      <c r="A610" s="645" t="str">
        <f>UPPER(_xlfn.CONCAT("ADDITIONAL PAYMENT FOR ",'Finance Manager Input Sheet'!$R$3))</f>
        <v>ADDITIONAL PAYMENT FOR PLATINUM PACKAGE</v>
      </c>
      <c r="B610" s="659" t="e">
        <f>-PMT('Finance Manager Input Sheet'!$C$17/12,'Finance Manager Input Sheet'!$C$16,'Finance Manager Input Sheet'!AC$14+('Finance Manager Input Sheet'!$C$17/360*('Finance Manager Input Sheet'!$C$18-30)*'Finance Manager Input Sheet'!AC$14))</f>
        <v>#NUM!</v>
      </c>
    </row>
    <row r="611" spans="1:6" x14ac:dyDescent="0.3">
      <c r="A611" s="645" t="str">
        <f>UPPER(_xlfn.CONCAT("ADDITIONAL PAYMENT FOR ",'Finance Manager Input Sheet'!$T$3))</f>
        <v>ADDITIONAL PAYMENT FOR GOLD PACKAGE</v>
      </c>
      <c r="B611" s="659" t="e">
        <f>-PMT('Finance Manager Input Sheet'!$C$17/12,'Finance Manager Input Sheet'!$C$16,'Finance Manager Input Sheet'!AG14+('Finance Manager Input Sheet'!$C$17/360*('Finance Manager Input Sheet'!$C$18-30)*'Finance Manager Input Sheet'!AG$14))</f>
        <v>#NUM!</v>
      </c>
    </row>
    <row r="612" spans="1:6" x14ac:dyDescent="0.3">
      <c r="A612" s="645" t="str">
        <f>UPPER(_xlfn.CONCAT("ADDITIONAL PAYMENT FOR ",'Finance Manager Input Sheet'!$V$3))</f>
        <v>ADDITIONAL PAYMENT FOR SILVER PACKAGE</v>
      </c>
      <c r="B612" s="659" t="e">
        <f>-PMT('Finance Manager Input Sheet'!$C$17/12,'Finance Manager Input Sheet'!$C$16,'Finance Manager Input Sheet'!AK14+('Finance Manager Input Sheet'!$C$17/360*('Finance Manager Input Sheet'!$C$18-30)*'Finance Manager Input Sheet'!AK$14))</f>
        <v>#NUM!</v>
      </c>
    </row>
    <row r="613" spans="1:6" x14ac:dyDescent="0.3">
      <c r="A613" s="645" t="str">
        <f>UPPER(_xlfn.CONCAT("ADDITIONAL PAYMENT FOR ",'Finance Manager Input Sheet'!$X$3))</f>
        <v>ADDITIONAL PAYMENT FOR BRONZE PACKAGE</v>
      </c>
      <c r="B613" s="659" t="e">
        <f>-PMT('Finance Manager Input Sheet'!$C$17/12,'Finance Manager Input Sheet'!$C$16,'Finance Manager Input Sheet'!AO14+('Finance Manager Input Sheet'!$C$17/360*('Finance Manager Input Sheet'!$C$18-30)*'Finance Manager Input Sheet'!AO$14))</f>
        <v>#NUM!</v>
      </c>
      <c r="F613" s="656"/>
    </row>
    <row r="614" spans="1:6" ht="133" customHeight="1" x14ac:dyDescent="0.3">
      <c r="A614" s="274" t="s">
        <v>1070</v>
      </c>
      <c r="B614" s="636" t="str">
        <f>"For presentation purposes and submitting for approval of financing, payments are based upon a "&amp;'Finance Manager Input Sheet'!C16&amp;" month term at an annual interest rate of "&amp;TEXT('Finance Manager Input Sheet'!C17,"0.00%")&amp;".  Actual term and rates may vary based upon financing available based upon customers credit and other factors."</f>
        <v>For presentation purposes and submitting for approval of financing, payments are based upon a  month term at an annual interest rate of 0.00%.  Actual term and rates may vary based upon financing available based upon customers credit and other factors.</v>
      </c>
      <c r="C614" s="636"/>
      <c r="D614" s="636"/>
      <c r="E614" s="636"/>
      <c r="F614" s="636"/>
    </row>
    <row r="615" spans="1:6" ht="44.25" customHeight="1" x14ac:dyDescent="0.3">
      <c r="A615" s="274" t="s">
        <v>1071</v>
      </c>
      <c r="B615" s="636"/>
      <c r="C615" s="636"/>
      <c r="D615" s="636"/>
      <c r="E615" s="636"/>
      <c r="F615" s="636"/>
    </row>
    <row r="616" spans="1:6" ht="29" x14ac:dyDescent="0.3">
      <c r="A616" s="274" t="s">
        <v>1072</v>
      </c>
      <c r="B616" s="660" t="e">
        <f>IF(OR(B311&lt;-499,B311/B310&lt;-0.05),"YOUR SAVINGS","")</f>
        <v>#DIV/0!</v>
      </c>
    </row>
    <row r="617" spans="1:6" ht="29" x14ac:dyDescent="0.3">
      <c r="A617" s="274" t="s">
        <v>1073</v>
      </c>
      <c r="B617" s="661" t="e">
        <f>IF(OR(B311&lt;-499,B311/B310&lt;-0.05),Calculations!B311,0)</f>
        <v>#DIV/0!</v>
      </c>
      <c r="C617" s="661"/>
    </row>
    <row r="618" spans="1:6" x14ac:dyDescent="0.3">
      <c r="A618" s="274" t="s">
        <v>1074</v>
      </c>
      <c r="B618" s="628" t="str">
        <f>IF('Sales Input Sheet'!A19&lt;&gt;"",IFERROR(VLOOKUP('Sales Input Sheet'!A19,'Inventory Data'!$B$1:$J$12000,7,FALSE),"Not Found"),"")</f>
        <v/>
      </c>
    </row>
    <row r="619" spans="1:6" x14ac:dyDescent="0.3">
      <c r="A619" s="274" t="s">
        <v>1075</v>
      </c>
      <c r="B619" s="628" t="str">
        <f>IF('Sales Input Sheet'!A20&lt;&gt;"",IFERROR(VLOOKUP('Sales Input Sheet'!A20,'Inventory Data'!$B$1:$J$12000,7,FALSE),"Not Found"),"")</f>
        <v/>
      </c>
    </row>
    <row r="620" spans="1:6" x14ac:dyDescent="0.3">
      <c r="A620" s="274" t="s">
        <v>1076</v>
      </c>
      <c r="B620" s="628" t="str">
        <f>IF('Sales Input Sheet'!A21&lt;&gt;"",IFERROR(VLOOKUP('Sales Input Sheet'!A21,'Inventory Data'!$B$1:$J$12000,7,FALSE),"Not Found"),"")</f>
        <v/>
      </c>
    </row>
    <row r="621" spans="1:6" x14ac:dyDescent="0.3">
      <c r="A621" s="274" t="s">
        <v>1077</v>
      </c>
      <c r="B621" s="628" t="str">
        <f>IF('Sales Input Sheet'!A22&lt;&gt;"",IFERROR(VLOOKUP('Sales Input Sheet'!A22,'Inventory Data'!$B$1:$J$12000,7,FALSE),"Not Found"),"")</f>
        <v/>
      </c>
    </row>
    <row r="622" spans="1:6" x14ac:dyDescent="0.3">
      <c r="A622" s="274" t="s">
        <v>1078</v>
      </c>
      <c r="B622" s="628" t="str">
        <f>IF('Sales Input Sheet'!A23&lt;&gt;"",IFERROR(VLOOKUP('Sales Input Sheet'!A23,'Inventory Data'!$B$1:$J$12000,7,FALSE),"Not Found"),"")</f>
        <v/>
      </c>
    </row>
    <row r="623" spans="1:6" x14ac:dyDescent="0.3">
      <c r="A623" s="274" t="s">
        <v>1079</v>
      </c>
      <c r="B623" s="628" t="str">
        <f>IF('Sales Input Sheet'!A24&lt;&gt;"",IFERROR(VLOOKUP('Sales Input Sheet'!A24,'Inventory Data'!$B$1:$J$12000,7,FALSE),"Not Found"),"")</f>
        <v/>
      </c>
    </row>
    <row r="624" spans="1:6" x14ac:dyDescent="0.3">
      <c r="A624" s="274" t="s">
        <v>1080</v>
      </c>
      <c r="B624" s="628" t="str">
        <f>IF('Sales Input Sheet'!A25&lt;&gt;"",IFERROR(VLOOKUP('Sales Input Sheet'!A25,'Inventory Data'!$B$1:$J$12000,7,FALSE),"Not Found"),"")</f>
        <v/>
      </c>
    </row>
    <row r="625" spans="1:2" x14ac:dyDescent="0.3">
      <c r="A625" s="274" t="s">
        <v>1081</v>
      </c>
      <c r="B625" s="628" t="str">
        <f>IF('Sales Input Sheet'!A26&lt;&gt;"",IFERROR(VLOOKUP('Sales Input Sheet'!A26,'Inventory Data'!$B$1:$J$12000,7,FALSE),"Not Found"),"")</f>
        <v/>
      </c>
    </row>
    <row r="626" spans="1:2" x14ac:dyDescent="0.3">
      <c r="A626" s="274" t="s">
        <v>1082</v>
      </c>
      <c r="B626" s="628" t="str">
        <f>IF('Sales Input Sheet'!A27&lt;&gt;"",IFERROR(VLOOKUP('Sales Input Sheet'!A27,'Inventory Data'!$B$1:$J$12000,7,FALSE),"Not Found"),"")</f>
        <v/>
      </c>
    </row>
    <row r="627" spans="1:2" x14ac:dyDescent="0.3">
      <c r="A627" s="274" t="s">
        <v>1083</v>
      </c>
      <c r="B627" s="628" t="str">
        <f>IF('Sales Input Sheet'!A28&lt;&gt;"",IFERROR(VLOOKUP('Sales Input Sheet'!A28,'Inventory Data'!$B$1:$J$12000,7,FALSE),"Not Found"),"")</f>
        <v/>
      </c>
    </row>
    <row r="628" spans="1:2" x14ac:dyDescent="0.3">
      <c r="A628" s="274" t="s">
        <v>1084</v>
      </c>
      <c r="B628" s="625" t="str">
        <f>IF(B638=0,B639,UPPER(_xlfn.CONCAT('Costing Sheet'!AK22," ",'Costing Sheet'!AM22)))</f>
        <v>NOTHING OWED</v>
      </c>
    </row>
    <row r="629" spans="1:2" x14ac:dyDescent="0.3">
      <c r="A629" s="274" t="s">
        <v>1085</v>
      </c>
      <c r="B629" s="625" t="str">
        <f>IF(B$638=0,"",UPPER(_xlfn.CONCAT('Costing Sheet'!AK23," ",'Costing Sheet'!AM23)))</f>
        <v/>
      </c>
    </row>
    <row r="630" spans="1:2" x14ac:dyDescent="0.3">
      <c r="A630" s="274" t="s">
        <v>1086</v>
      </c>
      <c r="B630" s="625" t="str">
        <f>IF(B$638=0,"",UPPER(_xlfn.CONCAT('Costing Sheet'!AK24," ",'Costing Sheet'!AM24)))</f>
        <v/>
      </c>
    </row>
    <row r="631" spans="1:2" x14ac:dyDescent="0.3">
      <c r="A631" s="274" t="s">
        <v>1087</v>
      </c>
      <c r="B631" s="625" t="str">
        <f>IF(B$638=0,"",UPPER(_xlfn.CONCAT('Costing Sheet'!AK25," ",'Costing Sheet'!AM25)))</f>
        <v/>
      </c>
    </row>
    <row r="632" spans="1:2" x14ac:dyDescent="0.3">
      <c r="A632" s="274" t="s">
        <v>1088</v>
      </c>
      <c r="B632" s="625" t="str">
        <f>IF(B$638=0,"",UPPER(_xlfn.CONCAT('Costing Sheet'!AK26," ",'Costing Sheet'!AM26)))</f>
        <v/>
      </c>
    </row>
    <row r="633" spans="1:2" x14ac:dyDescent="0.3">
      <c r="A633" s="274" t="s">
        <v>1089</v>
      </c>
      <c r="B633" s="625" t="str">
        <f>IF(B$638=0,"",UPPER(_xlfn.CONCAT('Costing Sheet'!AK27," ",'Costing Sheet'!AM27)))</f>
        <v/>
      </c>
    </row>
    <row r="634" spans="1:2" x14ac:dyDescent="0.3">
      <c r="A634" s="274" t="s">
        <v>1090</v>
      </c>
      <c r="B634" s="625" t="str">
        <f>IF(B$638=0,"",UPPER(_xlfn.CONCAT('Costing Sheet'!AK28," ",'Costing Sheet'!AM28)))</f>
        <v/>
      </c>
    </row>
    <row r="635" spans="1:2" x14ac:dyDescent="0.3">
      <c r="A635" s="274" t="s">
        <v>1091</v>
      </c>
      <c r="B635" s="625" t="str">
        <f>IF(B$638=0,"",UPPER(_xlfn.CONCAT('Costing Sheet'!AK29," ",'Costing Sheet'!AM29)))</f>
        <v/>
      </c>
    </row>
    <row r="636" spans="1:2" x14ac:dyDescent="0.3">
      <c r="A636" s="274" t="s">
        <v>1092</v>
      </c>
      <c r="B636" s="625" t="str">
        <f>IF(B$638=0,"",UPPER(_xlfn.CONCAT('Costing Sheet'!AK30," ",'Costing Sheet'!AM30)))</f>
        <v/>
      </c>
    </row>
    <row r="637" spans="1:2" x14ac:dyDescent="0.3">
      <c r="A637" s="274" t="s">
        <v>1093</v>
      </c>
      <c r="B637" s="625" t="str">
        <f>IF(B$638=0,"",UPPER(_xlfn.CONCAT('Costing Sheet'!AK31," ",'Costing Sheet'!AM31)))</f>
        <v/>
      </c>
    </row>
    <row r="638" spans="1:2" x14ac:dyDescent="0.3">
      <c r="A638" s="274" t="s">
        <v>1094</v>
      </c>
      <c r="B638" s="651">
        <f>SUM('Costing Sheet'!AI22:AI31)+SUM('Costing Sheet'!O57:O60)</f>
        <v>0</v>
      </c>
    </row>
    <row r="639" spans="1:2" x14ac:dyDescent="0.3">
      <c r="A639" s="274" t="s">
        <v>1095</v>
      </c>
      <c r="B639" s="625" t="s">
        <v>1096</v>
      </c>
    </row>
    <row r="640" spans="1:2" x14ac:dyDescent="0.3">
      <c r="A640" s="274" t="s">
        <v>1097</v>
      </c>
      <c r="B640" s="625" t="str">
        <f>IF('Finance Manager Input Sheet'!N4="Customer Accepted",UPPER(_xlfn.CONCAT('Finance Manager Input Sheet'!C4," ",'Finance Manager Input Sheet'!E4)),"")</f>
        <v/>
      </c>
    </row>
    <row r="641" spans="1:2" x14ac:dyDescent="0.3">
      <c r="A641" s="274" t="s">
        <v>1098</v>
      </c>
      <c r="B641" s="625" t="str">
        <f>IF('Finance Manager Input Sheet'!N5="Customer Accepted",UPPER(_xlfn.CONCAT('Finance Manager Input Sheet'!C5," ",'Finance Manager Input Sheet'!E5)),"")</f>
        <v/>
      </c>
    </row>
    <row r="642" spans="1:2" x14ac:dyDescent="0.3">
      <c r="A642" s="274" t="s">
        <v>1099</v>
      </c>
      <c r="B642" s="625" t="str">
        <f>IF('Finance Manager Input Sheet'!N6="Customer Accepted",UPPER(_xlfn.CONCAT('Finance Manager Input Sheet'!C6," ",'Finance Manager Input Sheet'!E6)),"")</f>
        <v/>
      </c>
    </row>
    <row r="643" spans="1:2" x14ac:dyDescent="0.3">
      <c r="A643" s="274" t="s">
        <v>1100</v>
      </c>
      <c r="B643" s="625" t="str">
        <f>IF('Finance Manager Input Sheet'!N7="Customer Accepted",UPPER(_xlfn.CONCAT('Finance Manager Input Sheet'!C7," ",'Finance Manager Input Sheet'!E7)),"")</f>
        <v/>
      </c>
    </row>
    <row r="644" spans="1:2" x14ac:dyDescent="0.3">
      <c r="A644" s="274" t="s">
        <v>1101</v>
      </c>
      <c r="B644" s="625" t="str">
        <f>IF('Finance Manager Input Sheet'!N8="Customer Accepted",UPPER(_xlfn.CONCAT('Finance Manager Input Sheet'!C8," ",'Finance Manager Input Sheet'!E8)),"")</f>
        <v/>
      </c>
    </row>
    <row r="645" spans="1:2" x14ac:dyDescent="0.3">
      <c r="A645" s="274" t="s">
        <v>1102</v>
      </c>
      <c r="B645" s="625" t="str">
        <f>IF('Finance Manager Input Sheet'!N9="Customer Accepted",UPPER(_xlfn.CONCAT('Finance Manager Input Sheet'!C9," ",'Finance Manager Input Sheet'!E9)),"")</f>
        <v/>
      </c>
    </row>
    <row r="646" spans="1:2" x14ac:dyDescent="0.3">
      <c r="A646" s="274" t="s">
        <v>1103</v>
      </c>
      <c r="B646" s="625" t="str">
        <f>IF('Finance Manager Input Sheet'!N10="Customer Accepted",UPPER(_xlfn.CONCAT('Finance Manager Input Sheet'!C10," ",'Finance Manager Input Sheet'!E10)),"")</f>
        <v/>
      </c>
    </row>
    <row r="647" spans="1:2" x14ac:dyDescent="0.3">
      <c r="A647" s="274" t="s">
        <v>1104</v>
      </c>
      <c r="B647" s="625" t="str">
        <f>IF('Finance Manager Input Sheet'!N11="Customer Accepted",UPPER(_xlfn.CONCAT('Finance Manager Input Sheet'!C11," ",'Finance Manager Input Sheet'!E11)),"")</f>
        <v/>
      </c>
    </row>
    <row r="648" spans="1:2" x14ac:dyDescent="0.3">
      <c r="A648" s="274" t="s">
        <v>1105</v>
      </c>
      <c r="B648" s="625" t="str">
        <f>IF('Finance Manager Input Sheet'!N12="Customer Accepted",UPPER(_xlfn.CONCAT('Finance Manager Input Sheet'!C12," ",'Finance Manager Input Sheet'!E12)),"")</f>
        <v/>
      </c>
    </row>
    <row r="649" spans="1:2" x14ac:dyDescent="0.3">
      <c r="A649" s="274" t="s">
        <v>1106</v>
      </c>
      <c r="B649" s="625" t="str">
        <f>IF('Finance Manager Input Sheet'!N13="Customer Accepted",UPPER(_xlfn.CONCAT('Finance Manager Input Sheet'!C13," ",'Finance Manager Input Sheet'!E13)),"")</f>
        <v/>
      </c>
    </row>
    <row r="650" spans="1:2" x14ac:dyDescent="0.3">
      <c r="A650" s="274" t="s">
        <v>1107</v>
      </c>
      <c r="B650" s="625" t="str">
        <f>IF('Costing Sheet'!Y7="Include Kubota Insurance"," plus Kubota Insurance, if applicable, as per above estimates","")</f>
        <v/>
      </c>
    </row>
    <row r="651" spans="1:2" x14ac:dyDescent="0.3">
      <c r="A651" s="274" t="s">
        <v>1108</v>
      </c>
      <c r="B651" s="625" t="str">
        <f>IF(B318=0,"","TOTAL CUSTOMER REBATE")</f>
        <v/>
      </c>
    </row>
    <row r="652" spans="1:2" x14ac:dyDescent="0.3">
      <c r="A652" s="274" t="s">
        <v>75</v>
      </c>
      <c r="B652" s="625" t="str">
        <f>IF(OR('Costing Sheet'!C$17="Wholesale",'Costing Sheet'!M$3="Tax Exempt",'Costing Sheet'!C$17="Fulfill We Owe"),"Tax Exempt","")</f>
        <v/>
      </c>
    </row>
    <row r="653" spans="1:2" x14ac:dyDescent="0.3">
      <c r="A653" s="274" t="s">
        <v>1109</v>
      </c>
      <c r="B653" s="625" t="str">
        <f>IF('Costing Sheet'!C$17="Wholesale","TAX EXEMPT - WHOLESALE SALE",IF('Costing Sheet'!M$3="Tax Exempt","TAX EXEMPT - CUSTOMER CERTIFICATION",IF('Costing Sheet'!C$17="We Owe Fullfillment","TAX EXEMPT - WE OWE FULLFILLMENT",IF('Costing Sheet'!C$17="Lease","PARTIALLY TAX EXEMPT - LEASE",""))))</f>
        <v/>
      </c>
    </row>
    <row r="654" spans="1:2" x14ac:dyDescent="0.3">
      <c r="A654" s="274" t="s">
        <v>1110</v>
      </c>
      <c r="B654" s="625">
        <f>+B421*0.9+IF(B421&gt;0,5,0)</f>
        <v>0</v>
      </c>
    </row>
    <row r="655" spans="1:2" x14ac:dyDescent="0.3">
      <c r="A655" s="274" t="s">
        <v>1111</v>
      </c>
      <c r="B655" s="651">
        <f>+B421-B654</f>
        <v>0</v>
      </c>
    </row>
    <row r="656" spans="1:2" x14ac:dyDescent="0.3">
      <c r="A656" s="274" t="s">
        <v>1112</v>
      </c>
      <c r="B656" s="628" t="str">
        <f>IF('Sales Input Sheet'!A19&lt;&gt;"",IFERROR(VLOOKUP('Sales Input Sheet'!A19,'Inventory Data'!$B$1:$N$12000,13,FALSE),""),"")</f>
        <v/>
      </c>
    </row>
    <row r="657" spans="1:2" x14ac:dyDescent="0.3">
      <c r="A657" s="274" t="s">
        <v>1113</v>
      </c>
      <c r="B657" s="628" t="str">
        <f>IF('Sales Input Sheet'!A20&lt;&gt;"",IFERROR(VLOOKUP('Sales Input Sheet'!A20,'Inventory Data'!$B$1:$N$12000,13,FALSE),""),"")</f>
        <v/>
      </c>
    </row>
    <row r="658" spans="1:2" x14ac:dyDescent="0.3">
      <c r="A658" s="274" t="s">
        <v>1114</v>
      </c>
      <c r="B658" s="628" t="str">
        <f>IF('Sales Input Sheet'!A21&lt;&gt;"",IFERROR(VLOOKUP('Sales Input Sheet'!A21,'Inventory Data'!$B$1:$N$12000,13,FALSE),""),"")</f>
        <v/>
      </c>
    </row>
    <row r="659" spans="1:2" x14ac:dyDescent="0.3">
      <c r="A659" s="274" t="s">
        <v>1115</v>
      </c>
      <c r="B659" s="628" t="str">
        <f>IF('Sales Input Sheet'!A22&lt;&gt;"",IFERROR(VLOOKUP('Sales Input Sheet'!A22,'Inventory Data'!$B$1:$N$12000,13,FALSE),""),"")</f>
        <v/>
      </c>
    </row>
    <row r="660" spans="1:2" x14ac:dyDescent="0.3">
      <c r="A660" s="274" t="s">
        <v>1116</v>
      </c>
      <c r="B660" s="628" t="str">
        <f>IF('Sales Input Sheet'!A23&lt;&gt;"",IFERROR(VLOOKUP('Sales Input Sheet'!A23,'Inventory Data'!$B$1:$N$12000,13,FALSE),""),"")</f>
        <v/>
      </c>
    </row>
    <row r="661" spans="1:2" x14ac:dyDescent="0.3">
      <c r="A661" s="274" t="s">
        <v>1117</v>
      </c>
      <c r="B661" s="628" t="str">
        <f>IF('Sales Input Sheet'!A24&lt;&gt;"",IFERROR(VLOOKUP('Sales Input Sheet'!A24,'Inventory Data'!$B$1:$N$12000,13,FALSE),""),"")</f>
        <v/>
      </c>
    </row>
    <row r="662" spans="1:2" x14ac:dyDescent="0.3">
      <c r="A662" s="274" t="s">
        <v>1118</v>
      </c>
      <c r="B662" s="628" t="str">
        <f>IF('Sales Input Sheet'!A25&lt;&gt;"",IFERROR(VLOOKUP('Sales Input Sheet'!A25,'Inventory Data'!$B$1:$N$12000,13,FALSE),""),"")</f>
        <v/>
      </c>
    </row>
    <row r="663" spans="1:2" x14ac:dyDescent="0.3">
      <c r="A663" s="274" t="s">
        <v>1119</v>
      </c>
      <c r="B663" s="628" t="str">
        <f>IF('Sales Input Sheet'!A26&lt;&gt;"",IFERROR(VLOOKUP('Sales Input Sheet'!A26,'Inventory Data'!$B$1:$N$12000,13,FALSE),""),"")</f>
        <v/>
      </c>
    </row>
    <row r="664" spans="1:2" x14ac:dyDescent="0.3">
      <c r="A664" s="274" t="s">
        <v>1120</v>
      </c>
      <c r="B664" s="628" t="str">
        <f>IF('Sales Input Sheet'!A27&lt;&gt;"",IFERROR(VLOOKUP('Sales Input Sheet'!A27,'Inventory Data'!$B$1:$N$12000,13,FALSE),""),"")</f>
        <v/>
      </c>
    </row>
    <row r="665" spans="1:2" x14ac:dyDescent="0.3">
      <c r="A665" s="274" t="s">
        <v>1121</v>
      </c>
      <c r="B665" s="628" t="str">
        <f>IF('Sales Input Sheet'!A28&lt;&gt;"",IFERROR(VLOOKUP('Sales Input Sheet'!A28,'Inventory Data'!$B$1:$N$12000,13,FALSE),""),"")</f>
        <v/>
      </c>
    </row>
    <row r="666" spans="1:2" customFormat="1" x14ac:dyDescent="0.3">
      <c r="A666" s="274" t="s">
        <v>1122</v>
      </c>
      <c r="B666" s="629">
        <f>-'Costing Sheet'!I51+'Costing Sheet'!O51</f>
        <v>0</v>
      </c>
    </row>
    <row r="667" spans="1:2" customFormat="1" x14ac:dyDescent="0.3">
      <c r="A667" s="274" t="s">
        <v>1123</v>
      </c>
      <c r="B667" s="629">
        <f>IF(B$652="Tax Exempt",0,IF('Costing Sheet'!AA$51="Reduce Taxable Amount by Trade",'Costing Sheet'!I$51,0))</f>
        <v>0</v>
      </c>
    </row>
    <row r="668" spans="1:2" x14ac:dyDescent="0.3">
      <c r="A668" s="274" t="s">
        <v>1124</v>
      </c>
      <c r="B668" s="629">
        <f>+Calculations!B667</f>
        <v>0</v>
      </c>
    </row>
    <row r="669" spans="1:2" x14ac:dyDescent="0.3">
      <c r="A669" s="274" t="s">
        <v>1125</v>
      </c>
      <c r="B669" s="629">
        <f>-'Costing Sheet'!I52+'Costing Sheet'!O52</f>
        <v>0</v>
      </c>
    </row>
    <row r="670" spans="1:2" x14ac:dyDescent="0.3">
      <c r="A670" s="274" t="s">
        <v>1126</v>
      </c>
      <c r="B670" s="629">
        <f>IF(B$652="Tax Exempt",0,IF('Costing Sheet'!AA$52="Reduce Taxable Amount by Trade",'Costing Sheet'!I$52,0))</f>
        <v>0</v>
      </c>
    </row>
    <row r="671" spans="1:2" x14ac:dyDescent="0.3">
      <c r="A671" s="274" t="s">
        <v>1127</v>
      </c>
      <c r="B671" s="629">
        <f>+Calculations!B670</f>
        <v>0</v>
      </c>
    </row>
    <row r="672" spans="1:2" x14ac:dyDescent="0.3">
      <c r="A672" s="274" t="s">
        <v>1128</v>
      </c>
      <c r="B672" s="629">
        <f>-'Costing Sheet'!I53+'Costing Sheet'!O53</f>
        <v>0</v>
      </c>
    </row>
    <row r="673" spans="1:2" x14ac:dyDescent="0.3">
      <c r="A673" s="274" t="s">
        <v>1129</v>
      </c>
      <c r="B673" s="629">
        <f>IF(B$652="Tax Exempt",0,IF('Costing Sheet'!AA$53="Reduce Taxable Amount by Trade",'Costing Sheet'!I$53,0))</f>
        <v>0</v>
      </c>
    </row>
    <row r="674" spans="1:2" x14ac:dyDescent="0.3">
      <c r="A674" s="274" t="s">
        <v>1130</v>
      </c>
      <c r="B674" s="629">
        <f>+Calculations!B673</f>
        <v>0</v>
      </c>
    </row>
    <row r="675" spans="1:2" x14ac:dyDescent="0.3">
      <c r="A675" s="274" t="s">
        <v>1131</v>
      </c>
      <c r="B675" s="629">
        <f>-'Costing Sheet'!I54+'Costing Sheet'!O54</f>
        <v>0</v>
      </c>
    </row>
    <row r="676" spans="1:2" x14ac:dyDescent="0.3">
      <c r="A676" s="274" t="s">
        <v>1132</v>
      </c>
      <c r="B676" s="629">
        <f>IF(B$652="Tax Exempt",0,IF('Costing Sheet'!AA$54="Reduce Taxable Amount by Trade",'Costing Sheet'!I$54,0))</f>
        <v>0</v>
      </c>
    </row>
    <row r="677" spans="1:2" x14ac:dyDescent="0.3">
      <c r="A677" s="274" t="s">
        <v>1133</v>
      </c>
      <c r="B677" s="629">
        <f>+Calculations!B676</f>
        <v>0</v>
      </c>
    </row>
    <row r="678" spans="1:2" ht="23" x14ac:dyDescent="0.3">
      <c r="A678" s="640" t="s">
        <v>1134</v>
      </c>
      <c r="B678" s="628" t="str">
        <f>+IF('Sales Input Sheet'!S47&lt;&gt;"",UPPER('Sales Input Sheet'!S47),"")</f>
        <v/>
      </c>
    </row>
    <row r="679" spans="1:2" ht="23" x14ac:dyDescent="0.3">
      <c r="A679" s="640" t="s">
        <v>1135</v>
      </c>
      <c r="B679" s="628" t="str">
        <f>+IF('Sales Input Sheet'!S48&lt;&gt;"",UPPER('Sales Input Sheet'!S48),"")</f>
        <v/>
      </c>
    </row>
    <row r="680" spans="1:2" ht="23" x14ac:dyDescent="0.3">
      <c r="A680" s="640" t="s">
        <v>1136</v>
      </c>
      <c r="B680" s="628" t="str">
        <f>+IF('Sales Input Sheet'!S49&lt;&gt;"",UPPER('Sales Input Sheet'!S49),"")</f>
        <v/>
      </c>
    </row>
    <row r="681" spans="1:2" ht="23" x14ac:dyDescent="0.3">
      <c r="A681" s="640" t="s">
        <v>1137</v>
      </c>
      <c r="B681" s="628" t="str">
        <f>+IF('Sales Input Sheet'!S50&lt;&gt;"",UPPER('Sales Input Sheet'!S50),"")</f>
        <v/>
      </c>
    </row>
    <row r="682" spans="1:2" ht="23" x14ac:dyDescent="0.3">
      <c r="A682" s="640" t="s">
        <v>1138</v>
      </c>
      <c r="B682" s="629">
        <f>+IF('Costing Sheet'!I51&lt;&gt;"",'Costing Sheet'!I51,0)</f>
        <v>0</v>
      </c>
    </row>
    <row r="683" spans="1:2" ht="23" x14ac:dyDescent="0.3">
      <c r="A683" s="640" t="s">
        <v>1139</v>
      </c>
      <c r="B683" s="629">
        <f>+IF('Costing Sheet'!I52&lt;&gt;"",'Costing Sheet'!I52,0)</f>
        <v>0</v>
      </c>
    </row>
    <row r="684" spans="1:2" ht="23" x14ac:dyDescent="0.3">
      <c r="A684" s="640" t="s">
        <v>1140</v>
      </c>
      <c r="B684" s="629">
        <f>+IF('Costing Sheet'!I53&lt;&gt;"",'Costing Sheet'!I53,0)</f>
        <v>0</v>
      </c>
    </row>
    <row r="685" spans="1:2" ht="23" x14ac:dyDescent="0.3">
      <c r="A685" s="640" t="s">
        <v>1141</v>
      </c>
      <c r="B685" s="629">
        <f>+IF('Costing Sheet'!I54&lt;&gt;"",'Costing Sheet'!I54,0)</f>
        <v>0</v>
      </c>
    </row>
    <row r="686" spans="1:2" ht="23" x14ac:dyDescent="0.3">
      <c r="A686" s="640" t="s">
        <v>1142</v>
      </c>
      <c r="B686" s="629">
        <f>+IF('Sales Input Sheet'!M47&lt;&gt;"",'Sales Input Sheet'!M47,0)</f>
        <v>0</v>
      </c>
    </row>
    <row r="687" spans="1:2" ht="23" x14ac:dyDescent="0.3">
      <c r="A687" s="640" t="s">
        <v>1143</v>
      </c>
      <c r="B687" s="629">
        <f>+IF('Sales Input Sheet'!M48&lt;&gt;"",'Sales Input Sheet'!M48,0)</f>
        <v>0</v>
      </c>
    </row>
    <row r="688" spans="1:2" ht="23" x14ac:dyDescent="0.3">
      <c r="A688" s="640" t="s">
        <v>1144</v>
      </c>
      <c r="B688" s="629">
        <f>+IF('Sales Input Sheet'!M49&lt;&gt;"",'Sales Input Sheet'!M49,0)</f>
        <v>0</v>
      </c>
    </row>
    <row r="689" spans="1:2" ht="23" x14ac:dyDescent="0.3">
      <c r="A689" s="640" t="s">
        <v>1145</v>
      </c>
      <c r="B689" s="629">
        <f>+IF('Sales Input Sheet'!M50&lt;&gt;"",'Sales Input Sheet'!M50,0)</f>
        <v>0</v>
      </c>
    </row>
    <row r="690" spans="1:2" ht="23" x14ac:dyDescent="0.3">
      <c r="A690" s="640" t="s">
        <v>1146</v>
      </c>
      <c r="B690" s="628" t="str">
        <f>+IF('Sales Input Sheet'!G47&lt;&gt;"",UPPER('Sales Input Sheet'!G47),"")</f>
        <v/>
      </c>
    </row>
    <row r="691" spans="1:2" ht="23" x14ac:dyDescent="0.3">
      <c r="A691" s="640" t="s">
        <v>1147</v>
      </c>
      <c r="B691" s="628" t="str">
        <f>+IF('Sales Input Sheet'!G48&lt;&gt;"",UPPER('Sales Input Sheet'!G48),"")</f>
        <v/>
      </c>
    </row>
    <row r="692" spans="1:2" ht="23" x14ac:dyDescent="0.3">
      <c r="A692" s="640" t="s">
        <v>1148</v>
      </c>
      <c r="B692" s="628" t="str">
        <f>+IF('Sales Input Sheet'!G49&lt;&gt;"",UPPER('Sales Input Sheet'!G49),"")</f>
        <v/>
      </c>
    </row>
    <row r="693" spans="1:2" ht="23" x14ac:dyDescent="0.3">
      <c r="A693" s="640" t="s">
        <v>1149</v>
      </c>
      <c r="B693" s="628" t="str">
        <f>+IF('Sales Input Sheet'!G50&lt;&gt;"",UPPER('Sales Input Sheet'!G50),"")</f>
        <v/>
      </c>
    </row>
    <row r="694" spans="1:2" ht="23" x14ac:dyDescent="0.3">
      <c r="A694" s="640" t="s">
        <v>1150</v>
      </c>
      <c r="B694" s="628" t="str">
        <f>+IF('Sales Input Sheet'!C47&lt;&gt;"",UPPER('Sales Input Sheet'!C47),"")</f>
        <v/>
      </c>
    </row>
    <row r="695" spans="1:2" ht="23" x14ac:dyDescent="0.3">
      <c r="A695" s="640" t="s">
        <v>1151</v>
      </c>
      <c r="B695" s="628" t="str">
        <f>+IF('Sales Input Sheet'!C48&lt;&gt;"",UPPER('Sales Input Sheet'!C48),"")</f>
        <v/>
      </c>
    </row>
    <row r="696" spans="1:2" ht="23" x14ac:dyDescent="0.3">
      <c r="A696" s="640" t="s">
        <v>1152</v>
      </c>
      <c r="B696" s="628" t="str">
        <f>+IF('Sales Input Sheet'!C49&lt;&gt;"",UPPER('Sales Input Sheet'!C49),"")</f>
        <v/>
      </c>
    </row>
    <row r="697" spans="1:2" ht="23" x14ac:dyDescent="0.3">
      <c r="A697" s="640" t="s">
        <v>1153</v>
      </c>
      <c r="B697" s="628" t="str">
        <f>+IF('Sales Input Sheet'!C50&lt;&gt;"",UPPER('Sales Input Sheet'!C50),"")</f>
        <v/>
      </c>
    </row>
    <row r="698" spans="1:2" ht="23" x14ac:dyDescent="0.3">
      <c r="A698" s="640" t="s">
        <v>1154</v>
      </c>
      <c r="B698" s="628" t="str">
        <f>+IF('Sales Input Sheet'!E47&lt;&gt;"",UPPER('Sales Input Sheet'!E47),"")</f>
        <v/>
      </c>
    </row>
    <row r="699" spans="1:2" ht="23" x14ac:dyDescent="0.3">
      <c r="A699" s="640" t="s">
        <v>1155</v>
      </c>
      <c r="B699" s="628" t="str">
        <f>+IF('Sales Input Sheet'!E48&lt;&gt;"",UPPER('Sales Input Sheet'!E48),"")</f>
        <v/>
      </c>
    </row>
    <row r="700" spans="1:2" ht="23" x14ac:dyDescent="0.3">
      <c r="A700" s="640" t="s">
        <v>1156</v>
      </c>
      <c r="B700" s="628" t="str">
        <f>+IF('Sales Input Sheet'!E49&lt;&gt;"",UPPER('Sales Input Sheet'!E49),"")</f>
        <v/>
      </c>
    </row>
    <row r="701" spans="1:2" ht="23" x14ac:dyDescent="0.3">
      <c r="A701" s="640" t="s">
        <v>1157</v>
      </c>
      <c r="B701" s="628" t="str">
        <f>+IF('Sales Input Sheet'!E50&lt;&gt;"",UPPER('Sales Input Sheet'!E50),"")</f>
        <v/>
      </c>
    </row>
    <row r="702" spans="1:2" ht="23" x14ac:dyDescent="0.3">
      <c r="A702" s="640" t="s">
        <v>1158</v>
      </c>
      <c r="B702" s="629">
        <f>+IF('Costing Sheet'!O51&lt;&gt;"",'Costing Sheet'!O51,0)</f>
        <v>0</v>
      </c>
    </row>
    <row r="703" spans="1:2" ht="23" x14ac:dyDescent="0.3">
      <c r="A703" s="640" t="s">
        <v>1159</v>
      </c>
      <c r="B703" s="629">
        <f>+IF('Costing Sheet'!O52&lt;&gt;"",'Costing Sheet'!O52,0)</f>
        <v>0</v>
      </c>
    </row>
    <row r="704" spans="1:2" ht="23" x14ac:dyDescent="0.3">
      <c r="A704" s="640" t="s">
        <v>1160</v>
      </c>
      <c r="B704" s="629">
        <f>+IF('Costing Sheet'!O53&lt;&gt;"",'Costing Sheet'!O53,0)</f>
        <v>0</v>
      </c>
    </row>
    <row r="705" spans="1:2" ht="23" x14ac:dyDescent="0.3">
      <c r="A705" s="640" t="s">
        <v>1161</v>
      </c>
      <c r="B705" s="629">
        <f>+IF('Costing Sheet'!O54&lt;&gt;"",'Costing Sheet'!O54,0)</f>
        <v>0</v>
      </c>
    </row>
    <row r="706" spans="1:2" ht="23" x14ac:dyDescent="0.3">
      <c r="A706" s="640" t="s">
        <v>1162</v>
      </c>
      <c r="B706" s="628" t="str">
        <f>+IF('Sales Input Sheet'!I47&lt;&gt;"",UPPER('Sales Input Sheet'!I47),"")</f>
        <v/>
      </c>
    </row>
    <row r="707" spans="1:2" ht="23" x14ac:dyDescent="0.3">
      <c r="A707" s="640" t="s">
        <v>1163</v>
      </c>
      <c r="B707" s="628" t="str">
        <f>+IF('Sales Input Sheet'!I48&lt;&gt;"",UPPER('Sales Input Sheet'!I48),"")</f>
        <v/>
      </c>
    </row>
    <row r="708" spans="1:2" ht="23" x14ac:dyDescent="0.3">
      <c r="A708" s="640" t="s">
        <v>1164</v>
      </c>
      <c r="B708" s="628" t="str">
        <f>+IF('Sales Input Sheet'!I49&lt;&gt;"",UPPER('Sales Input Sheet'!I49),"")</f>
        <v/>
      </c>
    </row>
    <row r="709" spans="1:2" ht="23" x14ac:dyDescent="0.3">
      <c r="A709" s="640" t="s">
        <v>1165</v>
      </c>
      <c r="B709" s="628" t="str">
        <f>+IF('Sales Input Sheet'!I50&lt;&gt;"",UPPER('Sales Input Sheet'!I50),"")</f>
        <v/>
      </c>
    </row>
    <row r="710" spans="1:2" ht="23" x14ac:dyDescent="0.3">
      <c r="A710" s="640" t="s">
        <v>1166</v>
      </c>
      <c r="B710" s="628" t="str">
        <f>+IF('Costing Sheet'!U51&lt;&gt;"",UPPER('Costing Sheet'!U51),"")</f>
        <v/>
      </c>
    </row>
    <row r="711" spans="1:2" ht="23" x14ac:dyDescent="0.3">
      <c r="A711" s="640" t="s">
        <v>1167</v>
      </c>
      <c r="B711" s="628" t="str">
        <f>+IF('Costing Sheet'!U52&lt;&gt;"",UPPER('Costing Sheet'!U52),"")</f>
        <v/>
      </c>
    </row>
    <row r="712" spans="1:2" ht="23" x14ac:dyDescent="0.3">
      <c r="A712" s="640" t="s">
        <v>1168</v>
      </c>
      <c r="B712" s="628" t="str">
        <f>+IF('Costing Sheet'!U53&lt;&gt;"",UPPER('Costing Sheet'!U53),"")</f>
        <v/>
      </c>
    </row>
    <row r="713" spans="1:2" ht="23" x14ac:dyDescent="0.3">
      <c r="A713" s="640" t="s">
        <v>1169</v>
      </c>
      <c r="B713" s="628" t="str">
        <f>+IF('Costing Sheet'!U54&lt;&gt;"",UPPER('Costing Sheet'!U54),"")</f>
        <v/>
      </c>
    </row>
    <row r="714" spans="1:2" ht="23" x14ac:dyDescent="0.3">
      <c r="A714" s="640" t="s">
        <v>1134</v>
      </c>
      <c r="B714" s="628" t="str">
        <f>+IF('Sales Input Sheet'!S47&lt;&gt;"",UPPER('Sales Input Sheet'!S47),"")</f>
        <v/>
      </c>
    </row>
    <row r="715" spans="1:2" ht="23" x14ac:dyDescent="0.3">
      <c r="A715" s="640" t="s">
        <v>1135</v>
      </c>
      <c r="B715" s="628" t="str">
        <f>+IF('Sales Input Sheet'!S48&lt;&gt;"",UPPER('Sales Input Sheet'!S48),"")</f>
        <v/>
      </c>
    </row>
    <row r="716" spans="1:2" ht="23" x14ac:dyDescent="0.3">
      <c r="A716" s="640" t="s">
        <v>1136</v>
      </c>
      <c r="B716" s="628" t="str">
        <f>+IF('Sales Input Sheet'!S49&lt;&gt;"",UPPER('Sales Input Sheet'!S49),"")</f>
        <v/>
      </c>
    </row>
    <row r="717" spans="1:2" ht="23" x14ac:dyDescent="0.3">
      <c r="A717" s="640" t="s">
        <v>1137</v>
      </c>
      <c r="B717" s="628" t="str">
        <f>+IF('Sales Input Sheet'!S50&lt;&gt;"",UPPER('Sales Input Sheet'!S50),"")</f>
        <v/>
      </c>
    </row>
    <row r="718" spans="1:2" x14ac:dyDescent="0.3">
      <c r="A718" s="274" t="s">
        <v>1170</v>
      </c>
      <c r="B718" s="651">
        <f>-'Costing Sheet'!O51+'Costing Sheet'!I51</f>
        <v>0</v>
      </c>
    </row>
    <row r="719" spans="1:2" x14ac:dyDescent="0.3">
      <c r="A719" s="274" t="s">
        <v>1171</v>
      </c>
      <c r="B719" s="651">
        <f>-'Costing Sheet'!O52+'Costing Sheet'!I52</f>
        <v>0</v>
      </c>
    </row>
    <row r="720" spans="1:2" x14ac:dyDescent="0.3">
      <c r="A720" s="274" t="s">
        <v>1172</v>
      </c>
      <c r="B720" s="651">
        <f>-'Costing Sheet'!O53+'Costing Sheet'!I53</f>
        <v>0</v>
      </c>
    </row>
    <row r="721" spans="1:2" x14ac:dyDescent="0.3">
      <c r="A721" s="274" t="s">
        <v>1173</v>
      </c>
      <c r="B721" s="651">
        <f>-'Costing Sheet'!O54+'Costing Sheet'!I54</f>
        <v>0</v>
      </c>
    </row>
    <row r="722" spans="1:2" x14ac:dyDescent="0.3">
      <c r="A722" s="274" t="s">
        <v>2297</v>
      </c>
      <c r="B722" s="625" t="str">
        <f>IF(AND(OR('Costing Sheet'!Y11="include Kubota Insurance",'Costing Sheet'!Y7="include Kubota Insurance"),'Costing Sheet'!Y9&lt;&gt;"Include Kubota Insurance"),"Customer Declined Kubota Property Insurance","")</f>
        <v/>
      </c>
    </row>
    <row r="723" spans="1:2" x14ac:dyDescent="0.3">
      <c r="A723" s="274" t="s">
        <v>2298</v>
      </c>
      <c r="B723" s="625" t="str">
        <f>IF('Costing Sheet'!Y9="Include Kubota Insurance",CONCATENATE("CUSTOMER HAS ELECTED TO PURCHASE ",+Calculations!B417," WITH A COST OF $",TEXT(Calculations!B421,"#,##0.00")),"")</f>
        <v/>
      </c>
    </row>
    <row r="724" spans="1:2" x14ac:dyDescent="0.3">
      <c r="A724" s="274" t="s">
        <v>2299</v>
      </c>
      <c r="B724" s="625">
        <f ca="1">IF('Finance Manager Input Sheet'!C16&gt;0,Calculations!B426,Calculations!B425)</f>
        <v>0</v>
      </c>
    </row>
  </sheetData>
  <mergeCells count="23">
    <mergeCell ref="B605:E605"/>
    <mergeCell ref="B603:E603"/>
    <mergeCell ref="B604:E604"/>
    <mergeCell ref="B381:F383"/>
    <mergeCell ref="B57:D57"/>
    <mergeCell ref="B371:F375"/>
    <mergeCell ref="B376:F380"/>
    <mergeCell ref="B568:G568"/>
    <mergeCell ref="B569:G569"/>
    <mergeCell ref="B570:G570"/>
    <mergeCell ref="B571:G571"/>
    <mergeCell ref="B572:G572"/>
    <mergeCell ref="B384:F384"/>
    <mergeCell ref="B69:D69"/>
    <mergeCell ref="B81:D81"/>
    <mergeCell ref="B93:D93"/>
    <mergeCell ref="B105:D105"/>
    <mergeCell ref="B117:D117"/>
    <mergeCell ref="B3:D3"/>
    <mergeCell ref="B9:D9"/>
    <mergeCell ref="B21:D21"/>
    <mergeCell ref="B33:D33"/>
    <mergeCell ref="B45:D45"/>
  </mergeCells>
  <pageMargins left="0" right="0" top="0" bottom="0" header="0" footer="0"/>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D55"/>
  <sheetViews>
    <sheetView topLeftCell="A28" workbookViewId="0">
      <selection activeCell="H45" sqref="H45"/>
    </sheetView>
  </sheetViews>
  <sheetFormatPr baseColWidth="10" defaultColWidth="10.5" defaultRowHeight="16" x14ac:dyDescent="0.2"/>
  <cols>
    <col min="1" max="1" width="26" customWidth="1"/>
  </cols>
  <sheetData>
    <row r="2" spans="1:1" x14ac:dyDescent="0.2">
      <c r="A2" t="s">
        <v>1174</v>
      </c>
    </row>
    <row r="4" spans="1:1" x14ac:dyDescent="0.2">
      <c r="A4" t="s">
        <v>1175</v>
      </c>
    </row>
    <row r="5" spans="1:1" x14ac:dyDescent="0.2">
      <c r="A5" t="s">
        <v>1176</v>
      </c>
    </row>
    <row r="6" spans="1:1" x14ac:dyDescent="0.2">
      <c r="A6" t="s">
        <v>1177</v>
      </c>
    </row>
    <row r="7" spans="1:1" x14ac:dyDescent="0.2">
      <c r="A7" t="s">
        <v>1178</v>
      </c>
    </row>
    <row r="8" spans="1:1" x14ac:dyDescent="0.2">
      <c r="A8" t="s">
        <v>1179</v>
      </c>
    </row>
    <row r="9" spans="1:1" x14ac:dyDescent="0.2">
      <c r="A9" t="s">
        <v>1180</v>
      </c>
    </row>
    <row r="10" spans="1:1" x14ac:dyDescent="0.2">
      <c r="A10" t="s">
        <v>1181</v>
      </c>
    </row>
    <row r="11" spans="1:1" x14ac:dyDescent="0.2">
      <c r="A11" t="s">
        <v>1182</v>
      </c>
    </row>
    <row r="12" spans="1:1" x14ac:dyDescent="0.2">
      <c r="A12" t="s">
        <v>1183</v>
      </c>
    </row>
    <row r="13" spans="1:1" x14ac:dyDescent="0.2">
      <c r="A13" t="s">
        <v>1184</v>
      </c>
    </row>
    <row r="14" spans="1:1" x14ac:dyDescent="0.2">
      <c r="A14" t="s">
        <v>1185</v>
      </c>
    </row>
    <row r="15" spans="1:1" x14ac:dyDescent="0.2">
      <c r="A15" t="s">
        <v>1186</v>
      </c>
    </row>
    <row r="16" spans="1:1" x14ac:dyDescent="0.2">
      <c r="A16" t="s">
        <v>1187</v>
      </c>
    </row>
    <row r="17" spans="1:1" x14ac:dyDescent="0.2">
      <c r="A17" t="s">
        <v>1188</v>
      </c>
    </row>
    <row r="18" spans="1:1" x14ac:dyDescent="0.2">
      <c r="A18" t="s">
        <v>1189</v>
      </c>
    </row>
    <row r="19" spans="1:1" x14ac:dyDescent="0.2">
      <c r="A19" t="s">
        <v>1190</v>
      </c>
    </row>
    <row r="20" spans="1:1" x14ac:dyDescent="0.2">
      <c r="A20" t="s">
        <v>1191</v>
      </c>
    </row>
    <row r="21" spans="1:1" x14ac:dyDescent="0.2">
      <c r="A21" t="s">
        <v>1192</v>
      </c>
    </row>
    <row r="22" spans="1:1" x14ac:dyDescent="0.2">
      <c r="A22" t="s">
        <v>1193</v>
      </c>
    </row>
    <row r="23" spans="1:1" x14ac:dyDescent="0.2">
      <c r="A23" t="s">
        <v>1194</v>
      </c>
    </row>
    <row r="24" spans="1:1" x14ac:dyDescent="0.2">
      <c r="A24" t="s">
        <v>1195</v>
      </c>
    </row>
    <row r="25" spans="1:1" x14ac:dyDescent="0.2">
      <c r="A25" t="s">
        <v>1196</v>
      </c>
    </row>
    <row r="26" spans="1:1" x14ac:dyDescent="0.2">
      <c r="A26" t="s">
        <v>1197</v>
      </c>
    </row>
    <row r="27" spans="1:1" x14ac:dyDescent="0.2">
      <c r="A27" t="s">
        <v>1198</v>
      </c>
    </row>
    <row r="28" spans="1:1" x14ac:dyDescent="0.2">
      <c r="A28" t="s">
        <v>1199</v>
      </c>
    </row>
    <row r="29" spans="1:1" x14ac:dyDescent="0.2">
      <c r="A29" t="s">
        <v>1200</v>
      </c>
    </row>
    <row r="30" spans="1:1" x14ac:dyDescent="0.2">
      <c r="A30" t="s">
        <v>1201</v>
      </c>
    </row>
    <row r="31" spans="1:1" x14ac:dyDescent="0.2">
      <c r="A31" t="s">
        <v>1202</v>
      </c>
    </row>
    <row r="32" spans="1:1" x14ac:dyDescent="0.2">
      <c r="A32" t="s">
        <v>1203</v>
      </c>
    </row>
    <row r="33" spans="1:1" x14ac:dyDescent="0.2">
      <c r="A33" t="s">
        <v>1204</v>
      </c>
    </row>
    <row r="34" spans="1:1" x14ac:dyDescent="0.2">
      <c r="A34" t="s">
        <v>1205</v>
      </c>
    </row>
    <row r="35" spans="1:1" x14ac:dyDescent="0.2">
      <c r="A35" t="s">
        <v>1206</v>
      </c>
    </row>
    <row r="36" spans="1:1" x14ac:dyDescent="0.2">
      <c r="A36" t="s">
        <v>1207</v>
      </c>
    </row>
    <row r="37" spans="1:1" x14ac:dyDescent="0.2">
      <c r="A37" t="s">
        <v>1208</v>
      </c>
    </row>
    <row r="38" spans="1:1" x14ac:dyDescent="0.2">
      <c r="A38" t="s">
        <v>1209</v>
      </c>
    </row>
    <row r="39" spans="1:1" x14ac:dyDescent="0.2">
      <c r="A39" t="s">
        <v>1210</v>
      </c>
    </row>
    <row r="55" spans="4:4" x14ac:dyDescent="0.2">
      <c r="D55" s="16"/>
    </row>
  </sheetData>
  <pageMargins left="0" right="0" top="0" bottom="0" header="0" footer="0"/>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717"/>
  <sheetViews>
    <sheetView workbookViewId="0">
      <selection activeCell="E22" sqref="E22"/>
    </sheetView>
  </sheetViews>
  <sheetFormatPr baseColWidth="10" defaultColWidth="10.5" defaultRowHeight="16" x14ac:dyDescent="0.2"/>
  <cols>
    <col min="1" max="6" width="13.33203125" bestFit="1" customWidth="1"/>
    <col min="7" max="7" width="71.5" bestFit="1" customWidth="1"/>
    <col min="8" max="9" width="13.33203125" bestFit="1" customWidth="1"/>
  </cols>
  <sheetData>
    <row r="1" spans="1:9" ht="15" customHeight="1" x14ac:dyDescent="0.2">
      <c r="A1" t="s">
        <v>1211</v>
      </c>
      <c r="B1" t="s">
        <v>1212</v>
      </c>
      <c r="C1" t="s">
        <v>1213</v>
      </c>
      <c r="D1" t="s">
        <v>1214</v>
      </c>
      <c r="E1" t="s">
        <v>1215</v>
      </c>
      <c r="F1" t="s">
        <v>1216</v>
      </c>
      <c r="G1" t="s">
        <v>1217</v>
      </c>
      <c r="H1" t="s">
        <v>1218</v>
      </c>
      <c r="I1" t="s">
        <v>1215</v>
      </c>
    </row>
    <row r="2" spans="1:9" ht="15" customHeight="1" x14ac:dyDescent="0.2">
      <c r="A2" t="s">
        <v>1219</v>
      </c>
      <c r="B2" t="s">
        <v>1220</v>
      </c>
      <c r="C2" t="s">
        <v>1220</v>
      </c>
      <c r="D2" t="s">
        <v>486</v>
      </c>
      <c r="E2" t="s">
        <v>1221</v>
      </c>
      <c r="F2" t="s">
        <v>486</v>
      </c>
      <c r="G2" t="s">
        <v>1222</v>
      </c>
      <c r="H2" t="s">
        <v>1222</v>
      </c>
      <c r="I2" t="s">
        <v>1221</v>
      </c>
    </row>
    <row r="3" spans="1:9" ht="15" customHeight="1" x14ac:dyDescent="0.2"/>
    <row r="4" spans="1:9" ht="15" customHeight="1" x14ac:dyDescent="0.2"/>
    <row r="5" spans="1:9" ht="15" customHeight="1" x14ac:dyDescent="0.2"/>
    <row r="6" spans="1:9" ht="15" customHeight="1" x14ac:dyDescent="0.2"/>
    <row r="7" spans="1:9" ht="15" customHeight="1" x14ac:dyDescent="0.2"/>
    <row r="8" spans="1:9" ht="15" customHeight="1" x14ac:dyDescent="0.2"/>
    <row r="9" spans="1:9" ht="15" customHeight="1" x14ac:dyDescent="0.2"/>
    <row r="10" spans="1:9" ht="15" customHeight="1" x14ac:dyDescent="0.2"/>
    <row r="11" spans="1:9" ht="15" customHeight="1" x14ac:dyDescent="0.2"/>
    <row r="12" spans="1:9" ht="15" customHeight="1" x14ac:dyDescent="0.2"/>
    <row r="13" spans="1:9" ht="15" customHeight="1" x14ac:dyDescent="0.2"/>
    <row r="14" spans="1:9" ht="15" customHeight="1" x14ac:dyDescent="0.2"/>
    <row r="15" spans="1:9" ht="15" customHeight="1" x14ac:dyDescent="0.2"/>
    <row r="16" spans="1:9"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spans="4:4" ht="15" customHeight="1" x14ac:dyDescent="0.2"/>
    <row r="50" spans="4:4" ht="15" customHeight="1" x14ac:dyDescent="0.2"/>
    <row r="51" spans="4:4" ht="15" customHeight="1" x14ac:dyDescent="0.2"/>
    <row r="52" spans="4:4" ht="15" customHeight="1" x14ac:dyDescent="0.2"/>
    <row r="53" spans="4:4" ht="15" customHeight="1" x14ac:dyDescent="0.2"/>
    <row r="54" spans="4:4" ht="15" customHeight="1" x14ac:dyDescent="0.2"/>
    <row r="55" spans="4:4" ht="15" customHeight="1" x14ac:dyDescent="0.2">
      <c r="D55" s="16"/>
    </row>
    <row r="56" spans="4:4" ht="15" customHeight="1" x14ac:dyDescent="0.2"/>
    <row r="57" spans="4:4" ht="15" customHeight="1" x14ac:dyDescent="0.2"/>
    <row r="58" spans="4:4" ht="15" customHeight="1" x14ac:dyDescent="0.2"/>
    <row r="59" spans="4:4" ht="15" customHeight="1" x14ac:dyDescent="0.2"/>
    <row r="60" spans="4:4" ht="15" customHeight="1" x14ac:dyDescent="0.2"/>
    <row r="61" spans="4:4" ht="15" customHeight="1" x14ac:dyDescent="0.2"/>
    <row r="62" spans="4:4" ht="15" customHeight="1" x14ac:dyDescent="0.2"/>
    <row r="63" spans="4:4" ht="15" customHeight="1" x14ac:dyDescent="0.2"/>
    <row r="64" spans="4: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5" customHeight="1" x14ac:dyDescent="0.2"/>
    <row r="717" ht="15" customHeight="1" x14ac:dyDescent="0.2"/>
  </sheetData>
  <pageMargins left="0" right="0" top="0" bottom="0" header="0" footer="0"/>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49"/>
  <sheetViews>
    <sheetView workbookViewId="0">
      <selection activeCell="C4" sqref="C4"/>
    </sheetView>
  </sheetViews>
  <sheetFormatPr baseColWidth="10" defaultColWidth="11" defaultRowHeight="16" x14ac:dyDescent="0.2"/>
  <sheetData>
    <row r="1" spans="1:3" x14ac:dyDescent="0.2">
      <c r="A1" t="s">
        <v>1223</v>
      </c>
      <c r="B1" t="s">
        <v>1224</v>
      </c>
      <c r="C1" t="s">
        <v>1224</v>
      </c>
    </row>
    <row r="2" spans="1:3" x14ac:dyDescent="0.2">
      <c r="A2" t="s">
        <v>1225</v>
      </c>
      <c r="B2" t="s">
        <v>1226</v>
      </c>
      <c r="C2" t="s">
        <v>1226</v>
      </c>
    </row>
    <row r="3" spans="1:3" x14ac:dyDescent="0.2">
      <c r="A3" t="s">
        <v>1227</v>
      </c>
      <c r="B3" t="s">
        <v>1228</v>
      </c>
      <c r="C3" t="s">
        <v>1228</v>
      </c>
    </row>
    <row r="4" spans="1:3" x14ac:dyDescent="0.2">
      <c r="A4" t="s">
        <v>1229</v>
      </c>
      <c r="B4" t="s">
        <v>1230</v>
      </c>
      <c r="C4" t="s">
        <v>1230</v>
      </c>
    </row>
    <row r="5" spans="1:3" x14ac:dyDescent="0.2">
      <c r="A5" t="s">
        <v>1231</v>
      </c>
      <c r="B5" t="s">
        <v>1232</v>
      </c>
      <c r="C5" t="s">
        <v>1232</v>
      </c>
    </row>
    <row r="6" spans="1:3" x14ac:dyDescent="0.2">
      <c r="A6" t="s">
        <v>1233</v>
      </c>
      <c r="B6" t="s">
        <v>1234</v>
      </c>
      <c r="C6" t="s">
        <v>1234</v>
      </c>
    </row>
    <row r="7" spans="1:3" x14ac:dyDescent="0.2">
      <c r="A7" t="s">
        <v>1235</v>
      </c>
      <c r="B7" t="s">
        <v>1236</v>
      </c>
      <c r="C7" t="s">
        <v>1236</v>
      </c>
    </row>
    <row r="8" spans="1:3" x14ac:dyDescent="0.2">
      <c r="A8" t="s">
        <v>1237</v>
      </c>
      <c r="B8" t="s">
        <v>1238</v>
      </c>
      <c r="C8" t="s">
        <v>1238</v>
      </c>
    </row>
    <row r="9" spans="1:3" x14ac:dyDescent="0.2">
      <c r="A9" t="s">
        <v>1239</v>
      </c>
      <c r="B9" t="s">
        <v>1240</v>
      </c>
      <c r="C9" t="s">
        <v>1240</v>
      </c>
    </row>
    <row r="10" spans="1:3" x14ac:dyDescent="0.2">
      <c r="A10" t="s">
        <v>1241</v>
      </c>
      <c r="B10" t="s">
        <v>1242</v>
      </c>
      <c r="C10" t="s">
        <v>1242</v>
      </c>
    </row>
    <row r="11" spans="1:3" x14ac:dyDescent="0.2">
      <c r="A11" t="s">
        <v>1243</v>
      </c>
      <c r="B11" t="s">
        <v>1244</v>
      </c>
      <c r="C11" t="s">
        <v>1244</v>
      </c>
    </row>
    <row r="12" spans="1:3" x14ac:dyDescent="0.2">
      <c r="A12" t="s">
        <v>1245</v>
      </c>
      <c r="B12" t="s">
        <v>1246</v>
      </c>
      <c r="C12" t="s">
        <v>1246</v>
      </c>
    </row>
    <row r="13" spans="1:3" x14ac:dyDescent="0.2">
      <c r="A13" t="s">
        <v>1247</v>
      </c>
      <c r="B13" t="s">
        <v>1248</v>
      </c>
      <c r="C13" t="s">
        <v>1248</v>
      </c>
    </row>
    <row r="14" spans="1:3" x14ac:dyDescent="0.2">
      <c r="A14" t="s">
        <v>1249</v>
      </c>
      <c r="B14" t="s">
        <v>1250</v>
      </c>
      <c r="C14" t="s">
        <v>1250</v>
      </c>
    </row>
    <row r="15" spans="1:3" x14ac:dyDescent="0.2">
      <c r="A15" t="s">
        <v>1251</v>
      </c>
      <c r="B15" t="s">
        <v>1252</v>
      </c>
      <c r="C15" t="s">
        <v>1252</v>
      </c>
    </row>
    <row r="16" spans="1:3" x14ac:dyDescent="0.2">
      <c r="A16" t="s">
        <v>1253</v>
      </c>
      <c r="B16" t="s">
        <v>1254</v>
      </c>
      <c r="C16" t="s">
        <v>1254</v>
      </c>
    </row>
    <row r="17" spans="1:3" x14ac:dyDescent="0.2">
      <c r="A17" t="s">
        <v>1255</v>
      </c>
      <c r="B17" t="s">
        <v>1256</v>
      </c>
      <c r="C17" t="s">
        <v>1256</v>
      </c>
    </row>
    <row r="18" spans="1:3" x14ac:dyDescent="0.2">
      <c r="A18" t="s">
        <v>1257</v>
      </c>
      <c r="B18" t="s">
        <v>1258</v>
      </c>
      <c r="C18" t="s">
        <v>1258</v>
      </c>
    </row>
    <row r="19" spans="1:3" x14ac:dyDescent="0.2">
      <c r="A19" t="s">
        <v>1259</v>
      </c>
      <c r="B19" t="s">
        <v>1260</v>
      </c>
      <c r="C19" t="s">
        <v>1260</v>
      </c>
    </row>
    <row r="20" spans="1:3" x14ac:dyDescent="0.2">
      <c r="A20" t="s">
        <v>1261</v>
      </c>
      <c r="B20" t="s">
        <v>1262</v>
      </c>
      <c r="C20" t="s">
        <v>1262</v>
      </c>
    </row>
    <row r="21" spans="1:3" x14ac:dyDescent="0.2">
      <c r="A21" t="s">
        <v>1263</v>
      </c>
      <c r="B21" t="s">
        <v>1264</v>
      </c>
      <c r="C21" t="s">
        <v>1264</v>
      </c>
    </row>
    <row r="22" spans="1:3" x14ac:dyDescent="0.2">
      <c r="A22" t="s">
        <v>1265</v>
      </c>
      <c r="B22" t="s">
        <v>1266</v>
      </c>
      <c r="C22" t="s">
        <v>1266</v>
      </c>
    </row>
    <row r="23" spans="1:3" x14ac:dyDescent="0.2">
      <c r="A23" t="s">
        <v>1267</v>
      </c>
      <c r="B23" t="s">
        <v>1268</v>
      </c>
      <c r="C23" t="s">
        <v>1268</v>
      </c>
    </row>
    <row r="24" spans="1:3" x14ac:dyDescent="0.2">
      <c r="A24" t="s">
        <v>1269</v>
      </c>
      <c r="B24" t="s">
        <v>1270</v>
      </c>
      <c r="C24" t="s">
        <v>1270</v>
      </c>
    </row>
    <row r="25" spans="1:3" x14ac:dyDescent="0.2">
      <c r="A25" t="s">
        <v>1271</v>
      </c>
      <c r="B25" t="s">
        <v>1272</v>
      </c>
      <c r="C25" t="s">
        <v>1272</v>
      </c>
    </row>
    <row r="26" spans="1:3" x14ac:dyDescent="0.2">
      <c r="A26" t="s">
        <v>1273</v>
      </c>
      <c r="B26" t="s">
        <v>1274</v>
      </c>
      <c r="C26" t="s">
        <v>1274</v>
      </c>
    </row>
    <row r="27" spans="1:3" x14ac:dyDescent="0.2">
      <c r="A27" t="s">
        <v>1275</v>
      </c>
      <c r="B27" t="s">
        <v>1276</v>
      </c>
      <c r="C27" t="s">
        <v>1276</v>
      </c>
    </row>
    <row r="28" spans="1:3" x14ac:dyDescent="0.2">
      <c r="A28" t="s">
        <v>1277</v>
      </c>
      <c r="B28" t="s">
        <v>1278</v>
      </c>
      <c r="C28" t="s">
        <v>1278</v>
      </c>
    </row>
    <row r="29" spans="1:3" x14ac:dyDescent="0.2">
      <c r="A29" t="s">
        <v>1279</v>
      </c>
      <c r="B29" t="s">
        <v>1280</v>
      </c>
      <c r="C29" t="s">
        <v>1280</v>
      </c>
    </row>
    <row r="30" spans="1:3" x14ac:dyDescent="0.2">
      <c r="A30" t="s">
        <v>1281</v>
      </c>
      <c r="B30" t="s">
        <v>1282</v>
      </c>
      <c r="C30" t="s">
        <v>1282</v>
      </c>
    </row>
    <row r="31" spans="1:3" x14ac:dyDescent="0.2">
      <c r="A31" t="s">
        <v>1283</v>
      </c>
      <c r="B31" t="s">
        <v>1284</v>
      </c>
      <c r="C31" t="s">
        <v>1284</v>
      </c>
    </row>
    <row r="32" spans="1:3" x14ac:dyDescent="0.2">
      <c r="A32" t="s">
        <v>1285</v>
      </c>
      <c r="B32" t="s">
        <v>1286</v>
      </c>
      <c r="C32" t="s">
        <v>1286</v>
      </c>
    </row>
    <row r="33" spans="1:3" x14ac:dyDescent="0.2">
      <c r="A33" t="s">
        <v>1287</v>
      </c>
      <c r="B33" t="s">
        <v>1288</v>
      </c>
      <c r="C33" t="s">
        <v>1288</v>
      </c>
    </row>
    <row r="34" spans="1:3" x14ac:dyDescent="0.2">
      <c r="A34" t="s">
        <v>1289</v>
      </c>
      <c r="B34" t="s">
        <v>1290</v>
      </c>
      <c r="C34" t="s">
        <v>1290</v>
      </c>
    </row>
    <row r="35" spans="1:3" x14ac:dyDescent="0.2">
      <c r="A35" t="s">
        <v>1291</v>
      </c>
      <c r="B35" t="s">
        <v>1292</v>
      </c>
      <c r="C35" t="s">
        <v>1292</v>
      </c>
    </row>
    <row r="36" spans="1:3" x14ac:dyDescent="0.2">
      <c r="A36" t="s">
        <v>1293</v>
      </c>
      <c r="B36" t="s">
        <v>1294</v>
      </c>
      <c r="C36" t="s">
        <v>1294</v>
      </c>
    </row>
    <row r="37" spans="1:3" x14ac:dyDescent="0.2">
      <c r="A37" t="s">
        <v>1295</v>
      </c>
      <c r="B37" t="s">
        <v>1296</v>
      </c>
      <c r="C37" t="s">
        <v>1296</v>
      </c>
    </row>
    <row r="38" spans="1:3" x14ac:dyDescent="0.2">
      <c r="A38" t="s">
        <v>1297</v>
      </c>
      <c r="B38" t="s">
        <v>1298</v>
      </c>
      <c r="C38" t="s">
        <v>1298</v>
      </c>
    </row>
    <row r="39" spans="1:3" x14ac:dyDescent="0.2">
      <c r="A39" t="s">
        <v>1299</v>
      </c>
      <c r="B39" t="s">
        <v>1300</v>
      </c>
      <c r="C39" t="s">
        <v>1300</v>
      </c>
    </row>
    <row r="40" spans="1:3" x14ac:dyDescent="0.2">
      <c r="A40" t="s">
        <v>1301</v>
      </c>
      <c r="B40" t="s">
        <v>1302</v>
      </c>
      <c r="C40" t="s">
        <v>1302</v>
      </c>
    </row>
    <row r="41" spans="1:3" x14ac:dyDescent="0.2">
      <c r="A41" t="s">
        <v>1303</v>
      </c>
      <c r="B41" t="s">
        <v>1304</v>
      </c>
      <c r="C41" t="s">
        <v>1304</v>
      </c>
    </row>
    <row r="42" spans="1:3" x14ac:dyDescent="0.2">
      <c r="A42" t="s">
        <v>1305</v>
      </c>
      <c r="B42" t="s">
        <v>1306</v>
      </c>
      <c r="C42" t="s">
        <v>1306</v>
      </c>
    </row>
    <row r="43" spans="1:3" x14ac:dyDescent="0.2">
      <c r="A43" t="s">
        <v>1307</v>
      </c>
      <c r="B43" t="s">
        <v>1308</v>
      </c>
      <c r="C43" t="s">
        <v>1308</v>
      </c>
    </row>
    <row r="44" spans="1:3" x14ac:dyDescent="0.2">
      <c r="A44" t="s">
        <v>1309</v>
      </c>
      <c r="B44" t="s">
        <v>1310</v>
      </c>
      <c r="C44" t="s">
        <v>1310</v>
      </c>
    </row>
    <row r="45" spans="1:3" x14ac:dyDescent="0.2">
      <c r="A45" t="s">
        <v>1311</v>
      </c>
      <c r="B45" t="s">
        <v>1312</v>
      </c>
      <c r="C45" t="s">
        <v>1312</v>
      </c>
    </row>
    <row r="46" spans="1:3" x14ac:dyDescent="0.2">
      <c r="A46" t="s">
        <v>1313</v>
      </c>
      <c r="B46" t="s">
        <v>1314</v>
      </c>
      <c r="C46" t="s">
        <v>1314</v>
      </c>
    </row>
    <row r="47" spans="1:3" x14ac:dyDescent="0.2">
      <c r="A47" t="s">
        <v>1315</v>
      </c>
      <c r="B47" t="s">
        <v>1316</v>
      </c>
      <c r="C47" t="s">
        <v>1316</v>
      </c>
    </row>
    <row r="48" spans="1:3" x14ac:dyDescent="0.2">
      <c r="A48" t="s">
        <v>1317</v>
      </c>
      <c r="B48" t="s">
        <v>1318</v>
      </c>
      <c r="C48" t="s">
        <v>1318</v>
      </c>
    </row>
    <row r="49" spans="1:4" x14ac:dyDescent="0.2">
      <c r="A49" t="s">
        <v>1319</v>
      </c>
      <c r="B49" t="s">
        <v>1320</v>
      </c>
      <c r="C49" t="s">
        <v>1320</v>
      </c>
    </row>
    <row r="50" spans="1:4" x14ac:dyDescent="0.2">
      <c r="A50" t="s">
        <v>1321</v>
      </c>
      <c r="B50" t="s">
        <v>1322</v>
      </c>
      <c r="C50" t="s">
        <v>1322</v>
      </c>
    </row>
    <row r="51" spans="1:4" x14ac:dyDescent="0.2">
      <c r="A51" t="s">
        <v>1323</v>
      </c>
      <c r="B51" t="s">
        <v>1324</v>
      </c>
      <c r="C51" t="s">
        <v>1324</v>
      </c>
    </row>
    <row r="52" spans="1:4" x14ac:dyDescent="0.2">
      <c r="A52" t="s">
        <v>1325</v>
      </c>
      <c r="B52" t="s">
        <v>1326</v>
      </c>
      <c r="C52" t="s">
        <v>1326</v>
      </c>
    </row>
    <row r="53" spans="1:4" x14ac:dyDescent="0.2">
      <c r="A53" t="s">
        <v>1327</v>
      </c>
      <c r="B53" t="s">
        <v>1328</v>
      </c>
      <c r="C53" t="s">
        <v>1328</v>
      </c>
    </row>
    <row r="54" spans="1:4" x14ac:dyDescent="0.2">
      <c r="A54" t="s">
        <v>1329</v>
      </c>
      <c r="B54" t="s">
        <v>229</v>
      </c>
      <c r="C54" t="s">
        <v>229</v>
      </c>
    </row>
    <row r="55" spans="1:4" x14ac:dyDescent="0.2">
      <c r="A55" t="s">
        <v>1330</v>
      </c>
      <c r="B55" t="s">
        <v>1331</v>
      </c>
      <c r="C55" t="s">
        <v>1331</v>
      </c>
      <c r="D55" s="16"/>
    </row>
    <row r="56" spans="1:4" x14ac:dyDescent="0.2">
      <c r="A56" t="s">
        <v>1332</v>
      </c>
      <c r="B56" t="s">
        <v>1333</v>
      </c>
      <c r="C56" t="s">
        <v>1333</v>
      </c>
    </row>
    <row r="57" spans="1:4" x14ac:dyDescent="0.2">
      <c r="A57" t="s">
        <v>1334</v>
      </c>
      <c r="B57" t="s">
        <v>1335</v>
      </c>
      <c r="C57" t="s">
        <v>1335</v>
      </c>
    </row>
    <row r="58" spans="1:4" x14ac:dyDescent="0.2">
      <c r="A58" t="s">
        <v>1336</v>
      </c>
      <c r="B58" t="s">
        <v>1337</v>
      </c>
      <c r="C58" t="s">
        <v>1337</v>
      </c>
    </row>
    <row r="59" spans="1:4" x14ac:dyDescent="0.2">
      <c r="A59" t="s">
        <v>1338</v>
      </c>
      <c r="B59" t="s">
        <v>1339</v>
      </c>
      <c r="C59" t="s">
        <v>1339</v>
      </c>
    </row>
    <row r="60" spans="1:4" x14ac:dyDescent="0.2">
      <c r="A60" t="s">
        <v>1340</v>
      </c>
      <c r="B60" t="s">
        <v>1341</v>
      </c>
      <c r="C60" t="s">
        <v>1341</v>
      </c>
    </row>
    <row r="61" spans="1:4" x14ac:dyDescent="0.2">
      <c r="A61" t="s">
        <v>1342</v>
      </c>
      <c r="B61" t="s">
        <v>1343</v>
      </c>
      <c r="C61" t="s">
        <v>1343</v>
      </c>
    </row>
    <row r="62" spans="1:4" x14ac:dyDescent="0.2">
      <c r="A62" t="s">
        <v>1344</v>
      </c>
      <c r="B62" t="s">
        <v>1345</v>
      </c>
      <c r="C62" t="s">
        <v>1345</v>
      </c>
    </row>
    <row r="63" spans="1:4" x14ac:dyDescent="0.2">
      <c r="A63" t="s">
        <v>1346</v>
      </c>
      <c r="B63" t="s">
        <v>1347</v>
      </c>
      <c r="C63" t="s">
        <v>1347</v>
      </c>
    </row>
    <row r="64" spans="1:4" x14ac:dyDescent="0.2">
      <c r="A64" t="s">
        <v>1348</v>
      </c>
      <c r="B64" t="s">
        <v>1349</v>
      </c>
      <c r="C64" t="s">
        <v>1349</v>
      </c>
    </row>
    <row r="65" spans="1:3" x14ac:dyDescent="0.2">
      <c r="A65" t="s">
        <v>1350</v>
      </c>
      <c r="B65" t="s">
        <v>1351</v>
      </c>
      <c r="C65" t="s">
        <v>1351</v>
      </c>
    </row>
    <row r="66" spans="1:3" x14ac:dyDescent="0.2">
      <c r="A66" t="s">
        <v>1352</v>
      </c>
      <c r="B66" t="s">
        <v>1353</v>
      </c>
      <c r="C66" t="s">
        <v>1353</v>
      </c>
    </row>
    <row r="67" spans="1:3" x14ac:dyDescent="0.2">
      <c r="A67" t="s">
        <v>1354</v>
      </c>
      <c r="B67" t="s">
        <v>1355</v>
      </c>
      <c r="C67" t="s">
        <v>1355</v>
      </c>
    </row>
    <row r="68" spans="1:3" x14ac:dyDescent="0.2">
      <c r="A68" t="s">
        <v>1356</v>
      </c>
      <c r="B68" t="s">
        <v>1357</v>
      </c>
      <c r="C68" t="s">
        <v>1357</v>
      </c>
    </row>
    <row r="69" spans="1:3" x14ac:dyDescent="0.2">
      <c r="A69" t="s">
        <v>1358</v>
      </c>
      <c r="B69" t="s">
        <v>1359</v>
      </c>
      <c r="C69" t="s">
        <v>1359</v>
      </c>
    </row>
    <row r="70" spans="1:3" x14ac:dyDescent="0.2">
      <c r="A70" t="s">
        <v>1360</v>
      </c>
      <c r="B70" t="s">
        <v>1361</v>
      </c>
      <c r="C70" t="s">
        <v>1361</v>
      </c>
    </row>
    <row r="71" spans="1:3" x14ac:dyDescent="0.2">
      <c r="A71" t="s">
        <v>1362</v>
      </c>
      <c r="B71" t="s">
        <v>1361</v>
      </c>
      <c r="C71" t="s">
        <v>1361</v>
      </c>
    </row>
    <row r="72" spans="1:3" x14ac:dyDescent="0.2">
      <c r="A72" t="s">
        <v>1363</v>
      </c>
      <c r="B72" t="s">
        <v>1364</v>
      </c>
      <c r="C72" t="s">
        <v>1364</v>
      </c>
    </row>
    <row r="73" spans="1:3" x14ac:dyDescent="0.2">
      <c r="A73" t="s">
        <v>1365</v>
      </c>
      <c r="B73" t="s">
        <v>1366</v>
      </c>
      <c r="C73" t="s">
        <v>1366</v>
      </c>
    </row>
    <row r="74" spans="1:3" x14ac:dyDescent="0.2">
      <c r="A74" t="s">
        <v>1367</v>
      </c>
      <c r="B74" t="s">
        <v>1368</v>
      </c>
      <c r="C74" t="s">
        <v>1368</v>
      </c>
    </row>
    <row r="75" spans="1:3" x14ac:dyDescent="0.2">
      <c r="A75" t="s">
        <v>1369</v>
      </c>
      <c r="B75" t="s">
        <v>1370</v>
      </c>
      <c r="C75" t="s">
        <v>1370</v>
      </c>
    </row>
    <row r="76" spans="1:3" x14ac:dyDescent="0.2">
      <c r="A76" t="s">
        <v>1371</v>
      </c>
      <c r="B76" t="s">
        <v>1372</v>
      </c>
      <c r="C76" t="s">
        <v>1372</v>
      </c>
    </row>
    <row r="77" spans="1:3" x14ac:dyDescent="0.2">
      <c r="A77" t="s">
        <v>1373</v>
      </c>
      <c r="B77" t="s">
        <v>1374</v>
      </c>
      <c r="C77" t="s">
        <v>1374</v>
      </c>
    </row>
    <row r="78" spans="1:3" x14ac:dyDescent="0.2">
      <c r="A78" t="s">
        <v>1375</v>
      </c>
      <c r="B78" t="s">
        <v>1376</v>
      </c>
      <c r="C78" t="s">
        <v>1376</v>
      </c>
    </row>
    <row r="79" spans="1:3" x14ac:dyDescent="0.2">
      <c r="A79" t="s">
        <v>1377</v>
      </c>
      <c r="B79" t="s">
        <v>1378</v>
      </c>
      <c r="C79" t="s">
        <v>1378</v>
      </c>
    </row>
    <row r="80" spans="1:3" x14ac:dyDescent="0.2">
      <c r="A80" t="s">
        <v>1379</v>
      </c>
      <c r="B80" t="s">
        <v>1380</v>
      </c>
      <c r="C80" t="s">
        <v>1380</v>
      </c>
    </row>
    <row r="81" spans="1:3" x14ac:dyDescent="0.2">
      <c r="A81" t="s">
        <v>1381</v>
      </c>
      <c r="B81" t="s">
        <v>1382</v>
      </c>
      <c r="C81" t="s">
        <v>1382</v>
      </c>
    </row>
    <row r="82" spans="1:3" x14ac:dyDescent="0.2">
      <c r="A82" t="s">
        <v>1383</v>
      </c>
      <c r="B82" t="s">
        <v>1384</v>
      </c>
      <c r="C82" t="s">
        <v>1384</v>
      </c>
    </row>
    <row r="83" spans="1:3" x14ac:dyDescent="0.2">
      <c r="A83" t="s">
        <v>1385</v>
      </c>
      <c r="B83" t="s">
        <v>1386</v>
      </c>
      <c r="C83" t="s">
        <v>1386</v>
      </c>
    </row>
    <row r="84" spans="1:3" x14ac:dyDescent="0.2">
      <c r="A84" t="s">
        <v>1387</v>
      </c>
      <c r="B84" t="s">
        <v>1388</v>
      </c>
      <c r="C84" t="s">
        <v>1388</v>
      </c>
    </row>
    <row r="85" spans="1:3" x14ac:dyDescent="0.2">
      <c r="A85" t="s">
        <v>1389</v>
      </c>
      <c r="B85" t="s">
        <v>1390</v>
      </c>
      <c r="C85" t="s">
        <v>1390</v>
      </c>
    </row>
    <row r="86" spans="1:3" x14ac:dyDescent="0.2">
      <c r="A86" t="s">
        <v>1391</v>
      </c>
      <c r="B86" t="s">
        <v>1392</v>
      </c>
      <c r="C86" t="s">
        <v>1392</v>
      </c>
    </row>
    <row r="87" spans="1:3" x14ac:dyDescent="0.2">
      <c r="A87" t="s">
        <v>1393</v>
      </c>
      <c r="B87" t="s">
        <v>1394</v>
      </c>
      <c r="C87" t="s">
        <v>1394</v>
      </c>
    </row>
    <row r="88" spans="1:3" x14ac:dyDescent="0.2">
      <c r="A88" t="s">
        <v>1395</v>
      </c>
      <c r="B88" t="s">
        <v>1396</v>
      </c>
      <c r="C88" t="s">
        <v>1396</v>
      </c>
    </row>
    <row r="89" spans="1:3" x14ac:dyDescent="0.2">
      <c r="A89" t="s">
        <v>1397</v>
      </c>
      <c r="B89" t="s">
        <v>1398</v>
      </c>
      <c r="C89" t="s">
        <v>1398</v>
      </c>
    </row>
    <row r="90" spans="1:3" x14ac:dyDescent="0.2">
      <c r="A90" t="s">
        <v>1399</v>
      </c>
      <c r="B90" t="s">
        <v>1400</v>
      </c>
      <c r="C90" t="s">
        <v>1400</v>
      </c>
    </row>
    <row r="91" spans="1:3" x14ac:dyDescent="0.2">
      <c r="A91" t="s">
        <v>1401</v>
      </c>
      <c r="B91" t="s">
        <v>1402</v>
      </c>
      <c r="C91" t="s">
        <v>1402</v>
      </c>
    </row>
    <row r="92" spans="1:3" x14ac:dyDescent="0.2">
      <c r="A92" t="s">
        <v>1403</v>
      </c>
      <c r="B92" t="s">
        <v>1404</v>
      </c>
      <c r="C92" t="s">
        <v>1404</v>
      </c>
    </row>
    <row r="93" spans="1:3" x14ac:dyDescent="0.2">
      <c r="A93" t="s">
        <v>1405</v>
      </c>
      <c r="B93" t="s">
        <v>1406</v>
      </c>
      <c r="C93" t="s">
        <v>1406</v>
      </c>
    </row>
    <row r="94" spans="1:3" x14ac:dyDescent="0.2">
      <c r="A94" t="s">
        <v>1407</v>
      </c>
      <c r="B94" t="s">
        <v>1408</v>
      </c>
      <c r="C94" t="s">
        <v>1408</v>
      </c>
    </row>
    <row r="95" spans="1:3" x14ac:dyDescent="0.2">
      <c r="A95" t="s">
        <v>1409</v>
      </c>
      <c r="B95" t="s">
        <v>1410</v>
      </c>
      <c r="C95" t="s">
        <v>1410</v>
      </c>
    </row>
    <row r="96" spans="1:3" x14ac:dyDescent="0.2">
      <c r="A96" t="s">
        <v>1411</v>
      </c>
      <c r="B96" t="s">
        <v>1412</v>
      </c>
      <c r="C96" t="s">
        <v>1412</v>
      </c>
    </row>
    <row r="97" spans="1:3" x14ac:dyDescent="0.2">
      <c r="A97" t="s">
        <v>1413</v>
      </c>
      <c r="B97" t="s">
        <v>1414</v>
      </c>
      <c r="C97" t="s">
        <v>1414</v>
      </c>
    </row>
    <row r="98" spans="1:3" x14ac:dyDescent="0.2">
      <c r="A98" t="s">
        <v>1415</v>
      </c>
      <c r="B98" t="s">
        <v>1416</v>
      </c>
      <c r="C98" t="s">
        <v>1416</v>
      </c>
    </row>
    <row r="99" spans="1:3" x14ac:dyDescent="0.2">
      <c r="A99" t="s">
        <v>1417</v>
      </c>
      <c r="B99" t="s">
        <v>1418</v>
      </c>
      <c r="C99" t="s">
        <v>1418</v>
      </c>
    </row>
    <row r="100" spans="1:3" x14ac:dyDescent="0.2">
      <c r="A100" t="s">
        <v>1419</v>
      </c>
      <c r="B100" t="s">
        <v>1420</v>
      </c>
      <c r="C100" t="s">
        <v>1420</v>
      </c>
    </row>
    <row r="101" spans="1:3" x14ac:dyDescent="0.2">
      <c r="A101" t="s">
        <v>1421</v>
      </c>
      <c r="B101" t="s">
        <v>1422</v>
      </c>
      <c r="C101" t="s">
        <v>1422</v>
      </c>
    </row>
    <row r="102" spans="1:3" x14ac:dyDescent="0.2">
      <c r="A102" t="s">
        <v>1423</v>
      </c>
      <c r="B102" t="s">
        <v>1424</v>
      </c>
      <c r="C102" t="s">
        <v>1424</v>
      </c>
    </row>
    <row r="103" spans="1:3" x14ac:dyDescent="0.2">
      <c r="A103" t="s">
        <v>1425</v>
      </c>
      <c r="B103" t="s">
        <v>1426</v>
      </c>
      <c r="C103" t="s">
        <v>1426</v>
      </c>
    </row>
    <row r="104" spans="1:3" x14ac:dyDescent="0.2">
      <c r="A104" t="s">
        <v>1427</v>
      </c>
      <c r="B104" t="s">
        <v>1428</v>
      </c>
      <c r="C104" t="s">
        <v>1428</v>
      </c>
    </row>
    <row r="105" spans="1:3" x14ac:dyDescent="0.2">
      <c r="A105" t="s">
        <v>1429</v>
      </c>
      <c r="B105" t="s">
        <v>1430</v>
      </c>
      <c r="C105" t="s">
        <v>1430</v>
      </c>
    </row>
    <row r="106" spans="1:3" x14ac:dyDescent="0.2">
      <c r="A106" t="s">
        <v>1431</v>
      </c>
      <c r="B106" t="s">
        <v>1432</v>
      </c>
      <c r="C106" t="s">
        <v>1432</v>
      </c>
    </row>
    <row r="107" spans="1:3" x14ac:dyDescent="0.2">
      <c r="A107" t="s">
        <v>1433</v>
      </c>
      <c r="B107" t="s">
        <v>1434</v>
      </c>
      <c r="C107" t="s">
        <v>1434</v>
      </c>
    </row>
    <row r="108" spans="1:3" x14ac:dyDescent="0.2">
      <c r="A108" t="s">
        <v>1435</v>
      </c>
      <c r="B108" t="s">
        <v>1436</v>
      </c>
      <c r="C108" t="s">
        <v>1436</v>
      </c>
    </row>
    <row r="109" spans="1:3" x14ac:dyDescent="0.2">
      <c r="A109" t="s">
        <v>1437</v>
      </c>
      <c r="B109" t="s">
        <v>1438</v>
      </c>
      <c r="C109" t="s">
        <v>1438</v>
      </c>
    </row>
    <row r="110" spans="1:3" x14ac:dyDescent="0.2">
      <c r="A110" t="s">
        <v>1439</v>
      </c>
      <c r="B110" t="s">
        <v>1440</v>
      </c>
      <c r="C110" t="s">
        <v>1440</v>
      </c>
    </row>
    <row r="111" spans="1:3" x14ac:dyDescent="0.2">
      <c r="A111" t="s">
        <v>1441</v>
      </c>
      <c r="B111" t="s">
        <v>1442</v>
      </c>
      <c r="C111" t="s">
        <v>1442</v>
      </c>
    </row>
    <row r="112" spans="1:3" x14ac:dyDescent="0.2">
      <c r="A112" t="s">
        <v>1443</v>
      </c>
      <c r="B112" t="s">
        <v>1444</v>
      </c>
      <c r="C112" t="s">
        <v>1444</v>
      </c>
    </row>
    <row r="113" spans="1:3" x14ac:dyDescent="0.2">
      <c r="A113" t="s">
        <v>1445</v>
      </c>
      <c r="B113" t="s">
        <v>1446</v>
      </c>
      <c r="C113" t="s">
        <v>1446</v>
      </c>
    </row>
    <row r="114" spans="1:3" x14ac:dyDescent="0.2">
      <c r="A114" t="s">
        <v>1447</v>
      </c>
      <c r="B114" t="s">
        <v>1448</v>
      </c>
      <c r="C114" t="s">
        <v>1448</v>
      </c>
    </row>
    <row r="115" spans="1:3" x14ac:dyDescent="0.2">
      <c r="A115" t="s">
        <v>1449</v>
      </c>
      <c r="B115" t="s">
        <v>1450</v>
      </c>
      <c r="C115" t="s">
        <v>1450</v>
      </c>
    </row>
    <row r="116" spans="1:3" x14ac:dyDescent="0.2">
      <c r="A116" t="s">
        <v>1451</v>
      </c>
      <c r="B116" t="s">
        <v>1452</v>
      </c>
      <c r="C116" t="s">
        <v>1452</v>
      </c>
    </row>
    <row r="117" spans="1:3" x14ac:dyDescent="0.2">
      <c r="A117" t="s">
        <v>1453</v>
      </c>
      <c r="B117" t="s">
        <v>1454</v>
      </c>
      <c r="C117" t="s">
        <v>1454</v>
      </c>
    </row>
    <row r="118" spans="1:3" x14ac:dyDescent="0.2">
      <c r="A118" t="s">
        <v>1455</v>
      </c>
      <c r="B118" t="s">
        <v>1456</v>
      </c>
      <c r="C118" t="s">
        <v>1456</v>
      </c>
    </row>
    <row r="119" spans="1:3" x14ac:dyDescent="0.2">
      <c r="A119" t="s">
        <v>1457</v>
      </c>
      <c r="B119" t="s">
        <v>1458</v>
      </c>
      <c r="C119" t="s">
        <v>1458</v>
      </c>
    </row>
    <row r="120" spans="1:3" x14ac:dyDescent="0.2">
      <c r="A120" t="s">
        <v>1459</v>
      </c>
      <c r="B120" t="s">
        <v>1460</v>
      </c>
      <c r="C120" t="s">
        <v>1460</v>
      </c>
    </row>
    <row r="121" spans="1:3" x14ac:dyDescent="0.2">
      <c r="A121" t="s">
        <v>1461</v>
      </c>
      <c r="B121" t="s">
        <v>1462</v>
      </c>
      <c r="C121" t="s">
        <v>1462</v>
      </c>
    </row>
    <row r="122" spans="1:3" x14ac:dyDescent="0.2">
      <c r="A122" t="s">
        <v>1463</v>
      </c>
      <c r="B122" t="s">
        <v>1464</v>
      </c>
      <c r="C122" t="s">
        <v>1464</v>
      </c>
    </row>
    <row r="123" spans="1:3" x14ac:dyDescent="0.2">
      <c r="A123" t="s">
        <v>1465</v>
      </c>
      <c r="B123" t="s">
        <v>1466</v>
      </c>
      <c r="C123" t="s">
        <v>1466</v>
      </c>
    </row>
    <row r="124" spans="1:3" x14ac:dyDescent="0.2">
      <c r="A124" t="s">
        <v>1467</v>
      </c>
      <c r="B124" t="s">
        <v>1468</v>
      </c>
      <c r="C124" t="s">
        <v>1468</v>
      </c>
    </row>
    <row r="125" spans="1:3" x14ac:dyDescent="0.2">
      <c r="A125" t="s">
        <v>1469</v>
      </c>
      <c r="B125" t="s">
        <v>1470</v>
      </c>
      <c r="C125" t="s">
        <v>1470</v>
      </c>
    </row>
    <row r="126" spans="1:3" x14ac:dyDescent="0.2">
      <c r="A126" t="s">
        <v>1471</v>
      </c>
      <c r="B126" t="s">
        <v>1472</v>
      </c>
      <c r="C126" t="s">
        <v>1472</v>
      </c>
    </row>
    <row r="127" spans="1:3" x14ac:dyDescent="0.2">
      <c r="A127" t="s">
        <v>1473</v>
      </c>
      <c r="B127" t="s">
        <v>1474</v>
      </c>
      <c r="C127" t="s">
        <v>1474</v>
      </c>
    </row>
    <row r="128" spans="1:3" x14ac:dyDescent="0.2">
      <c r="A128" t="s">
        <v>1475</v>
      </c>
      <c r="B128" t="s">
        <v>1476</v>
      </c>
      <c r="C128" t="s">
        <v>1476</v>
      </c>
    </row>
    <row r="129" spans="1:3" x14ac:dyDescent="0.2">
      <c r="A129" t="s">
        <v>1477</v>
      </c>
      <c r="B129" t="s">
        <v>1478</v>
      </c>
      <c r="C129" t="s">
        <v>1478</v>
      </c>
    </row>
    <row r="130" spans="1:3" x14ac:dyDescent="0.2">
      <c r="A130" t="s">
        <v>1479</v>
      </c>
      <c r="B130" t="s">
        <v>1480</v>
      </c>
      <c r="C130" t="s">
        <v>1480</v>
      </c>
    </row>
    <row r="131" spans="1:3" x14ac:dyDescent="0.2">
      <c r="A131" t="s">
        <v>1481</v>
      </c>
      <c r="B131" t="s">
        <v>1482</v>
      </c>
      <c r="C131" t="s">
        <v>1482</v>
      </c>
    </row>
    <row r="132" spans="1:3" x14ac:dyDescent="0.2">
      <c r="A132" t="s">
        <v>1483</v>
      </c>
      <c r="B132" t="s">
        <v>1484</v>
      </c>
      <c r="C132" t="s">
        <v>1484</v>
      </c>
    </row>
    <row r="133" spans="1:3" x14ac:dyDescent="0.2">
      <c r="A133" t="s">
        <v>1485</v>
      </c>
      <c r="B133" t="s">
        <v>1486</v>
      </c>
      <c r="C133" t="s">
        <v>1486</v>
      </c>
    </row>
    <row r="134" spans="1:3" x14ac:dyDescent="0.2">
      <c r="A134" t="s">
        <v>1487</v>
      </c>
      <c r="B134" t="s">
        <v>1488</v>
      </c>
      <c r="C134" t="s">
        <v>1488</v>
      </c>
    </row>
    <row r="135" spans="1:3" x14ac:dyDescent="0.2">
      <c r="A135" t="s">
        <v>1489</v>
      </c>
      <c r="B135" t="s">
        <v>1490</v>
      </c>
      <c r="C135" t="s">
        <v>1490</v>
      </c>
    </row>
    <row r="136" spans="1:3" x14ac:dyDescent="0.2">
      <c r="A136" t="s">
        <v>1491</v>
      </c>
      <c r="B136" t="s">
        <v>1492</v>
      </c>
      <c r="C136" t="s">
        <v>1492</v>
      </c>
    </row>
    <row r="137" spans="1:3" x14ac:dyDescent="0.2">
      <c r="A137" t="s">
        <v>1493</v>
      </c>
      <c r="B137" t="s">
        <v>1494</v>
      </c>
      <c r="C137" t="s">
        <v>1494</v>
      </c>
    </row>
    <row r="138" spans="1:3" x14ac:dyDescent="0.2">
      <c r="A138" t="s">
        <v>1495</v>
      </c>
      <c r="B138" t="s">
        <v>1496</v>
      </c>
      <c r="C138" t="s">
        <v>1496</v>
      </c>
    </row>
    <row r="139" spans="1:3" x14ac:dyDescent="0.2">
      <c r="A139" t="s">
        <v>1497</v>
      </c>
      <c r="B139" t="s">
        <v>1498</v>
      </c>
      <c r="C139" t="s">
        <v>1498</v>
      </c>
    </row>
    <row r="140" spans="1:3" x14ac:dyDescent="0.2">
      <c r="A140" t="s">
        <v>1499</v>
      </c>
      <c r="B140" t="s">
        <v>1500</v>
      </c>
      <c r="C140" t="s">
        <v>1500</v>
      </c>
    </row>
    <row r="141" spans="1:3" x14ac:dyDescent="0.2">
      <c r="A141" t="s">
        <v>1501</v>
      </c>
      <c r="B141" t="s">
        <v>1502</v>
      </c>
      <c r="C141" t="s">
        <v>1502</v>
      </c>
    </row>
    <row r="142" spans="1:3" x14ac:dyDescent="0.2">
      <c r="A142" t="s">
        <v>1503</v>
      </c>
      <c r="B142" t="s">
        <v>1504</v>
      </c>
      <c r="C142" t="s">
        <v>1504</v>
      </c>
    </row>
    <row r="143" spans="1:3" x14ac:dyDescent="0.2">
      <c r="A143" t="s">
        <v>1505</v>
      </c>
      <c r="B143" t="s">
        <v>1506</v>
      </c>
      <c r="C143" t="s">
        <v>1506</v>
      </c>
    </row>
    <row r="144" spans="1:3" x14ac:dyDescent="0.2">
      <c r="A144" t="s">
        <v>1507</v>
      </c>
      <c r="B144" t="s">
        <v>1508</v>
      </c>
      <c r="C144" t="s">
        <v>1508</v>
      </c>
    </row>
    <row r="145" spans="1:3" x14ac:dyDescent="0.2">
      <c r="A145" t="s">
        <v>1509</v>
      </c>
      <c r="B145" t="s">
        <v>1510</v>
      </c>
      <c r="C145" t="s">
        <v>1510</v>
      </c>
    </row>
    <row r="146" spans="1:3" x14ac:dyDescent="0.2">
      <c r="A146" t="s">
        <v>1511</v>
      </c>
      <c r="B146" t="s">
        <v>1512</v>
      </c>
      <c r="C146" t="s">
        <v>1512</v>
      </c>
    </row>
    <row r="147" spans="1:3" x14ac:dyDescent="0.2">
      <c r="A147" t="s">
        <v>1513</v>
      </c>
      <c r="B147" t="s">
        <v>1514</v>
      </c>
      <c r="C147" t="s">
        <v>1514</v>
      </c>
    </row>
    <row r="148" spans="1:3" x14ac:dyDescent="0.2">
      <c r="A148" t="s">
        <v>1515</v>
      </c>
      <c r="B148" t="s">
        <v>1516</v>
      </c>
      <c r="C148" t="s">
        <v>1516</v>
      </c>
    </row>
    <row r="149" spans="1:3" x14ac:dyDescent="0.2">
      <c r="A149" t="s">
        <v>1517</v>
      </c>
      <c r="B149" t="s">
        <v>1518</v>
      </c>
      <c r="C149" t="s">
        <v>1518</v>
      </c>
    </row>
  </sheetData>
  <pageMargins left="0" right="0" top="0" bottom="0" header="0" footer="0"/>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144"/>
  <sheetViews>
    <sheetView workbookViewId="0">
      <selection activeCell="A8" sqref="A8:XFD8"/>
    </sheetView>
  </sheetViews>
  <sheetFormatPr baseColWidth="10" defaultColWidth="10.5" defaultRowHeight="16" x14ac:dyDescent="0.2"/>
  <cols>
    <col min="1" max="5" width="13.33203125" bestFit="1" customWidth="1"/>
    <col min="6" max="6" width="40.5" customWidth="1"/>
    <col min="7" max="7" width="19.5" customWidth="1"/>
    <col min="8" max="20" width="13.33203125" bestFit="1" customWidth="1"/>
  </cols>
  <sheetData>
    <row r="1" spans="1:14" ht="16" customHeight="1" x14ac:dyDescent="0.2">
      <c r="A1" t="s">
        <v>1519</v>
      </c>
      <c r="B1" t="s">
        <v>1520</v>
      </c>
      <c r="C1" t="s">
        <v>1519</v>
      </c>
      <c r="D1" t="s">
        <v>32</v>
      </c>
      <c r="E1" t="s">
        <v>33</v>
      </c>
      <c r="F1" t="s">
        <v>34</v>
      </c>
      <c r="G1" t="s">
        <v>35</v>
      </c>
      <c r="H1" t="s">
        <v>36</v>
      </c>
      <c r="I1" t="s">
        <v>1521</v>
      </c>
      <c r="J1" t="s">
        <v>1522</v>
      </c>
      <c r="K1" t="s">
        <v>1523</v>
      </c>
      <c r="L1" t="s">
        <v>1524</v>
      </c>
      <c r="M1" t="s">
        <v>1216</v>
      </c>
      <c r="N1" t="s">
        <v>1525</v>
      </c>
    </row>
    <row r="2" spans="1:14" ht="16" customHeight="1" x14ac:dyDescent="0.2">
      <c r="A2" t="s">
        <v>1526</v>
      </c>
      <c r="B2" t="s">
        <v>1527</v>
      </c>
      <c r="C2" t="s">
        <v>1526</v>
      </c>
      <c r="D2" t="s">
        <v>1477</v>
      </c>
      <c r="E2" t="s">
        <v>1528</v>
      </c>
      <c r="F2" t="s">
        <v>1529</v>
      </c>
      <c r="G2" t="s">
        <v>1530</v>
      </c>
      <c r="H2" t="s">
        <v>1531</v>
      </c>
      <c r="I2">
        <v>851.76</v>
      </c>
      <c r="J2">
        <v>0</v>
      </c>
      <c r="K2">
        <v>0</v>
      </c>
      <c r="L2" t="s">
        <v>486</v>
      </c>
      <c r="M2" t="s">
        <v>1532</v>
      </c>
      <c r="N2" t="s">
        <v>495</v>
      </c>
    </row>
    <row r="3" spans="1:14" ht="16" customHeight="1" x14ac:dyDescent="0.2">
      <c r="A3" t="s">
        <v>1533</v>
      </c>
      <c r="B3" t="s">
        <v>1534</v>
      </c>
      <c r="C3" t="s">
        <v>1533</v>
      </c>
      <c r="D3" t="s">
        <v>1375</v>
      </c>
      <c r="E3" t="s">
        <v>1535</v>
      </c>
      <c r="F3" t="s">
        <v>1536</v>
      </c>
      <c r="G3" t="s">
        <v>1537</v>
      </c>
      <c r="H3" t="s">
        <v>1538</v>
      </c>
      <c r="I3">
        <v>17762.2</v>
      </c>
      <c r="J3">
        <v>-16883.2</v>
      </c>
      <c r="K3">
        <v>0</v>
      </c>
      <c r="L3" t="s">
        <v>486</v>
      </c>
      <c r="M3" t="s">
        <v>1532</v>
      </c>
      <c r="N3" t="s">
        <v>495</v>
      </c>
    </row>
    <row r="4" spans="1:14" ht="16" customHeight="1" x14ac:dyDescent="0.2">
      <c r="A4" t="s">
        <v>1220</v>
      </c>
      <c r="B4" t="s">
        <v>1539</v>
      </c>
      <c r="C4" t="s">
        <v>1220</v>
      </c>
      <c r="D4" t="s">
        <v>1375</v>
      </c>
      <c r="E4" t="s">
        <v>1540</v>
      </c>
      <c r="F4" t="s">
        <v>1541</v>
      </c>
      <c r="G4" t="s">
        <v>1542</v>
      </c>
      <c r="H4" t="s">
        <v>1543</v>
      </c>
      <c r="I4">
        <v>0</v>
      </c>
      <c r="J4">
        <v>0</v>
      </c>
      <c r="K4">
        <v>0</v>
      </c>
      <c r="L4" t="s">
        <v>486</v>
      </c>
      <c r="M4" t="s">
        <v>1532</v>
      </c>
      <c r="N4" t="s">
        <v>495</v>
      </c>
    </row>
    <row r="5" spans="1:14" ht="16" customHeight="1" x14ac:dyDescent="0.2">
      <c r="A5" t="s">
        <v>1220</v>
      </c>
      <c r="B5" t="s">
        <v>1544</v>
      </c>
      <c r="C5" t="s">
        <v>1220</v>
      </c>
      <c r="D5" t="s">
        <v>1375</v>
      </c>
      <c r="E5" t="s">
        <v>1545</v>
      </c>
      <c r="F5" t="s">
        <v>1546</v>
      </c>
      <c r="G5" t="s">
        <v>1547</v>
      </c>
      <c r="H5" t="s">
        <v>1548</v>
      </c>
      <c r="I5">
        <v>52</v>
      </c>
      <c r="J5">
        <v>0</v>
      </c>
      <c r="K5">
        <v>0</v>
      </c>
      <c r="L5" t="s">
        <v>486</v>
      </c>
      <c r="M5" t="s">
        <v>1532</v>
      </c>
      <c r="N5" t="s">
        <v>1549</v>
      </c>
    </row>
    <row r="6" spans="1:14" ht="16" customHeight="1" x14ac:dyDescent="0.2">
      <c r="A6" t="s">
        <v>1220</v>
      </c>
      <c r="B6" t="s">
        <v>1550</v>
      </c>
      <c r="C6" t="s">
        <v>1220</v>
      </c>
      <c r="D6" t="s">
        <v>1375</v>
      </c>
      <c r="E6" t="s">
        <v>1551</v>
      </c>
      <c r="F6" t="s">
        <v>1552</v>
      </c>
      <c r="G6" t="s">
        <v>1553</v>
      </c>
      <c r="H6" t="s">
        <v>1554</v>
      </c>
      <c r="I6">
        <v>0</v>
      </c>
      <c r="J6">
        <v>0</v>
      </c>
      <c r="K6">
        <v>0</v>
      </c>
      <c r="L6" t="s">
        <v>486</v>
      </c>
      <c r="M6" t="s">
        <v>1532</v>
      </c>
      <c r="N6" t="s">
        <v>495</v>
      </c>
    </row>
    <row r="7" spans="1:14" ht="16" customHeight="1" x14ac:dyDescent="0.2"/>
    <row r="8" spans="1:14" ht="16" customHeight="1" x14ac:dyDescent="0.2">
      <c r="K8" s="662"/>
    </row>
    <row r="9" spans="1:14" ht="16" customHeight="1" x14ac:dyDescent="0.2"/>
    <row r="10" spans="1:14" ht="16" customHeight="1" x14ac:dyDescent="0.2"/>
    <row r="11" spans="1:14" ht="16" customHeight="1" x14ac:dyDescent="0.2"/>
    <row r="12" spans="1:14" ht="16" customHeight="1" x14ac:dyDescent="0.2"/>
    <row r="13" spans="1:14" ht="16" customHeight="1" x14ac:dyDescent="0.2"/>
    <row r="14" spans="1:14" ht="16" customHeight="1" x14ac:dyDescent="0.2"/>
    <row r="15" spans="1:14" ht="16" customHeight="1" x14ac:dyDescent="0.2"/>
    <row r="16" spans="1:14" ht="16" customHeight="1" x14ac:dyDescent="0.2"/>
    <row r="17" ht="16" customHeight="1" x14ac:dyDescent="0.2"/>
    <row r="18" ht="16" customHeight="1" x14ac:dyDescent="0.2"/>
    <row r="19" ht="16" customHeight="1" x14ac:dyDescent="0.2"/>
    <row r="20" ht="16" customHeight="1" x14ac:dyDescent="0.2"/>
    <row r="21" ht="16" customHeight="1" x14ac:dyDescent="0.2"/>
    <row r="22" ht="16" customHeight="1" x14ac:dyDescent="0.2"/>
    <row r="23" ht="16" customHeight="1" x14ac:dyDescent="0.2"/>
    <row r="24" ht="16" customHeight="1" x14ac:dyDescent="0.2"/>
    <row r="25" ht="16" customHeight="1" x14ac:dyDescent="0.2"/>
    <row r="26" ht="16" customHeight="1" x14ac:dyDescent="0.2"/>
    <row r="27" ht="16" customHeight="1" x14ac:dyDescent="0.2"/>
    <row r="28" ht="16" customHeight="1" x14ac:dyDescent="0.2"/>
    <row r="29" ht="16" customHeight="1" x14ac:dyDescent="0.2"/>
    <row r="30" ht="16" customHeight="1" x14ac:dyDescent="0.2"/>
    <row r="31" ht="16" customHeight="1" x14ac:dyDescent="0.2"/>
    <row r="32"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spans="4:4" ht="16" customHeight="1" x14ac:dyDescent="0.2"/>
    <row r="50" spans="4:4" ht="16" customHeight="1" x14ac:dyDescent="0.2"/>
    <row r="51" spans="4:4" ht="16" customHeight="1" x14ac:dyDescent="0.2"/>
    <row r="52" spans="4:4" ht="16" customHeight="1" x14ac:dyDescent="0.2"/>
    <row r="53" spans="4:4" ht="16" customHeight="1" x14ac:dyDescent="0.2"/>
    <row r="54" spans="4:4" ht="16" customHeight="1" x14ac:dyDescent="0.2"/>
    <row r="55" spans="4:4" ht="16" customHeight="1" x14ac:dyDescent="0.2">
      <c r="D55" s="16"/>
    </row>
    <row r="56" spans="4:4" ht="16" customHeight="1" x14ac:dyDescent="0.2"/>
    <row r="57" spans="4:4" ht="16" customHeight="1" x14ac:dyDescent="0.2"/>
    <row r="58" spans="4:4" ht="16" customHeight="1" x14ac:dyDescent="0.2"/>
    <row r="59" spans="4:4" ht="16" customHeight="1" x14ac:dyDescent="0.2"/>
    <row r="60" spans="4:4" ht="16" customHeight="1" x14ac:dyDescent="0.2"/>
    <row r="61" spans="4:4" ht="16" customHeight="1" x14ac:dyDescent="0.2"/>
    <row r="62" spans="4:4" ht="16" customHeight="1" x14ac:dyDescent="0.2"/>
    <row r="63" spans="4:4" ht="16" customHeight="1" x14ac:dyDescent="0.2"/>
    <row r="64" spans="4: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row r="113" ht="16" customHeight="1" x14ac:dyDescent="0.2"/>
    <row r="114" ht="16" customHeight="1" x14ac:dyDescent="0.2"/>
    <row r="115" ht="16" customHeight="1" x14ac:dyDescent="0.2"/>
    <row r="116" ht="16" customHeight="1" x14ac:dyDescent="0.2"/>
    <row r="117" ht="16" customHeight="1" x14ac:dyDescent="0.2"/>
    <row r="118" ht="16" customHeight="1" x14ac:dyDescent="0.2"/>
    <row r="119" ht="16" customHeight="1" x14ac:dyDescent="0.2"/>
    <row r="120" ht="16" customHeight="1" x14ac:dyDescent="0.2"/>
    <row r="121" ht="16" customHeight="1" x14ac:dyDescent="0.2"/>
    <row r="122" ht="16" customHeight="1" x14ac:dyDescent="0.2"/>
    <row r="123" ht="16" customHeight="1" x14ac:dyDescent="0.2"/>
    <row r="124" ht="16" customHeight="1" x14ac:dyDescent="0.2"/>
    <row r="125" ht="16" customHeight="1" x14ac:dyDescent="0.2"/>
    <row r="126" ht="16" customHeight="1" x14ac:dyDescent="0.2"/>
    <row r="127" ht="16" customHeight="1" x14ac:dyDescent="0.2"/>
    <row r="128" ht="16" customHeight="1" x14ac:dyDescent="0.2"/>
    <row r="129" ht="16" customHeight="1" x14ac:dyDescent="0.2"/>
    <row r="130" ht="16" customHeight="1" x14ac:dyDescent="0.2"/>
    <row r="131" ht="16" customHeight="1" x14ac:dyDescent="0.2"/>
    <row r="132" ht="16" customHeight="1" x14ac:dyDescent="0.2"/>
    <row r="133" ht="16" customHeight="1" x14ac:dyDescent="0.2"/>
    <row r="134" ht="16" customHeight="1" x14ac:dyDescent="0.2"/>
    <row r="135" ht="16" customHeight="1" x14ac:dyDescent="0.2"/>
    <row r="136" ht="16" customHeight="1" x14ac:dyDescent="0.2"/>
    <row r="137" ht="16" customHeight="1" x14ac:dyDescent="0.2"/>
    <row r="138" ht="16" customHeight="1" x14ac:dyDescent="0.2"/>
    <row r="139" ht="16" customHeight="1" x14ac:dyDescent="0.2"/>
    <row r="140" ht="16" customHeight="1" x14ac:dyDescent="0.2"/>
    <row r="141" ht="16" customHeight="1" x14ac:dyDescent="0.2"/>
    <row r="142" ht="16" customHeight="1" x14ac:dyDescent="0.2"/>
    <row r="143" ht="16" customHeight="1" x14ac:dyDescent="0.2"/>
    <row r="144" ht="16" customHeight="1" x14ac:dyDescent="0.2"/>
    <row r="145" ht="16" customHeight="1" x14ac:dyDescent="0.2"/>
    <row r="146" ht="16" customHeight="1" x14ac:dyDescent="0.2"/>
    <row r="147" ht="16" customHeight="1" x14ac:dyDescent="0.2"/>
    <row r="148" ht="16" customHeight="1" x14ac:dyDescent="0.2"/>
    <row r="149" ht="16" customHeight="1" x14ac:dyDescent="0.2"/>
    <row r="150" ht="16" customHeight="1" x14ac:dyDescent="0.2"/>
    <row r="151" ht="16" customHeight="1" x14ac:dyDescent="0.2"/>
    <row r="152" ht="16" customHeight="1" x14ac:dyDescent="0.2"/>
    <row r="153" ht="16" customHeight="1" x14ac:dyDescent="0.2"/>
    <row r="154" ht="16" customHeight="1" x14ac:dyDescent="0.2"/>
    <row r="155" ht="16" customHeight="1" x14ac:dyDescent="0.2"/>
    <row r="156" ht="16" customHeight="1" x14ac:dyDescent="0.2"/>
    <row r="157" ht="16" customHeight="1" x14ac:dyDescent="0.2"/>
    <row r="158" ht="16" customHeight="1" x14ac:dyDescent="0.2"/>
    <row r="159" ht="16" customHeight="1" x14ac:dyDescent="0.2"/>
    <row r="160" ht="16" customHeight="1" x14ac:dyDescent="0.2"/>
    <row r="161" ht="16" customHeight="1" x14ac:dyDescent="0.2"/>
    <row r="162" ht="16" customHeight="1" x14ac:dyDescent="0.2"/>
    <row r="163" ht="16" customHeight="1" x14ac:dyDescent="0.2"/>
    <row r="164" ht="16" customHeight="1" x14ac:dyDescent="0.2"/>
    <row r="165" ht="16" customHeight="1" x14ac:dyDescent="0.2"/>
    <row r="166" ht="16" customHeight="1" x14ac:dyDescent="0.2"/>
    <row r="167" ht="16" customHeight="1" x14ac:dyDescent="0.2"/>
    <row r="168" ht="16" customHeight="1" x14ac:dyDescent="0.2"/>
    <row r="169" ht="16" customHeight="1" x14ac:dyDescent="0.2"/>
    <row r="170" ht="16" customHeight="1" x14ac:dyDescent="0.2"/>
    <row r="171" ht="16" customHeight="1" x14ac:dyDescent="0.2"/>
    <row r="172" ht="16" customHeight="1" x14ac:dyDescent="0.2"/>
    <row r="173" ht="16" customHeight="1" x14ac:dyDescent="0.2"/>
    <row r="174" ht="16" customHeight="1" x14ac:dyDescent="0.2"/>
    <row r="175" ht="16" customHeight="1" x14ac:dyDescent="0.2"/>
    <row r="176" ht="16" customHeight="1" x14ac:dyDescent="0.2"/>
    <row r="177" ht="16" customHeight="1" x14ac:dyDescent="0.2"/>
    <row r="178" ht="16" customHeight="1" x14ac:dyDescent="0.2"/>
    <row r="179" ht="16" customHeight="1" x14ac:dyDescent="0.2"/>
    <row r="180" ht="16" customHeight="1" x14ac:dyDescent="0.2"/>
    <row r="181" ht="16" customHeight="1" x14ac:dyDescent="0.2"/>
    <row r="182" ht="16" customHeight="1" x14ac:dyDescent="0.2"/>
    <row r="183" ht="16" customHeight="1" x14ac:dyDescent="0.2"/>
    <row r="184" ht="16" customHeight="1" x14ac:dyDescent="0.2"/>
    <row r="185" ht="16" customHeight="1" x14ac:dyDescent="0.2"/>
    <row r="186" ht="16" customHeight="1" x14ac:dyDescent="0.2"/>
    <row r="187" ht="16" customHeight="1" x14ac:dyDescent="0.2"/>
    <row r="188" ht="16" customHeight="1" x14ac:dyDescent="0.2"/>
    <row r="189" ht="16" customHeight="1" x14ac:dyDescent="0.2"/>
    <row r="190" ht="16" customHeight="1" x14ac:dyDescent="0.2"/>
    <row r="191" ht="16" customHeight="1" x14ac:dyDescent="0.2"/>
    <row r="192" ht="16" customHeight="1" x14ac:dyDescent="0.2"/>
    <row r="193" ht="16" customHeight="1" x14ac:dyDescent="0.2"/>
    <row r="194" ht="16" customHeight="1" x14ac:dyDescent="0.2"/>
    <row r="195" ht="16" customHeight="1" x14ac:dyDescent="0.2"/>
    <row r="196" ht="16" customHeight="1" x14ac:dyDescent="0.2"/>
    <row r="197" ht="16" customHeight="1" x14ac:dyDescent="0.2"/>
    <row r="198" ht="16" customHeight="1" x14ac:dyDescent="0.2"/>
    <row r="199" ht="16" customHeight="1" x14ac:dyDescent="0.2"/>
    <row r="200" ht="16" customHeight="1" x14ac:dyDescent="0.2"/>
    <row r="201" ht="16" customHeight="1" x14ac:dyDescent="0.2"/>
    <row r="202" ht="16" customHeight="1" x14ac:dyDescent="0.2"/>
    <row r="203" ht="16" customHeight="1" x14ac:dyDescent="0.2"/>
    <row r="204" ht="16" customHeight="1" x14ac:dyDescent="0.2"/>
    <row r="205" ht="16" customHeight="1" x14ac:dyDescent="0.2"/>
    <row r="206" ht="16" customHeight="1" x14ac:dyDescent="0.2"/>
    <row r="207" ht="16" customHeight="1" x14ac:dyDescent="0.2"/>
    <row r="208" ht="16" customHeight="1" x14ac:dyDescent="0.2"/>
    <row r="209" ht="16" customHeight="1" x14ac:dyDescent="0.2"/>
    <row r="210" ht="16" customHeight="1" x14ac:dyDescent="0.2"/>
    <row r="211" ht="16" customHeight="1" x14ac:dyDescent="0.2"/>
    <row r="212" ht="16" customHeight="1" x14ac:dyDescent="0.2"/>
    <row r="213" ht="16" customHeight="1" x14ac:dyDescent="0.2"/>
    <row r="214" ht="16" customHeight="1" x14ac:dyDescent="0.2"/>
    <row r="215" ht="16" customHeight="1" x14ac:dyDescent="0.2"/>
    <row r="216" ht="16" customHeight="1" x14ac:dyDescent="0.2"/>
    <row r="217" ht="16" customHeight="1" x14ac:dyDescent="0.2"/>
    <row r="218" ht="16" customHeight="1" x14ac:dyDescent="0.2"/>
    <row r="219" ht="16" customHeight="1" x14ac:dyDescent="0.2"/>
    <row r="220" ht="16" customHeight="1" x14ac:dyDescent="0.2"/>
    <row r="221" ht="16" customHeight="1" x14ac:dyDescent="0.2"/>
    <row r="222" ht="16" customHeight="1" x14ac:dyDescent="0.2"/>
    <row r="223" ht="16" customHeight="1" x14ac:dyDescent="0.2"/>
    <row r="224" ht="16" customHeight="1" x14ac:dyDescent="0.2"/>
    <row r="225" ht="16" customHeight="1" x14ac:dyDescent="0.2"/>
    <row r="226" ht="16" customHeight="1" x14ac:dyDescent="0.2"/>
    <row r="227" ht="16" customHeight="1" x14ac:dyDescent="0.2"/>
    <row r="228" ht="16" customHeight="1" x14ac:dyDescent="0.2"/>
    <row r="229" ht="16" customHeight="1" x14ac:dyDescent="0.2"/>
    <row r="230" ht="16" customHeight="1" x14ac:dyDescent="0.2"/>
    <row r="231" ht="16" customHeight="1" x14ac:dyDescent="0.2"/>
    <row r="232" ht="16" customHeight="1" x14ac:dyDescent="0.2"/>
    <row r="233" ht="16" customHeight="1" x14ac:dyDescent="0.2"/>
    <row r="234" ht="16" customHeight="1" x14ac:dyDescent="0.2"/>
    <row r="235" ht="16" customHeight="1" x14ac:dyDescent="0.2"/>
    <row r="236" ht="16" customHeight="1" x14ac:dyDescent="0.2"/>
    <row r="237" ht="16" customHeight="1" x14ac:dyDescent="0.2"/>
    <row r="238" ht="16" customHeight="1" x14ac:dyDescent="0.2"/>
    <row r="239" ht="16" customHeight="1" x14ac:dyDescent="0.2"/>
    <row r="240" ht="16" customHeight="1" x14ac:dyDescent="0.2"/>
    <row r="241" ht="16" customHeight="1" x14ac:dyDescent="0.2"/>
    <row r="242" ht="16" customHeight="1" x14ac:dyDescent="0.2"/>
    <row r="243" ht="16" customHeight="1" x14ac:dyDescent="0.2"/>
    <row r="244" ht="16" customHeight="1" x14ac:dyDescent="0.2"/>
    <row r="245" ht="16" customHeight="1" x14ac:dyDescent="0.2"/>
    <row r="246" ht="16" customHeight="1" x14ac:dyDescent="0.2"/>
    <row r="247" ht="16" customHeight="1" x14ac:dyDescent="0.2"/>
    <row r="248" ht="16" customHeight="1" x14ac:dyDescent="0.2"/>
    <row r="249" ht="16" customHeight="1" x14ac:dyDescent="0.2"/>
    <row r="250" ht="16" customHeight="1" x14ac:dyDescent="0.2"/>
    <row r="251" ht="16" customHeight="1" x14ac:dyDescent="0.2"/>
    <row r="252" ht="16" customHeight="1" x14ac:dyDescent="0.2"/>
    <row r="253" ht="16" customHeight="1" x14ac:dyDescent="0.2"/>
    <row r="254" ht="16" customHeight="1" x14ac:dyDescent="0.2"/>
    <row r="255" ht="16" customHeight="1" x14ac:dyDescent="0.2"/>
    <row r="256" ht="16" customHeight="1" x14ac:dyDescent="0.2"/>
    <row r="257" ht="16" customHeight="1" x14ac:dyDescent="0.2"/>
    <row r="258" ht="16" customHeight="1" x14ac:dyDescent="0.2"/>
    <row r="259" ht="16" customHeight="1" x14ac:dyDescent="0.2"/>
    <row r="260" ht="16" customHeight="1" x14ac:dyDescent="0.2"/>
    <row r="261" ht="16" customHeight="1" x14ac:dyDescent="0.2"/>
    <row r="262" ht="16" customHeight="1" x14ac:dyDescent="0.2"/>
    <row r="263" ht="16" customHeight="1" x14ac:dyDescent="0.2"/>
    <row r="264" ht="16" customHeight="1" x14ac:dyDescent="0.2"/>
    <row r="265" ht="16" customHeight="1" x14ac:dyDescent="0.2"/>
    <row r="266" ht="16" customHeight="1" x14ac:dyDescent="0.2"/>
    <row r="267" ht="16" customHeight="1" x14ac:dyDescent="0.2"/>
    <row r="268" ht="16" customHeight="1" x14ac:dyDescent="0.2"/>
    <row r="269" ht="16" customHeight="1" x14ac:dyDescent="0.2"/>
    <row r="270" ht="16" customHeight="1" x14ac:dyDescent="0.2"/>
    <row r="271" ht="16" customHeight="1" x14ac:dyDescent="0.2"/>
    <row r="272" ht="16" customHeight="1" x14ac:dyDescent="0.2"/>
    <row r="273" ht="16" customHeight="1" x14ac:dyDescent="0.2"/>
    <row r="274" ht="16" customHeight="1" x14ac:dyDescent="0.2"/>
    <row r="275" ht="16" customHeight="1" x14ac:dyDescent="0.2"/>
    <row r="276" ht="16" customHeight="1" x14ac:dyDescent="0.2"/>
    <row r="277" ht="16" customHeight="1" x14ac:dyDescent="0.2"/>
    <row r="278" ht="16" customHeight="1" x14ac:dyDescent="0.2"/>
    <row r="279" ht="16" customHeight="1" x14ac:dyDescent="0.2"/>
    <row r="280" ht="16" customHeight="1" x14ac:dyDescent="0.2"/>
    <row r="281" ht="16" customHeight="1" x14ac:dyDescent="0.2"/>
    <row r="282" ht="16" customHeight="1" x14ac:dyDescent="0.2"/>
    <row r="283" ht="16" customHeight="1" x14ac:dyDescent="0.2"/>
    <row r="284" ht="16" customHeight="1" x14ac:dyDescent="0.2"/>
    <row r="285" ht="16" customHeight="1" x14ac:dyDescent="0.2"/>
    <row r="286" ht="16" customHeight="1" x14ac:dyDescent="0.2"/>
    <row r="287" ht="16" customHeight="1" x14ac:dyDescent="0.2"/>
    <row r="288" ht="16" customHeight="1" x14ac:dyDescent="0.2"/>
    <row r="289" ht="16" customHeight="1" x14ac:dyDescent="0.2"/>
    <row r="290" ht="16" customHeight="1" x14ac:dyDescent="0.2"/>
    <row r="291" ht="16" customHeight="1" x14ac:dyDescent="0.2"/>
    <row r="292" ht="16" customHeight="1" x14ac:dyDescent="0.2"/>
    <row r="293" ht="16" customHeight="1" x14ac:dyDescent="0.2"/>
    <row r="294" ht="16" customHeight="1" x14ac:dyDescent="0.2"/>
    <row r="295" ht="16" customHeight="1" x14ac:dyDescent="0.2"/>
    <row r="296" ht="16" customHeight="1" x14ac:dyDescent="0.2"/>
    <row r="297" ht="16" customHeight="1" x14ac:dyDescent="0.2"/>
    <row r="298" ht="16" customHeight="1" x14ac:dyDescent="0.2"/>
    <row r="299" ht="16" customHeight="1" x14ac:dyDescent="0.2"/>
    <row r="300" ht="16" customHeight="1" x14ac:dyDescent="0.2"/>
    <row r="301" ht="16" customHeight="1" x14ac:dyDescent="0.2"/>
    <row r="302" ht="16" customHeight="1" x14ac:dyDescent="0.2"/>
    <row r="303" ht="16" customHeight="1" x14ac:dyDescent="0.2"/>
    <row r="304" ht="16" customHeight="1" x14ac:dyDescent="0.2"/>
    <row r="305" ht="16" customHeight="1" x14ac:dyDescent="0.2"/>
    <row r="306" ht="16" customHeight="1" x14ac:dyDescent="0.2"/>
    <row r="307" ht="16" customHeight="1" x14ac:dyDescent="0.2"/>
    <row r="308" ht="16" customHeight="1" x14ac:dyDescent="0.2"/>
    <row r="309" ht="16" customHeight="1" x14ac:dyDescent="0.2"/>
    <row r="310" ht="16" customHeight="1" x14ac:dyDescent="0.2"/>
    <row r="311" ht="16" customHeight="1" x14ac:dyDescent="0.2"/>
    <row r="312" ht="16" customHeight="1" x14ac:dyDescent="0.2"/>
    <row r="313" ht="16" customHeight="1" x14ac:dyDescent="0.2"/>
    <row r="314" ht="16" customHeight="1" x14ac:dyDescent="0.2"/>
    <row r="315" ht="16" customHeight="1" x14ac:dyDescent="0.2"/>
    <row r="316" ht="16" customHeight="1" x14ac:dyDescent="0.2"/>
    <row r="317" ht="16" customHeight="1" x14ac:dyDescent="0.2"/>
    <row r="318" ht="16" customHeight="1" x14ac:dyDescent="0.2"/>
    <row r="319" ht="16" customHeight="1" x14ac:dyDescent="0.2"/>
    <row r="320" ht="16" customHeight="1" x14ac:dyDescent="0.2"/>
    <row r="321" ht="16" customHeight="1" x14ac:dyDescent="0.2"/>
    <row r="322" ht="16" customHeight="1" x14ac:dyDescent="0.2"/>
    <row r="323" ht="16" customHeight="1" x14ac:dyDescent="0.2"/>
    <row r="324" ht="16" customHeight="1" x14ac:dyDescent="0.2"/>
    <row r="325" ht="16" customHeight="1" x14ac:dyDescent="0.2"/>
    <row r="326" ht="16" customHeight="1" x14ac:dyDescent="0.2"/>
    <row r="327" ht="16" customHeight="1" x14ac:dyDescent="0.2"/>
    <row r="328" ht="16" customHeight="1" x14ac:dyDescent="0.2"/>
    <row r="329" ht="16" customHeight="1" x14ac:dyDescent="0.2"/>
    <row r="330" ht="16" customHeight="1" x14ac:dyDescent="0.2"/>
    <row r="331" ht="16" customHeight="1" x14ac:dyDescent="0.2"/>
    <row r="332" ht="16" customHeight="1" x14ac:dyDescent="0.2"/>
    <row r="333" ht="16" customHeight="1" x14ac:dyDescent="0.2"/>
    <row r="334" ht="16" customHeight="1" x14ac:dyDescent="0.2"/>
    <row r="335" ht="16" customHeight="1" x14ac:dyDescent="0.2"/>
    <row r="336" ht="16" customHeight="1" x14ac:dyDescent="0.2"/>
    <row r="337" ht="16" customHeight="1" x14ac:dyDescent="0.2"/>
    <row r="338" ht="16" customHeight="1" x14ac:dyDescent="0.2"/>
    <row r="339" ht="16" customHeight="1" x14ac:dyDescent="0.2"/>
    <row r="340" ht="16" customHeight="1" x14ac:dyDescent="0.2"/>
    <row r="341" ht="16" customHeight="1" x14ac:dyDescent="0.2"/>
    <row r="342" ht="16" customHeight="1" x14ac:dyDescent="0.2"/>
    <row r="343" ht="16" customHeight="1" x14ac:dyDescent="0.2"/>
    <row r="344" ht="16" customHeight="1" x14ac:dyDescent="0.2"/>
    <row r="345" ht="16" customHeight="1" x14ac:dyDescent="0.2"/>
    <row r="346" ht="16" customHeight="1" x14ac:dyDescent="0.2"/>
    <row r="347" ht="16" customHeight="1" x14ac:dyDescent="0.2"/>
    <row r="348" ht="16" customHeight="1" x14ac:dyDescent="0.2"/>
    <row r="349" ht="16" customHeight="1" x14ac:dyDescent="0.2"/>
    <row r="350" ht="16" customHeight="1" x14ac:dyDescent="0.2"/>
    <row r="351" ht="16" customHeight="1" x14ac:dyDescent="0.2"/>
    <row r="352" ht="16" customHeight="1" x14ac:dyDescent="0.2"/>
    <row r="353" ht="16" customHeight="1" x14ac:dyDescent="0.2"/>
    <row r="354" ht="16" customHeight="1" x14ac:dyDescent="0.2"/>
    <row r="355" ht="16" customHeight="1" x14ac:dyDescent="0.2"/>
    <row r="356" ht="16" customHeight="1" x14ac:dyDescent="0.2"/>
    <row r="357" ht="16" customHeight="1" x14ac:dyDescent="0.2"/>
    <row r="358" ht="16" customHeight="1" x14ac:dyDescent="0.2"/>
    <row r="359" ht="16" customHeight="1" x14ac:dyDescent="0.2"/>
    <row r="360" ht="16" customHeight="1" x14ac:dyDescent="0.2"/>
    <row r="361" ht="16" customHeight="1" x14ac:dyDescent="0.2"/>
    <row r="362" ht="16" customHeight="1" x14ac:dyDescent="0.2"/>
    <row r="363" ht="16" customHeight="1" x14ac:dyDescent="0.2"/>
    <row r="364" ht="16" customHeight="1" x14ac:dyDescent="0.2"/>
    <row r="365" ht="16" customHeight="1" x14ac:dyDescent="0.2"/>
    <row r="366" ht="16" customHeight="1" x14ac:dyDescent="0.2"/>
    <row r="367" ht="16" customHeight="1" x14ac:dyDescent="0.2"/>
    <row r="368" ht="16" customHeight="1" x14ac:dyDescent="0.2"/>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ht="16" customHeight="1" x14ac:dyDescent="0.2"/>
    <row r="386" ht="16" customHeight="1" x14ac:dyDescent="0.2"/>
    <row r="387" ht="16" customHeight="1" x14ac:dyDescent="0.2"/>
    <row r="388" ht="16" customHeight="1" x14ac:dyDescent="0.2"/>
    <row r="389" ht="16" customHeight="1" x14ac:dyDescent="0.2"/>
    <row r="390" ht="16" customHeight="1" x14ac:dyDescent="0.2"/>
    <row r="391" ht="16" customHeight="1" x14ac:dyDescent="0.2"/>
    <row r="392" ht="16" customHeight="1" x14ac:dyDescent="0.2"/>
    <row r="393" ht="16" customHeight="1" x14ac:dyDescent="0.2"/>
    <row r="394" ht="16" customHeight="1" x14ac:dyDescent="0.2"/>
    <row r="395" ht="16" customHeight="1" x14ac:dyDescent="0.2"/>
    <row r="396" ht="16" customHeight="1" x14ac:dyDescent="0.2"/>
    <row r="397" ht="16" customHeight="1" x14ac:dyDescent="0.2"/>
    <row r="398" ht="16" customHeight="1" x14ac:dyDescent="0.2"/>
    <row r="399" ht="16" customHeight="1" x14ac:dyDescent="0.2"/>
    <row r="400" ht="16" customHeight="1" x14ac:dyDescent="0.2"/>
    <row r="401" ht="16" customHeight="1" x14ac:dyDescent="0.2"/>
    <row r="402" ht="16" customHeight="1" x14ac:dyDescent="0.2"/>
    <row r="403" ht="16" customHeight="1" x14ac:dyDescent="0.2"/>
    <row r="404" ht="16" customHeight="1" x14ac:dyDescent="0.2"/>
    <row r="405" ht="16" customHeight="1" x14ac:dyDescent="0.2"/>
    <row r="406" ht="16" customHeight="1" x14ac:dyDescent="0.2"/>
    <row r="407" ht="16" customHeight="1" x14ac:dyDescent="0.2"/>
    <row r="408" ht="16" customHeight="1" x14ac:dyDescent="0.2"/>
    <row r="409" ht="16" customHeight="1" x14ac:dyDescent="0.2"/>
    <row r="410" ht="16" customHeight="1" x14ac:dyDescent="0.2"/>
    <row r="411" ht="16" customHeight="1" x14ac:dyDescent="0.2"/>
    <row r="412" ht="16" customHeight="1" x14ac:dyDescent="0.2"/>
    <row r="413" ht="16" customHeight="1" x14ac:dyDescent="0.2"/>
    <row r="414" ht="16" customHeight="1" x14ac:dyDescent="0.2"/>
    <row r="415" ht="16" customHeight="1" x14ac:dyDescent="0.2"/>
    <row r="416" ht="16" customHeight="1" x14ac:dyDescent="0.2"/>
    <row r="417" ht="16" customHeight="1" x14ac:dyDescent="0.2"/>
    <row r="418" ht="16" customHeight="1" x14ac:dyDescent="0.2"/>
    <row r="419" ht="16" customHeight="1" x14ac:dyDescent="0.2"/>
    <row r="420" ht="16" customHeight="1" x14ac:dyDescent="0.2"/>
    <row r="421" ht="16" customHeight="1" x14ac:dyDescent="0.2"/>
    <row r="422" ht="16" customHeight="1" x14ac:dyDescent="0.2"/>
    <row r="423" ht="16" customHeight="1" x14ac:dyDescent="0.2"/>
    <row r="424" ht="16" customHeight="1" x14ac:dyDescent="0.2"/>
    <row r="425" ht="16" customHeight="1" x14ac:dyDescent="0.2"/>
    <row r="426" ht="16" customHeight="1" x14ac:dyDescent="0.2"/>
    <row r="427" ht="16" customHeight="1" x14ac:dyDescent="0.2"/>
    <row r="428" ht="16" customHeight="1" x14ac:dyDescent="0.2"/>
    <row r="429" ht="16" customHeight="1" x14ac:dyDescent="0.2"/>
    <row r="430" ht="16" customHeight="1" x14ac:dyDescent="0.2"/>
    <row r="431" ht="16" customHeight="1" x14ac:dyDescent="0.2"/>
    <row r="432" ht="16" customHeight="1" x14ac:dyDescent="0.2"/>
    <row r="433" ht="16" customHeight="1" x14ac:dyDescent="0.2"/>
    <row r="434" ht="16" customHeight="1" x14ac:dyDescent="0.2"/>
    <row r="435" ht="16" customHeight="1" x14ac:dyDescent="0.2"/>
    <row r="436" ht="16" customHeight="1" x14ac:dyDescent="0.2"/>
    <row r="437" ht="16" customHeight="1" x14ac:dyDescent="0.2"/>
    <row r="438" ht="16" customHeight="1" x14ac:dyDescent="0.2"/>
    <row r="439" ht="16" customHeight="1" x14ac:dyDescent="0.2"/>
    <row r="440" ht="16" customHeight="1" x14ac:dyDescent="0.2"/>
    <row r="441" ht="16" customHeight="1" x14ac:dyDescent="0.2"/>
    <row r="442" ht="16" customHeight="1" x14ac:dyDescent="0.2"/>
    <row r="443" ht="16" customHeight="1" x14ac:dyDescent="0.2"/>
    <row r="444" ht="16" customHeight="1" x14ac:dyDescent="0.2"/>
    <row r="445" ht="16" customHeight="1" x14ac:dyDescent="0.2"/>
    <row r="446" ht="16" customHeight="1" x14ac:dyDescent="0.2"/>
    <row r="447" ht="16" customHeight="1" x14ac:dyDescent="0.2"/>
    <row r="448" ht="16" customHeight="1" x14ac:dyDescent="0.2"/>
    <row r="449" ht="16" customHeight="1" x14ac:dyDescent="0.2"/>
    <row r="450" ht="16" customHeight="1" x14ac:dyDescent="0.2"/>
    <row r="451" ht="16" customHeight="1" x14ac:dyDescent="0.2"/>
    <row r="452" ht="16" customHeight="1" x14ac:dyDescent="0.2"/>
    <row r="453" ht="16" customHeight="1" x14ac:dyDescent="0.2"/>
    <row r="454" ht="16" customHeight="1" x14ac:dyDescent="0.2"/>
    <row r="455" ht="16" customHeight="1" x14ac:dyDescent="0.2"/>
    <row r="456" ht="16" customHeight="1" x14ac:dyDescent="0.2"/>
    <row r="457" ht="16" customHeight="1" x14ac:dyDescent="0.2"/>
    <row r="458" ht="16" customHeight="1" x14ac:dyDescent="0.2"/>
    <row r="459" ht="16" customHeight="1" x14ac:dyDescent="0.2"/>
    <row r="460" ht="16" customHeight="1" x14ac:dyDescent="0.2"/>
    <row r="461" ht="16" customHeight="1" x14ac:dyDescent="0.2"/>
    <row r="462" ht="16" customHeight="1" x14ac:dyDescent="0.2"/>
    <row r="463" ht="16" customHeight="1" x14ac:dyDescent="0.2"/>
    <row r="464" ht="16" customHeight="1" x14ac:dyDescent="0.2"/>
    <row r="465" ht="16" customHeight="1" x14ac:dyDescent="0.2"/>
    <row r="466" ht="16" customHeight="1" x14ac:dyDescent="0.2"/>
    <row r="467" ht="16" customHeight="1" x14ac:dyDescent="0.2"/>
    <row r="468" ht="16" customHeight="1" x14ac:dyDescent="0.2"/>
    <row r="469" ht="16" customHeight="1" x14ac:dyDescent="0.2"/>
    <row r="470" ht="16" customHeight="1" x14ac:dyDescent="0.2"/>
    <row r="471" ht="16" customHeight="1" x14ac:dyDescent="0.2"/>
    <row r="472" ht="16" customHeight="1" x14ac:dyDescent="0.2"/>
    <row r="473" ht="16" customHeight="1" x14ac:dyDescent="0.2"/>
    <row r="474" ht="16" customHeight="1" x14ac:dyDescent="0.2"/>
    <row r="475" ht="16" customHeight="1" x14ac:dyDescent="0.2"/>
    <row r="476" ht="16" customHeight="1" x14ac:dyDescent="0.2"/>
    <row r="477" ht="16" customHeight="1" x14ac:dyDescent="0.2"/>
    <row r="478" ht="16" customHeight="1" x14ac:dyDescent="0.2"/>
    <row r="479" ht="16" customHeight="1" x14ac:dyDescent="0.2"/>
    <row r="480" ht="16" customHeight="1" x14ac:dyDescent="0.2"/>
    <row r="481" ht="16" customHeight="1" x14ac:dyDescent="0.2"/>
    <row r="482" ht="16" customHeight="1" x14ac:dyDescent="0.2"/>
    <row r="483" ht="16" customHeight="1" x14ac:dyDescent="0.2"/>
    <row r="484" ht="16" customHeight="1" x14ac:dyDescent="0.2"/>
    <row r="485" ht="16" customHeight="1" x14ac:dyDescent="0.2"/>
    <row r="486" ht="16" customHeight="1" x14ac:dyDescent="0.2"/>
    <row r="487" ht="16" customHeight="1" x14ac:dyDescent="0.2"/>
    <row r="488" ht="16" customHeight="1" x14ac:dyDescent="0.2"/>
    <row r="489" ht="16" customHeight="1" x14ac:dyDescent="0.2"/>
    <row r="490" ht="16" customHeight="1" x14ac:dyDescent="0.2"/>
    <row r="491" ht="16" customHeight="1" x14ac:dyDescent="0.2"/>
    <row r="492" ht="16" customHeight="1" x14ac:dyDescent="0.2"/>
    <row r="493" ht="16" customHeight="1" x14ac:dyDescent="0.2"/>
    <row r="494" ht="16" customHeight="1" x14ac:dyDescent="0.2"/>
    <row r="495" ht="16" customHeight="1" x14ac:dyDescent="0.2"/>
    <row r="496" ht="16" customHeight="1" x14ac:dyDescent="0.2"/>
    <row r="497" ht="16" customHeight="1" x14ac:dyDescent="0.2"/>
    <row r="498" ht="16" customHeight="1" x14ac:dyDescent="0.2"/>
    <row r="499" ht="16" customHeight="1" x14ac:dyDescent="0.2"/>
    <row r="500" ht="16" customHeight="1" x14ac:dyDescent="0.2"/>
    <row r="501" ht="16" customHeight="1" x14ac:dyDescent="0.2"/>
    <row r="502" ht="16" customHeight="1" x14ac:dyDescent="0.2"/>
    <row r="503" ht="16" customHeight="1" x14ac:dyDescent="0.2"/>
    <row r="504" ht="16" customHeight="1" x14ac:dyDescent="0.2"/>
    <row r="505" ht="16" customHeight="1" x14ac:dyDescent="0.2"/>
    <row r="506" ht="16" customHeight="1" x14ac:dyDescent="0.2"/>
    <row r="507" ht="16" customHeight="1" x14ac:dyDescent="0.2"/>
    <row r="508" ht="16" customHeight="1" x14ac:dyDescent="0.2"/>
    <row r="509" ht="16" customHeight="1" x14ac:dyDescent="0.2"/>
    <row r="510" ht="16" customHeight="1" x14ac:dyDescent="0.2"/>
    <row r="511" ht="16" customHeight="1" x14ac:dyDescent="0.2"/>
    <row r="512" ht="16" customHeight="1" x14ac:dyDescent="0.2"/>
    <row r="513" ht="16" customHeight="1" x14ac:dyDescent="0.2"/>
    <row r="514" ht="16" customHeight="1" x14ac:dyDescent="0.2"/>
    <row r="515" ht="16" customHeight="1" x14ac:dyDescent="0.2"/>
    <row r="516" ht="16" customHeight="1" x14ac:dyDescent="0.2"/>
    <row r="517" ht="16" customHeight="1" x14ac:dyDescent="0.2"/>
    <row r="518" ht="16" customHeight="1" x14ac:dyDescent="0.2"/>
    <row r="519" ht="16" customHeight="1" x14ac:dyDescent="0.2"/>
    <row r="520" ht="16" customHeight="1" x14ac:dyDescent="0.2"/>
    <row r="521" ht="16" customHeight="1" x14ac:dyDescent="0.2"/>
    <row r="522" ht="16" customHeight="1" x14ac:dyDescent="0.2"/>
    <row r="523" ht="16" customHeight="1" x14ac:dyDescent="0.2"/>
    <row r="524" ht="16" customHeight="1" x14ac:dyDescent="0.2"/>
    <row r="525" ht="16" customHeight="1" x14ac:dyDescent="0.2"/>
    <row r="526" ht="16" customHeight="1" x14ac:dyDescent="0.2"/>
    <row r="527" ht="16" customHeight="1" x14ac:dyDescent="0.2"/>
    <row r="528" ht="16" customHeight="1" x14ac:dyDescent="0.2"/>
    <row r="529" ht="16" customHeight="1" x14ac:dyDescent="0.2"/>
    <row r="530" ht="16" customHeight="1" x14ac:dyDescent="0.2"/>
    <row r="531" ht="16" customHeight="1" x14ac:dyDescent="0.2"/>
    <row r="532" ht="16" customHeight="1" x14ac:dyDescent="0.2"/>
    <row r="533" ht="16" customHeight="1" x14ac:dyDescent="0.2"/>
    <row r="534" ht="16" customHeight="1" x14ac:dyDescent="0.2"/>
    <row r="535" ht="16" customHeight="1" x14ac:dyDescent="0.2"/>
    <row r="536" ht="16" customHeight="1" x14ac:dyDescent="0.2"/>
    <row r="537" ht="16" customHeight="1" x14ac:dyDescent="0.2"/>
    <row r="538" ht="16" customHeight="1" x14ac:dyDescent="0.2"/>
    <row r="539" ht="16" customHeight="1" x14ac:dyDescent="0.2"/>
    <row r="540" ht="16" customHeight="1" x14ac:dyDescent="0.2"/>
    <row r="541" ht="16" customHeight="1" x14ac:dyDescent="0.2"/>
    <row r="542" ht="16" customHeight="1" x14ac:dyDescent="0.2"/>
    <row r="543" ht="16" customHeight="1" x14ac:dyDescent="0.2"/>
    <row r="544" ht="16" customHeight="1" x14ac:dyDescent="0.2"/>
    <row r="545" ht="16" customHeight="1" x14ac:dyDescent="0.2"/>
    <row r="546" ht="16" customHeight="1" x14ac:dyDescent="0.2"/>
    <row r="547" ht="16" customHeight="1" x14ac:dyDescent="0.2"/>
    <row r="548" ht="16" customHeight="1" x14ac:dyDescent="0.2"/>
    <row r="549" ht="16" customHeight="1" x14ac:dyDescent="0.2"/>
    <row r="550" ht="16" customHeight="1" x14ac:dyDescent="0.2"/>
    <row r="551" ht="16" customHeight="1" x14ac:dyDescent="0.2"/>
    <row r="552" ht="16" customHeight="1" x14ac:dyDescent="0.2"/>
    <row r="553" ht="16" customHeight="1" x14ac:dyDescent="0.2"/>
    <row r="554" ht="16" customHeight="1" x14ac:dyDescent="0.2"/>
    <row r="555" ht="16" customHeight="1" x14ac:dyDescent="0.2"/>
    <row r="556" ht="16" customHeight="1" x14ac:dyDescent="0.2"/>
    <row r="557" ht="16" customHeight="1" x14ac:dyDescent="0.2"/>
    <row r="558" ht="16" customHeight="1" x14ac:dyDescent="0.2"/>
    <row r="559" ht="16" customHeight="1" x14ac:dyDescent="0.2"/>
    <row r="560" ht="16" customHeight="1" x14ac:dyDescent="0.2"/>
    <row r="561" ht="16" customHeight="1" x14ac:dyDescent="0.2"/>
    <row r="562" ht="16" customHeight="1" x14ac:dyDescent="0.2"/>
    <row r="563" ht="16" customHeight="1" x14ac:dyDescent="0.2"/>
    <row r="564" ht="16" customHeight="1" x14ac:dyDescent="0.2"/>
    <row r="565" ht="16" customHeight="1" x14ac:dyDescent="0.2"/>
    <row r="566" ht="16" customHeight="1" x14ac:dyDescent="0.2"/>
    <row r="567" ht="16" customHeight="1" x14ac:dyDescent="0.2"/>
    <row r="568" ht="16" customHeight="1" x14ac:dyDescent="0.2"/>
    <row r="569" ht="16" customHeight="1" x14ac:dyDescent="0.2"/>
    <row r="570" ht="16" customHeight="1" x14ac:dyDescent="0.2"/>
    <row r="571" ht="16" customHeight="1" x14ac:dyDescent="0.2"/>
    <row r="572" ht="16" customHeight="1" x14ac:dyDescent="0.2"/>
    <row r="573" ht="16" customHeight="1" x14ac:dyDescent="0.2"/>
    <row r="574" ht="16" customHeight="1" x14ac:dyDescent="0.2"/>
    <row r="575" ht="16" customHeight="1" x14ac:dyDescent="0.2"/>
    <row r="576" ht="16" customHeight="1" x14ac:dyDescent="0.2"/>
    <row r="577" ht="16" customHeight="1" x14ac:dyDescent="0.2"/>
    <row r="578" ht="16" customHeight="1" x14ac:dyDescent="0.2"/>
    <row r="579" ht="16" customHeight="1" x14ac:dyDescent="0.2"/>
    <row r="580" ht="16" customHeight="1" x14ac:dyDescent="0.2"/>
    <row r="581" ht="16" customHeight="1" x14ac:dyDescent="0.2"/>
    <row r="582" ht="16" customHeight="1" x14ac:dyDescent="0.2"/>
    <row r="583" ht="16" customHeight="1" x14ac:dyDescent="0.2"/>
    <row r="584" ht="16" customHeight="1" x14ac:dyDescent="0.2"/>
    <row r="585" ht="16" customHeight="1" x14ac:dyDescent="0.2"/>
    <row r="586" ht="16" customHeight="1" x14ac:dyDescent="0.2"/>
    <row r="587" ht="16" customHeight="1" x14ac:dyDescent="0.2"/>
    <row r="588" ht="16" customHeight="1" x14ac:dyDescent="0.2"/>
    <row r="589" ht="16" customHeight="1" x14ac:dyDescent="0.2"/>
    <row r="590" ht="16" customHeight="1" x14ac:dyDescent="0.2"/>
    <row r="591" ht="16" customHeight="1" x14ac:dyDescent="0.2"/>
    <row r="592" ht="16" customHeight="1" x14ac:dyDescent="0.2"/>
    <row r="593" ht="16" customHeight="1" x14ac:dyDescent="0.2"/>
    <row r="594" ht="16" customHeight="1" x14ac:dyDescent="0.2"/>
    <row r="595" ht="16" customHeight="1" x14ac:dyDescent="0.2"/>
    <row r="596" ht="16" customHeight="1" x14ac:dyDescent="0.2"/>
    <row r="597" ht="16" customHeight="1" x14ac:dyDescent="0.2"/>
    <row r="598" ht="16" customHeight="1" x14ac:dyDescent="0.2"/>
    <row r="599" ht="16" customHeight="1" x14ac:dyDescent="0.2"/>
    <row r="600" ht="16" customHeight="1" x14ac:dyDescent="0.2"/>
    <row r="601" ht="16" customHeight="1" x14ac:dyDescent="0.2"/>
    <row r="602" ht="16" customHeight="1" x14ac:dyDescent="0.2"/>
    <row r="603" ht="16" customHeight="1" x14ac:dyDescent="0.2"/>
    <row r="604" ht="16" customHeight="1" x14ac:dyDescent="0.2"/>
    <row r="605" ht="16" customHeight="1" x14ac:dyDescent="0.2"/>
    <row r="606" ht="16" customHeight="1" x14ac:dyDescent="0.2"/>
    <row r="607" ht="16" customHeight="1" x14ac:dyDescent="0.2"/>
    <row r="608" ht="16" customHeight="1" x14ac:dyDescent="0.2"/>
    <row r="609" ht="16" customHeight="1" x14ac:dyDescent="0.2"/>
    <row r="610" ht="16" customHeight="1" x14ac:dyDescent="0.2"/>
    <row r="611" ht="16" customHeight="1" x14ac:dyDescent="0.2"/>
    <row r="612" ht="16" customHeight="1" x14ac:dyDescent="0.2"/>
    <row r="613" ht="16" customHeight="1" x14ac:dyDescent="0.2"/>
    <row r="614" ht="16" customHeight="1" x14ac:dyDescent="0.2"/>
    <row r="615" ht="16" customHeight="1" x14ac:dyDescent="0.2"/>
    <row r="616" ht="16" customHeight="1" x14ac:dyDescent="0.2"/>
    <row r="617" ht="16" customHeight="1" x14ac:dyDescent="0.2"/>
    <row r="618" ht="16" customHeight="1" x14ac:dyDescent="0.2"/>
    <row r="619" ht="16" customHeight="1" x14ac:dyDescent="0.2"/>
    <row r="620" ht="16" customHeight="1" x14ac:dyDescent="0.2"/>
    <row r="621" ht="16" customHeight="1" x14ac:dyDescent="0.2"/>
    <row r="622" ht="16" customHeight="1" x14ac:dyDescent="0.2"/>
    <row r="623" ht="16" customHeight="1" x14ac:dyDescent="0.2"/>
    <row r="624" ht="16" customHeight="1" x14ac:dyDescent="0.2"/>
    <row r="625" ht="16" customHeight="1" x14ac:dyDescent="0.2"/>
    <row r="626" ht="16" customHeight="1" x14ac:dyDescent="0.2"/>
    <row r="627" ht="16" customHeight="1" x14ac:dyDescent="0.2"/>
    <row r="628" ht="16" customHeight="1" x14ac:dyDescent="0.2"/>
    <row r="629" ht="16" customHeight="1" x14ac:dyDescent="0.2"/>
    <row r="630" ht="16" customHeight="1" x14ac:dyDescent="0.2"/>
    <row r="631" ht="16" customHeight="1" x14ac:dyDescent="0.2"/>
    <row r="632" ht="16" customHeight="1" x14ac:dyDescent="0.2"/>
    <row r="633" ht="16" customHeight="1" x14ac:dyDescent="0.2"/>
    <row r="634" ht="16" customHeight="1" x14ac:dyDescent="0.2"/>
    <row r="635" ht="16" customHeight="1" x14ac:dyDescent="0.2"/>
    <row r="636" ht="16" customHeight="1" x14ac:dyDescent="0.2"/>
    <row r="637" ht="16" customHeight="1" x14ac:dyDescent="0.2"/>
    <row r="638" ht="16" customHeight="1" x14ac:dyDescent="0.2"/>
    <row r="639" ht="16" customHeight="1" x14ac:dyDescent="0.2"/>
    <row r="640" ht="16" customHeight="1" x14ac:dyDescent="0.2"/>
    <row r="641" ht="16" customHeight="1" x14ac:dyDescent="0.2"/>
    <row r="642" ht="16" customHeight="1" x14ac:dyDescent="0.2"/>
    <row r="643" ht="16" customHeight="1" x14ac:dyDescent="0.2"/>
    <row r="644" ht="16" customHeight="1" x14ac:dyDescent="0.2"/>
    <row r="645" ht="16" customHeight="1" x14ac:dyDescent="0.2"/>
    <row r="646" ht="16" customHeight="1" x14ac:dyDescent="0.2"/>
    <row r="647" ht="16" customHeight="1" x14ac:dyDescent="0.2"/>
    <row r="648" ht="16" customHeight="1" x14ac:dyDescent="0.2"/>
    <row r="649" ht="16" customHeight="1" x14ac:dyDescent="0.2"/>
    <row r="650" ht="16" customHeight="1" x14ac:dyDescent="0.2"/>
    <row r="651" ht="16" customHeight="1" x14ac:dyDescent="0.2"/>
    <row r="652" ht="16" customHeight="1" x14ac:dyDescent="0.2"/>
    <row r="653" ht="16" customHeight="1" x14ac:dyDescent="0.2"/>
    <row r="654" ht="16" customHeight="1" x14ac:dyDescent="0.2"/>
    <row r="655" ht="16" customHeight="1" x14ac:dyDescent="0.2"/>
    <row r="656" ht="16" customHeight="1" x14ac:dyDescent="0.2"/>
    <row r="657" ht="16" customHeight="1" x14ac:dyDescent="0.2"/>
    <row r="658" ht="16" customHeight="1" x14ac:dyDescent="0.2"/>
    <row r="659" ht="16" customHeight="1" x14ac:dyDescent="0.2"/>
    <row r="660" ht="16" customHeight="1" x14ac:dyDescent="0.2"/>
    <row r="661" ht="16" customHeight="1" x14ac:dyDescent="0.2"/>
    <row r="662" ht="16" customHeight="1" x14ac:dyDescent="0.2"/>
    <row r="663" ht="16" customHeight="1" x14ac:dyDescent="0.2"/>
    <row r="664" ht="16" customHeight="1" x14ac:dyDescent="0.2"/>
    <row r="665" ht="16" customHeight="1" x14ac:dyDescent="0.2"/>
    <row r="666" ht="16" customHeight="1" x14ac:dyDescent="0.2"/>
    <row r="667" ht="16" customHeight="1" x14ac:dyDescent="0.2"/>
    <row r="668" ht="16" customHeight="1" x14ac:dyDescent="0.2"/>
    <row r="669" ht="16" customHeight="1" x14ac:dyDescent="0.2"/>
    <row r="670" ht="16" customHeight="1" x14ac:dyDescent="0.2"/>
    <row r="671" ht="16" customHeight="1" x14ac:dyDescent="0.2"/>
    <row r="672" ht="16" customHeight="1" x14ac:dyDescent="0.2"/>
    <row r="673" ht="16" customHeight="1" x14ac:dyDescent="0.2"/>
    <row r="674" ht="16" customHeight="1" x14ac:dyDescent="0.2"/>
    <row r="675" ht="16" customHeight="1" x14ac:dyDescent="0.2"/>
    <row r="676" ht="16" customHeight="1" x14ac:dyDescent="0.2"/>
    <row r="677" ht="16" customHeight="1" x14ac:dyDescent="0.2"/>
    <row r="678" ht="16" customHeight="1" x14ac:dyDescent="0.2"/>
    <row r="679" ht="16" customHeight="1" x14ac:dyDescent="0.2"/>
    <row r="680" ht="16" customHeight="1" x14ac:dyDescent="0.2"/>
    <row r="681" ht="16" customHeight="1" x14ac:dyDescent="0.2"/>
    <row r="682" ht="16" customHeight="1" x14ac:dyDescent="0.2"/>
    <row r="683" ht="16" customHeight="1" x14ac:dyDescent="0.2"/>
    <row r="684" ht="16" customHeight="1" x14ac:dyDescent="0.2"/>
    <row r="685" ht="16" customHeight="1" x14ac:dyDescent="0.2"/>
    <row r="686" ht="16" customHeight="1" x14ac:dyDescent="0.2"/>
    <row r="687" ht="16" customHeight="1" x14ac:dyDescent="0.2"/>
    <row r="688" ht="16" customHeight="1" x14ac:dyDescent="0.2"/>
    <row r="689" ht="16" customHeight="1" x14ac:dyDescent="0.2"/>
    <row r="690" ht="16" customHeight="1" x14ac:dyDescent="0.2"/>
    <row r="691" ht="16" customHeight="1" x14ac:dyDescent="0.2"/>
    <row r="692" ht="16" customHeight="1" x14ac:dyDescent="0.2"/>
    <row r="693" ht="16" customHeight="1" x14ac:dyDescent="0.2"/>
    <row r="694" ht="16" customHeight="1" x14ac:dyDescent="0.2"/>
    <row r="695" ht="16" customHeight="1" x14ac:dyDescent="0.2"/>
    <row r="696" ht="16" customHeight="1" x14ac:dyDescent="0.2"/>
    <row r="697" ht="16" customHeight="1" x14ac:dyDescent="0.2"/>
    <row r="698" ht="16" customHeight="1" x14ac:dyDescent="0.2"/>
    <row r="699" ht="16" customHeight="1" x14ac:dyDescent="0.2"/>
    <row r="700" ht="16" customHeight="1" x14ac:dyDescent="0.2"/>
    <row r="701" ht="16" customHeight="1" x14ac:dyDescent="0.2"/>
    <row r="702" ht="16" customHeight="1" x14ac:dyDescent="0.2"/>
    <row r="703" ht="16" customHeight="1" x14ac:dyDescent="0.2"/>
    <row r="704" ht="16" customHeight="1" x14ac:dyDescent="0.2"/>
    <row r="705" ht="16" customHeight="1" x14ac:dyDescent="0.2"/>
    <row r="706" ht="16" customHeight="1" x14ac:dyDescent="0.2"/>
    <row r="707" ht="16" customHeight="1" x14ac:dyDescent="0.2"/>
    <row r="708" ht="16" customHeight="1" x14ac:dyDescent="0.2"/>
    <row r="709" ht="16" customHeight="1" x14ac:dyDescent="0.2"/>
    <row r="710" ht="16" customHeight="1" x14ac:dyDescent="0.2"/>
    <row r="711" ht="16" customHeight="1" x14ac:dyDescent="0.2"/>
    <row r="712" ht="16" customHeight="1" x14ac:dyDescent="0.2"/>
    <row r="713" ht="16" customHeight="1" x14ac:dyDescent="0.2"/>
    <row r="714" ht="16" customHeight="1" x14ac:dyDescent="0.2"/>
    <row r="715" ht="16" customHeight="1" x14ac:dyDescent="0.2"/>
    <row r="716" ht="16" customHeight="1" x14ac:dyDescent="0.2"/>
    <row r="717" ht="16" customHeight="1" x14ac:dyDescent="0.2"/>
    <row r="718" ht="16" customHeight="1" x14ac:dyDescent="0.2"/>
    <row r="719" ht="16" customHeight="1" x14ac:dyDescent="0.2"/>
    <row r="720" ht="16" customHeight="1" x14ac:dyDescent="0.2"/>
    <row r="721" ht="16" customHeight="1" x14ac:dyDescent="0.2"/>
    <row r="722" ht="16" customHeight="1" x14ac:dyDescent="0.2"/>
    <row r="723" ht="16" customHeight="1" x14ac:dyDescent="0.2"/>
    <row r="724" ht="16" customHeight="1" x14ac:dyDescent="0.2"/>
    <row r="725" ht="16" customHeight="1" x14ac:dyDescent="0.2"/>
    <row r="726" ht="16" customHeight="1" x14ac:dyDescent="0.2"/>
    <row r="727" ht="16" customHeight="1" x14ac:dyDescent="0.2"/>
    <row r="728" ht="16" customHeight="1" x14ac:dyDescent="0.2"/>
    <row r="729" ht="16" customHeight="1" x14ac:dyDescent="0.2"/>
    <row r="730" ht="16" customHeight="1" x14ac:dyDescent="0.2"/>
    <row r="731" ht="16" customHeight="1" x14ac:dyDescent="0.2"/>
    <row r="732" ht="16" customHeight="1" x14ac:dyDescent="0.2"/>
    <row r="733" ht="16" customHeight="1" x14ac:dyDescent="0.2"/>
    <row r="734" ht="16" customHeight="1" x14ac:dyDescent="0.2"/>
    <row r="735" ht="16" customHeight="1" x14ac:dyDescent="0.2"/>
    <row r="736" ht="16" customHeight="1" x14ac:dyDescent="0.2"/>
    <row r="737" ht="16" customHeight="1" x14ac:dyDescent="0.2"/>
    <row r="738" ht="16" customHeight="1" x14ac:dyDescent="0.2"/>
    <row r="739" ht="16" customHeight="1" x14ac:dyDescent="0.2"/>
    <row r="740" ht="16" customHeight="1" x14ac:dyDescent="0.2"/>
    <row r="741" ht="16" customHeight="1" x14ac:dyDescent="0.2"/>
    <row r="742" ht="16" customHeight="1" x14ac:dyDescent="0.2"/>
    <row r="743" ht="16" customHeight="1" x14ac:dyDescent="0.2"/>
    <row r="744" ht="16" customHeight="1" x14ac:dyDescent="0.2"/>
    <row r="745" ht="16" customHeight="1" x14ac:dyDescent="0.2"/>
    <row r="746" ht="16" customHeight="1" x14ac:dyDescent="0.2"/>
    <row r="747" ht="16" customHeight="1" x14ac:dyDescent="0.2"/>
    <row r="748" ht="16" customHeight="1" x14ac:dyDescent="0.2"/>
    <row r="749" ht="16" customHeight="1" x14ac:dyDescent="0.2"/>
    <row r="750" ht="16" customHeight="1" x14ac:dyDescent="0.2"/>
    <row r="751" ht="16" customHeight="1" x14ac:dyDescent="0.2"/>
    <row r="752" ht="16" customHeight="1" x14ac:dyDescent="0.2"/>
    <row r="753" ht="16" customHeight="1" x14ac:dyDescent="0.2"/>
    <row r="754" ht="16" customHeight="1" x14ac:dyDescent="0.2"/>
    <row r="755" ht="16" customHeight="1" x14ac:dyDescent="0.2"/>
    <row r="756" ht="16" customHeight="1" x14ac:dyDescent="0.2"/>
    <row r="757" ht="16" customHeight="1" x14ac:dyDescent="0.2"/>
    <row r="758" ht="16" customHeight="1" x14ac:dyDescent="0.2"/>
    <row r="759" ht="16" customHeight="1" x14ac:dyDescent="0.2"/>
    <row r="760" ht="16" customHeight="1" x14ac:dyDescent="0.2"/>
    <row r="761" ht="16" customHeight="1" x14ac:dyDescent="0.2"/>
    <row r="762" ht="16" customHeight="1" x14ac:dyDescent="0.2"/>
    <row r="763" ht="16" customHeight="1" x14ac:dyDescent="0.2"/>
    <row r="764" ht="16" customHeight="1" x14ac:dyDescent="0.2"/>
    <row r="765" ht="16" customHeight="1" x14ac:dyDescent="0.2"/>
    <row r="766" ht="16" customHeight="1" x14ac:dyDescent="0.2"/>
    <row r="767" ht="16" customHeight="1" x14ac:dyDescent="0.2"/>
    <row r="768" ht="16" customHeight="1" x14ac:dyDescent="0.2"/>
    <row r="769" ht="16" customHeight="1" x14ac:dyDescent="0.2"/>
    <row r="770" ht="16" customHeight="1" x14ac:dyDescent="0.2"/>
    <row r="771" ht="16" customHeight="1" x14ac:dyDescent="0.2"/>
    <row r="772" ht="16" customHeight="1" x14ac:dyDescent="0.2"/>
    <row r="773" ht="16" customHeight="1" x14ac:dyDescent="0.2"/>
    <row r="774" ht="16" customHeight="1" x14ac:dyDescent="0.2"/>
    <row r="775" ht="16" customHeight="1" x14ac:dyDescent="0.2"/>
    <row r="776" ht="16" customHeight="1" x14ac:dyDescent="0.2"/>
    <row r="777" ht="16" customHeight="1" x14ac:dyDescent="0.2"/>
    <row r="778" ht="16" customHeight="1" x14ac:dyDescent="0.2"/>
    <row r="779" ht="16" customHeight="1" x14ac:dyDescent="0.2"/>
    <row r="780" ht="16" customHeight="1" x14ac:dyDescent="0.2"/>
    <row r="781" ht="16" customHeight="1" x14ac:dyDescent="0.2"/>
    <row r="782" ht="16" customHeight="1" x14ac:dyDescent="0.2"/>
    <row r="783" ht="16" customHeight="1" x14ac:dyDescent="0.2"/>
    <row r="784" ht="16" customHeight="1" x14ac:dyDescent="0.2"/>
    <row r="785" ht="16" customHeight="1" x14ac:dyDescent="0.2"/>
    <row r="786" ht="16" customHeight="1" x14ac:dyDescent="0.2"/>
    <row r="787" ht="16" customHeight="1" x14ac:dyDescent="0.2"/>
    <row r="788" ht="16" customHeight="1" x14ac:dyDescent="0.2"/>
    <row r="789" ht="16" customHeight="1" x14ac:dyDescent="0.2"/>
    <row r="790" ht="16" customHeight="1" x14ac:dyDescent="0.2"/>
    <row r="791" ht="16" customHeight="1" x14ac:dyDescent="0.2"/>
    <row r="792" ht="16" customHeight="1" x14ac:dyDescent="0.2"/>
    <row r="793" ht="16" customHeight="1" x14ac:dyDescent="0.2"/>
    <row r="794" ht="16" customHeight="1" x14ac:dyDescent="0.2"/>
    <row r="795" ht="16" customHeight="1" x14ac:dyDescent="0.2"/>
    <row r="796" ht="16" customHeight="1" x14ac:dyDescent="0.2"/>
    <row r="797" ht="16" customHeight="1" x14ac:dyDescent="0.2"/>
    <row r="798" ht="16" customHeight="1" x14ac:dyDescent="0.2"/>
    <row r="799" ht="16" customHeight="1" x14ac:dyDescent="0.2"/>
    <row r="800" ht="16" customHeight="1" x14ac:dyDescent="0.2"/>
    <row r="801" ht="16" customHeight="1" x14ac:dyDescent="0.2"/>
    <row r="802" ht="16" customHeight="1" x14ac:dyDescent="0.2"/>
    <row r="803" ht="16" customHeight="1" x14ac:dyDescent="0.2"/>
    <row r="804" ht="16" customHeight="1" x14ac:dyDescent="0.2"/>
    <row r="805" ht="16" customHeight="1" x14ac:dyDescent="0.2"/>
    <row r="806" ht="16" customHeight="1" x14ac:dyDescent="0.2"/>
    <row r="807" ht="16" customHeight="1" x14ac:dyDescent="0.2"/>
    <row r="808" ht="16" customHeight="1" x14ac:dyDescent="0.2"/>
    <row r="809" ht="16" customHeight="1" x14ac:dyDescent="0.2"/>
    <row r="810" ht="16" customHeight="1" x14ac:dyDescent="0.2"/>
    <row r="811" ht="16" customHeight="1" x14ac:dyDescent="0.2"/>
    <row r="812" ht="16" customHeight="1" x14ac:dyDescent="0.2"/>
    <row r="813" ht="16" customHeight="1" x14ac:dyDescent="0.2"/>
    <row r="814" ht="16" customHeight="1" x14ac:dyDescent="0.2"/>
    <row r="815" ht="16" customHeight="1" x14ac:dyDescent="0.2"/>
    <row r="816" ht="16" customHeight="1" x14ac:dyDescent="0.2"/>
    <row r="817" ht="16" customHeight="1" x14ac:dyDescent="0.2"/>
    <row r="818" ht="16" customHeight="1" x14ac:dyDescent="0.2"/>
    <row r="819" ht="16" customHeight="1" x14ac:dyDescent="0.2"/>
    <row r="820" ht="16" customHeight="1" x14ac:dyDescent="0.2"/>
    <row r="821" ht="16" customHeight="1" x14ac:dyDescent="0.2"/>
    <row r="822" ht="16" customHeight="1" x14ac:dyDescent="0.2"/>
    <row r="823" ht="16" customHeight="1" x14ac:dyDescent="0.2"/>
    <row r="824" ht="16" customHeight="1" x14ac:dyDescent="0.2"/>
    <row r="825" ht="16" customHeight="1" x14ac:dyDescent="0.2"/>
    <row r="826" ht="16" customHeight="1" x14ac:dyDescent="0.2"/>
    <row r="827" ht="16" customHeight="1" x14ac:dyDescent="0.2"/>
    <row r="828" ht="16" customHeight="1" x14ac:dyDescent="0.2"/>
    <row r="829" ht="16" customHeight="1" x14ac:dyDescent="0.2"/>
    <row r="830" ht="16" customHeight="1" x14ac:dyDescent="0.2"/>
    <row r="831" ht="16" customHeight="1" x14ac:dyDescent="0.2"/>
    <row r="832" ht="16" customHeight="1" x14ac:dyDescent="0.2"/>
    <row r="833" ht="16" customHeight="1" x14ac:dyDescent="0.2"/>
    <row r="834" ht="16" customHeight="1" x14ac:dyDescent="0.2"/>
    <row r="835" ht="16" customHeight="1" x14ac:dyDescent="0.2"/>
    <row r="836" ht="16" customHeight="1" x14ac:dyDescent="0.2"/>
    <row r="837" ht="16" customHeight="1" x14ac:dyDescent="0.2"/>
    <row r="838" ht="16" customHeight="1" x14ac:dyDescent="0.2"/>
    <row r="839" ht="16" customHeight="1" x14ac:dyDescent="0.2"/>
    <row r="840" ht="16" customHeight="1" x14ac:dyDescent="0.2"/>
    <row r="841" ht="16" customHeight="1" x14ac:dyDescent="0.2"/>
    <row r="842" ht="16" customHeight="1" x14ac:dyDescent="0.2"/>
    <row r="843" ht="16" customHeight="1" x14ac:dyDescent="0.2"/>
    <row r="844" ht="16" customHeight="1" x14ac:dyDescent="0.2"/>
    <row r="845" ht="16" customHeight="1" x14ac:dyDescent="0.2"/>
    <row r="846" ht="16" customHeight="1" x14ac:dyDescent="0.2"/>
    <row r="847" ht="16" customHeight="1" x14ac:dyDescent="0.2"/>
    <row r="848" ht="16" customHeight="1" x14ac:dyDescent="0.2"/>
    <row r="849" ht="16" customHeight="1" x14ac:dyDescent="0.2"/>
    <row r="850" ht="16" customHeight="1" x14ac:dyDescent="0.2"/>
    <row r="851" ht="16" customHeight="1" x14ac:dyDescent="0.2"/>
    <row r="852" ht="16" customHeight="1" x14ac:dyDescent="0.2"/>
    <row r="853" ht="16" customHeight="1" x14ac:dyDescent="0.2"/>
    <row r="854" ht="16" customHeight="1" x14ac:dyDescent="0.2"/>
    <row r="855" ht="16" customHeight="1" x14ac:dyDescent="0.2"/>
    <row r="856" ht="16" customHeight="1" x14ac:dyDescent="0.2"/>
    <row r="857" ht="16" customHeight="1" x14ac:dyDescent="0.2"/>
    <row r="858" ht="16" customHeight="1" x14ac:dyDescent="0.2"/>
    <row r="859" ht="16" customHeight="1" x14ac:dyDescent="0.2"/>
    <row r="860" ht="16" customHeight="1" x14ac:dyDescent="0.2"/>
    <row r="861" ht="16" customHeight="1" x14ac:dyDescent="0.2"/>
    <row r="862" ht="16" customHeight="1" x14ac:dyDescent="0.2"/>
    <row r="863" ht="16" customHeight="1" x14ac:dyDescent="0.2"/>
    <row r="864" ht="16" customHeight="1" x14ac:dyDescent="0.2"/>
    <row r="865" ht="16" customHeight="1" x14ac:dyDescent="0.2"/>
    <row r="866" ht="16" customHeight="1" x14ac:dyDescent="0.2"/>
    <row r="867" ht="16" customHeight="1" x14ac:dyDescent="0.2"/>
    <row r="868" ht="16" customHeight="1" x14ac:dyDescent="0.2"/>
    <row r="869" ht="16" customHeight="1" x14ac:dyDescent="0.2"/>
    <row r="870" ht="16" customHeight="1" x14ac:dyDescent="0.2"/>
    <row r="871" ht="16" customHeight="1" x14ac:dyDescent="0.2"/>
    <row r="872" ht="16" customHeight="1" x14ac:dyDescent="0.2"/>
    <row r="873" ht="16" customHeight="1" x14ac:dyDescent="0.2"/>
    <row r="874" ht="16" customHeight="1" x14ac:dyDescent="0.2"/>
    <row r="875" ht="16" customHeight="1" x14ac:dyDescent="0.2"/>
    <row r="876" ht="16" customHeight="1" x14ac:dyDescent="0.2"/>
    <row r="877" ht="16" customHeight="1" x14ac:dyDescent="0.2"/>
    <row r="878" ht="16" customHeight="1" x14ac:dyDescent="0.2"/>
    <row r="879" ht="16" customHeight="1" x14ac:dyDescent="0.2"/>
    <row r="880" ht="16" customHeight="1" x14ac:dyDescent="0.2"/>
    <row r="881" ht="16" customHeight="1" x14ac:dyDescent="0.2"/>
    <row r="882" ht="16" customHeight="1" x14ac:dyDescent="0.2"/>
    <row r="883" ht="16" customHeight="1" x14ac:dyDescent="0.2"/>
    <row r="884" ht="16" customHeight="1" x14ac:dyDescent="0.2"/>
    <row r="885" ht="16" customHeight="1" x14ac:dyDescent="0.2"/>
    <row r="886" ht="16" customHeight="1" x14ac:dyDescent="0.2"/>
    <row r="887" ht="16" customHeight="1" x14ac:dyDescent="0.2"/>
    <row r="888" ht="16" customHeight="1" x14ac:dyDescent="0.2"/>
    <row r="889" ht="16" customHeight="1" x14ac:dyDescent="0.2"/>
    <row r="890" ht="16" customHeight="1" x14ac:dyDescent="0.2"/>
    <row r="891" ht="16" customHeight="1" x14ac:dyDescent="0.2"/>
    <row r="892" ht="16" customHeight="1" x14ac:dyDescent="0.2"/>
    <row r="893" ht="16" customHeight="1" x14ac:dyDescent="0.2"/>
    <row r="894" ht="16" customHeight="1" x14ac:dyDescent="0.2"/>
    <row r="895" ht="16" customHeight="1" x14ac:dyDescent="0.2"/>
    <row r="896" ht="16" customHeight="1" x14ac:dyDescent="0.2"/>
    <row r="897" ht="16" customHeight="1" x14ac:dyDescent="0.2"/>
    <row r="898" ht="16" customHeight="1" x14ac:dyDescent="0.2"/>
    <row r="899" ht="16" customHeight="1" x14ac:dyDescent="0.2"/>
    <row r="900" ht="16" customHeight="1" x14ac:dyDescent="0.2"/>
    <row r="901" ht="16" customHeight="1" x14ac:dyDescent="0.2"/>
    <row r="902" ht="16" customHeight="1" x14ac:dyDescent="0.2"/>
    <row r="903" ht="16" customHeight="1" x14ac:dyDescent="0.2"/>
    <row r="904" ht="16" customHeight="1" x14ac:dyDescent="0.2"/>
    <row r="905" ht="16" customHeight="1" x14ac:dyDescent="0.2"/>
    <row r="906" ht="16" customHeight="1" x14ac:dyDescent="0.2"/>
    <row r="907" ht="16" customHeight="1" x14ac:dyDescent="0.2"/>
    <row r="908" ht="16" customHeight="1" x14ac:dyDescent="0.2"/>
    <row r="909" ht="16" customHeight="1" x14ac:dyDescent="0.2"/>
    <row r="910" ht="16" customHeight="1" x14ac:dyDescent="0.2"/>
    <row r="911" ht="16" customHeight="1" x14ac:dyDescent="0.2"/>
    <row r="912" ht="16" customHeight="1" x14ac:dyDescent="0.2"/>
    <row r="913" ht="16" customHeight="1" x14ac:dyDescent="0.2"/>
    <row r="914" ht="16" customHeight="1" x14ac:dyDescent="0.2"/>
    <row r="915" ht="16" customHeight="1" x14ac:dyDescent="0.2"/>
    <row r="916" ht="16" customHeight="1" x14ac:dyDescent="0.2"/>
    <row r="917" ht="16" customHeight="1" x14ac:dyDescent="0.2"/>
    <row r="918" ht="16" customHeight="1" x14ac:dyDescent="0.2"/>
    <row r="919" ht="16" customHeight="1" x14ac:dyDescent="0.2"/>
    <row r="920" ht="16" customHeight="1" x14ac:dyDescent="0.2"/>
    <row r="921" ht="16" customHeight="1" x14ac:dyDescent="0.2"/>
    <row r="922" ht="16" customHeight="1" x14ac:dyDescent="0.2"/>
    <row r="923" ht="16" customHeight="1" x14ac:dyDescent="0.2"/>
    <row r="924" ht="16" customHeight="1" x14ac:dyDescent="0.2"/>
    <row r="925" ht="16" customHeight="1" x14ac:dyDescent="0.2"/>
    <row r="926" ht="16" customHeight="1" x14ac:dyDescent="0.2"/>
    <row r="927" ht="16" customHeight="1" x14ac:dyDescent="0.2"/>
    <row r="928" ht="16" customHeight="1" x14ac:dyDescent="0.2"/>
    <row r="929" ht="16" customHeight="1" x14ac:dyDescent="0.2"/>
    <row r="930" ht="16" customHeight="1" x14ac:dyDescent="0.2"/>
    <row r="931" ht="16" customHeight="1" x14ac:dyDescent="0.2"/>
    <row r="932" ht="16" customHeight="1" x14ac:dyDescent="0.2"/>
    <row r="933" ht="16" customHeight="1" x14ac:dyDescent="0.2"/>
    <row r="934" ht="16" customHeight="1" x14ac:dyDescent="0.2"/>
    <row r="935" ht="16" customHeight="1" x14ac:dyDescent="0.2"/>
    <row r="936" ht="16" customHeight="1" x14ac:dyDescent="0.2"/>
    <row r="937" ht="16" customHeight="1" x14ac:dyDescent="0.2"/>
    <row r="938" ht="16" customHeight="1" x14ac:dyDescent="0.2"/>
    <row r="939" ht="16" customHeight="1" x14ac:dyDescent="0.2"/>
    <row r="940" ht="16" customHeight="1" x14ac:dyDescent="0.2"/>
    <row r="941" ht="16" customHeight="1" x14ac:dyDescent="0.2"/>
    <row r="942" ht="16" customHeight="1" x14ac:dyDescent="0.2"/>
    <row r="943" ht="16" customHeight="1" x14ac:dyDescent="0.2"/>
    <row r="944" ht="16" customHeight="1" x14ac:dyDescent="0.2"/>
    <row r="945" ht="16" customHeight="1" x14ac:dyDescent="0.2"/>
    <row r="946" ht="16" customHeight="1" x14ac:dyDescent="0.2"/>
    <row r="947" ht="16" customHeight="1" x14ac:dyDescent="0.2"/>
    <row r="948" ht="16" customHeight="1" x14ac:dyDescent="0.2"/>
    <row r="949" ht="16" customHeight="1" x14ac:dyDescent="0.2"/>
    <row r="950" ht="16" customHeight="1" x14ac:dyDescent="0.2"/>
    <row r="951" ht="16" customHeight="1" x14ac:dyDescent="0.2"/>
    <row r="952" ht="16" customHeight="1" x14ac:dyDescent="0.2"/>
    <row r="953" ht="16" customHeight="1" x14ac:dyDescent="0.2"/>
    <row r="954" ht="16" customHeight="1" x14ac:dyDescent="0.2"/>
    <row r="955" ht="16" customHeight="1" x14ac:dyDescent="0.2"/>
    <row r="956" ht="16" customHeight="1" x14ac:dyDescent="0.2"/>
    <row r="957" ht="16" customHeight="1" x14ac:dyDescent="0.2"/>
    <row r="958" ht="16" customHeight="1" x14ac:dyDescent="0.2"/>
    <row r="959" ht="16" customHeight="1" x14ac:dyDescent="0.2"/>
    <row r="960" ht="16" customHeight="1" x14ac:dyDescent="0.2"/>
    <row r="961" ht="16" customHeight="1" x14ac:dyDescent="0.2"/>
    <row r="962" ht="16" customHeight="1" x14ac:dyDescent="0.2"/>
    <row r="963" ht="16" customHeight="1" x14ac:dyDescent="0.2"/>
    <row r="964" ht="16" customHeight="1" x14ac:dyDescent="0.2"/>
    <row r="965" ht="16" customHeight="1" x14ac:dyDescent="0.2"/>
    <row r="966" ht="16" customHeight="1" x14ac:dyDescent="0.2"/>
    <row r="967" ht="16" customHeight="1" x14ac:dyDescent="0.2"/>
    <row r="968" ht="16" customHeight="1" x14ac:dyDescent="0.2"/>
    <row r="969" ht="16" customHeight="1" x14ac:dyDescent="0.2"/>
    <row r="970" ht="16" customHeight="1" x14ac:dyDescent="0.2"/>
    <row r="971" ht="16" customHeight="1" x14ac:dyDescent="0.2"/>
    <row r="972" ht="16" customHeight="1" x14ac:dyDescent="0.2"/>
    <row r="973" ht="16" customHeight="1" x14ac:dyDescent="0.2"/>
    <row r="974" ht="16" customHeight="1" x14ac:dyDescent="0.2"/>
    <row r="975" ht="16" customHeight="1" x14ac:dyDescent="0.2"/>
    <row r="976" ht="16" customHeight="1" x14ac:dyDescent="0.2"/>
    <row r="977" ht="16" customHeight="1" x14ac:dyDescent="0.2"/>
    <row r="978" ht="16" customHeight="1" x14ac:dyDescent="0.2"/>
    <row r="979" ht="16" customHeight="1" x14ac:dyDescent="0.2"/>
    <row r="980" ht="16" customHeight="1" x14ac:dyDescent="0.2"/>
    <row r="981" ht="16" customHeight="1" x14ac:dyDescent="0.2"/>
    <row r="982" ht="16" customHeight="1" x14ac:dyDescent="0.2"/>
    <row r="983" ht="16" customHeight="1" x14ac:dyDescent="0.2"/>
    <row r="984" ht="16" customHeight="1" x14ac:dyDescent="0.2"/>
    <row r="985" ht="16" customHeight="1" x14ac:dyDescent="0.2"/>
    <row r="986" ht="16" customHeight="1" x14ac:dyDescent="0.2"/>
    <row r="987" ht="16" customHeight="1" x14ac:dyDescent="0.2"/>
    <row r="988" ht="16" customHeight="1" x14ac:dyDescent="0.2"/>
    <row r="989" ht="16" customHeight="1" x14ac:dyDescent="0.2"/>
    <row r="990" ht="16" customHeight="1" x14ac:dyDescent="0.2"/>
    <row r="991" ht="16" customHeight="1" x14ac:dyDescent="0.2"/>
    <row r="992" ht="16" customHeight="1" x14ac:dyDescent="0.2"/>
    <row r="993" ht="16" customHeight="1" x14ac:dyDescent="0.2"/>
    <row r="994" ht="16" customHeight="1" x14ac:dyDescent="0.2"/>
    <row r="995" ht="16" customHeight="1" x14ac:dyDescent="0.2"/>
    <row r="996" ht="16" customHeight="1" x14ac:dyDescent="0.2"/>
    <row r="997" ht="16" customHeight="1" x14ac:dyDescent="0.2"/>
    <row r="998" ht="16" customHeight="1" x14ac:dyDescent="0.2"/>
    <row r="999" ht="16" customHeight="1" x14ac:dyDescent="0.2"/>
    <row r="1000" ht="16" customHeight="1" x14ac:dyDescent="0.2"/>
    <row r="1001" ht="16" customHeight="1" x14ac:dyDescent="0.2"/>
    <row r="1002" ht="16" customHeight="1" x14ac:dyDescent="0.2"/>
    <row r="1003" ht="16" customHeight="1" x14ac:dyDescent="0.2"/>
    <row r="1004" ht="16" customHeight="1" x14ac:dyDescent="0.2"/>
    <row r="1005" ht="16" customHeight="1" x14ac:dyDescent="0.2"/>
    <row r="1006" ht="16" customHeight="1" x14ac:dyDescent="0.2"/>
    <row r="1007" ht="16" customHeight="1" x14ac:dyDescent="0.2"/>
    <row r="1008" ht="16" customHeight="1" x14ac:dyDescent="0.2"/>
    <row r="1009" ht="16" customHeight="1" x14ac:dyDescent="0.2"/>
    <row r="1010" ht="16" customHeight="1" x14ac:dyDescent="0.2"/>
    <row r="1011" ht="16" customHeight="1" x14ac:dyDescent="0.2"/>
    <row r="1012" ht="16" customHeight="1" x14ac:dyDescent="0.2"/>
    <row r="1013" ht="16" customHeight="1" x14ac:dyDescent="0.2"/>
    <row r="1014" ht="16" customHeight="1" x14ac:dyDescent="0.2"/>
    <row r="1015" ht="16" customHeight="1" x14ac:dyDescent="0.2"/>
    <row r="1016" ht="16" customHeight="1" x14ac:dyDescent="0.2"/>
    <row r="1017" ht="16" customHeight="1" x14ac:dyDescent="0.2"/>
    <row r="1018" ht="16" customHeight="1" x14ac:dyDescent="0.2"/>
    <row r="1019" ht="16" customHeight="1" x14ac:dyDescent="0.2"/>
    <row r="1020" ht="16" customHeight="1" x14ac:dyDescent="0.2"/>
    <row r="1021" ht="16" customHeight="1" x14ac:dyDescent="0.2"/>
    <row r="1022" ht="16" customHeight="1" x14ac:dyDescent="0.2"/>
    <row r="1023" ht="16" customHeight="1" x14ac:dyDescent="0.2"/>
    <row r="1024" ht="16" customHeight="1" x14ac:dyDescent="0.2"/>
    <row r="1025" ht="16" customHeight="1" x14ac:dyDescent="0.2"/>
    <row r="1026" ht="16" customHeight="1" x14ac:dyDescent="0.2"/>
    <row r="1027" ht="16" customHeight="1" x14ac:dyDescent="0.2"/>
    <row r="1028" ht="16" customHeight="1" x14ac:dyDescent="0.2"/>
    <row r="1029" ht="16" customHeight="1" x14ac:dyDescent="0.2"/>
    <row r="1030" ht="16" customHeight="1" x14ac:dyDescent="0.2"/>
    <row r="1031" ht="16" customHeight="1" x14ac:dyDescent="0.2"/>
    <row r="1032" ht="16" customHeight="1" x14ac:dyDescent="0.2"/>
    <row r="1033" ht="16" customHeight="1" x14ac:dyDescent="0.2"/>
    <row r="1034" ht="16" customHeight="1" x14ac:dyDescent="0.2"/>
    <row r="1035" ht="16" customHeight="1" x14ac:dyDescent="0.2"/>
    <row r="1036" ht="16" customHeight="1" x14ac:dyDescent="0.2"/>
    <row r="1037" ht="16" customHeight="1" x14ac:dyDescent="0.2"/>
    <row r="1038" ht="16" customHeight="1" x14ac:dyDescent="0.2"/>
    <row r="1039" ht="16" customHeight="1" x14ac:dyDescent="0.2"/>
    <row r="1040" ht="16" customHeight="1" x14ac:dyDescent="0.2"/>
    <row r="1041" ht="16" customHeight="1" x14ac:dyDescent="0.2"/>
    <row r="1042" ht="16" customHeight="1" x14ac:dyDescent="0.2"/>
    <row r="1043" ht="16" customHeight="1" x14ac:dyDescent="0.2"/>
    <row r="1044" ht="16" customHeight="1" x14ac:dyDescent="0.2"/>
    <row r="1045" ht="16" customHeight="1" x14ac:dyDescent="0.2"/>
    <row r="1046" ht="16" customHeight="1" x14ac:dyDescent="0.2"/>
    <row r="1047" ht="16" customHeight="1" x14ac:dyDescent="0.2"/>
    <row r="1048" ht="16" customHeight="1" x14ac:dyDescent="0.2"/>
    <row r="1049" ht="16" customHeight="1" x14ac:dyDescent="0.2"/>
    <row r="1050" ht="16" customHeight="1" x14ac:dyDescent="0.2"/>
    <row r="1051" ht="16" customHeight="1" x14ac:dyDescent="0.2"/>
    <row r="1052" ht="16" customHeight="1" x14ac:dyDescent="0.2"/>
    <row r="1053" ht="16" customHeight="1" x14ac:dyDescent="0.2"/>
    <row r="1054" ht="16" customHeight="1" x14ac:dyDescent="0.2"/>
    <row r="1055" ht="16" customHeight="1" x14ac:dyDescent="0.2"/>
    <row r="1056" ht="16" customHeight="1" x14ac:dyDescent="0.2"/>
    <row r="1057" ht="16" customHeight="1" x14ac:dyDescent="0.2"/>
    <row r="1058" ht="16" customHeight="1" x14ac:dyDescent="0.2"/>
    <row r="1059" ht="16" customHeight="1" x14ac:dyDescent="0.2"/>
    <row r="1060" ht="16" customHeight="1" x14ac:dyDescent="0.2"/>
    <row r="1061" ht="16" customHeight="1" x14ac:dyDescent="0.2"/>
    <row r="1062" ht="16" customHeight="1" x14ac:dyDescent="0.2"/>
    <row r="1063" ht="16" customHeight="1" x14ac:dyDescent="0.2"/>
    <row r="1064" ht="16" customHeight="1" x14ac:dyDescent="0.2"/>
    <row r="1065" ht="16" customHeight="1" x14ac:dyDescent="0.2"/>
    <row r="1066" ht="16" customHeight="1" x14ac:dyDescent="0.2"/>
    <row r="1067" ht="16" customHeight="1" x14ac:dyDescent="0.2"/>
    <row r="1068" ht="16" customHeight="1" x14ac:dyDescent="0.2"/>
    <row r="1069" ht="16" customHeight="1" x14ac:dyDescent="0.2"/>
    <row r="1070" ht="16" customHeight="1" x14ac:dyDescent="0.2"/>
    <row r="1071" ht="16" customHeight="1" x14ac:dyDescent="0.2"/>
    <row r="1072" ht="16" customHeight="1" x14ac:dyDescent="0.2"/>
    <row r="1073" ht="16" customHeight="1" x14ac:dyDescent="0.2"/>
    <row r="1074" ht="16" customHeight="1" x14ac:dyDescent="0.2"/>
    <row r="1075" ht="16" customHeight="1" x14ac:dyDescent="0.2"/>
    <row r="1076" ht="16" customHeight="1" x14ac:dyDescent="0.2"/>
    <row r="1077" ht="16" customHeight="1" x14ac:dyDescent="0.2"/>
    <row r="1078" ht="16" customHeight="1" x14ac:dyDescent="0.2"/>
    <row r="1079" ht="16" customHeight="1" x14ac:dyDescent="0.2"/>
    <row r="1080" ht="16" customHeight="1" x14ac:dyDescent="0.2"/>
    <row r="1081" ht="16" customHeight="1" x14ac:dyDescent="0.2"/>
    <row r="1082" ht="16" customHeight="1" x14ac:dyDescent="0.2"/>
    <row r="1083" ht="16" customHeight="1" x14ac:dyDescent="0.2"/>
    <row r="1084" ht="16" customHeight="1" x14ac:dyDescent="0.2"/>
    <row r="1085" ht="16" customHeight="1" x14ac:dyDescent="0.2"/>
    <row r="1086" ht="16" customHeight="1" x14ac:dyDescent="0.2"/>
    <row r="1087" ht="16" customHeight="1" x14ac:dyDescent="0.2"/>
    <row r="1088" ht="16" customHeight="1" x14ac:dyDescent="0.2"/>
    <row r="1089" ht="16" customHeight="1" x14ac:dyDescent="0.2"/>
    <row r="1090" ht="16" customHeight="1" x14ac:dyDescent="0.2"/>
    <row r="1091" ht="16" customHeight="1" x14ac:dyDescent="0.2"/>
    <row r="1092" ht="16" customHeight="1" x14ac:dyDescent="0.2"/>
    <row r="1093" ht="16" customHeight="1" x14ac:dyDescent="0.2"/>
    <row r="1094" ht="16" customHeight="1" x14ac:dyDescent="0.2"/>
    <row r="1095" ht="16" customHeight="1" x14ac:dyDescent="0.2"/>
    <row r="1096" ht="16" customHeight="1" x14ac:dyDescent="0.2"/>
    <row r="1097" ht="16" customHeight="1" x14ac:dyDescent="0.2"/>
    <row r="1098" ht="16" customHeight="1" x14ac:dyDescent="0.2"/>
    <row r="1099" ht="16" customHeight="1" x14ac:dyDescent="0.2"/>
    <row r="1100" ht="16" customHeight="1" x14ac:dyDescent="0.2"/>
    <row r="1101" ht="16" customHeight="1" x14ac:dyDescent="0.2"/>
    <row r="1102" ht="16" customHeight="1" x14ac:dyDescent="0.2"/>
    <row r="1103" ht="16" customHeight="1" x14ac:dyDescent="0.2"/>
    <row r="1104" ht="16" customHeight="1" x14ac:dyDescent="0.2"/>
    <row r="1105" ht="16" customHeight="1" x14ac:dyDescent="0.2"/>
    <row r="1106" ht="16" customHeight="1" x14ac:dyDescent="0.2"/>
    <row r="1107" ht="16" customHeight="1" x14ac:dyDescent="0.2"/>
    <row r="1108" ht="16" customHeight="1" x14ac:dyDescent="0.2"/>
    <row r="1109" ht="16" customHeight="1" x14ac:dyDescent="0.2"/>
    <row r="1110" ht="16" customHeight="1" x14ac:dyDescent="0.2"/>
    <row r="1111" ht="16" customHeight="1" x14ac:dyDescent="0.2"/>
    <row r="1112" ht="16" customHeight="1" x14ac:dyDescent="0.2"/>
    <row r="1113" ht="16" customHeight="1" x14ac:dyDescent="0.2"/>
    <row r="1114" ht="16" customHeight="1" x14ac:dyDescent="0.2"/>
    <row r="1115" ht="16" customHeight="1" x14ac:dyDescent="0.2"/>
    <row r="1116" ht="16" customHeight="1" x14ac:dyDescent="0.2"/>
    <row r="1117" ht="16" customHeight="1" x14ac:dyDescent="0.2"/>
    <row r="1118" ht="16" customHeight="1" x14ac:dyDescent="0.2"/>
    <row r="1119" ht="16" customHeight="1" x14ac:dyDescent="0.2"/>
    <row r="1120" ht="16" customHeight="1" x14ac:dyDescent="0.2"/>
    <row r="1121" ht="16" customHeight="1" x14ac:dyDescent="0.2"/>
    <row r="1122" ht="16" customHeight="1" x14ac:dyDescent="0.2"/>
    <row r="1123" ht="16" customHeight="1" x14ac:dyDescent="0.2"/>
    <row r="1124" ht="16" customHeight="1" x14ac:dyDescent="0.2"/>
    <row r="1125" ht="16" customHeight="1" x14ac:dyDescent="0.2"/>
    <row r="1126" ht="16" customHeight="1" x14ac:dyDescent="0.2"/>
    <row r="1127" ht="16" customHeight="1" x14ac:dyDescent="0.2"/>
    <row r="1128" ht="16" customHeight="1" x14ac:dyDescent="0.2"/>
    <row r="1129" ht="16" customHeight="1" x14ac:dyDescent="0.2"/>
    <row r="1130" ht="16" customHeight="1" x14ac:dyDescent="0.2"/>
    <row r="1131" ht="16" customHeight="1" x14ac:dyDescent="0.2"/>
    <row r="1132" ht="16" customHeight="1" x14ac:dyDescent="0.2"/>
    <row r="1133" ht="16" customHeight="1" x14ac:dyDescent="0.2"/>
    <row r="1134" ht="16" customHeight="1" x14ac:dyDescent="0.2"/>
    <row r="1135" ht="16" customHeight="1" x14ac:dyDescent="0.2"/>
    <row r="1136" ht="16" customHeight="1" x14ac:dyDescent="0.2"/>
    <row r="1137" ht="16" customHeight="1" x14ac:dyDescent="0.2"/>
    <row r="1138" ht="16" customHeight="1" x14ac:dyDescent="0.2"/>
    <row r="1139" ht="16" customHeight="1" x14ac:dyDescent="0.2"/>
    <row r="1140" ht="16" customHeight="1" x14ac:dyDescent="0.2"/>
    <row r="1141" ht="16" customHeight="1" x14ac:dyDescent="0.2"/>
    <row r="1142" ht="16" customHeight="1" x14ac:dyDescent="0.2"/>
    <row r="1143" ht="16" customHeight="1" x14ac:dyDescent="0.2"/>
    <row r="1144" ht="16" customHeight="1" x14ac:dyDescent="0.2"/>
    <row r="1145" ht="16" customHeight="1" x14ac:dyDescent="0.2"/>
    <row r="1146" ht="16" customHeight="1" x14ac:dyDescent="0.2"/>
    <row r="1147" ht="16" customHeight="1" x14ac:dyDescent="0.2"/>
    <row r="1148" ht="16" customHeight="1" x14ac:dyDescent="0.2"/>
    <row r="1149" ht="16" customHeight="1" x14ac:dyDescent="0.2"/>
    <row r="1150" ht="16" customHeight="1" x14ac:dyDescent="0.2"/>
    <row r="1151" ht="16" customHeight="1" x14ac:dyDescent="0.2"/>
    <row r="1152" ht="16" customHeight="1" x14ac:dyDescent="0.2"/>
    <row r="1153" ht="16" customHeight="1" x14ac:dyDescent="0.2"/>
    <row r="1154" ht="16" customHeight="1" x14ac:dyDescent="0.2"/>
    <row r="1155" ht="16" customHeight="1" x14ac:dyDescent="0.2"/>
    <row r="1156" ht="16" customHeight="1" x14ac:dyDescent="0.2"/>
    <row r="1157" ht="16" customHeight="1" x14ac:dyDescent="0.2"/>
    <row r="1158" ht="16" customHeight="1" x14ac:dyDescent="0.2"/>
    <row r="1159" ht="16" customHeight="1" x14ac:dyDescent="0.2"/>
    <row r="1160" ht="16" customHeight="1" x14ac:dyDescent="0.2"/>
    <row r="1161" ht="16" customHeight="1" x14ac:dyDescent="0.2"/>
    <row r="1162" ht="16" customHeight="1" x14ac:dyDescent="0.2"/>
    <row r="1163" ht="16" customHeight="1" x14ac:dyDescent="0.2"/>
    <row r="1164" ht="16" customHeight="1" x14ac:dyDescent="0.2"/>
    <row r="1165" ht="16" customHeight="1" x14ac:dyDescent="0.2"/>
    <row r="1166" ht="16" customHeight="1" x14ac:dyDescent="0.2"/>
    <row r="1167" ht="16" customHeight="1" x14ac:dyDescent="0.2"/>
    <row r="1168" ht="16" customHeight="1" x14ac:dyDescent="0.2"/>
    <row r="1169" ht="16" customHeight="1" x14ac:dyDescent="0.2"/>
    <row r="1170" ht="16" customHeight="1" x14ac:dyDescent="0.2"/>
    <row r="1171" ht="16" customHeight="1" x14ac:dyDescent="0.2"/>
    <row r="1172" ht="16" customHeight="1" x14ac:dyDescent="0.2"/>
    <row r="1173" ht="16" customHeight="1" x14ac:dyDescent="0.2"/>
    <row r="1174" ht="16" customHeight="1" x14ac:dyDescent="0.2"/>
    <row r="1175" ht="16" customHeight="1" x14ac:dyDescent="0.2"/>
    <row r="1176" ht="16" customHeight="1" x14ac:dyDescent="0.2"/>
    <row r="1177" ht="16" customHeight="1" x14ac:dyDescent="0.2"/>
    <row r="1178" ht="16" customHeight="1" x14ac:dyDescent="0.2"/>
    <row r="1179" ht="16" customHeight="1" x14ac:dyDescent="0.2"/>
    <row r="1180" ht="16" customHeight="1" x14ac:dyDescent="0.2"/>
    <row r="1181" ht="16" customHeight="1" x14ac:dyDescent="0.2"/>
    <row r="1182" ht="16" customHeight="1" x14ac:dyDescent="0.2"/>
    <row r="1183" ht="16" customHeight="1" x14ac:dyDescent="0.2"/>
    <row r="1184" ht="16" customHeight="1" x14ac:dyDescent="0.2"/>
    <row r="1185" ht="16" customHeight="1" x14ac:dyDescent="0.2"/>
    <row r="1186" ht="16" customHeight="1" x14ac:dyDescent="0.2"/>
    <row r="1187" ht="16" customHeight="1" x14ac:dyDescent="0.2"/>
    <row r="1188" ht="16" customHeight="1" x14ac:dyDescent="0.2"/>
    <row r="1189" ht="16" customHeight="1" x14ac:dyDescent="0.2"/>
    <row r="1190" ht="16" customHeight="1" x14ac:dyDescent="0.2"/>
    <row r="1191" ht="16" customHeight="1" x14ac:dyDescent="0.2"/>
    <row r="1192" ht="16" customHeight="1" x14ac:dyDescent="0.2"/>
    <row r="1193" ht="16" customHeight="1" x14ac:dyDescent="0.2"/>
    <row r="1194" ht="16" customHeight="1" x14ac:dyDescent="0.2"/>
    <row r="1195" ht="16" customHeight="1" x14ac:dyDescent="0.2"/>
    <row r="1196" ht="16" customHeight="1" x14ac:dyDescent="0.2"/>
    <row r="1197" ht="16" customHeight="1" x14ac:dyDescent="0.2"/>
    <row r="1198" ht="16" customHeight="1" x14ac:dyDescent="0.2"/>
    <row r="1199" ht="16" customHeight="1" x14ac:dyDescent="0.2"/>
    <row r="1200" ht="16" customHeight="1" x14ac:dyDescent="0.2"/>
    <row r="1201" ht="16" customHeight="1" x14ac:dyDescent="0.2"/>
    <row r="1202" ht="16" customHeight="1" x14ac:dyDescent="0.2"/>
    <row r="1203" ht="16" customHeight="1" x14ac:dyDescent="0.2"/>
    <row r="1204" ht="16" customHeight="1" x14ac:dyDescent="0.2"/>
    <row r="1205" ht="16" customHeight="1" x14ac:dyDescent="0.2"/>
    <row r="1206" ht="16" customHeight="1" x14ac:dyDescent="0.2"/>
    <row r="1207" ht="16" customHeight="1" x14ac:dyDescent="0.2"/>
    <row r="1208" ht="16" customHeight="1" x14ac:dyDescent="0.2"/>
    <row r="1209" ht="16" customHeight="1" x14ac:dyDescent="0.2"/>
    <row r="1210" ht="16" customHeight="1" x14ac:dyDescent="0.2"/>
    <row r="1211" ht="16" customHeight="1" x14ac:dyDescent="0.2"/>
    <row r="1212" ht="16" customHeight="1" x14ac:dyDescent="0.2"/>
    <row r="1213" ht="16" customHeight="1" x14ac:dyDescent="0.2"/>
    <row r="1214" ht="16" customHeight="1" x14ac:dyDescent="0.2"/>
    <row r="1215" ht="16" customHeight="1" x14ac:dyDescent="0.2"/>
    <row r="1216" ht="16" customHeight="1" x14ac:dyDescent="0.2"/>
    <row r="1217" ht="16" customHeight="1" x14ac:dyDescent="0.2"/>
    <row r="1218" ht="16" customHeight="1" x14ac:dyDescent="0.2"/>
    <row r="1219" ht="16" customHeight="1" x14ac:dyDescent="0.2"/>
    <row r="1220" ht="16" customHeight="1" x14ac:dyDescent="0.2"/>
    <row r="1221" ht="16" customHeight="1" x14ac:dyDescent="0.2"/>
    <row r="1222" ht="16" customHeight="1" x14ac:dyDescent="0.2"/>
    <row r="1223" ht="16" customHeight="1" x14ac:dyDescent="0.2"/>
    <row r="1224" ht="16" customHeight="1" x14ac:dyDescent="0.2"/>
    <row r="1225" ht="16" customHeight="1" x14ac:dyDescent="0.2"/>
    <row r="1226" ht="16" customHeight="1" x14ac:dyDescent="0.2"/>
    <row r="1227" ht="16" customHeight="1" x14ac:dyDescent="0.2"/>
    <row r="1228" ht="16" customHeight="1" x14ac:dyDescent="0.2"/>
    <row r="1229" ht="16" customHeight="1" x14ac:dyDescent="0.2"/>
    <row r="1230" ht="16" customHeight="1" x14ac:dyDescent="0.2"/>
    <row r="1231" ht="16" customHeight="1" x14ac:dyDescent="0.2"/>
    <row r="1232" ht="16" customHeight="1" x14ac:dyDescent="0.2"/>
    <row r="1233" ht="16" customHeight="1" x14ac:dyDescent="0.2"/>
    <row r="1234" ht="16" customHeight="1" x14ac:dyDescent="0.2"/>
    <row r="1235" ht="16" customHeight="1" x14ac:dyDescent="0.2"/>
    <row r="1236" ht="16" customHeight="1" x14ac:dyDescent="0.2"/>
    <row r="1237" ht="16" customHeight="1" x14ac:dyDescent="0.2"/>
    <row r="1238" ht="16" customHeight="1" x14ac:dyDescent="0.2"/>
    <row r="1239" ht="16" customHeight="1" x14ac:dyDescent="0.2"/>
    <row r="1240" ht="16" customHeight="1" x14ac:dyDescent="0.2"/>
    <row r="1241" ht="16" customHeight="1" x14ac:dyDescent="0.2"/>
    <row r="1242" ht="16" customHeight="1" x14ac:dyDescent="0.2"/>
    <row r="1243" ht="16" customHeight="1" x14ac:dyDescent="0.2"/>
    <row r="1244" ht="16" customHeight="1" x14ac:dyDescent="0.2"/>
    <row r="1245" ht="16" customHeight="1" x14ac:dyDescent="0.2"/>
    <row r="1246" ht="16" customHeight="1" x14ac:dyDescent="0.2"/>
    <row r="1247" ht="16" customHeight="1" x14ac:dyDescent="0.2"/>
    <row r="1248" ht="16" customHeight="1" x14ac:dyDescent="0.2"/>
    <row r="1249" ht="16" customHeight="1" x14ac:dyDescent="0.2"/>
    <row r="1250" ht="16" customHeight="1" x14ac:dyDescent="0.2"/>
    <row r="1251" ht="16" customHeight="1" x14ac:dyDescent="0.2"/>
    <row r="1252" ht="16" customHeight="1" x14ac:dyDescent="0.2"/>
    <row r="1253" ht="16" customHeight="1" x14ac:dyDescent="0.2"/>
    <row r="1254" ht="16" customHeight="1" x14ac:dyDescent="0.2"/>
    <row r="1255" ht="16" customHeight="1" x14ac:dyDescent="0.2"/>
    <row r="1256" ht="16" customHeight="1" x14ac:dyDescent="0.2"/>
    <row r="1257" ht="16" customHeight="1" x14ac:dyDescent="0.2"/>
    <row r="1258" ht="16" customHeight="1" x14ac:dyDescent="0.2"/>
    <row r="1259" ht="16" customHeight="1" x14ac:dyDescent="0.2"/>
    <row r="1260" ht="16" customHeight="1" x14ac:dyDescent="0.2"/>
    <row r="1261" ht="16" customHeight="1" x14ac:dyDescent="0.2"/>
    <row r="1262" ht="16" customHeight="1" x14ac:dyDescent="0.2"/>
    <row r="1263" ht="16" customHeight="1" x14ac:dyDescent="0.2"/>
    <row r="1264" ht="16" customHeight="1" x14ac:dyDescent="0.2"/>
    <row r="1265" ht="16" customHeight="1" x14ac:dyDescent="0.2"/>
    <row r="1266" ht="16" customHeight="1" x14ac:dyDescent="0.2"/>
    <row r="1267" ht="16" customHeight="1" x14ac:dyDescent="0.2"/>
    <row r="1268" ht="16" customHeight="1" x14ac:dyDescent="0.2"/>
    <row r="1269" ht="16" customHeight="1" x14ac:dyDescent="0.2"/>
    <row r="1270" ht="16" customHeight="1" x14ac:dyDescent="0.2"/>
    <row r="1271" ht="16" customHeight="1" x14ac:dyDescent="0.2"/>
    <row r="1272" ht="16" customHeight="1" x14ac:dyDescent="0.2"/>
    <row r="1273" ht="16" customHeight="1" x14ac:dyDescent="0.2"/>
    <row r="1274" ht="16" customHeight="1" x14ac:dyDescent="0.2"/>
    <row r="1275" ht="16" customHeight="1" x14ac:dyDescent="0.2"/>
    <row r="1276" ht="16" customHeight="1" x14ac:dyDescent="0.2"/>
    <row r="1277" ht="16" customHeight="1" x14ac:dyDescent="0.2"/>
    <row r="1278" ht="16" customHeight="1" x14ac:dyDescent="0.2"/>
    <row r="1279" ht="16" customHeight="1" x14ac:dyDescent="0.2"/>
    <row r="1280" ht="16" customHeight="1" x14ac:dyDescent="0.2"/>
    <row r="1281" ht="16" customHeight="1" x14ac:dyDescent="0.2"/>
    <row r="1282" ht="16" customHeight="1" x14ac:dyDescent="0.2"/>
    <row r="1283" ht="16" customHeight="1" x14ac:dyDescent="0.2"/>
    <row r="1284" ht="16" customHeight="1" x14ac:dyDescent="0.2"/>
    <row r="1285" ht="16" customHeight="1" x14ac:dyDescent="0.2"/>
    <row r="1286" ht="16" customHeight="1" x14ac:dyDescent="0.2"/>
    <row r="1287" ht="16" customHeight="1" x14ac:dyDescent="0.2"/>
    <row r="1288" ht="16" customHeight="1" x14ac:dyDescent="0.2"/>
    <row r="1289" ht="16" customHeight="1" x14ac:dyDescent="0.2"/>
    <row r="1290" ht="16" customHeight="1" x14ac:dyDescent="0.2"/>
    <row r="1291" ht="16" customHeight="1" x14ac:dyDescent="0.2"/>
    <row r="1292" ht="16" customHeight="1" x14ac:dyDescent="0.2"/>
    <row r="1293" ht="16" customHeight="1" x14ac:dyDescent="0.2"/>
    <row r="1294" ht="16" customHeight="1" x14ac:dyDescent="0.2"/>
    <row r="1295" ht="16" customHeight="1" x14ac:dyDescent="0.2"/>
    <row r="1296" ht="16" customHeight="1" x14ac:dyDescent="0.2"/>
    <row r="1297" ht="16" customHeight="1" x14ac:dyDescent="0.2"/>
    <row r="1298" ht="16" customHeight="1" x14ac:dyDescent="0.2"/>
    <row r="1299" ht="16" customHeight="1" x14ac:dyDescent="0.2"/>
    <row r="1300" ht="16" customHeight="1" x14ac:dyDescent="0.2"/>
    <row r="1301" ht="16" customHeight="1" x14ac:dyDescent="0.2"/>
    <row r="1302" ht="16" customHeight="1" x14ac:dyDescent="0.2"/>
    <row r="1303" ht="16" customHeight="1" x14ac:dyDescent="0.2"/>
    <row r="1304" ht="16" customHeight="1" x14ac:dyDescent="0.2"/>
    <row r="1305" ht="16" customHeight="1" x14ac:dyDescent="0.2"/>
    <row r="1306" ht="16" customHeight="1" x14ac:dyDescent="0.2"/>
    <row r="1307" ht="16" customHeight="1" x14ac:dyDescent="0.2"/>
    <row r="1308" ht="16" customHeight="1" x14ac:dyDescent="0.2"/>
    <row r="1309" ht="16" customHeight="1" x14ac:dyDescent="0.2"/>
    <row r="1310" ht="16" customHeight="1" x14ac:dyDescent="0.2"/>
    <row r="1311" ht="16" customHeight="1" x14ac:dyDescent="0.2"/>
    <row r="1312" ht="16" customHeight="1" x14ac:dyDescent="0.2"/>
    <row r="1313" ht="16" customHeight="1" x14ac:dyDescent="0.2"/>
    <row r="1314" ht="16" customHeight="1" x14ac:dyDescent="0.2"/>
    <row r="1315" ht="16" customHeight="1" x14ac:dyDescent="0.2"/>
    <row r="1316" ht="16" customHeight="1" x14ac:dyDescent="0.2"/>
    <row r="1317" ht="16" customHeight="1" x14ac:dyDescent="0.2"/>
    <row r="1318" ht="16" customHeight="1" x14ac:dyDescent="0.2"/>
    <row r="1319" ht="16" customHeight="1" x14ac:dyDescent="0.2"/>
    <row r="1320" ht="16" customHeight="1" x14ac:dyDescent="0.2"/>
    <row r="1321" ht="16" customHeight="1" x14ac:dyDescent="0.2"/>
    <row r="1322" ht="16" customHeight="1" x14ac:dyDescent="0.2"/>
    <row r="1323" ht="16" customHeight="1" x14ac:dyDescent="0.2"/>
    <row r="1324" ht="16" customHeight="1" x14ac:dyDescent="0.2"/>
    <row r="1325" ht="16" customHeight="1" x14ac:dyDescent="0.2"/>
    <row r="1326" ht="16" customHeight="1" x14ac:dyDescent="0.2"/>
    <row r="1327" ht="16" customHeight="1" x14ac:dyDescent="0.2"/>
    <row r="1328" ht="16" customHeight="1" x14ac:dyDescent="0.2"/>
    <row r="1329" ht="16" customHeight="1" x14ac:dyDescent="0.2"/>
    <row r="1330" ht="16" customHeight="1" x14ac:dyDescent="0.2"/>
    <row r="1331" ht="16" customHeight="1" x14ac:dyDescent="0.2"/>
    <row r="1332" ht="16" customHeight="1" x14ac:dyDescent="0.2"/>
    <row r="1333" ht="16" customHeight="1" x14ac:dyDescent="0.2"/>
    <row r="1334" ht="16" customHeight="1" x14ac:dyDescent="0.2"/>
    <row r="1335" ht="16" customHeight="1" x14ac:dyDescent="0.2"/>
    <row r="1336" ht="16" customHeight="1" x14ac:dyDescent="0.2"/>
    <row r="1337" ht="16" customHeight="1" x14ac:dyDescent="0.2"/>
    <row r="1338" ht="16" customHeight="1" x14ac:dyDescent="0.2"/>
    <row r="1339" ht="16" customHeight="1" x14ac:dyDescent="0.2"/>
    <row r="1340" ht="16" customHeight="1" x14ac:dyDescent="0.2"/>
    <row r="1341" ht="16" customHeight="1" x14ac:dyDescent="0.2"/>
    <row r="1342" ht="16" customHeight="1" x14ac:dyDescent="0.2"/>
    <row r="1343" ht="16" customHeight="1" x14ac:dyDescent="0.2"/>
    <row r="1344" ht="16" customHeight="1" x14ac:dyDescent="0.2"/>
    <row r="1345" ht="16" customHeight="1" x14ac:dyDescent="0.2"/>
    <row r="1346" ht="16" customHeight="1" x14ac:dyDescent="0.2"/>
    <row r="1347" ht="16" customHeight="1" x14ac:dyDescent="0.2"/>
    <row r="1348" ht="16" customHeight="1" x14ac:dyDescent="0.2"/>
    <row r="1349" ht="16" customHeight="1" x14ac:dyDescent="0.2"/>
    <row r="1350" ht="16" customHeight="1" x14ac:dyDescent="0.2"/>
    <row r="1351" ht="16" customHeight="1" x14ac:dyDescent="0.2"/>
    <row r="1352" ht="16" customHeight="1" x14ac:dyDescent="0.2"/>
    <row r="1353" ht="16" customHeight="1" x14ac:dyDescent="0.2"/>
    <row r="1354" ht="16" customHeight="1" x14ac:dyDescent="0.2"/>
    <row r="1355" ht="16" customHeight="1" x14ac:dyDescent="0.2"/>
    <row r="1356" ht="16" customHeight="1" x14ac:dyDescent="0.2"/>
    <row r="1357" ht="16" customHeight="1" x14ac:dyDescent="0.2"/>
    <row r="1358" ht="16" customHeight="1" x14ac:dyDescent="0.2"/>
    <row r="1359" ht="16" customHeight="1" x14ac:dyDescent="0.2"/>
    <row r="1360" ht="16" customHeight="1" x14ac:dyDescent="0.2"/>
    <row r="1361" ht="16" customHeight="1" x14ac:dyDescent="0.2"/>
    <row r="1362" ht="16" customHeight="1" x14ac:dyDescent="0.2"/>
    <row r="1363" ht="16" customHeight="1" x14ac:dyDescent="0.2"/>
    <row r="1364" ht="16" customHeight="1" x14ac:dyDescent="0.2"/>
    <row r="1365" ht="16" customHeight="1" x14ac:dyDescent="0.2"/>
    <row r="1366" ht="16" customHeight="1" x14ac:dyDescent="0.2"/>
    <row r="1367" ht="16" customHeight="1" x14ac:dyDescent="0.2"/>
    <row r="1368" ht="16" customHeight="1" x14ac:dyDescent="0.2"/>
    <row r="1369" ht="16" customHeight="1" x14ac:dyDescent="0.2"/>
    <row r="1370" ht="16" customHeight="1" x14ac:dyDescent="0.2"/>
    <row r="1371" ht="16" customHeight="1" x14ac:dyDescent="0.2"/>
    <row r="1372" ht="16" customHeight="1" x14ac:dyDescent="0.2"/>
    <row r="1373" ht="16" customHeight="1" x14ac:dyDescent="0.2"/>
    <row r="1374" ht="16" customHeight="1" x14ac:dyDescent="0.2"/>
    <row r="1375" ht="16" customHeight="1" x14ac:dyDescent="0.2"/>
    <row r="1376" ht="16" customHeight="1" x14ac:dyDescent="0.2"/>
    <row r="1377" ht="16" customHeight="1" x14ac:dyDescent="0.2"/>
    <row r="1378" ht="16" customHeight="1" x14ac:dyDescent="0.2"/>
    <row r="1379" ht="16" customHeight="1" x14ac:dyDescent="0.2"/>
    <row r="1380" ht="16" customHeight="1" x14ac:dyDescent="0.2"/>
    <row r="1381" ht="16" customHeight="1" x14ac:dyDescent="0.2"/>
    <row r="1382" ht="16" customHeight="1" x14ac:dyDescent="0.2"/>
    <row r="1383" ht="16" customHeight="1" x14ac:dyDescent="0.2"/>
    <row r="1384" ht="16" customHeight="1" x14ac:dyDescent="0.2"/>
    <row r="1385" ht="16" customHeight="1" x14ac:dyDescent="0.2"/>
    <row r="1386" ht="16" customHeight="1" x14ac:dyDescent="0.2"/>
    <row r="1387" ht="16" customHeight="1" x14ac:dyDescent="0.2"/>
    <row r="1388" ht="16" customHeight="1" x14ac:dyDescent="0.2"/>
    <row r="1389" ht="16" customHeight="1" x14ac:dyDescent="0.2"/>
    <row r="1390" ht="16" customHeight="1" x14ac:dyDescent="0.2"/>
    <row r="1391" ht="16" customHeight="1" x14ac:dyDescent="0.2"/>
    <row r="1392" ht="16" customHeight="1" x14ac:dyDescent="0.2"/>
    <row r="1393" ht="16" customHeight="1" x14ac:dyDescent="0.2"/>
    <row r="1394" ht="16" customHeight="1" x14ac:dyDescent="0.2"/>
    <row r="1395" ht="16" customHeight="1" x14ac:dyDescent="0.2"/>
    <row r="1396" ht="16" customHeight="1" x14ac:dyDescent="0.2"/>
    <row r="1397" ht="16" customHeight="1" x14ac:dyDescent="0.2"/>
    <row r="1398" ht="16" customHeight="1" x14ac:dyDescent="0.2"/>
    <row r="1399" ht="16" customHeight="1" x14ac:dyDescent="0.2"/>
    <row r="1400" ht="16" customHeight="1" x14ac:dyDescent="0.2"/>
    <row r="1401" ht="16" customHeight="1" x14ac:dyDescent="0.2"/>
    <row r="1402" ht="16" customHeight="1" x14ac:dyDescent="0.2"/>
    <row r="1403" ht="16" customHeight="1" x14ac:dyDescent="0.2"/>
    <row r="1404" ht="16" customHeight="1" x14ac:dyDescent="0.2"/>
    <row r="1405" ht="16" customHeight="1" x14ac:dyDescent="0.2"/>
    <row r="1406" ht="16" customHeight="1" x14ac:dyDescent="0.2"/>
    <row r="1407" ht="16" customHeight="1" x14ac:dyDescent="0.2"/>
    <row r="1408" ht="16" customHeight="1" x14ac:dyDescent="0.2"/>
    <row r="1409" ht="16" customHeight="1" x14ac:dyDescent="0.2"/>
    <row r="1410" ht="16" customHeight="1" x14ac:dyDescent="0.2"/>
    <row r="1411" ht="16" customHeight="1" x14ac:dyDescent="0.2"/>
    <row r="1412" ht="16" customHeight="1" x14ac:dyDescent="0.2"/>
    <row r="1413" ht="16" customHeight="1" x14ac:dyDescent="0.2"/>
    <row r="1414" ht="16" customHeight="1" x14ac:dyDescent="0.2"/>
    <row r="1415" ht="16" customHeight="1" x14ac:dyDescent="0.2"/>
    <row r="1416" ht="16" customHeight="1" x14ac:dyDescent="0.2"/>
    <row r="1417" ht="16" customHeight="1" x14ac:dyDescent="0.2"/>
    <row r="1418" ht="16" customHeight="1" x14ac:dyDescent="0.2"/>
    <row r="1419" ht="16" customHeight="1" x14ac:dyDescent="0.2"/>
    <row r="1420" ht="16" customHeight="1" x14ac:dyDescent="0.2"/>
    <row r="1421" ht="16" customHeight="1" x14ac:dyDescent="0.2"/>
    <row r="1422" ht="16" customHeight="1" x14ac:dyDescent="0.2"/>
    <row r="1423" ht="16" customHeight="1" x14ac:dyDescent="0.2"/>
    <row r="1424" ht="16" customHeight="1" x14ac:dyDescent="0.2"/>
    <row r="1425" ht="16" customHeight="1" x14ac:dyDescent="0.2"/>
    <row r="1426" ht="16" customHeight="1" x14ac:dyDescent="0.2"/>
    <row r="1427" ht="16" customHeight="1" x14ac:dyDescent="0.2"/>
    <row r="1428" ht="16" customHeight="1" x14ac:dyDescent="0.2"/>
    <row r="1429" ht="16" customHeight="1" x14ac:dyDescent="0.2"/>
    <row r="1430" ht="16" customHeight="1" x14ac:dyDescent="0.2"/>
    <row r="1431" ht="16" customHeight="1" x14ac:dyDescent="0.2"/>
    <row r="1432" ht="16" customHeight="1" x14ac:dyDescent="0.2"/>
    <row r="1433" ht="16" customHeight="1" x14ac:dyDescent="0.2"/>
    <row r="1434" ht="16" customHeight="1" x14ac:dyDescent="0.2"/>
    <row r="1435" ht="16" customHeight="1" x14ac:dyDescent="0.2"/>
    <row r="1436" ht="16" customHeight="1" x14ac:dyDescent="0.2"/>
    <row r="1437" ht="16" customHeight="1" x14ac:dyDescent="0.2"/>
    <row r="1438" ht="16" customHeight="1" x14ac:dyDescent="0.2"/>
    <row r="1439" ht="16" customHeight="1" x14ac:dyDescent="0.2"/>
    <row r="1440" ht="16" customHeight="1" x14ac:dyDescent="0.2"/>
    <row r="1441" ht="16" customHeight="1" x14ac:dyDescent="0.2"/>
    <row r="1442" ht="16" customHeight="1" x14ac:dyDescent="0.2"/>
    <row r="1443" ht="16" customHeight="1" x14ac:dyDescent="0.2"/>
    <row r="1444" ht="16" customHeight="1" x14ac:dyDescent="0.2"/>
    <row r="1445" ht="16" customHeight="1" x14ac:dyDescent="0.2"/>
    <row r="1446" ht="16" customHeight="1" x14ac:dyDescent="0.2"/>
    <row r="1447" ht="16" customHeight="1" x14ac:dyDescent="0.2"/>
    <row r="1448" ht="16" customHeight="1" x14ac:dyDescent="0.2"/>
    <row r="1449" ht="16" customHeight="1" x14ac:dyDescent="0.2"/>
    <row r="1450" ht="16" customHeight="1" x14ac:dyDescent="0.2"/>
    <row r="1451" ht="16" customHeight="1" x14ac:dyDescent="0.2"/>
    <row r="1452" ht="16" customHeight="1" x14ac:dyDescent="0.2"/>
    <row r="1453" ht="16" customHeight="1" x14ac:dyDescent="0.2"/>
    <row r="1454" ht="16" customHeight="1" x14ac:dyDescent="0.2"/>
    <row r="1455" ht="16" customHeight="1" x14ac:dyDescent="0.2"/>
    <row r="1456" ht="16" customHeight="1" x14ac:dyDescent="0.2"/>
    <row r="1457" ht="16" customHeight="1" x14ac:dyDescent="0.2"/>
    <row r="1458" ht="16" customHeight="1" x14ac:dyDescent="0.2"/>
    <row r="1459" ht="16" customHeight="1" x14ac:dyDescent="0.2"/>
    <row r="1460" ht="16" customHeight="1" x14ac:dyDescent="0.2"/>
    <row r="1461" ht="16" customHeight="1" x14ac:dyDescent="0.2"/>
    <row r="1462" ht="16" customHeight="1" x14ac:dyDescent="0.2"/>
    <row r="1463" ht="16" customHeight="1" x14ac:dyDescent="0.2"/>
    <row r="1464" ht="16" customHeight="1" x14ac:dyDescent="0.2"/>
    <row r="1465" ht="16" customHeight="1" x14ac:dyDescent="0.2"/>
    <row r="1466" ht="16" customHeight="1" x14ac:dyDescent="0.2"/>
    <row r="1467" ht="16" customHeight="1" x14ac:dyDescent="0.2"/>
    <row r="1468" ht="16" customHeight="1" x14ac:dyDescent="0.2"/>
    <row r="1469" ht="16" customHeight="1" x14ac:dyDescent="0.2"/>
    <row r="1470" ht="16" customHeight="1" x14ac:dyDescent="0.2"/>
    <row r="1471" ht="16" customHeight="1" x14ac:dyDescent="0.2"/>
    <row r="1472" ht="16" customHeight="1" x14ac:dyDescent="0.2"/>
    <row r="1473" ht="16" customHeight="1" x14ac:dyDescent="0.2"/>
    <row r="1474" ht="16" customHeight="1" x14ac:dyDescent="0.2"/>
    <row r="1475" ht="16" customHeight="1" x14ac:dyDescent="0.2"/>
    <row r="1476" ht="16" customHeight="1" x14ac:dyDescent="0.2"/>
    <row r="1477" ht="16" customHeight="1" x14ac:dyDescent="0.2"/>
    <row r="1478" ht="16" customHeight="1" x14ac:dyDescent="0.2"/>
    <row r="1479" ht="16" customHeight="1" x14ac:dyDescent="0.2"/>
    <row r="1480" ht="16" customHeight="1" x14ac:dyDescent="0.2"/>
    <row r="1481" ht="16" customHeight="1" x14ac:dyDescent="0.2"/>
    <row r="1482" ht="16" customHeight="1" x14ac:dyDescent="0.2"/>
    <row r="1483" ht="16" customHeight="1" x14ac:dyDescent="0.2"/>
    <row r="1484" ht="16" customHeight="1" x14ac:dyDescent="0.2"/>
    <row r="1485" ht="16" customHeight="1" x14ac:dyDescent="0.2"/>
    <row r="1486" ht="16" customHeight="1" x14ac:dyDescent="0.2"/>
    <row r="1487" ht="16" customHeight="1" x14ac:dyDescent="0.2"/>
    <row r="1488" ht="16" customHeight="1" x14ac:dyDescent="0.2"/>
    <row r="1489" ht="16" customHeight="1" x14ac:dyDescent="0.2"/>
    <row r="1490" ht="16" customHeight="1" x14ac:dyDescent="0.2"/>
    <row r="1491" ht="16" customHeight="1" x14ac:dyDescent="0.2"/>
    <row r="1492" ht="16" customHeight="1" x14ac:dyDescent="0.2"/>
    <row r="1493" ht="16" customHeight="1" x14ac:dyDescent="0.2"/>
    <row r="1494" ht="16" customHeight="1" x14ac:dyDescent="0.2"/>
    <row r="1495" ht="16" customHeight="1" x14ac:dyDescent="0.2"/>
    <row r="1496" ht="16" customHeight="1" x14ac:dyDescent="0.2"/>
    <row r="1497" ht="16" customHeight="1" x14ac:dyDescent="0.2"/>
    <row r="1498" ht="16" customHeight="1" x14ac:dyDescent="0.2"/>
    <row r="1499" ht="16" customHeight="1" x14ac:dyDescent="0.2"/>
    <row r="1500" ht="16" customHeight="1" x14ac:dyDescent="0.2"/>
    <row r="1501" ht="16" customHeight="1" x14ac:dyDescent="0.2"/>
    <row r="1502" ht="16" customHeight="1" x14ac:dyDescent="0.2"/>
    <row r="1503" ht="16" customHeight="1" x14ac:dyDescent="0.2"/>
    <row r="1504" ht="16" customHeight="1" x14ac:dyDescent="0.2"/>
    <row r="1505" ht="16" customHeight="1" x14ac:dyDescent="0.2"/>
    <row r="1506" ht="16" customHeight="1" x14ac:dyDescent="0.2"/>
    <row r="1507" ht="16" customHeight="1" x14ac:dyDescent="0.2"/>
    <row r="1508" ht="16" customHeight="1" x14ac:dyDescent="0.2"/>
    <row r="1509" ht="16" customHeight="1" x14ac:dyDescent="0.2"/>
    <row r="1510" ht="16" customHeight="1" x14ac:dyDescent="0.2"/>
    <row r="1511" ht="16" customHeight="1" x14ac:dyDescent="0.2"/>
    <row r="1512" ht="16" customHeight="1" x14ac:dyDescent="0.2"/>
    <row r="1513" ht="16" customHeight="1" x14ac:dyDescent="0.2"/>
    <row r="1514" ht="16" customHeight="1" x14ac:dyDescent="0.2"/>
    <row r="1515" ht="16" customHeight="1" x14ac:dyDescent="0.2"/>
    <row r="1516" ht="16" customHeight="1" x14ac:dyDescent="0.2"/>
    <row r="1517" ht="16" customHeight="1" x14ac:dyDescent="0.2"/>
    <row r="1518" ht="16" customHeight="1" x14ac:dyDescent="0.2"/>
    <row r="1519" ht="16" customHeight="1" x14ac:dyDescent="0.2"/>
    <row r="1520" ht="16" customHeight="1" x14ac:dyDescent="0.2"/>
    <row r="1521" ht="16" customHeight="1" x14ac:dyDescent="0.2"/>
    <row r="1522" ht="16" customHeight="1" x14ac:dyDescent="0.2"/>
    <row r="1523" ht="16" customHeight="1" x14ac:dyDescent="0.2"/>
    <row r="1524" ht="16" customHeight="1" x14ac:dyDescent="0.2"/>
    <row r="1525" ht="16" customHeight="1" x14ac:dyDescent="0.2"/>
    <row r="1526" ht="16" customHeight="1" x14ac:dyDescent="0.2"/>
    <row r="1527" ht="16" customHeight="1" x14ac:dyDescent="0.2"/>
    <row r="1528" ht="16" customHeight="1" x14ac:dyDescent="0.2"/>
    <row r="1529" ht="16" customHeight="1" x14ac:dyDescent="0.2"/>
    <row r="1530" ht="16" customHeight="1" x14ac:dyDescent="0.2"/>
    <row r="1531" ht="16" customHeight="1" x14ac:dyDescent="0.2"/>
    <row r="1532" ht="16" customHeight="1" x14ac:dyDescent="0.2"/>
    <row r="1533" ht="16" customHeight="1" x14ac:dyDescent="0.2"/>
    <row r="1534" ht="16" customHeight="1" x14ac:dyDescent="0.2"/>
    <row r="1535" ht="16" customHeight="1" x14ac:dyDescent="0.2"/>
    <row r="1536" ht="16" customHeight="1" x14ac:dyDescent="0.2"/>
    <row r="1537" ht="16" customHeight="1" x14ac:dyDescent="0.2"/>
    <row r="1538" ht="16" customHeight="1" x14ac:dyDescent="0.2"/>
    <row r="1539" ht="16" customHeight="1" x14ac:dyDescent="0.2"/>
    <row r="1540" ht="16" customHeight="1" x14ac:dyDescent="0.2"/>
    <row r="1541" ht="16" customHeight="1" x14ac:dyDescent="0.2"/>
    <row r="1542" ht="16" customHeight="1" x14ac:dyDescent="0.2"/>
    <row r="1543" ht="16" customHeight="1" x14ac:dyDescent="0.2"/>
    <row r="1544" ht="16" customHeight="1" x14ac:dyDescent="0.2"/>
    <row r="1545" ht="16" customHeight="1" x14ac:dyDescent="0.2"/>
    <row r="1546" ht="16" customHeight="1" x14ac:dyDescent="0.2"/>
    <row r="1547" ht="16" customHeight="1" x14ac:dyDescent="0.2"/>
    <row r="1548" ht="16" customHeight="1" x14ac:dyDescent="0.2"/>
    <row r="1549" ht="16" customHeight="1" x14ac:dyDescent="0.2"/>
    <row r="1550" ht="16" customHeight="1" x14ac:dyDescent="0.2"/>
    <row r="1551" ht="16" customHeight="1" x14ac:dyDescent="0.2"/>
    <row r="1552" ht="16" customHeight="1" x14ac:dyDescent="0.2"/>
    <row r="1553" ht="16" customHeight="1" x14ac:dyDescent="0.2"/>
    <row r="1554" ht="16" customHeight="1" x14ac:dyDescent="0.2"/>
    <row r="1555" ht="16" customHeight="1" x14ac:dyDescent="0.2"/>
    <row r="1556" ht="16" customHeight="1" x14ac:dyDescent="0.2"/>
    <row r="1557" ht="16" customHeight="1" x14ac:dyDescent="0.2"/>
    <row r="1558" ht="16" customHeight="1" x14ac:dyDescent="0.2"/>
    <row r="1559" ht="16" customHeight="1" x14ac:dyDescent="0.2"/>
    <row r="1560" ht="16" customHeight="1" x14ac:dyDescent="0.2"/>
    <row r="1561" ht="16" customHeight="1" x14ac:dyDescent="0.2"/>
    <row r="1562" ht="16" customHeight="1" x14ac:dyDescent="0.2"/>
    <row r="1563" ht="16" customHeight="1" x14ac:dyDescent="0.2"/>
    <row r="1564" ht="16" customHeight="1" x14ac:dyDescent="0.2"/>
    <row r="1565" ht="16" customHeight="1" x14ac:dyDescent="0.2"/>
    <row r="1566" ht="16" customHeight="1" x14ac:dyDescent="0.2"/>
    <row r="1567" ht="16" customHeight="1" x14ac:dyDescent="0.2"/>
    <row r="1568" ht="16" customHeight="1" x14ac:dyDescent="0.2"/>
    <row r="1569" ht="16" customHeight="1" x14ac:dyDescent="0.2"/>
    <row r="1570" ht="16" customHeight="1" x14ac:dyDescent="0.2"/>
    <row r="1571" ht="16" customHeight="1" x14ac:dyDescent="0.2"/>
    <row r="1572" ht="16" customHeight="1" x14ac:dyDescent="0.2"/>
    <row r="1573" ht="16" customHeight="1" x14ac:dyDescent="0.2"/>
    <row r="1574" ht="16" customHeight="1" x14ac:dyDescent="0.2"/>
    <row r="1575" ht="16" customHeight="1" x14ac:dyDescent="0.2"/>
    <row r="1576" ht="16" customHeight="1" x14ac:dyDescent="0.2"/>
    <row r="1577" ht="16" customHeight="1" x14ac:dyDescent="0.2"/>
    <row r="1578" ht="16" customHeight="1" x14ac:dyDescent="0.2"/>
    <row r="1579" ht="16" customHeight="1" x14ac:dyDescent="0.2"/>
    <row r="1580" ht="16" customHeight="1" x14ac:dyDescent="0.2"/>
    <row r="1581" ht="16" customHeight="1" x14ac:dyDescent="0.2"/>
    <row r="1582" ht="16" customHeight="1" x14ac:dyDescent="0.2"/>
    <row r="1583" ht="16" customHeight="1" x14ac:dyDescent="0.2"/>
    <row r="1584" ht="16" customHeight="1" x14ac:dyDescent="0.2"/>
    <row r="1585" ht="16" customHeight="1" x14ac:dyDescent="0.2"/>
    <row r="1586" ht="16" customHeight="1" x14ac:dyDescent="0.2"/>
    <row r="1587" ht="16" customHeight="1" x14ac:dyDescent="0.2"/>
    <row r="1588" ht="16" customHeight="1" x14ac:dyDescent="0.2"/>
    <row r="1589" ht="16" customHeight="1" x14ac:dyDescent="0.2"/>
    <row r="1590" ht="16" customHeight="1" x14ac:dyDescent="0.2"/>
    <row r="1591" ht="16" customHeight="1" x14ac:dyDescent="0.2"/>
    <row r="1592" ht="16" customHeight="1" x14ac:dyDescent="0.2"/>
    <row r="1593" ht="16" customHeight="1" x14ac:dyDescent="0.2"/>
    <row r="1594" ht="16" customHeight="1" x14ac:dyDescent="0.2"/>
    <row r="1595" ht="16" customHeight="1" x14ac:dyDescent="0.2"/>
    <row r="1596" ht="16" customHeight="1" x14ac:dyDescent="0.2"/>
    <row r="1597" ht="16" customHeight="1" x14ac:dyDescent="0.2"/>
    <row r="1598" ht="16" customHeight="1" x14ac:dyDescent="0.2"/>
    <row r="1599" ht="16" customHeight="1" x14ac:dyDescent="0.2"/>
    <row r="1600" ht="16" customHeight="1" x14ac:dyDescent="0.2"/>
    <row r="1601" ht="16" customHeight="1" x14ac:dyDescent="0.2"/>
    <row r="1602" ht="16" customHeight="1" x14ac:dyDescent="0.2"/>
    <row r="1603" ht="16" customHeight="1" x14ac:dyDescent="0.2"/>
    <row r="1604" ht="16" customHeight="1" x14ac:dyDescent="0.2"/>
    <row r="1605" ht="16" customHeight="1" x14ac:dyDescent="0.2"/>
    <row r="1606" ht="16" customHeight="1" x14ac:dyDescent="0.2"/>
    <row r="1607" ht="16" customHeight="1" x14ac:dyDescent="0.2"/>
    <row r="1608" ht="16" customHeight="1" x14ac:dyDescent="0.2"/>
    <row r="1609" ht="16" customHeight="1" x14ac:dyDescent="0.2"/>
    <row r="1610" ht="16" customHeight="1" x14ac:dyDescent="0.2"/>
    <row r="1611" ht="16" customHeight="1" x14ac:dyDescent="0.2"/>
    <row r="1612" ht="16" customHeight="1" x14ac:dyDescent="0.2"/>
    <row r="1613" ht="16" customHeight="1" x14ac:dyDescent="0.2"/>
    <row r="1614" ht="16" customHeight="1" x14ac:dyDescent="0.2"/>
    <row r="1615" ht="16" customHeight="1" x14ac:dyDescent="0.2"/>
    <row r="1616" ht="16" customHeight="1" x14ac:dyDescent="0.2"/>
    <row r="1617" ht="16" customHeight="1" x14ac:dyDescent="0.2"/>
    <row r="1618" ht="16" customHeight="1" x14ac:dyDescent="0.2"/>
    <row r="1619" ht="16" customHeight="1" x14ac:dyDescent="0.2"/>
    <row r="1620" ht="16" customHeight="1" x14ac:dyDescent="0.2"/>
    <row r="1621" ht="16" customHeight="1" x14ac:dyDescent="0.2"/>
    <row r="1622" ht="16" customHeight="1" x14ac:dyDescent="0.2"/>
    <row r="1623" ht="16" customHeight="1" x14ac:dyDescent="0.2"/>
    <row r="1624" ht="16" customHeight="1" x14ac:dyDescent="0.2"/>
    <row r="1625" ht="16" customHeight="1" x14ac:dyDescent="0.2"/>
    <row r="1626" ht="16" customHeight="1" x14ac:dyDescent="0.2"/>
    <row r="1627" ht="16" customHeight="1" x14ac:dyDescent="0.2"/>
    <row r="1628" ht="16" customHeight="1" x14ac:dyDescent="0.2"/>
    <row r="1629" ht="16" customHeight="1" x14ac:dyDescent="0.2"/>
    <row r="1630" ht="16" customHeight="1" x14ac:dyDescent="0.2"/>
    <row r="1631" ht="16" customHeight="1" x14ac:dyDescent="0.2"/>
    <row r="1632" ht="16" customHeight="1" x14ac:dyDescent="0.2"/>
    <row r="1633" ht="16" customHeight="1" x14ac:dyDescent="0.2"/>
    <row r="1634" ht="16" customHeight="1" x14ac:dyDescent="0.2"/>
    <row r="1635" ht="16" customHeight="1" x14ac:dyDescent="0.2"/>
    <row r="1636" ht="16" customHeight="1" x14ac:dyDescent="0.2"/>
    <row r="1637" ht="16" customHeight="1" x14ac:dyDescent="0.2"/>
    <row r="1638" ht="16" customHeight="1" x14ac:dyDescent="0.2"/>
    <row r="1639" ht="16" customHeight="1" x14ac:dyDescent="0.2"/>
    <row r="1640" ht="16" customHeight="1" x14ac:dyDescent="0.2"/>
    <row r="1641" ht="16" customHeight="1" x14ac:dyDescent="0.2"/>
    <row r="1642" ht="16" customHeight="1" x14ac:dyDescent="0.2"/>
    <row r="1643" ht="16" customHeight="1" x14ac:dyDescent="0.2"/>
    <row r="1644" ht="16" customHeight="1" x14ac:dyDescent="0.2"/>
    <row r="1645" ht="16" customHeight="1" x14ac:dyDescent="0.2"/>
    <row r="1646" ht="16" customHeight="1" x14ac:dyDescent="0.2"/>
    <row r="1647" ht="16" customHeight="1" x14ac:dyDescent="0.2"/>
    <row r="1648" ht="16" customHeight="1" x14ac:dyDescent="0.2"/>
    <row r="1649" ht="16" customHeight="1" x14ac:dyDescent="0.2"/>
    <row r="1650" ht="16" customHeight="1" x14ac:dyDescent="0.2"/>
    <row r="1651" ht="16" customHeight="1" x14ac:dyDescent="0.2"/>
    <row r="1652" ht="16" customHeight="1" x14ac:dyDescent="0.2"/>
    <row r="1653" ht="16" customHeight="1" x14ac:dyDescent="0.2"/>
    <row r="1654" ht="16" customHeight="1" x14ac:dyDescent="0.2"/>
    <row r="1655" ht="16" customHeight="1" x14ac:dyDescent="0.2"/>
    <row r="1656" ht="16" customHeight="1" x14ac:dyDescent="0.2"/>
    <row r="1657" ht="16" customHeight="1" x14ac:dyDescent="0.2"/>
    <row r="1658" ht="16" customHeight="1" x14ac:dyDescent="0.2"/>
    <row r="1659" ht="16" customHeight="1" x14ac:dyDescent="0.2"/>
    <row r="1660" ht="16" customHeight="1" x14ac:dyDescent="0.2"/>
    <row r="1661" ht="16" customHeight="1" x14ac:dyDescent="0.2"/>
    <row r="1662" ht="16" customHeight="1" x14ac:dyDescent="0.2"/>
    <row r="1663" ht="16" customHeight="1" x14ac:dyDescent="0.2"/>
    <row r="1664" ht="16" customHeight="1" x14ac:dyDescent="0.2"/>
    <row r="1665" ht="16" customHeight="1" x14ac:dyDescent="0.2"/>
    <row r="1666" ht="16" customHeight="1" x14ac:dyDescent="0.2"/>
    <row r="1667" ht="16" customHeight="1" x14ac:dyDescent="0.2"/>
    <row r="1668" ht="16" customHeight="1" x14ac:dyDescent="0.2"/>
    <row r="1669" ht="16" customHeight="1" x14ac:dyDescent="0.2"/>
    <row r="1670" ht="16" customHeight="1" x14ac:dyDescent="0.2"/>
    <row r="1671" ht="16" customHeight="1" x14ac:dyDescent="0.2"/>
    <row r="1672" ht="16" customHeight="1" x14ac:dyDescent="0.2"/>
    <row r="1673" ht="16" customHeight="1" x14ac:dyDescent="0.2"/>
    <row r="1674" ht="16" customHeight="1" x14ac:dyDescent="0.2"/>
    <row r="1675" ht="16" customHeight="1" x14ac:dyDescent="0.2"/>
    <row r="1676" ht="16" customHeight="1" x14ac:dyDescent="0.2"/>
    <row r="1677" ht="16" customHeight="1" x14ac:dyDescent="0.2"/>
    <row r="1678" ht="16" customHeight="1" x14ac:dyDescent="0.2"/>
    <row r="1679" ht="16" customHeight="1" x14ac:dyDescent="0.2"/>
    <row r="1680" ht="16" customHeight="1" x14ac:dyDescent="0.2"/>
    <row r="1681" ht="16" customHeight="1" x14ac:dyDescent="0.2"/>
    <row r="1682" ht="16" customHeight="1" x14ac:dyDescent="0.2"/>
    <row r="1683" ht="16" customHeight="1" x14ac:dyDescent="0.2"/>
    <row r="1684" ht="16" customHeight="1" x14ac:dyDescent="0.2"/>
    <row r="1685" ht="16" customHeight="1" x14ac:dyDescent="0.2"/>
    <row r="1686" ht="16" customHeight="1" x14ac:dyDescent="0.2"/>
    <row r="1687" ht="16" customHeight="1" x14ac:dyDescent="0.2"/>
    <row r="1688" ht="16" customHeight="1" x14ac:dyDescent="0.2"/>
    <row r="1689" ht="16" customHeight="1" x14ac:dyDescent="0.2"/>
    <row r="1690" ht="16" customHeight="1" x14ac:dyDescent="0.2"/>
    <row r="1691" ht="16" customHeight="1" x14ac:dyDescent="0.2"/>
    <row r="1692" ht="16" customHeight="1" x14ac:dyDescent="0.2"/>
    <row r="1693" ht="16" customHeight="1" x14ac:dyDescent="0.2"/>
    <row r="1694" ht="16" customHeight="1" x14ac:dyDescent="0.2"/>
    <row r="1695" ht="16" customHeight="1" x14ac:dyDescent="0.2"/>
    <row r="1696" ht="16" customHeight="1" x14ac:dyDescent="0.2"/>
    <row r="1697" ht="16" customHeight="1" x14ac:dyDescent="0.2"/>
    <row r="1698" ht="16" customHeight="1" x14ac:dyDescent="0.2"/>
    <row r="1699" ht="16" customHeight="1" x14ac:dyDescent="0.2"/>
    <row r="1700" ht="16" customHeight="1" x14ac:dyDescent="0.2"/>
    <row r="1701" ht="16" customHeight="1" x14ac:dyDescent="0.2"/>
    <row r="1702" ht="16" customHeight="1" x14ac:dyDescent="0.2"/>
    <row r="1703" ht="16" customHeight="1" x14ac:dyDescent="0.2"/>
    <row r="1704" ht="16" customHeight="1" x14ac:dyDescent="0.2"/>
    <row r="1705" ht="16" customHeight="1" x14ac:dyDescent="0.2"/>
    <row r="1706" ht="16" customHeight="1" x14ac:dyDescent="0.2"/>
    <row r="1707" ht="16" customHeight="1" x14ac:dyDescent="0.2"/>
    <row r="1708" ht="16" customHeight="1" x14ac:dyDescent="0.2"/>
    <row r="1709" ht="16" customHeight="1" x14ac:dyDescent="0.2"/>
    <row r="1710" ht="16" customHeight="1" x14ac:dyDescent="0.2"/>
    <row r="1711" ht="16" customHeight="1" x14ac:dyDescent="0.2"/>
    <row r="1712" ht="16" customHeight="1" x14ac:dyDescent="0.2"/>
    <row r="1713" ht="16" customHeight="1" x14ac:dyDescent="0.2"/>
    <row r="1714" ht="16" customHeight="1" x14ac:dyDescent="0.2"/>
    <row r="1715" ht="16" customHeight="1" x14ac:dyDescent="0.2"/>
    <row r="1716" ht="16" customHeight="1" x14ac:dyDescent="0.2"/>
    <row r="1717" ht="16" customHeight="1" x14ac:dyDescent="0.2"/>
    <row r="1718" ht="16" customHeight="1" x14ac:dyDescent="0.2"/>
    <row r="1719" ht="16" customHeight="1" x14ac:dyDescent="0.2"/>
    <row r="1720" ht="16" customHeight="1" x14ac:dyDescent="0.2"/>
    <row r="1721" ht="16" customHeight="1" x14ac:dyDescent="0.2"/>
    <row r="1722" ht="16" customHeight="1" x14ac:dyDescent="0.2"/>
    <row r="1723" ht="16" customHeight="1" x14ac:dyDescent="0.2"/>
    <row r="1724" ht="16" customHeight="1" x14ac:dyDescent="0.2"/>
    <row r="1725" ht="16" customHeight="1" x14ac:dyDescent="0.2"/>
    <row r="1726" ht="16" customHeight="1" x14ac:dyDescent="0.2"/>
    <row r="1727" ht="16" customHeight="1" x14ac:dyDescent="0.2"/>
    <row r="1728" ht="16" customHeight="1" x14ac:dyDescent="0.2"/>
    <row r="1729" ht="16" customHeight="1" x14ac:dyDescent="0.2"/>
    <row r="1730" ht="16" customHeight="1" x14ac:dyDescent="0.2"/>
    <row r="1731" ht="16" customHeight="1" x14ac:dyDescent="0.2"/>
    <row r="1732" ht="16" customHeight="1" x14ac:dyDescent="0.2"/>
    <row r="1733" ht="16" customHeight="1" x14ac:dyDescent="0.2"/>
    <row r="1734" ht="16" customHeight="1" x14ac:dyDescent="0.2"/>
    <row r="1735" ht="16" customHeight="1" x14ac:dyDescent="0.2"/>
    <row r="1736" ht="16" customHeight="1" x14ac:dyDescent="0.2"/>
    <row r="1737" ht="16" customHeight="1" x14ac:dyDescent="0.2"/>
    <row r="1738" ht="16" customHeight="1" x14ac:dyDescent="0.2"/>
    <row r="1739" ht="16" customHeight="1" x14ac:dyDescent="0.2"/>
    <row r="1740" ht="16" customHeight="1" x14ac:dyDescent="0.2"/>
    <row r="1741" ht="16" customHeight="1" x14ac:dyDescent="0.2"/>
    <row r="1742" ht="16" customHeight="1" x14ac:dyDescent="0.2"/>
    <row r="1743" ht="16" customHeight="1" x14ac:dyDescent="0.2"/>
    <row r="1744" ht="16" customHeight="1" x14ac:dyDescent="0.2"/>
    <row r="1745" ht="16" customHeight="1" x14ac:dyDescent="0.2"/>
    <row r="1746" ht="16" customHeight="1" x14ac:dyDescent="0.2"/>
    <row r="1747" ht="16" customHeight="1" x14ac:dyDescent="0.2"/>
    <row r="1748" ht="16" customHeight="1" x14ac:dyDescent="0.2"/>
    <row r="1749" ht="16" customHeight="1" x14ac:dyDescent="0.2"/>
    <row r="1750" ht="16" customHeight="1" x14ac:dyDescent="0.2"/>
    <row r="1751" ht="16" customHeight="1" x14ac:dyDescent="0.2"/>
    <row r="1752" ht="16" customHeight="1" x14ac:dyDescent="0.2"/>
    <row r="1753" ht="16" customHeight="1" x14ac:dyDescent="0.2"/>
    <row r="1754" ht="16" customHeight="1" x14ac:dyDescent="0.2"/>
    <row r="1755" ht="16" customHeight="1" x14ac:dyDescent="0.2"/>
    <row r="1756" ht="16" customHeight="1" x14ac:dyDescent="0.2"/>
    <row r="1757" ht="16" customHeight="1" x14ac:dyDescent="0.2"/>
    <row r="1758" ht="16" customHeight="1" x14ac:dyDescent="0.2"/>
    <row r="1759" ht="16" customHeight="1" x14ac:dyDescent="0.2"/>
    <row r="1760" ht="16" customHeight="1" x14ac:dyDescent="0.2"/>
    <row r="1761" ht="16" customHeight="1" x14ac:dyDescent="0.2"/>
    <row r="1762" ht="16" customHeight="1" x14ac:dyDescent="0.2"/>
    <row r="1763" ht="16" customHeight="1" x14ac:dyDescent="0.2"/>
    <row r="1764" ht="16" customHeight="1" x14ac:dyDescent="0.2"/>
    <row r="1765" ht="16" customHeight="1" x14ac:dyDescent="0.2"/>
    <row r="1766" ht="16" customHeight="1" x14ac:dyDescent="0.2"/>
    <row r="1767" ht="16" customHeight="1" x14ac:dyDescent="0.2"/>
    <row r="1768" ht="16" customHeight="1" x14ac:dyDescent="0.2"/>
    <row r="1769" ht="16" customHeight="1" x14ac:dyDescent="0.2"/>
    <row r="1770" ht="16" customHeight="1" x14ac:dyDescent="0.2"/>
    <row r="1771" ht="16" customHeight="1" x14ac:dyDescent="0.2"/>
    <row r="1772" ht="16" customHeight="1" x14ac:dyDescent="0.2"/>
    <row r="1773" ht="16" customHeight="1" x14ac:dyDescent="0.2"/>
    <row r="1774" ht="16" customHeight="1" x14ac:dyDescent="0.2"/>
    <row r="1775" ht="16" customHeight="1" x14ac:dyDescent="0.2"/>
    <row r="1776" ht="16" customHeight="1" x14ac:dyDescent="0.2"/>
    <row r="1777" ht="16" customHeight="1" x14ac:dyDescent="0.2"/>
    <row r="1778" ht="16" customHeight="1" x14ac:dyDescent="0.2"/>
    <row r="1779" ht="16" customHeight="1" x14ac:dyDescent="0.2"/>
    <row r="1780" ht="16" customHeight="1" x14ac:dyDescent="0.2"/>
    <row r="1781" ht="16" customHeight="1" x14ac:dyDescent="0.2"/>
    <row r="1782" ht="16" customHeight="1" x14ac:dyDescent="0.2"/>
    <row r="1783" ht="16" customHeight="1" x14ac:dyDescent="0.2"/>
    <row r="1784" ht="16" customHeight="1" x14ac:dyDescent="0.2"/>
    <row r="1785" ht="16" customHeight="1" x14ac:dyDescent="0.2"/>
    <row r="1786" ht="16" customHeight="1" x14ac:dyDescent="0.2"/>
    <row r="1787" ht="16" customHeight="1" x14ac:dyDescent="0.2"/>
    <row r="1788" ht="16" customHeight="1" x14ac:dyDescent="0.2"/>
    <row r="1789" ht="16" customHeight="1" x14ac:dyDescent="0.2"/>
    <row r="1790" ht="16" customHeight="1" x14ac:dyDescent="0.2"/>
    <row r="1791" ht="16" customHeight="1" x14ac:dyDescent="0.2"/>
    <row r="1792" ht="16" customHeight="1" x14ac:dyDescent="0.2"/>
    <row r="1793" ht="16" customHeight="1" x14ac:dyDescent="0.2"/>
    <row r="1794" ht="16" customHeight="1" x14ac:dyDescent="0.2"/>
    <row r="1795" ht="16" customHeight="1" x14ac:dyDescent="0.2"/>
    <row r="1796" ht="16" customHeight="1" x14ac:dyDescent="0.2"/>
    <row r="1797" ht="16" customHeight="1" x14ac:dyDescent="0.2"/>
    <row r="1798" ht="16" customHeight="1" x14ac:dyDescent="0.2"/>
    <row r="1799" ht="16" customHeight="1" x14ac:dyDescent="0.2"/>
    <row r="1800" ht="16" customHeight="1" x14ac:dyDescent="0.2"/>
    <row r="1801" ht="16" customHeight="1" x14ac:dyDescent="0.2"/>
    <row r="1802" ht="16" customHeight="1" x14ac:dyDescent="0.2"/>
    <row r="1803" ht="16" customHeight="1" x14ac:dyDescent="0.2"/>
    <row r="1804" ht="16" customHeight="1" x14ac:dyDescent="0.2"/>
    <row r="1805" ht="16" customHeight="1" x14ac:dyDescent="0.2"/>
    <row r="1806" ht="16" customHeight="1" x14ac:dyDescent="0.2"/>
    <row r="1807" ht="16" customHeight="1" x14ac:dyDescent="0.2"/>
    <row r="1808" ht="16" customHeight="1" x14ac:dyDescent="0.2"/>
    <row r="1809" ht="16" customHeight="1" x14ac:dyDescent="0.2"/>
    <row r="1810" ht="16" customHeight="1" x14ac:dyDescent="0.2"/>
    <row r="1811" ht="16" customHeight="1" x14ac:dyDescent="0.2"/>
    <row r="1812" ht="16" customHeight="1" x14ac:dyDescent="0.2"/>
    <row r="1813" ht="16" customHeight="1" x14ac:dyDescent="0.2"/>
    <row r="1814" ht="16" customHeight="1" x14ac:dyDescent="0.2"/>
    <row r="1815" ht="16" customHeight="1" x14ac:dyDescent="0.2"/>
    <row r="1816" ht="16" customHeight="1" x14ac:dyDescent="0.2"/>
    <row r="1817" ht="16" customHeight="1" x14ac:dyDescent="0.2"/>
    <row r="1818" ht="16" customHeight="1" x14ac:dyDescent="0.2"/>
    <row r="1819" ht="16" customHeight="1" x14ac:dyDescent="0.2"/>
    <row r="1820" ht="16" customHeight="1" x14ac:dyDescent="0.2"/>
    <row r="1821" ht="16" customHeight="1" x14ac:dyDescent="0.2"/>
    <row r="1822" ht="16" customHeight="1" x14ac:dyDescent="0.2"/>
    <row r="1823" ht="16" customHeight="1" x14ac:dyDescent="0.2"/>
    <row r="1824" ht="16" customHeight="1" x14ac:dyDescent="0.2"/>
    <row r="1825" ht="16" customHeight="1" x14ac:dyDescent="0.2"/>
    <row r="1826" ht="16" customHeight="1" x14ac:dyDescent="0.2"/>
    <row r="1827" ht="16" customHeight="1" x14ac:dyDescent="0.2"/>
    <row r="1828" ht="16" customHeight="1" x14ac:dyDescent="0.2"/>
    <row r="1829" ht="16" customHeight="1" x14ac:dyDescent="0.2"/>
    <row r="1830" ht="16" customHeight="1" x14ac:dyDescent="0.2"/>
    <row r="1831" ht="16" customHeight="1" x14ac:dyDescent="0.2"/>
    <row r="1832" ht="16" customHeight="1" x14ac:dyDescent="0.2"/>
    <row r="1833" ht="16" customHeight="1" x14ac:dyDescent="0.2"/>
    <row r="1834" ht="16" customHeight="1" x14ac:dyDescent="0.2"/>
    <row r="1835" ht="16" customHeight="1" x14ac:dyDescent="0.2"/>
    <row r="1836" ht="16" customHeight="1" x14ac:dyDescent="0.2"/>
    <row r="1837" ht="16" customHeight="1" x14ac:dyDescent="0.2"/>
    <row r="1838" ht="16" customHeight="1" x14ac:dyDescent="0.2"/>
    <row r="1839" ht="16" customHeight="1" x14ac:dyDescent="0.2"/>
    <row r="1840" ht="16" customHeight="1" x14ac:dyDescent="0.2"/>
    <row r="1841" ht="16" customHeight="1" x14ac:dyDescent="0.2"/>
    <row r="1842" ht="16" customHeight="1" x14ac:dyDescent="0.2"/>
    <row r="1843" ht="16" customHeight="1" x14ac:dyDescent="0.2"/>
    <row r="1844" ht="16" customHeight="1" x14ac:dyDescent="0.2"/>
    <row r="1845" ht="16" customHeight="1" x14ac:dyDescent="0.2"/>
    <row r="1846" ht="16" customHeight="1" x14ac:dyDescent="0.2"/>
    <row r="1847" ht="16" customHeight="1" x14ac:dyDescent="0.2"/>
    <row r="1848" ht="16" customHeight="1" x14ac:dyDescent="0.2"/>
    <row r="1849" ht="16" customHeight="1" x14ac:dyDescent="0.2"/>
    <row r="1850" ht="16" customHeight="1" x14ac:dyDescent="0.2"/>
    <row r="1851" ht="16" customHeight="1" x14ac:dyDescent="0.2"/>
    <row r="1852" ht="16" customHeight="1" x14ac:dyDescent="0.2"/>
    <row r="1853" ht="16" customHeight="1" x14ac:dyDescent="0.2"/>
    <row r="1854" ht="16" customHeight="1" x14ac:dyDescent="0.2"/>
    <row r="1855" ht="16" customHeight="1" x14ac:dyDescent="0.2"/>
    <row r="1856" ht="16" customHeight="1" x14ac:dyDescent="0.2"/>
    <row r="1857" ht="16" customHeight="1" x14ac:dyDescent="0.2"/>
    <row r="1858" ht="16" customHeight="1" x14ac:dyDescent="0.2"/>
    <row r="1859" ht="16" customHeight="1" x14ac:dyDescent="0.2"/>
    <row r="1860" ht="16" customHeight="1" x14ac:dyDescent="0.2"/>
    <row r="1861" ht="16" customHeight="1" x14ac:dyDescent="0.2"/>
    <row r="1862" ht="16" customHeight="1" x14ac:dyDescent="0.2"/>
    <row r="1863" ht="16" customHeight="1" x14ac:dyDescent="0.2"/>
    <row r="1864" ht="16" customHeight="1" x14ac:dyDescent="0.2"/>
    <row r="1865" ht="16" customHeight="1" x14ac:dyDescent="0.2"/>
    <row r="1866" ht="16" customHeight="1" x14ac:dyDescent="0.2"/>
    <row r="1867" ht="16" customHeight="1" x14ac:dyDescent="0.2"/>
    <row r="1868" ht="16" customHeight="1" x14ac:dyDescent="0.2"/>
    <row r="1869" ht="16" customHeight="1" x14ac:dyDescent="0.2"/>
    <row r="1870" ht="16" customHeight="1" x14ac:dyDescent="0.2"/>
    <row r="1871" ht="16" customHeight="1" x14ac:dyDescent="0.2"/>
    <row r="1872" ht="16" customHeight="1" x14ac:dyDescent="0.2"/>
    <row r="1873" ht="16" customHeight="1" x14ac:dyDescent="0.2"/>
    <row r="1874" ht="16" customHeight="1" x14ac:dyDescent="0.2"/>
    <row r="1875" ht="16" customHeight="1" x14ac:dyDescent="0.2"/>
    <row r="1876" ht="16" customHeight="1" x14ac:dyDescent="0.2"/>
    <row r="1877" ht="16" customHeight="1" x14ac:dyDescent="0.2"/>
    <row r="1878" ht="16" customHeight="1" x14ac:dyDescent="0.2"/>
    <row r="1879" ht="16" customHeight="1" x14ac:dyDescent="0.2"/>
    <row r="1880" ht="16" customHeight="1" x14ac:dyDescent="0.2"/>
    <row r="1881" ht="16" customHeight="1" x14ac:dyDescent="0.2"/>
    <row r="1882" ht="16" customHeight="1" x14ac:dyDescent="0.2"/>
    <row r="1883" ht="16" customHeight="1" x14ac:dyDescent="0.2"/>
    <row r="1884" ht="16" customHeight="1" x14ac:dyDescent="0.2"/>
    <row r="1885" ht="16" customHeight="1" x14ac:dyDescent="0.2"/>
    <row r="1886" ht="16" customHeight="1" x14ac:dyDescent="0.2"/>
    <row r="1887" ht="16" customHeight="1" x14ac:dyDescent="0.2"/>
    <row r="1888" ht="16" customHeight="1" x14ac:dyDescent="0.2"/>
    <row r="1889" ht="16" customHeight="1" x14ac:dyDescent="0.2"/>
    <row r="1890" ht="16" customHeight="1" x14ac:dyDescent="0.2"/>
    <row r="1891" ht="16" customHeight="1" x14ac:dyDescent="0.2"/>
    <row r="1892" ht="16" customHeight="1" x14ac:dyDescent="0.2"/>
    <row r="1893" ht="16" customHeight="1" x14ac:dyDescent="0.2"/>
    <row r="1894" ht="16" customHeight="1" x14ac:dyDescent="0.2"/>
    <row r="1895" ht="16" customHeight="1" x14ac:dyDescent="0.2"/>
    <row r="1896" ht="16" customHeight="1" x14ac:dyDescent="0.2"/>
    <row r="1897" ht="16" customHeight="1" x14ac:dyDescent="0.2"/>
    <row r="1898" ht="16" customHeight="1" x14ac:dyDescent="0.2"/>
    <row r="1899" ht="16" customHeight="1" x14ac:dyDescent="0.2"/>
    <row r="1900" ht="16" customHeight="1" x14ac:dyDescent="0.2"/>
    <row r="1901" ht="16" customHeight="1" x14ac:dyDescent="0.2"/>
    <row r="1902" ht="16" customHeight="1" x14ac:dyDescent="0.2"/>
    <row r="1903" ht="16" customHeight="1" x14ac:dyDescent="0.2"/>
    <row r="1904" ht="16" customHeight="1" x14ac:dyDescent="0.2"/>
    <row r="1905" ht="16" customHeight="1" x14ac:dyDescent="0.2"/>
    <row r="1906" ht="16" customHeight="1" x14ac:dyDescent="0.2"/>
    <row r="1907" ht="16" customHeight="1" x14ac:dyDescent="0.2"/>
    <row r="1908" ht="16" customHeight="1" x14ac:dyDescent="0.2"/>
    <row r="1909" ht="16" customHeight="1" x14ac:dyDescent="0.2"/>
    <row r="1910" ht="16" customHeight="1" x14ac:dyDescent="0.2"/>
    <row r="1911" ht="16" customHeight="1" x14ac:dyDescent="0.2"/>
    <row r="1912" ht="16" customHeight="1" x14ac:dyDescent="0.2"/>
    <row r="1913" ht="16" customHeight="1" x14ac:dyDescent="0.2"/>
    <row r="1914" ht="16" customHeight="1" x14ac:dyDescent="0.2"/>
    <row r="1915" ht="16" customHeight="1" x14ac:dyDescent="0.2"/>
    <row r="1916" ht="16" customHeight="1" x14ac:dyDescent="0.2"/>
    <row r="1917" ht="16" customHeight="1" x14ac:dyDescent="0.2"/>
    <row r="1918" ht="16" customHeight="1" x14ac:dyDescent="0.2"/>
    <row r="1919" ht="16" customHeight="1" x14ac:dyDescent="0.2"/>
    <row r="1920" ht="16" customHeight="1" x14ac:dyDescent="0.2"/>
    <row r="1921" ht="16" customHeight="1" x14ac:dyDescent="0.2"/>
    <row r="1922" ht="16" customHeight="1" x14ac:dyDescent="0.2"/>
    <row r="1923" ht="16" customHeight="1" x14ac:dyDescent="0.2"/>
    <row r="1924" ht="16" customHeight="1" x14ac:dyDescent="0.2"/>
    <row r="1925" ht="16" customHeight="1" x14ac:dyDescent="0.2"/>
    <row r="1926" ht="16" customHeight="1" x14ac:dyDescent="0.2"/>
    <row r="1927" ht="16" customHeight="1" x14ac:dyDescent="0.2"/>
    <row r="1928" ht="16" customHeight="1" x14ac:dyDescent="0.2"/>
    <row r="1929" ht="16" customHeight="1" x14ac:dyDescent="0.2"/>
    <row r="1930" ht="16" customHeight="1" x14ac:dyDescent="0.2"/>
    <row r="1931" ht="16" customHeight="1" x14ac:dyDescent="0.2"/>
    <row r="1932" ht="16" customHeight="1" x14ac:dyDescent="0.2"/>
    <row r="1933" ht="16" customHeight="1" x14ac:dyDescent="0.2"/>
    <row r="1934" ht="16" customHeight="1" x14ac:dyDescent="0.2"/>
    <row r="1935" ht="16" customHeight="1" x14ac:dyDescent="0.2"/>
    <row r="1936" ht="16" customHeight="1" x14ac:dyDescent="0.2"/>
    <row r="1937" ht="16" customHeight="1" x14ac:dyDescent="0.2"/>
    <row r="1938" ht="16" customHeight="1" x14ac:dyDescent="0.2"/>
    <row r="1939" ht="16" customHeight="1" x14ac:dyDescent="0.2"/>
    <row r="1940" ht="16" customHeight="1" x14ac:dyDescent="0.2"/>
    <row r="1941" ht="16" customHeight="1" x14ac:dyDescent="0.2"/>
    <row r="1942" ht="16" customHeight="1" x14ac:dyDescent="0.2"/>
    <row r="1943" ht="16" customHeight="1" x14ac:dyDescent="0.2"/>
    <row r="1944" ht="16" customHeight="1" x14ac:dyDescent="0.2"/>
    <row r="1945" ht="16" customHeight="1" x14ac:dyDescent="0.2"/>
    <row r="1946" ht="16" customHeight="1" x14ac:dyDescent="0.2"/>
    <row r="1947" ht="16" customHeight="1" x14ac:dyDescent="0.2"/>
    <row r="1948" ht="16" customHeight="1" x14ac:dyDescent="0.2"/>
    <row r="1949" ht="16" customHeight="1" x14ac:dyDescent="0.2"/>
    <row r="1950" ht="16" customHeight="1" x14ac:dyDescent="0.2"/>
    <row r="1951" ht="16" customHeight="1" x14ac:dyDescent="0.2"/>
    <row r="1952" ht="16" customHeight="1" x14ac:dyDescent="0.2"/>
    <row r="1953" ht="16" customHeight="1" x14ac:dyDescent="0.2"/>
    <row r="1954" ht="16" customHeight="1" x14ac:dyDescent="0.2"/>
    <row r="1955" ht="16" customHeight="1" x14ac:dyDescent="0.2"/>
    <row r="1956" ht="16" customHeight="1" x14ac:dyDescent="0.2"/>
    <row r="1957" ht="16" customHeight="1" x14ac:dyDescent="0.2"/>
    <row r="1958" ht="16" customHeight="1" x14ac:dyDescent="0.2"/>
    <row r="1959" ht="16" customHeight="1" x14ac:dyDescent="0.2"/>
    <row r="1960" ht="16" customHeight="1" x14ac:dyDescent="0.2"/>
    <row r="1961" ht="16" customHeight="1" x14ac:dyDescent="0.2"/>
    <row r="1962" ht="16" customHeight="1" x14ac:dyDescent="0.2"/>
    <row r="1963" ht="16" customHeight="1" x14ac:dyDescent="0.2"/>
    <row r="1964" ht="16" customHeight="1" x14ac:dyDescent="0.2"/>
    <row r="1965" ht="16" customHeight="1" x14ac:dyDescent="0.2"/>
    <row r="1966" ht="16" customHeight="1" x14ac:dyDescent="0.2"/>
    <row r="1967" ht="16" customHeight="1" x14ac:dyDescent="0.2"/>
    <row r="1968" ht="16" customHeight="1" x14ac:dyDescent="0.2"/>
    <row r="1969" ht="16" customHeight="1" x14ac:dyDescent="0.2"/>
    <row r="1970" ht="16" customHeight="1" x14ac:dyDescent="0.2"/>
    <row r="1971" ht="16" customHeight="1" x14ac:dyDescent="0.2"/>
    <row r="1972" ht="16" customHeight="1" x14ac:dyDescent="0.2"/>
    <row r="1973" ht="16" customHeight="1" x14ac:dyDescent="0.2"/>
    <row r="1974" ht="16" customHeight="1" x14ac:dyDescent="0.2"/>
    <row r="1975" ht="16" customHeight="1" x14ac:dyDescent="0.2"/>
    <row r="1976" ht="16" customHeight="1" x14ac:dyDescent="0.2"/>
    <row r="1977" ht="16" customHeight="1" x14ac:dyDescent="0.2"/>
    <row r="1978" ht="16" customHeight="1" x14ac:dyDescent="0.2"/>
    <row r="1979" ht="16" customHeight="1" x14ac:dyDescent="0.2"/>
    <row r="1980" ht="16" customHeight="1" x14ac:dyDescent="0.2"/>
    <row r="1981" ht="16" customHeight="1" x14ac:dyDescent="0.2"/>
    <row r="1982" ht="16" customHeight="1" x14ac:dyDescent="0.2"/>
    <row r="1983" ht="16" customHeight="1" x14ac:dyDescent="0.2"/>
    <row r="1984" ht="16" customHeight="1" x14ac:dyDescent="0.2"/>
    <row r="1985" ht="16" customHeight="1" x14ac:dyDescent="0.2"/>
    <row r="1986" ht="16" customHeight="1" x14ac:dyDescent="0.2"/>
    <row r="1987" ht="16" customHeight="1" x14ac:dyDescent="0.2"/>
    <row r="1988" ht="16" customHeight="1" x14ac:dyDescent="0.2"/>
    <row r="1989" ht="16" customHeight="1" x14ac:dyDescent="0.2"/>
    <row r="1990" ht="16" customHeight="1" x14ac:dyDescent="0.2"/>
    <row r="1991" ht="16" customHeight="1" x14ac:dyDescent="0.2"/>
    <row r="1992" ht="16" customHeight="1" x14ac:dyDescent="0.2"/>
    <row r="1993" ht="16" customHeight="1" x14ac:dyDescent="0.2"/>
    <row r="1994" ht="16" customHeight="1" x14ac:dyDescent="0.2"/>
    <row r="1995" ht="16" customHeight="1" x14ac:dyDescent="0.2"/>
    <row r="1996" ht="16" customHeight="1" x14ac:dyDescent="0.2"/>
    <row r="1997" ht="16" customHeight="1" x14ac:dyDescent="0.2"/>
    <row r="1998" ht="16" customHeight="1" x14ac:dyDescent="0.2"/>
    <row r="1999" ht="16" customHeight="1" x14ac:dyDescent="0.2"/>
    <row r="2000" ht="16" customHeight="1" x14ac:dyDescent="0.2"/>
    <row r="2001" ht="16" customHeight="1" x14ac:dyDescent="0.2"/>
    <row r="2002" ht="16" customHeight="1" x14ac:dyDescent="0.2"/>
    <row r="2003" ht="16" customHeight="1" x14ac:dyDescent="0.2"/>
    <row r="2004" ht="16" customHeight="1" x14ac:dyDescent="0.2"/>
    <row r="2005" ht="16" customHeight="1" x14ac:dyDescent="0.2"/>
    <row r="2006" ht="16" customHeight="1" x14ac:dyDescent="0.2"/>
    <row r="2007" ht="16" customHeight="1" x14ac:dyDescent="0.2"/>
    <row r="2008" ht="16" customHeight="1" x14ac:dyDescent="0.2"/>
    <row r="2009" ht="16" customHeight="1" x14ac:dyDescent="0.2"/>
    <row r="2010" ht="16" customHeight="1" x14ac:dyDescent="0.2"/>
    <row r="2011" ht="16" customHeight="1" x14ac:dyDescent="0.2"/>
    <row r="2012" ht="16" customHeight="1" x14ac:dyDescent="0.2"/>
    <row r="2013" ht="16" customHeight="1" x14ac:dyDescent="0.2"/>
    <row r="2014" ht="16" customHeight="1" x14ac:dyDescent="0.2"/>
    <row r="2015" ht="16" customHeight="1" x14ac:dyDescent="0.2"/>
    <row r="2016" ht="16" customHeight="1" x14ac:dyDescent="0.2"/>
    <row r="2017" ht="16" customHeight="1" x14ac:dyDescent="0.2"/>
    <row r="2018" ht="16" customHeight="1" x14ac:dyDescent="0.2"/>
    <row r="2019" ht="16" customHeight="1" x14ac:dyDescent="0.2"/>
    <row r="2020" ht="16" customHeight="1" x14ac:dyDescent="0.2"/>
    <row r="2021" ht="16" customHeight="1" x14ac:dyDescent="0.2"/>
    <row r="2022" ht="16" customHeight="1" x14ac:dyDescent="0.2"/>
    <row r="2023" ht="16" customHeight="1" x14ac:dyDescent="0.2"/>
    <row r="2024" ht="16" customHeight="1" x14ac:dyDescent="0.2"/>
    <row r="2025" ht="16" customHeight="1" x14ac:dyDescent="0.2"/>
    <row r="2026" ht="16" customHeight="1" x14ac:dyDescent="0.2"/>
    <row r="2027" ht="16" customHeight="1" x14ac:dyDescent="0.2"/>
    <row r="2028" ht="16" customHeight="1" x14ac:dyDescent="0.2"/>
    <row r="2029" ht="16" customHeight="1" x14ac:dyDescent="0.2"/>
    <row r="2030" ht="16" customHeight="1" x14ac:dyDescent="0.2"/>
    <row r="2031" ht="16" customHeight="1" x14ac:dyDescent="0.2"/>
    <row r="2032" ht="16" customHeight="1" x14ac:dyDescent="0.2"/>
    <row r="2033" ht="16" customHeight="1" x14ac:dyDescent="0.2"/>
    <row r="2034" ht="16" customHeight="1" x14ac:dyDescent="0.2"/>
    <row r="2035" ht="16" customHeight="1" x14ac:dyDescent="0.2"/>
    <row r="2036" ht="16" customHeight="1" x14ac:dyDescent="0.2"/>
    <row r="2037" ht="16" customHeight="1" x14ac:dyDescent="0.2"/>
    <row r="2038" ht="16" customHeight="1" x14ac:dyDescent="0.2"/>
    <row r="2039" ht="16" customHeight="1" x14ac:dyDescent="0.2"/>
    <row r="2040" ht="16" customHeight="1" x14ac:dyDescent="0.2"/>
    <row r="2041" ht="16" customHeight="1" x14ac:dyDescent="0.2"/>
    <row r="2042" ht="16" customHeight="1" x14ac:dyDescent="0.2"/>
    <row r="2043" ht="16" customHeight="1" x14ac:dyDescent="0.2"/>
    <row r="2044" ht="16" customHeight="1" x14ac:dyDescent="0.2"/>
    <row r="2045" ht="16" customHeight="1" x14ac:dyDescent="0.2"/>
    <row r="2046" ht="16" customHeight="1" x14ac:dyDescent="0.2"/>
    <row r="2047" ht="16" customHeight="1" x14ac:dyDescent="0.2"/>
    <row r="2048" ht="16" customHeight="1" x14ac:dyDescent="0.2"/>
    <row r="2049" ht="16" customHeight="1" x14ac:dyDescent="0.2"/>
    <row r="2050" ht="16" customHeight="1" x14ac:dyDescent="0.2"/>
    <row r="2051" ht="16" customHeight="1" x14ac:dyDescent="0.2"/>
    <row r="2052" ht="16" customHeight="1" x14ac:dyDescent="0.2"/>
    <row r="2053" ht="16" customHeight="1" x14ac:dyDescent="0.2"/>
    <row r="2054" ht="16" customHeight="1" x14ac:dyDescent="0.2"/>
    <row r="2055" ht="16" customHeight="1" x14ac:dyDescent="0.2"/>
    <row r="2056" ht="16" customHeight="1" x14ac:dyDescent="0.2"/>
    <row r="2057" ht="16" customHeight="1" x14ac:dyDescent="0.2"/>
    <row r="2058" ht="16" customHeight="1" x14ac:dyDescent="0.2"/>
    <row r="2059" ht="16" customHeight="1" x14ac:dyDescent="0.2"/>
    <row r="2060" ht="16" customHeight="1" x14ac:dyDescent="0.2"/>
    <row r="2061" ht="16" customHeight="1" x14ac:dyDescent="0.2"/>
    <row r="2062" ht="16" customHeight="1" x14ac:dyDescent="0.2"/>
    <row r="2063" ht="16" customHeight="1" x14ac:dyDescent="0.2"/>
    <row r="2064" ht="16" customHeight="1" x14ac:dyDescent="0.2"/>
    <row r="2065" ht="16" customHeight="1" x14ac:dyDescent="0.2"/>
    <row r="2066" ht="16" customHeight="1" x14ac:dyDescent="0.2"/>
    <row r="2067" ht="16" customHeight="1" x14ac:dyDescent="0.2"/>
    <row r="2068" ht="16" customHeight="1" x14ac:dyDescent="0.2"/>
    <row r="2069" ht="16" customHeight="1" x14ac:dyDescent="0.2"/>
    <row r="2070" ht="16" customHeight="1" x14ac:dyDescent="0.2"/>
    <row r="2071" ht="16" customHeight="1" x14ac:dyDescent="0.2"/>
    <row r="2072" ht="16" customHeight="1" x14ac:dyDescent="0.2"/>
    <row r="2073" ht="16" customHeight="1" x14ac:dyDescent="0.2"/>
    <row r="2074" ht="16" customHeight="1" x14ac:dyDescent="0.2"/>
    <row r="2075" ht="16" customHeight="1" x14ac:dyDescent="0.2"/>
    <row r="2076" ht="16" customHeight="1" x14ac:dyDescent="0.2"/>
    <row r="2077" ht="16" customHeight="1" x14ac:dyDescent="0.2"/>
    <row r="2078" ht="16" customHeight="1" x14ac:dyDescent="0.2"/>
    <row r="2079" ht="16" customHeight="1" x14ac:dyDescent="0.2"/>
    <row r="2080" ht="16" customHeight="1" x14ac:dyDescent="0.2"/>
    <row r="2081" ht="16" customHeight="1" x14ac:dyDescent="0.2"/>
    <row r="2082" ht="16" customHeight="1" x14ac:dyDescent="0.2"/>
    <row r="2083" ht="16" customHeight="1" x14ac:dyDescent="0.2"/>
    <row r="2084" ht="16" customHeight="1" x14ac:dyDescent="0.2"/>
    <row r="2085" ht="16" customHeight="1" x14ac:dyDescent="0.2"/>
    <row r="2086" ht="16" customHeight="1" x14ac:dyDescent="0.2"/>
    <row r="2087" ht="16" customHeight="1" x14ac:dyDescent="0.2"/>
    <row r="2088" ht="16" customHeight="1" x14ac:dyDescent="0.2"/>
    <row r="2089" ht="16" customHeight="1" x14ac:dyDescent="0.2"/>
    <row r="2090" ht="16" customHeight="1" x14ac:dyDescent="0.2"/>
    <row r="2091" ht="16" customHeight="1" x14ac:dyDescent="0.2"/>
    <row r="2092" ht="16" customHeight="1" x14ac:dyDescent="0.2"/>
    <row r="2093" ht="16" customHeight="1" x14ac:dyDescent="0.2"/>
    <row r="2094" ht="16" customHeight="1" x14ac:dyDescent="0.2"/>
    <row r="2095" ht="16" customHeight="1" x14ac:dyDescent="0.2"/>
    <row r="2096" ht="16" customHeight="1" x14ac:dyDescent="0.2"/>
    <row r="2097" ht="16" customHeight="1" x14ac:dyDescent="0.2"/>
    <row r="2098" ht="16" customHeight="1" x14ac:dyDescent="0.2"/>
    <row r="2099" ht="16" customHeight="1" x14ac:dyDescent="0.2"/>
    <row r="2100" ht="16" customHeight="1" x14ac:dyDescent="0.2"/>
    <row r="2101" ht="16" customHeight="1" x14ac:dyDescent="0.2"/>
    <row r="2102" ht="16" customHeight="1" x14ac:dyDescent="0.2"/>
    <row r="2103" ht="16" customHeight="1" x14ac:dyDescent="0.2"/>
    <row r="2104" ht="16" customHeight="1" x14ac:dyDescent="0.2"/>
    <row r="2105" ht="16" customHeight="1" x14ac:dyDescent="0.2"/>
    <row r="2106" ht="16" customHeight="1" x14ac:dyDescent="0.2"/>
    <row r="2107" ht="16" customHeight="1" x14ac:dyDescent="0.2"/>
    <row r="2108" ht="16" customHeight="1" x14ac:dyDescent="0.2"/>
    <row r="2109" ht="16" customHeight="1" x14ac:dyDescent="0.2"/>
    <row r="2110" ht="16" customHeight="1" x14ac:dyDescent="0.2"/>
    <row r="2111" ht="16" customHeight="1" x14ac:dyDescent="0.2"/>
    <row r="2112" ht="16" customHeight="1" x14ac:dyDescent="0.2"/>
    <row r="2113" ht="16" customHeight="1" x14ac:dyDescent="0.2"/>
    <row r="2114" ht="16" customHeight="1" x14ac:dyDescent="0.2"/>
    <row r="2115" ht="16" customHeight="1" x14ac:dyDescent="0.2"/>
    <row r="2116" ht="16" customHeight="1" x14ac:dyDescent="0.2"/>
    <row r="2117" ht="16" customHeight="1" x14ac:dyDescent="0.2"/>
    <row r="2118" ht="16" customHeight="1" x14ac:dyDescent="0.2"/>
    <row r="2119" ht="16" customHeight="1" x14ac:dyDescent="0.2"/>
    <row r="2120" ht="16" customHeight="1" x14ac:dyDescent="0.2"/>
    <row r="2121" ht="16" customHeight="1" x14ac:dyDescent="0.2"/>
    <row r="2122" ht="16" customHeight="1" x14ac:dyDescent="0.2"/>
    <row r="2123" ht="16" customHeight="1" x14ac:dyDescent="0.2"/>
    <row r="2124" ht="16" customHeight="1" x14ac:dyDescent="0.2"/>
    <row r="2125" ht="16" customHeight="1" x14ac:dyDescent="0.2"/>
    <row r="2126" ht="16" customHeight="1" x14ac:dyDescent="0.2"/>
    <row r="2127" ht="16" customHeight="1" x14ac:dyDescent="0.2"/>
    <row r="2128" ht="16" customHeight="1" x14ac:dyDescent="0.2"/>
    <row r="2129" ht="16" customHeight="1" x14ac:dyDescent="0.2"/>
    <row r="2130" ht="16" customHeight="1" x14ac:dyDescent="0.2"/>
    <row r="2131" ht="16" customHeight="1" x14ac:dyDescent="0.2"/>
    <row r="2132" ht="16" customHeight="1" x14ac:dyDescent="0.2"/>
    <row r="2133" ht="16" customHeight="1" x14ac:dyDescent="0.2"/>
    <row r="2134" ht="16" customHeight="1" x14ac:dyDescent="0.2"/>
    <row r="2135" ht="16" customHeight="1" x14ac:dyDescent="0.2"/>
    <row r="2136" ht="16" customHeight="1" x14ac:dyDescent="0.2"/>
    <row r="2137" ht="16" customHeight="1" x14ac:dyDescent="0.2"/>
    <row r="2138" ht="16" customHeight="1" x14ac:dyDescent="0.2"/>
    <row r="2139" ht="16" customHeight="1" x14ac:dyDescent="0.2"/>
    <row r="2140" ht="16" customHeight="1" x14ac:dyDescent="0.2"/>
    <row r="2141" ht="16" customHeight="1" x14ac:dyDescent="0.2"/>
    <row r="2142" ht="16" customHeight="1" x14ac:dyDescent="0.2"/>
    <row r="2143" ht="16" customHeight="1" x14ac:dyDescent="0.2"/>
    <row r="2144" ht="16" customHeight="1" x14ac:dyDescent="0.2"/>
    <row r="2145" ht="16" customHeight="1" x14ac:dyDescent="0.2"/>
    <row r="2146" ht="16" customHeight="1" x14ac:dyDescent="0.2"/>
    <row r="2147" ht="16" customHeight="1" x14ac:dyDescent="0.2"/>
    <row r="2148" ht="16" customHeight="1" x14ac:dyDescent="0.2"/>
    <row r="2149" ht="16" customHeight="1" x14ac:dyDescent="0.2"/>
    <row r="2150" ht="16" customHeight="1" x14ac:dyDescent="0.2"/>
    <row r="2151" ht="16" customHeight="1" x14ac:dyDescent="0.2"/>
    <row r="2152" ht="16" customHeight="1" x14ac:dyDescent="0.2"/>
    <row r="2153" ht="16" customHeight="1" x14ac:dyDescent="0.2"/>
    <row r="2154" ht="16" customHeight="1" x14ac:dyDescent="0.2"/>
    <row r="2155" ht="16" customHeight="1" x14ac:dyDescent="0.2"/>
    <row r="2156" ht="16" customHeight="1" x14ac:dyDescent="0.2"/>
    <row r="2157" ht="16" customHeight="1" x14ac:dyDescent="0.2"/>
    <row r="2158" ht="16" customHeight="1" x14ac:dyDescent="0.2"/>
    <row r="2159" ht="16" customHeight="1" x14ac:dyDescent="0.2"/>
    <row r="2160" ht="16" customHeight="1" x14ac:dyDescent="0.2"/>
    <row r="2161" ht="16" customHeight="1" x14ac:dyDescent="0.2"/>
    <row r="2162" ht="16" customHeight="1" x14ac:dyDescent="0.2"/>
    <row r="2163" ht="16" customHeight="1" x14ac:dyDescent="0.2"/>
    <row r="2164" ht="16" customHeight="1" x14ac:dyDescent="0.2"/>
    <row r="2165" ht="16" customHeight="1" x14ac:dyDescent="0.2"/>
    <row r="2166" ht="16" customHeight="1" x14ac:dyDescent="0.2"/>
    <row r="2167" ht="16" customHeight="1" x14ac:dyDescent="0.2"/>
    <row r="2168" ht="16" customHeight="1" x14ac:dyDescent="0.2"/>
    <row r="2169" ht="16" customHeight="1" x14ac:dyDescent="0.2"/>
    <row r="2170" ht="16" customHeight="1" x14ac:dyDescent="0.2"/>
    <row r="2171" ht="16" customHeight="1" x14ac:dyDescent="0.2"/>
    <row r="2172" ht="16" customHeight="1" x14ac:dyDescent="0.2"/>
    <row r="2173" ht="16" customHeight="1" x14ac:dyDescent="0.2"/>
    <row r="2174" ht="16" customHeight="1" x14ac:dyDescent="0.2"/>
    <row r="2175" ht="16" customHeight="1" x14ac:dyDescent="0.2"/>
    <row r="2176" ht="16" customHeight="1" x14ac:dyDescent="0.2"/>
    <row r="2177" ht="16" customHeight="1" x14ac:dyDescent="0.2"/>
    <row r="2178" ht="16" customHeight="1" x14ac:dyDescent="0.2"/>
    <row r="2179" ht="16" customHeight="1" x14ac:dyDescent="0.2"/>
    <row r="2180" ht="16" customHeight="1" x14ac:dyDescent="0.2"/>
    <row r="2181" ht="16" customHeight="1" x14ac:dyDescent="0.2"/>
    <row r="2182" ht="16" customHeight="1" x14ac:dyDescent="0.2"/>
    <row r="2183" ht="16" customHeight="1" x14ac:dyDescent="0.2"/>
    <row r="2184" ht="16" customHeight="1" x14ac:dyDescent="0.2"/>
    <row r="2185" ht="16" customHeight="1" x14ac:dyDescent="0.2"/>
    <row r="2186" ht="16" customHeight="1" x14ac:dyDescent="0.2"/>
    <row r="2187" ht="16" customHeight="1" x14ac:dyDescent="0.2"/>
    <row r="2188" ht="16" customHeight="1" x14ac:dyDescent="0.2"/>
    <row r="2189" ht="16" customHeight="1" x14ac:dyDescent="0.2"/>
    <row r="2190" ht="16" customHeight="1" x14ac:dyDescent="0.2"/>
    <row r="2191" ht="16" customHeight="1" x14ac:dyDescent="0.2"/>
    <row r="2192" ht="16" customHeight="1" x14ac:dyDescent="0.2"/>
    <row r="2193" ht="16" customHeight="1" x14ac:dyDescent="0.2"/>
    <row r="2194" ht="16" customHeight="1" x14ac:dyDescent="0.2"/>
    <row r="2195" ht="16" customHeight="1" x14ac:dyDescent="0.2"/>
    <row r="2196" ht="16" customHeight="1" x14ac:dyDescent="0.2"/>
    <row r="2197" ht="16" customHeight="1" x14ac:dyDescent="0.2"/>
    <row r="2198" ht="16" customHeight="1" x14ac:dyDescent="0.2"/>
    <row r="2199" ht="16" customHeight="1" x14ac:dyDescent="0.2"/>
    <row r="2200" ht="16" customHeight="1" x14ac:dyDescent="0.2"/>
    <row r="2201" ht="16" customHeight="1" x14ac:dyDescent="0.2"/>
    <row r="2202" ht="16" customHeight="1" x14ac:dyDescent="0.2"/>
    <row r="2203" ht="16" customHeight="1" x14ac:dyDescent="0.2"/>
    <row r="2204" ht="16" customHeight="1" x14ac:dyDescent="0.2"/>
    <row r="2205" ht="16" customHeight="1" x14ac:dyDescent="0.2"/>
    <row r="2206" ht="16" customHeight="1" x14ac:dyDescent="0.2"/>
    <row r="2207" ht="16" customHeight="1" x14ac:dyDescent="0.2"/>
    <row r="2208" ht="16" customHeight="1" x14ac:dyDescent="0.2"/>
    <row r="2209" ht="16" customHeight="1" x14ac:dyDescent="0.2"/>
    <row r="2210" ht="16" customHeight="1" x14ac:dyDescent="0.2"/>
    <row r="2211" ht="16" customHeight="1" x14ac:dyDescent="0.2"/>
    <row r="2212" ht="16" customHeight="1" x14ac:dyDescent="0.2"/>
    <row r="2213" ht="16" customHeight="1" x14ac:dyDescent="0.2"/>
    <row r="2214" ht="16" customHeight="1" x14ac:dyDescent="0.2"/>
    <row r="2215" ht="16" customHeight="1" x14ac:dyDescent="0.2"/>
    <row r="2216" ht="16" customHeight="1" x14ac:dyDescent="0.2"/>
    <row r="2217" ht="16" customHeight="1" x14ac:dyDescent="0.2"/>
    <row r="2218" ht="16" customHeight="1" x14ac:dyDescent="0.2"/>
    <row r="2219" ht="16" customHeight="1" x14ac:dyDescent="0.2"/>
    <row r="2220" ht="16" customHeight="1" x14ac:dyDescent="0.2"/>
    <row r="2221" ht="16" customHeight="1" x14ac:dyDescent="0.2"/>
    <row r="2222" ht="16" customHeight="1" x14ac:dyDescent="0.2"/>
    <row r="2223" ht="16" customHeight="1" x14ac:dyDescent="0.2"/>
    <row r="2224" ht="16" customHeight="1" x14ac:dyDescent="0.2"/>
    <row r="2225" ht="16" customHeight="1" x14ac:dyDescent="0.2"/>
    <row r="2226" ht="16" customHeight="1" x14ac:dyDescent="0.2"/>
    <row r="2227" ht="16" customHeight="1" x14ac:dyDescent="0.2"/>
    <row r="2228" ht="16" customHeight="1" x14ac:dyDescent="0.2"/>
    <row r="2229" ht="16" customHeight="1" x14ac:dyDescent="0.2"/>
    <row r="2230" ht="16" customHeight="1" x14ac:dyDescent="0.2"/>
    <row r="2231" ht="16" customHeight="1" x14ac:dyDescent="0.2"/>
    <row r="2232" ht="16" customHeight="1" x14ac:dyDescent="0.2"/>
    <row r="2233" ht="16" customHeight="1" x14ac:dyDescent="0.2"/>
    <row r="2234" ht="16" customHeight="1" x14ac:dyDescent="0.2"/>
    <row r="2235" ht="16" customHeight="1" x14ac:dyDescent="0.2"/>
    <row r="2236" ht="16" customHeight="1" x14ac:dyDescent="0.2"/>
    <row r="2237" ht="16" customHeight="1" x14ac:dyDescent="0.2"/>
    <row r="2238" ht="16" customHeight="1" x14ac:dyDescent="0.2"/>
    <row r="2239" ht="16" customHeight="1" x14ac:dyDescent="0.2"/>
    <row r="2240" ht="16" customHeight="1" x14ac:dyDescent="0.2"/>
    <row r="2241" ht="16" customHeight="1" x14ac:dyDescent="0.2"/>
    <row r="2242" ht="16" customHeight="1" x14ac:dyDescent="0.2"/>
    <row r="2243" ht="16" customHeight="1" x14ac:dyDescent="0.2"/>
    <row r="2244" ht="16" customHeight="1" x14ac:dyDescent="0.2"/>
    <row r="2245" ht="16" customHeight="1" x14ac:dyDescent="0.2"/>
    <row r="2246" ht="16" customHeight="1" x14ac:dyDescent="0.2"/>
    <row r="2247" ht="16" customHeight="1" x14ac:dyDescent="0.2"/>
    <row r="2248" ht="16" customHeight="1" x14ac:dyDescent="0.2"/>
    <row r="2249" ht="16" customHeight="1" x14ac:dyDescent="0.2"/>
    <row r="2250" ht="16" customHeight="1" x14ac:dyDescent="0.2"/>
    <row r="2251" ht="16" customHeight="1" x14ac:dyDescent="0.2"/>
    <row r="2252" ht="16" customHeight="1" x14ac:dyDescent="0.2"/>
    <row r="2253" ht="16" customHeight="1" x14ac:dyDescent="0.2"/>
    <row r="2254" ht="16" customHeight="1" x14ac:dyDescent="0.2"/>
    <row r="2255" ht="16" customHeight="1" x14ac:dyDescent="0.2"/>
    <row r="2256" ht="16" customHeight="1" x14ac:dyDescent="0.2"/>
    <row r="2257" ht="16" customHeight="1" x14ac:dyDescent="0.2"/>
    <row r="2258" ht="16" customHeight="1" x14ac:dyDescent="0.2"/>
    <row r="2259" ht="16" customHeight="1" x14ac:dyDescent="0.2"/>
    <row r="2260" ht="16" customHeight="1" x14ac:dyDescent="0.2"/>
    <row r="2261" ht="16" customHeight="1" x14ac:dyDescent="0.2"/>
    <row r="2262" ht="16" customHeight="1" x14ac:dyDescent="0.2"/>
    <row r="2263" ht="16" customHeight="1" x14ac:dyDescent="0.2"/>
    <row r="2264" ht="16" customHeight="1" x14ac:dyDescent="0.2"/>
    <row r="2265" ht="16" customHeight="1" x14ac:dyDescent="0.2"/>
    <row r="2266" ht="16" customHeight="1" x14ac:dyDescent="0.2"/>
    <row r="2267" ht="16" customHeight="1" x14ac:dyDescent="0.2"/>
    <row r="2268" ht="16" customHeight="1" x14ac:dyDescent="0.2"/>
    <row r="2269" ht="16" customHeight="1" x14ac:dyDescent="0.2"/>
    <row r="2270" ht="16" customHeight="1" x14ac:dyDescent="0.2"/>
    <row r="2271" ht="16" customHeight="1" x14ac:dyDescent="0.2"/>
    <row r="2272" ht="16" customHeight="1" x14ac:dyDescent="0.2"/>
    <row r="2273" ht="16" customHeight="1" x14ac:dyDescent="0.2"/>
    <row r="2274" ht="16" customHeight="1" x14ac:dyDescent="0.2"/>
    <row r="2275" ht="16" customHeight="1" x14ac:dyDescent="0.2"/>
    <row r="2276" ht="16" customHeight="1" x14ac:dyDescent="0.2"/>
    <row r="2277" ht="16" customHeight="1" x14ac:dyDescent="0.2"/>
    <row r="2278" ht="16" customHeight="1" x14ac:dyDescent="0.2"/>
    <row r="2279" ht="16" customHeight="1" x14ac:dyDescent="0.2"/>
    <row r="2280" ht="16" customHeight="1" x14ac:dyDescent="0.2"/>
    <row r="2281" ht="16" customHeight="1" x14ac:dyDescent="0.2"/>
    <row r="2282" ht="16" customHeight="1" x14ac:dyDescent="0.2"/>
    <row r="2283" ht="16" customHeight="1" x14ac:dyDescent="0.2"/>
    <row r="2284" ht="16" customHeight="1" x14ac:dyDescent="0.2"/>
    <row r="2285" ht="16" customHeight="1" x14ac:dyDescent="0.2"/>
    <row r="2286" ht="16" customHeight="1" x14ac:dyDescent="0.2"/>
    <row r="2287" ht="16" customHeight="1" x14ac:dyDescent="0.2"/>
    <row r="2288" ht="16" customHeight="1" x14ac:dyDescent="0.2"/>
    <row r="2289" ht="16" customHeight="1" x14ac:dyDescent="0.2"/>
    <row r="2290" ht="16" customHeight="1" x14ac:dyDescent="0.2"/>
    <row r="2291" ht="16" customHeight="1" x14ac:dyDescent="0.2"/>
    <row r="2292" ht="16" customHeight="1" x14ac:dyDescent="0.2"/>
    <row r="2293" ht="16" customHeight="1" x14ac:dyDescent="0.2"/>
    <row r="2294" ht="16" customHeight="1" x14ac:dyDescent="0.2"/>
    <row r="2295" ht="16" customHeight="1" x14ac:dyDescent="0.2"/>
    <row r="2296" ht="16" customHeight="1" x14ac:dyDescent="0.2"/>
    <row r="2297" ht="16" customHeight="1" x14ac:dyDescent="0.2"/>
    <row r="2298" ht="16" customHeight="1" x14ac:dyDescent="0.2"/>
    <row r="2299" ht="16" customHeight="1" x14ac:dyDescent="0.2"/>
    <row r="2300" ht="16" customHeight="1" x14ac:dyDescent="0.2"/>
    <row r="2301" ht="16" customHeight="1" x14ac:dyDescent="0.2"/>
    <row r="2302" ht="16" customHeight="1" x14ac:dyDescent="0.2"/>
    <row r="2303" ht="16" customHeight="1" x14ac:dyDescent="0.2"/>
    <row r="2304" ht="16" customHeight="1" x14ac:dyDescent="0.2"/>
    <row r="2305" ht="16" customHeight="1" x14ac:dyDescent="0.2"/>
    <row r="2306" ht="16" customHeight="1" x14ac:dyDescent="0.2"/>
    <row r="2307" ht="16" customHeight="1" x14ac:dyDescent="0.2"/>
    <row r="2308" ht="16" customHeight="1" x14ac:dyDescent="0.2"/>
    <row r="2309" ht="16" customHeight="1" x14ac:dyDescent="0.2"/>
    <row r="2310" ht="16" customHeight="1" x14ac:dyDescent="0.2"/>
    <row r="2311" ht="16" customHeight="1" x14ac:dyDescent="0.2"/>
    <row r="2312" ht="16" customHeight="1" x14ac:dyDescent="0.2"/>
    <row r="2313" ht="16" customHeight="1" x14ac:dyDescent="0.2"/>
    <row r="2314" ht="16" customHeight="1" x14ac:dyDescent="0.2"/>
    <row r="2315" ht="16" customHeight="1" x14ac:dyDescent="0.2"/>
    <row r="2316" ht="16" customHeight="1" x14ac:dyDescent="0.2"/>
    <row r="2317" ht="16" customHeight="1" x14ac:dyDescent="0.2"/>
    <row r="2318" ht="16" customHeight="1" x14ac:dyDescent="0.2"/>
    <row r="2319" ht="16" customHeight="1" x14ac:dyDescent="0.2"/>
    <row r="2320" ht="16" customHeight="1" x14ac:dyDescent="0.2"/>
    <row r="2321" ht="16" customHeight="1" x14ac:dyDescent="0.2"/>
    <row r="2322" ht="16" customHeight="1" x14ac:dyDescent="0.2"/>
    <row r="2323" ht="16" customHeight="1" x14ac:dyDescent="0.2"/>
    <row r="2324" ht="16" customHeight="1" x14ac:dyDescent="0.2"/>
    <row r="2325" ht="16" customHeight="1" x14ac:dyDescent="0.2"/>
    <row r="2326" ht="16" customHeight="1" x14ac:dyDescent="0.2"/>
    <row r="2327" ht="16" customHeight="1" x14ac:dyDescent="0.2"/>
    <row r="2328" ht="16" customHeight="1" x14ac:dyDescent="0.2"/>
    <row r="2329" ht="16" customHeight="1" x14ac:dyDescent="0.2"/>
    <row r="2330" ht="16" customHeight="1" x14ac:dyDescent="0.2"/>
    <row r="2331" ht="16" customHeight="1" x14ac:dyDescent="0.2"/>
    <row r="2332" ht="16" customHeight="1" x14ac:dyDescent="0.2"/>
    <row r="2333" ht="16" customHeight="1" x14ac:dyDescent="0.2"/>
    <row r="2334" ht="16" customHeight="1" x14ac:dyDescent="0.2"/>
    <row r="2335" ht="16" customHeight="1" x14ac:dyDescent="0.2"/>
    <row r="2336" ht="16" customHeight="1" x14ac:dyDescent="0.2"/>
    <row r="2337" ht="16" customHeight="1" x14ac:dyDescent="0.2"/>
    <row r="2338" ht="16" customHeight="1" x14ac:dyDescent="0.2"/>
    <row r="2339" ht="16" customHeight="1" x14ac:dyDescent="0.2"/>
    <row r="2340" ht="16" customHeight="1" x14ac:dyDescent="0.2"/>
    <row r="2341" ht="16" customHeight="1" x14ac:dyDescent="0.2"/>
    <row r="2342" ht="16" customHeight="1" x14ac:dyDescent="0.2"/>
    <row r="2343" ht="16" customHeight="1" x14ac:dyDescent="0.2"/>
    <row r="2344" ht="16" customHeight="1" x14ac:dyDescent="0.2"/>
    <row r="2345" ht="16" customHeight="1" x14ac:dyDescent="0.2"/>
    <row r="2346" ht="16" customHeight="1" x14ac:dyDescent="0.2"/>
    <row r="2347" ht="16" customHeight="1" x14ac:dyDescent="0.2"/>
    <row r="2348" ht="16" customHeight="1" x14ac:dyDescent="0.2"/>
    <row r="2349" ht="16" customHeight="1" x14ac:dyDescent="0.2"/>
    <row r="2350" ht="16" customHeight="1" x14ac:dyDescent="0.2"/>
    <row r="2351" ht="16" customHeight="1" x14ac:dyDescent="0.2"/>
    <row r="2352" ht="16" customHeight="1" x14ac:dyDescent="0.2"/>
    <row r="2353" ht="16" customHeight="1" x14ac:dyDescent="0.2"/>
    <row r="2354" ht="16" customHeight="1" x14ac:dyDescent="0.2"/>
    <row r="2355" ht="16" customHeight="1" x14ac:dyDescent="0.2"/>
    <row r="2356" ht="16" customHeight="1" x14ac:dyDescent="0.2"/>
    <row r="2357" ht="16" customHeight="1" x14ac:dyDescent="0.2"/>
    <row r="2358" ht="16" customHeight="1" x14ac:dyDescent="0.2"/>
    <row r="2359" ht="16" customHeight="1" x14ac:dyDescent="0.2"/>
    <row r="2360" ht="16" customHeight="1" x14ac:dyDescent="0.2"/>
    <row r="2361" ht="16" customHeight="1" x14ac:dyDescent="0.2"/>
    <row r="2362" ht="16" customHeight="1" x14ac:dyDescent="0.2"/>
    <row r="2363" ht="16" customHeight="1" x14ac:dyDescent="0.2"/>
    <row r="2364" ht="16" customHeight="1" x14ac:dyDescent="0.2"/>
    <row r="2365" ht="16" customHeight="1" x14ac:dyDescent="0.2"/>
    <row r="2366" ht="16" customHeight="1" x14ac:dyDescent="0.2"/>
    <row r="2367" ht="16" customHeight="1" x14ac:dyDescent="0.2"/>
    <row r="2368" ht="16" customHeight="1" x14ac:dyDescent="0.2"/>
    <row r="2369" ht="16" customHeight="1" x14ac:dyDescent="0.2"/>
    <row r="2370" ht="16" customHeight="1" x14ac:dyDescent="0.2"/>
    <row r="2371" ht="16" customHeight="1" x14ac:dyDescent="0.2"/>
    <row r="2372" ht="16" customHeight="1" x14ac:dyDescent="0.2"/>
    <row r="2373" ht="16" customHeight="1" x14ac:dyDescent="0.2"/>
    <row r="2374" ht="16" customHeight="1" x14ac:dyDescent="0.2"/>
    <row r="2375" ht="16" customHeight="1" x14ac:dyDescent="0.2"/>
    <row r="2376" ht="16" customHeight="1" x14ac:dyDescent="0.2"/>
    <row r="2377" ht="16" customHeight="1" x14ac:dyDescent="0.2"/>
    <row r="2378" ht="16" customHeight="1" x14ac:dyDescent="0.2"/>
    <row r="2379" ht="16" customHeight="1" x14ac:dyDescent="0.2"/>
    <row r="2380" ht="16" customHeight="1" x14ac:dyDescent="0.2"/>
    <row r="2381" ht="16" customHeight="1" x14ac:dyDescent="0.2"/>
    <row r="2382" ht="16" customHeight="1" x14ac:dyDescent="0.2"/>
    <row r="2383" ht="16" customHeight="1" x14ac:dyDescent="0.2"/>
    <row r="2384" ht="16" customHeight="1" x14ac:dyDescent="0.2"/>
    <row r="2385" ht="16" customHeight="1" x14ac:dyDescent="0.2"/>
    <row r="2386" ht="16" customHeight="1" x14ac:dyDescent="0.2"/>
    <row r="2387" ht="16" customHeight="1" x14ac:dyDescent="0.2"/>
    <row r="2388" ht="16" customHeight="1" x14ac:dyDescent="0.2"/>
    <row r="2389" ht="16" customHeight="1" x14ac:dyDescent="0.2"/>
    <row r="2390" ht="16" customHeight="1" x14ac:dyDescent="0.2"/>
    <row r="2391" ht="16" customHeight="1" x14ac:dyDescent="0.2"/>
    <row r="2392" ht="16" customHeight="1" x14ac:dyDescent="0.2"/>
    <row r="2393" ht="16" customHeight="1" x14ac:dyDescent="0.2"/>
    <row r="2394" ht="16" customHeight="1" x14ac:dyDescent="0.2"/>
    <row r="2395" ht="16" customHeight="1" x14ac:dyDescent="0.2"/>
    <row r="2396" ht="16" customHeight="1" x14ac:dyDescent="0.2"/>
    <row r="2397" ht="16" customHeight="1" x14ac:dyDescent="0.2"/>
    <row r="2398" ht="16" customHeight="1" x14ac:dyDescent="0.2"/>
    <row r="2399" ht="16" customHeight="1" x14ac:dyDescent="0.2"/>
    <row r="2400" ht="16" customHeight="1" x14ac:dyDescent="0.2"/>
    <row r="2401" ht="16" customHeight="1" x14ac:dyDescent="0.2"/>
    <row r="2402" ht="16" customHeight="1" x14ac:dyDescent="0.2"/>
    <row r="2403" ht="16" customHeight="1" x14ac:dyDescent="0.2"/>
    <row r="2404" ht="16" customHeight="1" x14ac:dyDescent="0.2"/>
    <row r="2405" ht="16" customHeight="1" x14ac:dyDescent="0.2"/>
    <row r="2406" ht="16" customHeight="1" x14ac:dyDescent="0.2"/>
    <row r="2407" ht="16" customHeight="1" x14ac:dyDescent="0.2"/>
    <row r="2408" ht="16" customHeight="1" x14ac:dyDescent="0.2"/>
    <row r="2409" ht="16" customHeight="1" x14ac:dyDescent="0.2"/>
    <row r="2410" ht="16" customHeight="1" x14ac:dyDescent="0.2"/>
    <row r="2411" ht="16" customHeight="1" x14ac:dyDescent="0.2"/>
    <row r="2412" ht="16" customHeight="1" x14ac:dyDescent="0.2"/>
    <row r="2413" ht="16" customHeight="1" x14ac:dyDescent="0.2"/>
    <row r="2414" ht="16" customHeight="1" x14ac:dyDescent="0.2"/>
    <row r="2415" ht="16" customHeight="1" x14ac:dyDescent="0.2"/>
    <row r="2416" ht="16" customHeight="1" x14ac:dyDescent="0.2"/>
    <row r="2417" ht="16" customHeight="1" x14ac:dyDescent="0.2"/>
    <row r="2418" ht="16" customHeight="1" x14ac:dyDescent="0.2"/>
    <row r="2419" ht="16" customHeight="1" x14ac:dyDescent="0.2"/>
    <row r="2420" ht="16" customHeight="1" x14ac:dyDescent="0.2"/>
    <row r="2421" ht="16" customHeight="1" x14ac:dyDescent="0.2"/>
    <row r="2422" ht="16" customHeight="1" x14ac:dyDescent="0.2"/>
    <row r="2423" ht="16" customHeight="1" x14ac:dyDescent="0.2"/>
    <row r="2424" ht="16" customHeight="1" x14ac:dyDescent="0.2"/>
    <row r="2425" ht="16" customHeight="1" x14ac:dyDescent="0.2"/>
    <row r="2426" ht="16" customHeight="1" x14ac:dyDescent="0.2"/>
    <row r="2427" ht="16" customHeight="1" x14ac:dyDescent="0.2"/>
    <row r="2428" ht="16" customHeight="1" x14ac:dyDescent="0.2"/>
    <row r="2429" ht="16" customHeight="1" x14ac:dyDescent="0.2"/>
    <row r="2430" ht="16" customHeight="1" x14ac:dyDescent="0.2"/>
    <row r="2431" ht="16" customHeight="1" x14ac:dyDescent="0.2"/>
    <row r="2432" ht="16" customHeight="1" x14ac:dyDescent="0.2"/>
    <row r="2433" ht="16" customHeight="1" x14ac:dyDescent="0.2"/>
    <row r="2434" ht="16" customHeight="1" x14ac:dyDescent="0.2"/>
    <row r="2435" ht="16" customHeight="1" x14ac:dyDescent="0.2"/>
    <row r="2436" ht="16" customHeight="1" x14ac:dyDescent="0.2"/>
    <row r="2437" ht="16" customHeight="1" x14ac:dyDescent="0.2"/>
    <row r="2438" ht="16" customHeight="1" x14ac:dyDescent="0.2"/>
    <row r="2439" ht="16" customHeight="1" x14ac:dyDescent="0.2"/>
    <row r="2440" ht="16" customHeight="1" x14ac:dyDescent="0.2"/>
    <row r="2441" ht="16" customHeight="1" x14ac:dyDescent="0.2"/>
    <row r="2442" ht="16" customHeight="1" x14ac:dyDescent="0.2"/>
    <row r="2443" ht="16" customHeight="1" x14ac:dyDescent="0.2"/>
    <row r="2444" ht="16" customHeight="1" x14ac:dyDescent="0.2"/>
    <row r="2445" ht="16" customHeight="1" x14ac:dyDescent="0.2"/>
    <row r="2446" ht="16" customHeight="1" x14ac:dyDescent="0.2"/>
    <row r="2447" ht="16" customHeight="1" x14ac:dyDescent="0.2"/>
    <row r="2448" ht="16" customHeight="1" x14ac:dyDescent="0.2"/>
    <row r="2449" ht="16" customHeight="1" x14ac:dyDescent="0.2"/>
    <row r="2450" ht="16" customHeight="1" x14ac:dyDescent="0.2"/>
    <row r="2451" ht="16" customHeight="1" x14ac:dyDescent="0.2"/>
    <row r="2452" ht="16" customHeight="1" x14ac:dyDescent="0.2"/>
    <row r="2453" ht="16" customHeight="1" x14ac:dyDescent="0.2"/>
    <row r="2454" ht="16" customHeight="1" x14ac:dyDescent="0.2"/>
    <row r="2455" ht="16" customHeight="1" x14ac:dyDescent="0.2"/>
    <row r="2456" ht="16" customHeight="1" x14ac:dyDescent="0.2"/>
    <row r="2457" ht="16" customHeight="1" x14ac:dyDescent="0.2"/>
    <row r="2458" ht="16" customHeight="1" x14ac:dyDescent="0.2"/>
    <row r="2459" ht="16" customHeight="1" x14ac:dyDescent="0.2"/>
    <row r="2460" ht="16" customHeight="1" x14ac:dyDescent="0.2"/>
    <row r="2461" ht="16" customHeight="1" x14ac:dyDescent="0.2"/>
    <row r="2462" ht="16" customHeight="1" x14ac:dyDescent="0.2"/>
    <row r="2463" ht="16" customHeight="1" x14ac:dyDescent="0.2"/>
    <row r="2464" ht="16" customHeight="1" x14ac:dyDescent="0.2"/>
    <row r="2465" ht="16" customHeight="1" x14ac:dyDescent="0.2"/>
    <row r="2466" ht="16" customHeight="1" x14ac:dyDescent="0.2"/>
    <row r="2467" ht="16" customHeight="1" x14ac:dyDescent="0.2"/>
    <row r="2468" ht="16" customHeight="1" x14ac:dyDescent="0.2"/>
    <row r="2469" ht="16" customHeight="1" x14ac:dyDescent="0.2"/>
    <row r="2470" ht="16" customHeight="1" x14ac:dyDescent="0.2"/>
    <row r="2471" ht="16" customHeight="1" x14ac:dyDescent="0.2"/>
    <row r="2472" ht="16" customHeight="1" x14ac:dyDescent="0.2"/>
    <row r="2473" ht="16" customHeight="1" x14ac:dyDescent="0.2"/>
    <row r="2474" ht="16" customHeight="1" x14ac:dyDescent="0.2"/>
    <row r="2475" ht="16" customHeight="1" x14ac:dyDescent="0.2"/>
    <row r="2476" ht="16" customHeight="1" x14ac:dyDescent="0.2"/>
    <row r="2477" ht="16" customHeight="1" x14ac:dyDescent="0.2"/>
    <row r="2478" ht="16" customHeight="1" x14ac:dyDescent="0.2"/>
    <row r="2479" ht="16" customHeight="1" x14ac:dyDescent="0.2"/>
    <row r="2480" ht="16" customHeight="1" x14ac:dyDescent="0.2"/>
    <row r="2481" ht="16" customHeight="1" x14ac:dyDescent="0.2"/>
    <row r="2482" ht="16" customHeight="1" x14ac:dyDescent="0.2"/>
    <row r="2483" ht="16" customHeight="1" x14ac:dyDescent="0.2"/>
    <row r="2484" ht="16" customHeight="1" x14ac:dyDescent="0.2"/>
    <row r="2485" ht="16" customHeight="1" x14ac:dyDescent="0.2"/>
    <row r="2486" ht="16" customHeight="1" x14ac:dyDescent="0.2"/>
    <row r="2487" ht="16" customHeight="1" x14ac:dyDescent="0.2"/>
    <row r="2488" ht="16" customHeight="1" x14ac:dyDescent="0.2"/>
    <row r="2489" ht="16" customHeight="1" x14ac:dyDescent="0.2"/>
    <row r="2490" ht="16" customHeight="1" x14ac:dyDescent="0.2"/>
    <row r="2491" ht="16" customHeight="1" x14ac:dyDescent="0.2"/>
    <row r="2492" ht="16" customHeight="1" x14ac:dyDescent="0.2"/>
    <row r="2493" ht="16" customHeight="1" x14ac:dyDescent="0.2"/>
    <row r="2494" ht="16" customHeight="1" x14ac:dyDescent="0.2"/>
    <row r="2495" ht="16" customHeight="1" x14ac:dyDescent="0.2"/>
    <row r="2496" ht="16" customHeight="1" x14ac:dyDescent="0.2"/>
    <row r="2497" ht="16" customHeight="1" x14ac:dyDescent="0.2"/>
    <row r="2498" ht="16" customHeight="1" x14ac:dyDescent="0.2"/>
    <row r="2499" ht="16" customHeight="1" x14ac:dyDescent="0.2"/>
    <row r="2500" ht="16" customHeight="1" x14ac:dyDescent="0.2"/>
    <row r="2501" ht="16" customHeight="1" x14ac:dyDescent="0.2"/>
    <row r="2502" ht="16" customHeight="1" x14ac:dyDescent="0.2"/>
    <row r="2503" ht="16" customHeight="1" x14ac:dyDescent="0.2"/>
    <row r="2504" ht="16" customHeight="1" x14ac:dyDescent="0.2"/>
    <row r="2505" ht="16" customHeight="1" x14ac:dyDescent="0.2"/>
    <row r="2506" ht="16" customHeight="1" x14ac:dyDescent="0.2"/>
    <row r="2507" ht="16" customHeight="1" x14ac:dyDescent="0.2"/>
    <row r="2508" ht="16" customHeight="1" x14ac:dyDescent="0.2"/>
    <row r="2509" ht="16" customHeight="1" x14ac:dyDescent="0.2"/>
    <row r="2510" ht="16" customHeight="1" x14ac:dyDescent="0.2"/>
    <row r="2511" ht="16" customHeight="1" x14ac:dyDescent="0.2"/>
    <row r="2512" ht="16" customHeight="1" x14ac:dyDescent="0.2"/>
    <row r="2513" ht="16" customHeight="1" x14ac:dyDescent="0.2"/>
    <row r="2514" ht="16" customHeight="1" x14ac:dyDescent="0.2"/>
    <row r="2515" ht="16" customHeight="1" x14ac:dyDescent="0.2"/>
    <row r="2516" ht="16" customHeight="1" x14ac:dyDescent="0.2"/>
    <row r="2517" ht="16" customHeight="1" x14ac:dyDescent="0.2"/>
    <row r="2518" ht="16" customHeight="1" x14ac:dyDescent="0.2"/>
    <row r="2519" ht="16" customHeight="1" x14ac:dyDescent="0.2"/>
    <row r="2520" ht="16" customHeight="1" x14ac:dyDescent="0.2"/>
    <row r="2521" ht="16" customHeight="1" x14ac:dyDescent="0.2"/>
    <row r="2522" ht="16" customHeight="1" x14ac:dyDescent="0.2"/>
    <row r="2523" ht="16" customHeight="1" x14ac:dyDescent="0.2"/>
    <row r="2524" ht="16" customHeight="1" x14ac:dyDescent="0.2"/>
    <row r="2525" ht="16" customHeight="1" x14ac:dyDescent="0.2"/>
    <row r="2526" ht="16" customHeight="1" x14ac:dyDescent="0.2"/>
    <row r="2527" ht="16" customHeight="1" x14ac:dyDescent="0.2"/>
    <row r="2528" ht="16" customHeight="1" x14ac:dyDescent="0.2"/>
    <row r="2529" ht="16" customHeight="1" x14ac:dyDescent="0.2"/>
    <row r="2530" ht="16" customHeight="1" x14ac:dyDescent="0.2"/>
    <row r="2531" ht="16" customHeight="1" x14ac:dyDescent="0.2"/>
    <row r="2532" ht="16" customHeight="1" x14ac:dyDescent="0.2"/>
    <row r="2533" ht="16" customHeight="1" x14ac:dyDescent="0.2"/>
    <row r="2534" ht="16" customHeight="1" x14ac:dyDescent="0.2"/>
    <row r="2535" ht="16" customHeight="1" x14ac:dyDescent="0.2"/>
    <row r="2536" ht="16" customHeight="1" x14ac:dyDescent="0.2"/>
    <row r="2537" ht="16" customHeight="1" x14ac:dyDescent="0.2"/>
    <row r="2538" ht="16" customHeight="1" x14ac:dyDescent="0.2"/>
    <row r="2539" ht="16" customHeight="1" x14ac:dyDescent="0.2"/>
    <row r="2540" ht="16" customHeight="1" x14ac:dyDescent="0.2"/>
    <row r="2541" ht="16" customHeight="1" x14ac:dyDescent="0.2"/>
    <row r="2542" ht="16" customHeight="1" x14ac:dyDescent="0.2"/>
    <row r="2543" ht="16" customHeight="1" x14ac:dyDescent="0.2"/>
    <row r="2544" ht="16" customHeight="1" x14ac:dyDescent="0.2"/>
    <row r="2545" ht="16" customHeight="1" x14ac:dyDescent="0.2"/>
    <row r="2546" ht="16" customHeight="1" x14ac:dyDescent="0.2"/>
    <row r="2547" ht="16" customHeight="1" x14ac:dyDescent="0.2"/>
    <row r="2548" ht="16" customHeight="1" x14ac:dyDescent="0.2"/>
    <row r="2549" ht="16" customHeight="1" x14ac:dyDescent="0.2"/>
    <row r="2550" ht="16" customHeight="1" x14ac:dyDescent="0.2"/>
    <row r="2551" ht="16" customHeight="1" x14ac:dyDescent="0.2"/>
    <row r="2552" ht="16" customHeight="1" x14ac:dyDescent="0.2"/>
    <row r="2553" ht="16" customHeight="1" x14ac:dyDescent="0.2"/>
    <row r="2554" ht="16" customHeight="1" x14ac:dyDescent="0.2"/>
    <row r="2555" ht="16" customHeight="1" x14ac:dyDescent="0.2"/>
    <row r="2556" ht="16" customHeight="1" x14ac:dyDescent="0.2"/>
    <row r="2557" ht="16" customHeight="1" x14ac:dyDescent="0.2"/>
    <row r="2558" ht="16" customHeight="1" x14ac:dyDescent="0.2"/>
    <row r="2559" ht="16" customHeight="1" x14ac:dyDescent="0.2"/>
    <row r="2560" ht="16" customHeight="1" x14ac:dyDescent="0.2"/>
    <row r="2561" ht="16" customHeight="1" x14ac:dyDescent="0.2"/>
    <row r="2562" ht="16" customHeight="1" x14ac:dyDescent="0.2"/>
    <row r="2563" ht="16" customHeight="1" x14ac:dyDescent="0.2"/>
    <row r="2564" ht="16" customHeight="1" x14ac:dyDescent="0.2"/>
    <row r="2565" ht="16" customHeight="1" x14ac:dyDescent="0.2"/>
    <row r="2566" ht="16" customHeight="1" x14ac:dyDescent="0.2"/>
    <row r="2567" ht="16" customHeight="1" x14ac:dyDescent="0.2"/>
    <row r="2568" ht="16" customHeight="1" x14ac:dyDescent="0.2"/>
    <row r="2569" ht="16" customHeight="1" x14ac:dyDescent="0.2"/>
    <row r="2570" ht="16" customHeight="1" x14ac:dyDescent="0.2"/>
    <row r="2571" ht="16" customHeight="1" x14ac:dyDescent="0.2"/>
    <row r="2572" ht="16" customHeight="1" x14ac:dyDescent="0.2"/>
    <row r="2573" ht="16" customHeight="1" x14ac:dyDescent="0.2"/>
    <row r="2574" ht="16" customHeight="1" x14ac:dyDescent="0.2"/>
    <row r="2575" ht="16" customHeight="1" x14ac:dyDescent="0.2"/>
    <row r="2576" ht="16" customHeight="1" x14ac:dyDescent="0.2"/>
    <row r="2577" ht="16" customHeight="1" x14ac:dyDescent="0.2"/>
    <row r="2578" ht="16" customHeight="1" x14ac:dyDescent="0.2"/>
    <row r="2579" ht="16" customHeight="1" x14ac:dyDescent="0.2"/>
    <row r="2580" ht="16" customHeight="1" x14ac:dyDescent="0.2"/>
    <row r="2581" ht="16" customHeight="1" x14ac:dyDescent="0.2"/>
    <row r="2582" ht="16" customHeight="1" x14ac:dyDescent="0.2"/>
    <row r="2583" ht="16" customHeight="1" x14ac:dyDescent="0.2"/>
    <row r="2584" ht="16" customHeight="1" x14ac:dyDescent="0.2"/>
    <row r="2585" ht="16" customHeight="1" x14ac:dyDescent="0.2"/>
    <row r="2586" ht="16" customHeight="1" x14ac:dyDescent="0.2"/>
    <row r="2587" ht="16" customHeight="1" x14ac:dyDescent="0.2"/>
    <row r="2588" ht="16" customHeight="1" x14ac:dyDescent="0.2"/>
    <row r="2589" ht="16" customHeight="1" x14ac:dyDescent="0.2"/>
    <row r="2590" ht="16" customHeight="1" x14ac:dyDescent="0.2"/>
    <row r="2591" ht="16" customHeight="1" x14ac:dyDescent="0.2"/>
    <row r="2592" ht="16" customHeight="1" x14ac:dyDescent="0.2"/>
    <row r="2593" ht="16" customHeight="1" x14ac:dyDescent="0.2"/>
    <row r="2594" ht="16" customHeight="1" x14ac:dyDescent="0.2"/>
    <row r="2595" ht="16" customHeight="1" x14ac:dyDescent="0.2"/>
    <row r="2596" ht="16" customHeight="1" x14ac:dyDescent="0.2"/>
    <row r="2597" ht="16" customHeight="1" x14ac:dyDescent="0.2"/>
    <row r="2598" ht="16" customHeight="1" x14ac:dyDescent="0.2"/>
    <row r="2599" ht="16" customHeight="1" x14ac:dyDescent="0.2"/>
    <row r="2600" ht="16" customHeight="1" x14ac:dyDescent="0.2"/>
    <row r="2601" ht="16" customHeight="1" x14ac:dyDescent="0.2"/>
    <row r="2602" ht="16" customHeight="1" x14ac:dyDescent="0.2"/>
    <row r="2603" ht="16" customHeight="1" x14ac:dyDescent="0.2"/>
    <row r="2604" ht="16" customHeight="1" x14ac:dyDescent="0.2"/>
    <row r="2605" ht="16" customHeight="1" x14ac:dyDescent="0.2"/>
    <row r="2606" ht="16" customHeight="1" x14ac:dyDescent="0.2"/>
    <row r="2607" ht="16" customHeight="1" x14ac:dyDescent="0.2"/>
    <row r="2608" ht="16" customHeight="1" x14ac:dyDescent="0.2"/>
    <row r="2609" ht="16" customHeight="1" x14ac:dyDescent="0.2"/>
    <row r="2610" ht="16" customHeight="1" x14ac:dyDescent="0.2"/>
    <row r="2611" ht="16" customHeight="1" x14ac:dyDescent="0.2"/>
    <row r="2612" ht="16" customHeight="1" x14ac:dyDescent="0.2"/>
    <row r="2613" ht="16" customHeight="1" x14ac:dyDescent="0.2"/>
    <row r="2614" ht="16" customHeight="1" x14ac:dyDescent="0.2"/>
    <row r="2615" ht="16" customHeight="1" x14ac:dyDescent="0.2"/>
    <row r="2616" ht="16" customHeight="1" x14ac:dyDescent="0.2"/>
    <row r="2617" ht="16" customHeight="1" x14ac:dyDescent="0.2"/>
    <row r="2618" ht="16" customHeight="1" x14ac:dyDescent="0.2"/>
    <row r="2619" ht="16" customHeight="1" x14ac:dyDescent="0.2"/>
    <row r="2620" ht="16" customHeight="1" x14ac:dyDescent="0.2"/>
    <row r="2621" ht="16" customHeight="1" x14ac:dyDescent="0.2"/>
    <row r="2622" ht="16" customHeight="1" x14ac:dyDescent="0.2"/>
    <row r="2623" ht="16" customHeight="1" x14ac:dyDescent="0.2"/>
    <row r="2624" ht="16" customHeight="1" x14ac:dyDescent="0.2"/>
    <row r="2625" ht="16" customHeight="1" x14ac:dyDescent="0.2"/>
    <row r="2626" ht="16" customHeight="1" x14ac:dyDescent="0.2"/>
    <row r="2627" ht="16" customHeight="1" x14ac:dyDescent="0.2"/>
    <row r="2628" ht="16" customHeight="1" x14ac:dyDescent="0.2"/>
    <row r="2629" ht="16" customHeight="1" x14ac:dyDescent="0.2"/>
    <row r="2630" ht="16" customHeight="1" x14ac:dyDescent="0.2"/>
    <row r="2631" ht="16" customHeight="1" x14ac:dyDescent="0.2"/>
    <row r="2632" ht="16" customHeight="1" x14ac:dyDescent="0.2"/>
    <row r="2633" ht="16" customHeight="1" x14ac:dyDescent="0.2"/>
    <row r="2634" ht="16" customHeight="1" x14ac:dyDescent="0.2"/>
    <row r="2635" ht="16" customHeight="1" x14ac:dyDescent="0.2"/>
    <row r="2636" ht="16" customHeight="1" x14ac:dyDescent="0.2"/>
    <row r="2637" ht="16" customHeight="1" x14ac:dyDescent="0.2"/>
    <row r="2638" ht="16" customHeight="1" x14ac:dyDescent="0.2"/>
    <row r="2639" ht="16" customHeight="1" x14ac:dyDescent="0.2"/>
    <row r="2640" ht="16" customHeight="1" x14ac:dyDescent="0.2"/>
    <row r="2641" ht="16" customHeight="1" x14ac:dyDescent="0.2"/>
    <row r="2642" ht="16" customHeight="1" x14ac:dyDescent="0.2"/>
    <row r="2643" ht="16" customHeight="1" x14ac:dyDescent="0.2"/>
    <row r="2644" ht="16" customHeight="1" x14ac:dyDescent="0.2"/>
    <row r="2645" ht="16" customHeight="1" x14ac:dyDescent="0.2"/>
    <row r="2646" ht="16" customHeight="1" x14ac:dyDescent="0.2"/>
    <row r="2647" ht="16" customHeight="1" x14ac:dyDescent="0.2"/>
    <row r="2648" ht="16" customHeight="1" x14ac:dyDescent="0.2"/>
    <row r="2649" ht="16" customHeight="1" x14ac:dyDescent="0.2"/>
    <row r="2650" ht="16" customHeight="1" x14ac:dyDescent="0.2"/>
    <row r="2651" ht="16" customHeight="1" x14ac:dyDescent="0.2"/>
    <row r="2652" ht="16" customHeight="1" x14ac:dyDescent="0.2"/>
    <row r="2653" ht="16" customHeight="1" x14ac:dyDescent="0.2"/>
    <row r="2654" ht="16" customHeight="1" x14ac:dyDescent="0.2"/>
    <row r="2655" ht="16" customHeight="1" x14ac:dyDescent="0.2"/>
    <row r="2656" ht="16" customHeight="1" x14ac:dyDescent="0.2"/>
    <row r="2657" ht="16" customHeight="1" x14ac:dyDescent="0.2"/>
    <row r="2658" ht="16" customHeight="1" x14ac:dyDescent="0.2"/>
    <row r="2659" ht="16" customHeight="1" x14ac:dyDescent="0.2"/>
    <row r="2660" ht="16" customHeight="1" x14ac:dyDescent="0.2"/>
    <row r="2661" ht="16" customHeight="1" x14ac:dyDescent="0.2"/>
    <row r="2662" ht="16" customHeight="1" x14ac:dyDescent="0.2"/>
    <row r="2663" ht="16" customHeight="1" x14ac:dyDescent="0.2"/>
    <row r="2664" ht="16" customHeight="1" x14ac:dyDescent="0.2"/>
    <row r="2665" ht="16" customHeight="1" x14ac:dyDescent="0.2"/>
    <row r="2666" ht="16" customHeight="1" x14ac:dyDescent="0.2"/>
    <row r="2667" ht="16" customHeight="1" x14ac:dyDescent="0.2"/>
    <row r="2668" ht="16" customHeight="1" x14ac:dyDescent="0.2"/>
    <row r="2669" ht="16" customHeight="1" x14ac:dyDescent="0.2"/>
    <row r="2670" ht="16" customHeight="1" x14ac:dyDescent="0.2"/>
    <row r="2671" ht="16" customHeight="1" x14ac:dyDescent="0.2"/>
    <row r="2672" ht="16" customHeight="1" x14ac:dyDescent="0.2"/>
    <row r="2673" ht="16" customHeight="1" x14ac:dyDescent="0.2"/>
    <row r="2674" ht="16" customHeight="1" x14ac:dyDescent="0.2"/>
    <row r="2675" ht="16" customHeight="1" x14ac:dyDescent="0.2"/>
    <row r="2676" ht="16" customHeight="1" x14ac:dyDescent="0.2"/>
    <row r="2677" ht="16" customHeight="1" x14ac:dyDescent="0.2"/>
    <row r="2678" ht="16" customHeight="1" x14ac:dyDescent="0.2"/>
    <row r="2679" ht="16" customHeight="1" x14ac:dyDescent="0.2"/>
    <row r="2680" ht="16" customHeight="1" x14ac:dyDescent="0.2"/>
    <row r="2681" ht="16" customHeight="1" x14ac:dyDescent="0.2"/>
    <row r="2682" ht="16" customHeight="1" x14ac:dyDescent="0.2"/>
    <row r="2683" ht="16" customHeight="1" x14ac:dyDescent="0.2"/>
    <row r="2684" ht="16" customHeight="1" x14ac:dyDescent="0.2"/>
    <row r="2685" ht="16" customHeight="1" x14ac:dyDescent="0.2"/>
    <row r="2686" ht="16" customHeight="1" x14ac:dyDescent="0.2"/>
    <row r="2687" ht="16" customHeight="1" x14ac:dyDescent="0.2"/>
    <row r="2688" ht="16" customHeight="1" x14ac:dyDescent="0.2"/>
    <row r="2689" ht="16" customHeight="1" x14ac:dyDescent="0.2"/>
    <row r="2690" ht="16" customHeight="1" x14ac:dyDescent="0.2"/>
    <row r="2691" ht="16" customHeight="1" x14ac:dyDescent="0.2"/>
    <row r="2692" ht="16" customHeight="1" x14ac:dyDescent="0.2"/>
    <row r="2693" ht="16" customHeight="1" x14ac:dyDescent="0.2"/>
    <row r="2694" ht="16" customHeight="1" x14ac:dyDescent="0.2"/>
    <row r="2695" ht="16" customHeight="1" x14ac:dyDescent="0.2"/>
    <row r="2696" ht="16" customHeight="1" x14ac:dyDescent="0.2"/>
    <row r="2697" ht="16" customHeight="1" x14ac:dyDescent="0.2"/>
    <row r="2698" ht="16" customHeight="1" x14ac:dyDescent="0.2"/>
    <row r="2699" ht="16" customHeight="1" x14ac:dyDescent="0.2"/>
    <row r="2700" ht="16" customHeight="1" x14ac:dyDescent="0.2"/>
    <row r="2701" ht="16" customHeight="1" x14ac:dyDescent="0.2"/>
    <row r="2702" ht="16" customHeight="1" x14ac:dyDescent="0.2"/>
    <row r="2703" ht="16" customHeight="1" x14ac:dyDescent="0.2"/>
    <row r="2704" ht="16" customHeight="1" x14ac:dyDescent="0.2"/>
    <row r="2705" ht="16" customHeight="1" x14ac:dyDescent="0.2"/>
    <row r="2706" ht="16" customHeight="1" x14ac:dyDescent="0.2"/>
    <row r="2707" ht="16" customHeight="1" x14ac:dyDescent="0.2"/>
    <row r="2708" ht="16" customHeight="1" x14ac:dyDescent="0.2"/>
    <row r="2709" ht="16" customHeight="1" x14ac:dyDescent="0.2"/>
    <row r="2710" ht="16" customHeight="1" x14ac:dyDescent="0.2"/>
    <row r="2711" ht="16" customHeight="1" x14ac:dyDescent="0.2"/>
    <row r="2712" ht="16" customHeight="1" x14ac:dyDescent="0.2"/>
    <row r="2713" ht="16" customHeight="1" x14ac:dyDescent="0.2"/>
    <row r="2714" ht="16" customHeight="1" x14ac:dyDescent="0.2"/>
    <row r="2715" ht="16" customHeight="1" x14ac:dyDescent="0.2"/>
    <row r="2716" ht="16" customHeight="1" x14ac:dyDescent="0.2"/>
    <row r="2717" ht="16" customHeight="1" x14ac:dyDescent="0.2"/>
    <row r="2718" ht="16" customHeight="1" x14ac:dyDescent="0.2"/>
    <row r="2719" ht="16" customHeight="1" x14ac:dyDescent="0.2"/>
    <row r="2720" ht="16" customHeight="1" x14ac:dyDescent="0.2"/>
    <row r="2721" ht="16" customHeight="1" x14ac:dyDescent="0.2"/>
    <row r="2722" ht="16" customHeight="1" x14ac:dyDescent="0.2"/>
    <row r="2723" ht="16" customHeight="1" x14ac:dyDescent="0.2"/>
    <row r="2724" ht="16" customHeight="1" x14ac:dyDescent="0.2"/>
    <row r="2725" ht="16" customHeight="1" x14ac:dyDescent="0.2"/>
    <row r="2726" ht="16" customHeight="1" x14ac:dyDescent="0.2"/>
    <row r="2727" ht="16" customHeight="1" x14ac:dyDescent="0.2"/>
    <row r="2728" ht="16" customHeight="1" x14ac:dyDescent="0.2"/>
    <row r="2729" ht="16" customHeight="1" x14ac:dyDescent="0.2"/>
    <row r="2730" ht="16" customHeight="1" x14ac:dyDescent="0.2"/>
    <row r="2731" ht="16" customHeight="1" x14ac:dyDescent="0.2"/>
    <row r="2732" ht="16" customHeight="1" x14ac:dyDescent="0.2"/>
    <row r="2733" ht="16" customHeight="1" x14ac:dyDescent="0.2"/>
    <row r="2734" ht="16" customHeight="1" x14ac:dyDescent="0.2"/>
    <row r="2735" ht="16" customHeight="1" x14ac:dyDescent="0.2"/>
    <row r="2736" ht="16" customHeight="1" x14ac:dyDescent="0.2"/>
    <row r="2737" ht="16" customHeight="1" x14ac:dyDescent="0.2"/>
    <row r="2738" ht="16" customHeight="1" x14ac:dyDescent="0.2"/>
    <row r="2739" ht="16" customHeight="1" x14ac:dyDescent="0.2"/>
    <row r="2740" ht="16" customHeight="1" x14ac:dyDescent="0.2"/>
    <row r="2741" ht="16" customHeight="1" x14ac:dyDescent="0.2"/>
    <row r="2742" ht="16" customHeight="1" x14ac:dyDescent="0.2"/>
    <row r="2743" ht="16" customHeight="1" x14ac:dyDescent="0.2"/>
    <row r="2744" ht="16" customHeight="1" x14ac:dyDescent="0.2"/>
    <row r="2745" ht="16" customHeight="1" x14ac:dyDescent="0.2"/>
    <row r="2746" ht="16" customHeight="1" x14ac:dyDescent="0.2"/>
    <row r="2747" ht="16" customHeight="1" x14ac:dyDescent="0.2"/>
    <row r="2748" ht="16" customHeight="1" x14ac:dyDescent="0.2"/>
    <row r="2749" ht="16" customHeight="1" x14ac:dyDescent="0.2"/>
    <row r="2750" ht="16" customHeight="1" x14ac:dyDescent="0.2"/>
    <row r="2751" ht="16" customHeight="1" x14ac:dyDescent="0.2"/>
    <row r="2752" ht="16" customHeight="1" x14ac:dyDescent="0.2"/>
    <row r="2753" ht="16" customHeight="1" x14ac:dyDescent="0.2"/>
    <row r="2754" ht="16" customHeight="1" x14ac:dyDescent="0.2"/>
    <row r="2755" ht="16" customHeight="1" x14ac:dyDescent="0.2"/>
    <row r="2756" ht="16" customHeight="1" x14ac:dyDescent="0.2"/>
    <row r="2757" ht="16" customHeight="1" x14ac:dyDescent="0.2"/>
    <row r="2758" ht="16" customHeight="1" x14ac:dyDescent="0.2"/>
    <row r="2759" ht="16" customHeight="1" x14ac:dyDescent="0.2"/>
    <row r="2760" ht="16" customHeight="1" x14ac:dyDescent="0.2"/>
    <row r="2761" ht="16" customHeight="1" x14ac:dyDescent="0.2"/>
    <row r="2762" ht="16" customHeight="1" x14ac:dyDescent="0.2"/>
    <row r="2763" ht="16" customHeight="1" x14ac:dyDescent="0.2"/>
    <row r="2764" ht="16" customHeight="1" x14ac:dyDescent="0.2"/>
    <row r="2765" ht="16" customHeight="1" x14ac:dyDescent="0.2"/>
    <row r="2766" ht="16" customHeight="1" x14ac:dyDescent="0.2"/>
    <row r="2767" ht="16" customHeight="1" x14ac:dyDescent="0.2"/>
    <row r="2768" ht="16" customHeight="1" x14ac:dyDescent="0.2"/>
    <row r="2769" ht="16" customHeight="1" x14ac:dyDescent="0.2"/>
    <row r="2770" ht="16" customHeight="1" x14ac:dyDescent="0.2"/>
    <row r="2771" ht="16" customHeight="1" x14ac:dyDescent="0.2"/>
    <row r="2772" ht="16" customHeight="1" x14ac:dyDescent="0.2"/>
    <row r="2773" ht="16" customHeight="1" x14ac:dyDescent="0.2"/>
    <row r="2774" ht="16" customHeight="1" x14ac:dyDescent="0.2"/>
    <row r="2775" ht="16" customHeight="1" x14ac:dyDescent="0.2"/>
    <row r="2776" ht="16" customHeight="1" x14ac:dyDescent="0.2"/>
    <row r="2777" ht="16" customHeight="1" x14ac:dyDescent="0.2"/>
    <row r="2778" ht="16" customHeight="1" x14ac:dyDescent="0.2"/>
    <row r="2779" ht="16" customHeight="1" x14ac:dyDescent="0.2"/>
    <row r="2780" ht="16" customHeight="1" x14ac:dyDescent="0.2"/>
    <row r="2781" ht="16" customHeight="1" x14ac:dyDescent="0.2"/>
    <row r="2782" ht="16" customHeight="1" x14ac:dyDescent="0.2"/>
    <row r="2783" ht="16" customHeight="1" x14ac:dyDescent="0.2"/>
    <row r="2784" ht="16" customHeight="1" x14ac:dyDescent="0.2"/>
    <row r="2785" ht="16" customHeight="1" x14ac:dyDescent="0.2"/>
    <row r="2786" ht="16" customHeight="1" x14ac:dyDescent="0.2"/>
    <row r="2787" ht="16" customHeight="1" x14ac:dyDescent="0.2"/>
    <row r="2788" ht="16" customHeight="1" x14ac:dyDescent="0.2"/>
    <row r="2789" ht="16" customHeight="1" x14ac:dyDescent="0.2"/>
    <row r="2790" ht="16" customHeight="1" x14ac:dyDescent="0.2"/>
    <row r="2791" ht="16" customHeight="1" x14ac:dyDescent="0.2"/>
    <row r="2792" ht="16" customHeight="1" x14ac:dyDescent="0.2"/>
    <row r="2793" ht="16" customHeight="1" x14ac:dyDescent="0.2"/>
    <row r="2794" ht="16" customHeight="1" x14ac:dyDescent="0.2"/>
    <row r="2795" ht="16" customHeight="1" x14ac:dyDescent="0.2"/>
    <row r="2796" ht="16" customHeight="1" x14ac:dyDescent="0.2"/>
    <row r="2797" ht="16" customHeight="1" x14ac:dyDescent="0.2"/>
    <row r="2798" ht="16" customHeight="1" x14ac:dyDescent="0.2"/>
    <row r="2799" ht="16" customHeight="1" x14ac:dyDescent="0.2"/>
    <row r="2800" ht="16" customHeight="1" x14ac:dyDescent="0.2"/>
    <row r="2801" ht="16" customHeight="1" x14ac:dyDescent="0.2"/>
    <row r="2802" ht="16" customHeight="1" x14ac:dyDescent="0.2"/>
    <row r="2803" ht="16" customHeight="1" x14ac:dyDescent="0.2"/>
    <row r="2804" ht="16" customHeight="1" x14ac:dyDescent="0.2"/>
    <row r="2805" ht="16" customHeight="1" x14ac:dyDescent="0.2"/>
    <row r="2806" ht="16" customHeight="1" x14ac:dyDescent="0.2"/>
    <row r="2807" ht="16" customHeight="1" x14ac:dyDescent="0.2"/>
    <row r="2808" ht="16" customHeight="1" x14ac:dyDescent="0.2"/>
    <row r="2809" ht="16" customHeight="1" x14ac:dyDescent="0.2"/>
    <row r="2810" ht="16" customHeight="1" x14ac:dyDescent="0.2"/>
    <row r="2811" ht="16" customHeight="1" x14ac:dyDescent="0.2"/>
    <row r="2812" ht="16" customHeight="1" x14ac:dyDescent="0.2"/>
    <row r="2813" ht="16" customHeight="1" x14ac:dyDescent="0.2"/>
    <row r="2814" ht="16" customHeight="1" x14ac:dyDescent="0.2"/>
    <row r="2815" ht="16" customHeight="1" x14ac:dyDescent="0.2"/>
    <row r="2816" ht="16" customHeight="1" x14ac:dyDescent="0.2"/>
    <row r="2817" ht="16" customHeight="1" x14ac:dyDescent="0.2"/>
    <row r="2818" ht="16" customHeight="1" x14ac:dyDescent="0.2"/>
    <row r="2819" ht="16" customHeight="1" x14ac:dyDescent="0.2"/>
    <row r="2820" ht="16" customHeight="1" x14ac:dyDescent="0.2"/>
    <row r="2821" ht="16" customHeight="1" x14ac:dyDescent="0.2"/>
    <row r="2822" ht="16" customHeight="1" x14ac:dyDescent="0.2"/>
    <row r="2823" ht="16" customHeight="1" x14ac:dyDescent="0.2"/>
    <row r="2824" ht="16" customHeight="1" x14ac:dyDescent="0.2"/>
    <row r="2825" ht="16" customHeight="1" x14ac:dyDescent="0.2"/>
    <row r="2826" ht="16" customHeight="1" x14ac:dyDescent="0.2"/>
    <row r="2827" ht="16" customHeight="1" x14ac:dyDescent="0.2"/>
    <row r="2828" ht="16" customHeight="1" x14ac:dyDescent="0.2"/>
    <row r="2829" ht="16" customHeight="1" x14ac:dyDescent="0.2"/>
    <row r="2830" ht="16" customHeight="1" x14ac:dyDescent="0.2"/>
    <row r="2831" ht="16" customHeight="1" x14ac:dyDescent="0.2"/>
    <row r="2832" ht="16" customHeight="1" x14ac:dyDescent="0.2"/>
    <row r="2833" ht="16" customHeight="1" x14ac:dyDescent="0.2"/>
    <row r="2834" ht="16" customHeight="1" x14ac:dyDescent="0.2"/>
    <row r="2835" ht="16" customHeight="1" x14ac:dyDescent="0.2"/>
    <row r="2836" ht="16" customHeight="1" x14ac:dyDescent="0.2"/>
    <row r="2837" ht="16" customHeight="1" x14ac:dyDescent="0.2"/>
    <row r="2838" ht="16" customHeight="1" x14ac:dyDescent="0.2"/>
    <row r="2839" ht="16" customHeight="1" x14ac:dyDescent="0.2"/>
    <row r="2840" ht="16" customHeight="1" x14ac:dyDescent="0.2"/>
    <row r="2841" ht="16" customHeight="1" x14ac:dyDescent="0.2"/>
    <row r="2842" ht="16" customHeight="1" x14ac:dyDescent="0.2"/>
    <row r="2843" ht="16" customHeight="1" x14ac:dyDescent="0.2"/>
    <row r="2844" ht="16" customHeight="1" x14ac:dyDescent="0.2"/>
    <row r="2845" ht="16" customHeight="1" x14ac:dyDescent="0.2"/>
    <row r="2846" ht="16" customHeight="1" x14ac:dyDescent="0.2"/>
    <row r="2847" ht="16" customHeight="1" x14ac:dyDescent="0.2"/>
    <row r="2848" ht="16" customHeight="1" x14ac:dyDescent="0.2"/>
    <row r="2849" ht="16" customHeight="1" x14ac:dyDescent="0.2"/>
    <row r="2850" ht="16" customHeight="1" x14ac:dyDescent="0.2"/>
    <row r="2851" ht="16" customHeight="1" x14ac:dyDescent="0.2"/>
    <row r="2852" ht="16" customHeight="1" x14ac:dyDescent="0.2"/>
    <row r="2853" ht="16" customHeight="1" x14ac:dyDescent="0.2"/>
    <row r="2854" ht="16" customHeight="1" x14ac:dyDescent="0.2"/>
    <row r="2855" ht="16" customHeight="1" x14ac:dyDescent="0.2"/>
    <row r="2856" ht="16" customHeight="1" x14ac:dyDescent="0.2"/>
    <row r="2857" ht="16" customHeight="1" x14ac:dyDescent="0.2"/>
    <row r="2858" ht="16" customHeight="1" x14ac:dyDescent="0.2"/>
    <row r="2859" ht="16" customHeight="1" x14ac:dyDescent="0.2"/>
    <row r="2860" ht="16" customHeight="1" x14ac:dyDescent="0.2"/>
    <row r="2861" ht="16" customHeight="1" x14ac:dyDescent="0.2"/>
    <row r="2862" ht="16" customHeight="1" x14ac:dyDescent="0.2"/>
    <row r="2863" ht="16" customHeight="1" x14ac:dyDescent="0.2"/>
    <row r="2864" ht="16" customHeight="1" x14ac:dyDescent="0.2"/>
    <row r="2865" ht="16" customHeight="1" x14ac:dyDescent="0.2"/>
    <row r="2866" ht="16" customHeight="1" x14ac:dyDescent="0.2"/>
    <row r="2867" ht="16" customHeight="1" x14ac:dyDescent="0.2"/>
    <row r="2868" ht="16" customHeight="1" x14ac:dyDescent="0.2"/>
    <row r="2869" ht="16" customHeight="1" x14ac:dyDescent="0.2"/>
    <row r="2870" ht="16" customHeight="1" x14ac:dyDescent="0.2"/>
    <row r="2871" ht="16" customHeight="1" x14ac:dyDescent="0.2"/>
    <row r="2872" ht="16" customHeight="1" x14ac:dyDescent="0.2"/>
    <row r="2873" ht="16" customHeight="1" x14ac:dyDescent="0.2"/>
    <row r="2874" ht="16" customHeight="1" x14ac:dyDescent="0.2"/>
    <row r="2875" ht="16" customHeight="1" x14ac:dyDescent="0.2"/>
    <row r="2876" ht="16" customHeight="1" x14ac:dyDescent="0.2"/>
    <row r="2877" ht="16" customHeight="1" x14ac:dyDescent="0.2"/>
    <row r="2878" ht="16" customHeight="1" x14ac:dyDescent="0.2"/>
    <row r="2879" ht="16" customHeight="1" x14ac:dyDescent="0.2"/>
    <row r="2880" ht="16" customHeight="1" x14ac:dyDescent="0.2"/>
    <row r="2881" ht="16" customHeight="1" x14ac:dyDescent="0.2"/>
    <row r="2882" ht="16" customHeight="1" x14ac:dyDescent="0.2"/>
    <row r="2883" ht="16" customHeight="1" x14ac:dyDescent="0.2"/>
    <row r="2884" ht="16" customHeight="1" x14ac:dyDescent="0.2"/>
    <row r="2885" ht="16" customHeight="1" x14ac:dyDescent="0.2"/>
    <row r="2886" ht="16" customHeight="1" x14ac:dyDescent="0.2"/>
    <row r="2887" ht="16" customHeight="1" x14ac:dyDescent="0.2"/>
    <row r="2888" ht="16" customHeight="1" x14ac:dyDescent="0.2"/>
    <row r="2889" ht="16" customHeight="1" x14ac:dyDescent="0.2"/>
    <row r="2890" ht="16" customHeight="1" x14ac:dyDescent="0.2"/>
    <row r="2891" ht="16" customHeight="1" x14ac:dyDescent="0.2"/>
    <row r="2892" ht="16" customHeight="1" x14ac:dyDescent="0.2"/>
    <row r="2893" ht="16" customHeight="1" x14ac:dyDescent="0.2"/>
    <row r="2894" ht="16" customHeight="1" x14ac:dyDescent="0.2"/>
    <row r="2895" ht="16" customHeight="1" x14ac:dyDescent="0.2"/>
    <row r="2896" ht="16" customHeight="1" x14ac:dyDescent="0.2"/>
    <row r="2897" ht="16" customHeight="1" x14ac:dyDescent="0.2"/>
    <row r="2898" ht="16" customHeight="1" x14ac:dyDescent="0.2"/>
    <row r="2899" ht="16" customHeight="1" x14ac:dyDescent="0.2"/>
    <row r="2900" ht="16" customHeight="1" x14ac:dyDescent="0.2"/>
    <row r="2901" ht="16" customHeight="1" x14ac:dyDescent="0.2"/>
    <row r="2902" ht="16" customHeight="1" x14ac:dyDescent="0.2"/>
    <row r="2903" ht="16" customHeight="1" x14ac:dyDescent="0.2"/>
    <row r="2904" ht="16" customHeight="1" x14ac:dyDescent="0.2"/>
    <row r="2905" ht="16" customHeight="1" x14ac:dyDescent="0.2"/>
    <row r="2906" ht="16" customHeight="1" x14ac:dyDescent="0.2"/>
    <row r="2907" ht="16" customHeight="1" x14ac:dyDescent="0.2"/>
    <row r="2908" ht="16" customHeight="1" x14ac:dyDescent="0.2"/>
    <row r="2909" ht="16" customHeight="1" x14ac:dyDescent="0.2"/>
    <row r="2910" ht="16" customHeight="1" x14ac:dyDescent="0.2"/>
    <row r="2911" ht="16" customHeight="1" x14ac:dyDescent="0.2"/>
    <row r="2912" ht="16" customHeight="1" x14ac:dyDescent="0.2"/>
    <row r="2913" ht="16" customHeight="1" x14ac:dyDescent="0.2"/>
    <row r="2914" ht="16" customHeight="1" x14ac:dyDescent="0.2"/>
    <row r="2915" ht="16" customHeight="1" x14ac:dyDescent="0.2"/>
    <row r="2916" ht="16" customHeight="1" x14ac:dyDescent="0.2"/>
    <row r="2917" ht="16" customHeight="1" x14ac:dyDescent="0.2"/>
    <row r="2918" ht="16" customHeight="1" x14ac:dyDescent="0.2"/>
    <row r="2919" ht="16" customHeight="1" x14ac:dyDescent="0.2"/>
    <row r="2920" ht="16" customHeight="1" x14ac:dyDescent="0.2"/>
    <row r="2921" ht="16" customHeight="1" x14ac:dyDescent="0.2"/>
    <row r="2922" ht="16" customHeight="1" x14ac:dyDescent="0.2"/>
    <row r="2923" ht="16" customHeight="1" x14ac:dyDescent="0.2"/>
    <row r="2924" ht="16" customHeight="1" x14ac:dyDescent="0.2"/>
    <row r="2925" ht="16" customHeight="1" x14ac:dyDescent="0.2"/>
    <row r="2926" ht="16" customHeight="1" x14ac:dyDescent="0.2"/>
    <row r="2927" ht="16" customHeight="1" x14ac:dyDescent="0.2"/>
    <row r="2928" ht="16" customHeight="1" x14ac:dyDescent="0.2"/>
    <row r="2929" ht="16" customHeight="1" x14ac:dyDescent="0.2"/>
    <row r="2930" ht="16" customHeight="1" x14ac:dyDescent="0.2"/>
    <row r="2931" ht="16" customHeight="1" x14ac:dyDescent="0.2"/>
    <row r="2932" ht="16" customHeight="1" x14ac:dyDescent="0.2"/>
    <row r="2933" ht="16" customHeight="1" x14ac:dyDescent="0.2"/>
    <row r="2934" ht="16" customHeight="1" x14ac:dyDescent="0.2"/>
    <row r="2935" ht="16" customHeight="1" x14ac:dyDescent="0.2"/>
    <row r="2936" ht="16" customHeight="1" x14ac:dyDescent="0.2"/>
    <row r="2937" ht="16" customHeight="1" x14ac:dyDescent="0.2"/>
    <row r="2938" ht="16" customHeight="1" x14ac:dyDescent="0.2"/>
    <row r="2939" ht="16" customHeight="1" x14ac:dyDescent="0.2"/>
    <row r="2940" ht="16" customHeight="1" x14ac:dyDescent="0.2"/>
    <row r="2941" ht="16" customHeight="1" x14ac:dyDescent="0.2"/>
    <row r="2942" ht="16" customHeight="1" x14ac:dyDescent="0.2"/>
    <row r="2943" ht="16" customHeight="1" x14ac:dyDescent="0.2"/>
    <row r="2944" ht="16" customHeight="1" x14ac:dyDescent="0.2"/>
    <row r="2945" ht="16" customHeight="1" x14ac:dyDescent="0.2"/>
    <row r="2946" ht="16" customHeight="1" x14ac:dyDescent="0.2"/>
    <row r="2947" ht="16" customHeight="1" x14ac:dyDescent="0.2"/>
    <row r="2948" ht="16" customHeight="1" x14ac:dyDescent="0.2"/>
    <row r="2949" ht="16" customHeight="1" x14ac:dyDescent="0.2"/>
    <row r="2950" ht="16" customHeight="1" x14ac:dyDescent="0.2"/>
    <row r="2951" ht="16" customHeight="1" x14ac:dyDescent="0.2"/>
    <row r="2952" ht="16" customHeight="1" x14ac:dyDescent="0.2"/>
    <row r="2953" ht="16" customHeight="1" x14ac:dyDescent="0.2"/>
    <row r="2954" ht="16" customHeight="1" x14ac:dyDescent="0.2"/>
    <row r="2955" ht="16" customHeight="1" x14ac:dyDescent="0.2"/>
    <row r="2956" ht="16" customHeight="1" x14ac:dyDescent="0.2"/>
    <row r="2957" ht="16" customHeight="1" x14ac:dyDescent="0.2"/>
    <row r="2958" ht="16" customHeight="1" x14ac:dyDescent="0.2"/>
    <row r="2959" ht="16" customHeight="1" x14ac:dyDescent="0.2"/>
    <row r="2960" ht="16" customHeight="1" x14ac:dyDescent="0.2"/>
    <row r="2961" ht="16" customHeight="1" x14ac:dyDescent="0.2"/>
    <row r="2962" ht="16" customHeight="1" x14ac:dyDescent="0.2"/>
    <row r="2963" ht="16" customHeight="1" x14ac:dyDescent="0.2"/>
    <row r="2964" ht="16" customHeight="1" x14ac:dyDescent="0.2"/>
    <row r="2965" ht="16" customHeight="1" x14ac:dyDescent="0.2"/>
    <row r="2966" ht="16" customHeight="1" x14ac:dyDescent="0.2"/>
    <row r="2967" ht="16" customHeight="1" x14ac:dyDescent="0.2"/>
    <row r="2968" ht="16" customHeight="1" x14ac:dyDescent="0.2"/>
    <row r="2969" ht="16" customHeight="1" x14ac:dyDescent="0.2"/>
    <row r="2970" ht="16" customHeight="1" x14ac:dyDescent="0.2"/>
    <row r="2971" ht="16" customHeight="1" x14ac:dyDescent="0.2"/>
    <row r="2972" ht="16" customHeight="1" x14ac:dyDescent="0.2"/>
    <row r="2973" ht="16" customHeight="1" x14ac:dyDescent="0.2"/>
    <row r="2974" ht="16" customHeight="1" x14ac:dyDescent="0.2"/>
    <row r="2975" ht="16" customHeight="1" x14ac:dyDescent="0.2"/>
    <row r="2976" ht="16" customHeight="1" x14ac:dyDescent="0.2"/>
    <row r="2977" ht="16" customHeight="1" x14ac:dyDescent="0.2"/>
    <row r="2978" ht="16" customHeight="1" x14ac:dyDescent="0.2"/>
    <row r="2979" ht="16" customHeight="1" x14ac:dyDescent="0.2"/>
    <row r="2980" ht="16" customHeight="1" x14ac:dyDescent="0.2"/>
    <row r="2981" ht="16" customHeight="1" x14ac:dyDescent="0.2"/>
    <row r="2982" ht="16" customHeight="1" x14ac:dyDescent="0.2"/>
    <row r="2983" ht="16" customHeight="1" x14ac:dyDescent="0.2"/>
    <row r="2984" ht="16" customHeight="1" x14ac:dyDescent="0.2"/>
    <row r="2985" ht="16" customHeight="1" x14ac:dyDescent="0.2"/>
    <row r="2986" ht="16" customHeight="1" x14ac:dyDescent="0.2"/>
    <row r="2987" ht="16" customHeight="1" x14ac:dyDescent="0.2"/>
    <row r="2988" ht="16" customHeight="1" x14ac:dyDescent="0.2"/>
    <row r="2989" ht="16" customHeight="1" x14ac:dyDescent="0.2"/>
    <row r="2990" ht="16" customHeight="1" x14ac:dyDescent="0.2"/>
    <row r="2991" ht="16" customHeight="1" x14ac:dyDescent="0.2"/>
    <row r="2992" ht="16" customHeight="1" x14ac:dyDescent="0.2"/>
    <row r="2993" ht="16" customHeight="1" x14ac:dyDescent="0.2"/>
    <row r="2994" ht="16" customHeight="1" x14ac:dyDescent="0.2"/>
    <row r="2995" ht="16" customHeight="1" x14ac:dyDescent="0.2"/>
    <row r="2996" ht="16" customHeight="1" x14ac:dyDescent="0.2"/>
    <row r="2997" ht="16" customHeight="1" x14ac:dyDescent="0.2"/>
    <row r="2998" ht="16" customHeight="1" x14ac:dyDescent="0.2"/>
    <row r="2999" ht="16" customHeight="1" x14ac:dyDescent="0.2"/>
    <row r="3000" ht="16" customHeight="1" x14ac:dyDescent="0.2"/>
    <row r="3001" ht="16" customHeight="1" x14ac:dyDescent="0.2"/>
    <row r="3002" ht="16" customHeight="1" x14ac:dyDescent="0.2"/>
    <row r="3003" ht="16" customHeight="1" x14ac:dyDescent="0.2"/>
    <row r="3004" ht="16" customHeight="1" x14ac:dyDescent="0.2"/>
    <row r="3005" ht="16" customHeight="1" x14ac:dyDescent="0.2"/>
    <row r="3006" ht="16" customHeight="1" x14ac:dyDescent="0.2"/>
    <row r="3007" ht="16" customHeight="1" x14ac:dyDescent="0.2"/>
    <row r="3008" ht="16" customHeight="1" x14ac:dyDescent="0.2"/>
    <row r="3009" ht="16" customHeight="1" x14ac:dyDescent="0.2"/>
    <row r="3010" ht="16" customHeight="1" x14ac:dyDescent="0.2"/>
    <row r="3011" ht="16" customHeight="1" x14ac:dyDescent="0.2"/>
    <row r="3012" ht="16" customHeight="1" x14ac:dyDescent="0.2"/>
    <row r="3013" ht="16" customHeight="1" x14ac:dyDescent="0.2"/>
    <row r="3014" ht="16" customHeight="1" x14ac:dyDescent="0.2"/>
    <row r="3015" ht="16" customHeight="1" x14ac:dyDescent="0.2"/>
    <row r="3016" ht="16" customHeight="1" x14ac:dyDescent="0.2"/>
    <row r="3017" ht="16" customHeight="1" x14ac:dyDescent="0.2"/>
    <row r="3018" ht="16" customHeight="1" x14ac:dyDescent="0.2"/>
    <row r="3019" ht="16" customHeight="1" x14ac:dyDescent="0.2"/>
    <row r="3020" ht="16" customHeight="1" x14ac:dyDescent="0.2"/>
    <row r="3021" ht="16" customHeight="1" x14ac:dyDescent="0.2"/>
    <row r="3022" ht="16" customHeight="1" x14ac:dyDescent="0.2"/>
    <row r="3023" ht="16" customHeight="1" x14ac:dyDescent="0.2"/>
    <row r="3024" ht="16" customHeight="1" x14ac:dyDescent="0.2"/>
    <row r="3025" ht="16" customHeight="1" x14ac:dyDescent="0.2"/>
    <row r="3026" ht="16" customHeight="1" x14ac:dyDescent="0.2"/>
    <row r="3027" ht="16" customHeight="1" x14ac:dyDescent="0.2"/>
    <row r="3028" ht="16" customHeight="1" x14ac:dyDescent="0.2"/>
    <row r="3029" ht="16" customHeight="1" x14ac:dyDescent="0.2"/>
    <row r="3030" ht="16" customHeight="1" x14ac:dyDescent="0.2"/>
    <row r="3031" ht="16" customHeight="1" x14ac:dyDescent="0.2"/>
    <row r="3032" ht="16" customHeight="1" x14ac:dyDescent="0.2"/>
    <row r="3033" ht="16" customHeight="1" x14ac:dyDescent="0.2"/>
    <row r="3034" ht="16" customHeight="1" x14ac:dyDescent="0.2"/>
    <row r="3035" ht="16" customHeight="1" x14ac:dyDescent="0.2"/>
    <row r="3036" ht="16" customHeight="1" x14ac:dyDescent="0.2"/>
    <row r="3037" ht="16" customHeight="1" x14ac:dyDescent="0.2"/>
    <row r="3038" ht="16" customHeight="1" x14ac:dyDescent="0.2"/>
    <row r="3039" ht="16" customHeight="1" x14ac:dyDescent="0.2"/>
    <row r="3040" ht="16" customHeight="1" x14ac:dyDescent="0.2"/>
    <row r="3041" ht="16" customHeight="1" x14ac:dyDescent="0.2"/>
    <row r="3042" ht="16" customHeight="1" x14ac:dyDescent="0.2"/>
    <row r="3043" ht="16" customHeight="1" x14ac:dyDescent="0.2"/>
    <row r="3044" ht="16" customHeight="1" x14ac:dyDescent="0.2"/>
    <row r="3045" ht="16" customHeight="1" x14ac:dyDescent="0.2"/>
    <row r="3046" ht="16" customHeight="1" x14ac:dyDescent="0.2"/>
    <row r="3047" ht="16" customHeight="1" x14ac:dyDescent="0.2"/>
    <row r="3048" ht="16" customHeight="1" x14ac:dyDescent="0.2"/>
    <row r="3049" ht="16" customHeight="1" x14ac:dyDescent="0.2"/>
    <row r="3050" ht="16" customHeight="1" x14ac:dyDescent="0.2"/>
    <row r="3051" ht="16" customHeight="1" x14ac:dyDescent="0.2"/>
    <row r="3052" ht="16" customHeight="1" x14ac:dyDescent="0.2"/>
    <row r="3053" ht="16" customHeight="1" x14ac:dyDescent="0.2"/>
    <row r="3054" ht="16" customHeight="1" x14ac:dyDescent="0.2"/>
    <row r="3055" ht="16" customHeight="1" x14ac:dyDescent="0.2"/>
    <row r="3056" ht="16" customHeight="1" x14ac:dyDescent="0.2"/>
    <row r="3057" ht="16" customHeight="1" x14ac:dyDescent="0.2"/>
    <row r="3058" ht="16" customHeight="1" x14ac:dyDescent="0.2"/>
    <row r="3059" ht="16" customHeight="1" x14ac:dyDescent="0.2"/>
    <row r="3060" ht="16" customHeight="1" x14ac:dyDescent="0.2"/>
    <row r="3061" ht="16" customHeight="1" x14ac:dyDescent="0.2"/>
    <row r="3062" ht="16" customHeight="1" x14ac:dyDescent="0.2"/>
    <row r="3063" ht="16" customHeight="1" x14ac:dyDescent="0.2"/>
    <row r="3064" ht="16" customHeight="1" x14ac:dyDescent="0.2"/>
    <row r="3065" ht="16" customHeight="1" x14ac:dyDescent="0.2"/>
    <row r="3066" ht="16" customHeight="1" x14ac:dyDescent="0.2"/>
    <row r="3067" ht="16" customHeight="1" x14ac:dyDescent="0.2"/>
    <row r="3068" ht="16" customHeight="1" x14ac:dyDescent="0.2"/>
    <row r="3069" ht="16" customHeight="1" x14ac:dyDescent="0.2"/>
    <row r="3070" ht="16" customHeight="1" x14ac:dyDescent="0.2"/>
    <row r="3071" ht="16" customHeight="1" x14ac:dyDescent="0.2"/>
    <row r="3072" ht="16" customHeight="1" x14ac:dyDescent="0.2"/>
    <row r="3073" ht="16" customHeight="1" x14ac:dyDescent="0.2"/>
    <row r="3074" ht="16" customHeight="1" x14ac:dyDescent="0.2"/>
    <row r="3075" ht="16" customHeight="1" x14ac:dyDescent="0.2"/>
    <row r="3076" ht="16" customHeight="1" x14ac:dyDescent="0.2"/>
    <row r="3077" ht="16" customHeight="1" x14ac:dyDescent="0.2"/>
    <row r="3078" ht="16" customHeight="1" x14ac:dyDescent="0.2"/>
    <row r="3079" ht="16" customHeight="1" x14ac:dyDescent="0.2"/>
    <row r="3080" ht="16" customHeight="1" x14ac:dyDescent="0.2"/>
    <row r="3081" ht="16" customHeight="1" x14ac:dyDescent="0.2"/>
    <row r="3082" ht="16" customHeight="1" x14ac:dyDescent="0.2"/>
    <row r="3083" ht="16" customHeight="1" x14ac:dyDescent="0.2"/>
    <row r="3084" ht="16" customHeight="1" x14ac:dyDescent="0.2"/>
    <row r="3085" ht="16" customHeight="1" x14ac:dyDescent="0.2"/>
    <row r="3086" ht="16" customHeight="1" x14ac:dyDescent="0.2"/>
    <row r="3087" ht="16" customHeight="1" x14ac:dyDescent="0.2"/>
    <row r="3088" ht="16" customHeight="1" x14ac:dyDescent="0.2"/>
    <row r="3089" ht="16" customHeight="1" x14ac:dyDescent="0.2"/>
    <row r="3090" ht="16" customHeight="1" x14ac:dyDescent="0.2"/>
    <row r="3091" ht="16" customHeight="1" x14ac:dyDescent="0.2"/>
    <row r="3092" ht="16" customHeight="1" x14ac:dyDescent="0.2"/>
    <row r="3093" ht="16" customHeight="1" x14ac:dyDescent="0.2"/>
    <row r="3094" ht="16" customHeight="1" x14ac:dyDescent="0.2"/>
    <row r="3095" ht="16" customHeight="1" x14ac:dyDescent="0.2"/>
    <row r="3096" ht="16" customHeight="1" x14ac:dyDescent="0.2"/>
    <row r="3097" ht="16" customHeight="1" x14ac:dyDescent="0.2"/>
    <row r="3098" ht="16" customHeight="1" x14ac:dyDescent="0.2"/>
    <row r="3099" ht="16" customHeight="1" x14ac:dyDescent="0.2"/>
    <row r="3100" ht="16" customHeight="1" x14ac:dyDescent="0.2"/>
    <row r="3101" ht="16" customHeight="1" x14ac:dyDescent="0.2"/>
    <row r="3102" ht="16" customHeight="1" x14ac:dyDescent="0.2"/>
    <row r="3103" ht="16" customHeight="1" x14ac:dyDescent="0.2"/>
    <row r="3104" ht="16" customHeight="1" x14ac:dyDescent="0.2"/>
    <row r="3105" ht="16" customHeight="1" x14ac:dyDescent="0.2"/>
    <row r="3106" ht="16" customHeight="1" x14ac:dyDescent="0.2"/>
    <row r="3107" ht="16" customHeight="1" x14ac:dyDescent="0.2"/>
    <row r="3108" ht="16" customHeight="1" x14ac:dyDescent="0.2"/>
    <row r="3109" ht="16" customHeight="1" x14ac:dyDescent="0.2"/>
    <row r="3110" ht="16" customHeight="1" x14ac:dyDescent="0.2"/>
    <row r="3111" ht="16" customHeight="1" x14ac:dyDescent="0.2"/>
    <row r="3112" ht="16" customHeight="1" x14ac:dyDescent="0.2"/>
    <row r="3113" ht="16" customHeight="1" x14ac:dyDescent="0.2"/>
    <row r="3114" ht="16" customHeight="1" x14ac:dyDescent="0.2"/>
    <row r="3115" ht="16" customHeight="1" x14ac:dyDescent="0.2"/>
    <row r="3116" ht="16" customHeight="1" x14ac:dyDescent="0.2"/>
    <row r="3117" ht="16" customHeight="1" x14ac:dyDescent="0.2"/>
    <row r="3118" ht="16" customHeight="1" x14ac:dyDescent="0.2"/>
    <row r="3119" ht="16" customHeight="1" x14ac:dyDescent="0.2"/>
    <row r="3120" ht="16" customHeight="1" x14ac:dyDescent="0.2"/>
    <row r="3121" ht="16" customHeight="1" x14ac:dyDescent="0.2"/>
    <row r="3122" ht="16" customHeight="1" x14ac:dyDescent="0.2"/>
    <row r="3123" ht="16" customHeight="1" x14ac:dyDescent="0.2"/>
    <row r="3124" ht="16" customHeight="1" x14ac:dyDescent="0.2"/>
    <row r="3125" ht="16" customHeight="1" x14ac:dyDescent="0.2"/>
    <row r="3126" ht="16" customHeight="1" x14ac:dyDescent="0.2"/>
    <row r="3127" ht="16" customHeight="1" x14ac:dyDescent="0.2"/>
    <row r="3128" ht="16" customHeight="1" x14ac:dyDescent="0.2"/>
    <row r="3129" ht="16" customHeight="1" x14ac:dyDescent="0.2"/>
    <row r="3130" ht="16" customHeight="1" x14ac:dyDescent="0.2"/>
    <row r="3131" ht="16" customHeight="1" x14ac:dyDescent="0.2"/>
    <row r="3132" ht="16" customHeight="1" x14ac:dyDescent="0.2"/>
    <row r="3133" ht="16" customHeight="1" x14ac:dyDescent="0.2"/>
    <row r="3134" ht="16" customHeight="1" x14ac:dyDescent="0.2"/>
    <row r="3135" ht="16" customHeight="1" x14ac:dyDescent="0.2"/>
    <row r="3136" ht="16" customHeight="1" x14ac:dyDescent="0.2"/>
    <row r="3137" ht="16" customHeight="1" x14ac:dyDescent="0.2"/>
    <row r="3138" ht="16" customHeight="1" x14ac:dyDescent="0.2"/>
    <row r="3139" ht="16" customHeight="1" x14ac:dyDescent="0.2"/>
    <row r="3140" ht="16" customHeight="1" x14ac:dyDescent="0.2"/>
    <row r="3141" ht="16" customHeight="1" x14ac:dyDescent="0.2"/>
    <row r="3142" ht="16" customHeight="1" x14ac:dyDescent="0.2"/>
    <row r="3143" ht="16" customHeight="1" x14ac:dyDescent="0.2"/>
    <row r="3144" ht="16" customHeight="1" x14ac:dyDescent="0.2"/>
    <row r="3145" ht="16" customHeight="1" x14ac:dyDescent="0.2"/>
    <row r="3146" ht="16" customHeight="1" x14ac:dyDescent="0.2"/>
    <row r="3147" ht="16" customHeight="1" x14ac:dyDescent="0.2"/>
    <row r="3148" ht="16" customHeight="1" x14ac:dyDescent="0.2"/>
    <row r="3149" ht="16" customHeight="1" x14ac:dyDescent="0.2"/>
    <row r="3150" ht="16" customHeight="1" x14ac:dyDescent="0.2"/>
    <row r="3151" ht="16" customHeight="1" x14ac:dyDescent="0.2"/>
    <row r="3152" ht="16" customHeight="1" x14ac:dyDescent="0.2"/>
    <row r="3153" ht="16" customHeight="1" x14ac:dyDescent="0.2"/>
    <row r="3154" ht="16" customHeight="1" x14ac:dyDescent="0.2"/>
    <row r="3155" ht="16" customHeight="1" x14ac:dyDescent="0.2"/>
    <row r="3156" ht="16" customHeight="1" x14ac:dyDescent="0.2"/>
    <row r="3157" ht="16" customHeight="1" x14ac:dyDescent="0.2"/>
    <row r="3158" ht="16" customHeight="1" x14ac:dyDescent="0.2"/>
    <row r="3159" ht="16" customHeight="1" x14ac:dyDescent="0.2"/>
    <row r="3160" ht="16" customHeight="1" x14ac:dyDescent="0.2"/>
    <row r="3161" ht="16" customHeight="1" x14ac:dyDescent="0.2"/>
    <row r="3162" ht="16" customHeight="1" x14ac:dyDescent="0.2"/>
    <row r="3163" ht="16" customHeight="1" x14ac:dyDescent="0.2"/>
    <row r="3164" ht="16" customHeight="1" x14ac:dyDescent="0.2"/>
    <row r="3165" ht="16" customHeight="1" x14ac:dyDescent="0.2"/>
    <row r="3166" ht="16" customHeight="1" x14ac:dyDescent="0.2"/>
    <row r="3167" ht="16" customHeight="1" x14ac:dyDescent="0.2"/>
    <row r="3168" ht="16" customHeight="1" x14ac:dyDescent="0.2"/>
    <row r="3169" ht="16" customHeight="1" x14ac:dyDescent="0.2"/>
    <row r="3170" ht="16" customHeight="1" x14ac:dyDescent="0.2"/>
    <row r="3171" ht="16" customHeight="1" x14ac:dyDescent="0.2"/>
    <row r="3172" ht="16" customHeight="1" x14ac:dyDescent="0.2"/>
    <row r="3173" ht="16" customHeight="1" x14ac:dyDescent="0.2"/>
    <row r="3174" ht="16" customHeight="1" x14ac:dyDescent="0.2"/>
    <row r="3175" ht="16" customHeight="1" x14ac:dyDescent="0.2"/>
    <row r="3176" ht="16" customHeight="1" x14ac:dyDescent="0.2"/>
    <row r="3177" ht="16" customHeight="1" x14ac:dyDescent="0.2"/>
    <row r="3178" ht="16" customHeight="1" x14ac:dyDescent="0.2"/>
    <row r="3179" ht="16" customHeight="1" x14ac:dyDescent="0.2"/>
    <row r="3180" ht="16" customHeight="1" x14ac:dyDescent="0.2"/>
    <row r="3181" ht="16" customHeight="1" x14ac:dyDescent="0.2"/>
    <row r="3182" ht="16" customHeight="1" x14ac:dyDescent="0.2"/>
    <row r="3183" ht="16" customHeight="1" x14ac:dyDescent="0.2"/>
    <row r="3184" ht="16" customHeight="1" x14ac:dyDescent="0.2"/>
    <row r="3185" ht="16" customHeight="1" x14ac:dyDescent="0.2"/>
    <row r="3186" ht="16" customHeight="1" x14ac:dyDescent="0.2"/>
    <row r="3187" ht="16" customHeight="1" x14ac:dyDescent="0.2"/>
    <row r="3188" ht="16" customHeight="1" x14ac:dyDescent="0.2"/>
    <row r="3189" ht="16" customHeight="1" x14ac:dyDescent="0.2"/>
    <row r="3190" ht="16" customHeight="1" x14ac:dyDescent="0.2"/>
    <row r="3191" ht="16" customHeight="1" x14ac:dyDescent="0.2"/>
    <row r="3192" ht="16" customHeight="1" x14ac:dyDescent="0.2"/>
    <row r="3193" ht="16" customHeight="1" x14ac:dyDescent="0.2"/>
    <row r="3194" ht="16" customHeight="1" x14ac:dyDescent="0.2"/>
    <row r="3195" ht="16" customHeight="1" x14ac:dyDescent="0.2"/>
    <row r="3196" ht="16" customHeight="1" x14ac:dyDescent="0.2"/>
    <row r="3197" ht="16" customHeight="1" x14ac:dyDescent="0.2"/>
    <row r="3198" ht="16" customHeight="1" x14ac:dyDescent="0.2"/>
    <row r="3199" ht="16" customHeight="1" x14ac:dyDescent="0.2"/>
    <row r="3200" ht="16" customHeight="1" x14ac:dyDescent="0.2"/>
    <row r="3201" ht="16" customHeight="1" x14ac:dyDescent="0.2"/>
    <row r="3202" ht="16" customHeight="1" x14ac:dyDescent="0.2"/>
    <row r="3203" ht="16" customHeight="1" x14ac:dyDescent="0.2"/>
    <row r="3204" ht="16" customHeight="1" x14ac:dyDescent="0.2"/>
    <row r="3205" ht="16" customHeight="1" x14ac:dyDescent="0.2"/>
    <row r="3206" ht="16" customHeight="1" x14ac:dyDescent="0.2"/>
    <row r="3207" ht="16" customHeight="1" x14ac:dyDescent="0.2"/>
    <row r="3208" ht="16" customHeight="1" x14ac:dyDescent="0.2"/>
    <row r="3209" ht="16" customHeight="1" x14ac:dyDescent="0.2"/>
    <row r="3210" ht="16" customHeight="1" x14ac:dyDescent="0.2"/>
    <row r="3211" ht="16" customHeight="1" x14ac:dyDescent="0.2"/>
    <row r="3212" ht="16" customHeight="1" x14ac:dyDescent="0.2"/>
    <row r="3213" ht="16" customHeight="1" x14ac:dyDescent="0.2"/>
    <row r="3214" ht="16" customHeight="1" x14ac:dyDescent="0.2"/>
    <row r="3215" ht="16" customHeight="1" x14ac:dyDescent="0.2"/>
    <row r="3216" ht="16" customHeight="1" x14ac:dyDescent="0.2"/>
    <row r="3217" ht="16" customHeight="1" x14ac:dyDescent="0.2"/>
    <row r="3218" ht="16" customHeight="1" x14ac:dyDescent="0.2"/>
    <row r="3219" ht="16" customHeight="1" x14ac:dyDescent="0.2"/>
    <row r="3220" ht="16" customHeight="1" x14ac:dyDescent="0.2"/>
    <row r="3221" ht="16" customHeight="1" x14ac:dyDescent="0.2"/>
    <row r="3222" ht="16" customHeight="1" x14ac:dyDescent="0.2"/>
    <row r="3223" ht="16" customHeight="1" x14ac:dyDescent="0.2"/>
    <row r="3224" ht="16" customHeight="1" x14ac:dyDescent="0.2"/>
    <row r="3225" ht="16" customHeight="1" x14ac:dyDescent="0.2"/>
    <row r="3226" ht="16" customHeight="1" x14ac:dyDescent="0.2"/>
    <row r="3227" ht="16" customHeight="1" x14ac:dyDescent="0.2"/>
    <row r="3228" ht="16" customHeight="1" x14ac:dyDescent="0.2"/>
    <row r="3229" ht="16" customHeight="1" x14ac:dyDescent="0.2"/>
    <row r="3230" ht="16" customHeight="1" x14ac:dyDescent="0.2"/>
    <row r="3231" ht="16" customHeight="1" x14ac:dyDescent="0.2"/>
    <row r="3232" ht="16" customHeight="1" x14ac:dyDescent="0.2"/>
    <row r="3233" ht="16" customHeight="1" x14ac:dyDescent="0.2"/>
    <row r="3234" ht="16" customHeight="1" x14ac:dyDescent="0.2"/>
    <row r="3235" ht="16" customHeight="1" x14ac:dyDescent="0.2"/>
    <row r="3236" ht="16" customHeight="1" x14ac:dyDescent="0.2"/>
    <row r="3237" ht="16" customHeight="1" x14ac:dyDescent="0.2"/>
    <row r="3238" ht="16" customHeight="1" x14ac:dyDescent="0.2"/>
    <row r="3239" ht="16" customHeight="1" x14ac:dyDescent="0.2"/>
    <row r="3240" ht="16" customHeight="1" x14ac:dyDescent="0.2"/>
    <row r="3241" ht="16" customHeight="1" x14ac:dyDescent="0.2"/>
    <row r="3242" ht="16" customHeight="1" x14ac:dyDescent="0.2"/>
    <row r="3243" ht="16" customHeight="1" x14ac:dyDescent="0.2"/>
    <row r="3244" ht="16" customHeight="1" x14ac:dyDescent="0.2"/>
    <row r="3245" ht="16" customHeight="1" x14ac:dyDescent="0.2"/>
    <row r="3246" ht="16" customHeight="1" x14ac:dyDescent="0.2"/>
    <row r="3247" ht="16" customHeight="1" x14ac:dyDescent="0.2"/>
    <row r="3248" ht="16" customHeight="1" x14ac:dyDescent="0.2"/>
    <row r="3249" ht="16" customHeight="1" x14ac:dyDescent="0.2"/>
    <row r="3250" ht="16" customHeight="1" x14ac:dyDescent="0.2"/>
    <row r="3251" ht="16" customHeight="1" x14ac:dyDescent="0.2"/>
    <row r="3252" ht="16" customHeight="1" x14ac:dyDescent="0.2"/>
    <row r="3253" ht="16" customHeight="1" x14ac:dyDescent="0.2"/>
    <row r="3254" ht="16" customHeight="1" x14ac:dyDescent="0.2"/>
    <row r="3255" ht="16" customHeight="1" x14ac:dyDescent="0.2"/>
    <row r="3256" ht="16" customHeight="1" x14ac:dyDescent="0.2"/>
    <row r="3257" ht="16" customHeight="1" x14ac:dyDescent="0.2"/>
    <row r="3258" ht="16" customHeight="1" x14ac:dyDescent="0.2"/>
    <row r="3259" ht="16" customHeight="1" x14ac:dyDescent="0.2"/>
    <row r="3260" ht="16" customHeight="1" x14ac:dyDescent="0.2"/>
    <row r="3261" ht="16" customHeight="1" x14ac:dyDescent="0.2"/>
    <row r="3262" ht="16" customHeight="1" x14ac:dyDescent="0.2"/>
    <row r="3263" ht="16" customHeight="1" x14ac:dyDescent="0.2"/>
    <row r="3264" ht="16" customHeight="1" x14ac:dyDescent="0.2"/>
    <row r="3265" ht="16" customHeight="1" x14ac:dyDescent="0.2"/>
    <row r="3266" ht="16" customHeight="1" x14ac:dyDescent="0.2"/>
    <row r="3267" ht="16" customHeight="1" x14ac:dyDescent="0.2"/>
    <row r="3268" ht="16" customHeight="1" x14ac:dyDescent="0.2"/>
    <row r="3269" ht="16" customHeight="1" x14ac:dyDescent="0.2"/>
    <row r="3270" ht="16" customHeight="1" x14ac:dyDescent="0.2"/>
    <row r="3271" ht="16" customHeight="1" x14ac:dyDescent="0.2"/>
    <row r="3272" ht="16" customHeight="1" x14ac:dyDescent="0.2"/>
    <row r="3273" ht="16" customHeight="1" x14ac:dyDescent="0.2"/>
    <row r="3274" ht="16" customHeight="1" x14ac:dyDescent="0.2"/>
    <row r="3275" ht="16" customHeight="1" x14ac:dyDescent="0.2"/>
    <row r="3276" ht="16" customHeight="1" x14ac:dyDescent="0.2"/>
    <row r="3277" ht="16" customHeight="1" x14ac:dyDescent="0.2"/>
    <row r="3278" ht="16" customHeight="1" x14ac:dyDescent="0.2"/>
    <row r="3279" ht="16" customHeight="1" x14ac:dyDescent="0.2"/>
    <row r="3280" ht="16" customHeight="1" x14ac:dyDescent="0.2"/>
    <row r="3281" ht="16" customHeight="1" x14ac:dyDescent="0.2"/>
    <row r="3282" ht="16" customHeight="1" x14ac:dyDescent="0.2"/>
    <row r="3283" ht="16" customHeight="1" x14ac:dyDescent="0.2"/>
    <row r="3284" ht="16" customHeight="1" x14ac:dyDescent="0.2"/>
    <row r="3285" ht="16" customHeight="1" x14ac:dyDescent="0.2"/>
    <row r="3286" ht="16" customHeight="1" x14ac:dyDescent="0.2"/>
    <row r="3287" ht="16" customHeight="1" x14ac:dyDescent="0.2"/>
    <row r="3288" ht="16" customHeight="1" x14ac:dyDescent="0.2"/>
    <row r="3289" ht="16" customHeight="1" x14ac:dyDescent="0.2"/>
    <row r="3290" ht="16" customHeight="1" x14ac:dyDescent="0.2"/>
    <row r="3291" ht="16" customHeight="1" x14ac:dyDescent="0.2"/>
    <row r="3292" ht="16" customHeight="1" x14ac:dyDescent="0.2"/>
    <row r="3293" ht="16" customHeight="1" x14ac:dyDescent="0.2"/>
    <row r="3294" ht="16" customHeight="1" x14ac:dyDescent="0.2"/>
    <row r="3295" ht="16" customHeight="1" x14ac:dyDescent="0.2"/>
    <row r="3296" ht="16" customHeight="1" x14ac:dyDescent="0.2"/>
    <row r="3297" ht="16" customHeight="1" x14ac:dyDescent="0.2"/>
    <row r="3298" ht="16" customHeight="1" x14ac:dyDescent="0.2"/>
    <row r="3299" ht="16" customHeight="1" x14ac:dyDescent="0.2"/>
    <row r="3300" ht="16" customHeight="1" x14ac:dyDescent="0.2"/>
    <row r="3301" ht="16" customHeight="1" x14ac:dyDescent="0.2"/>
    <row r="3302" ht="16" customHeight="1" x14ac:dyDescent="0.2"/>
    <row r="3303" ht="16" customHeight="1" x14ac:dyDescent="0.2"/>
    <row r="3304" ht="16" customHeight="1" x14ac:dyDescent="0.2"/>
    <row r="3305" ht="16" customHeight="1" x14ac:dyDescent="0.2"/>
    <row r="3306" ht="16" customHeight="1" x14ac:dyDescent="0.2"/>
    <row r="3307" ht="16" customHeight="1" x14ac:dyDescent="0.2"/>
    <row r="3308" ht="16" customHeight="1" x14ac:dyDescent="0.2"/>
    <row r="3309" ht="16" customHeight="1" x14ac:dyDescent="0.2"/>
    <row r="3310" ht="16" customHeight="1" x14ac:dyDescent="0.2"/>
    <row r="3311" ht="16" customHeight="1" x14ac:dyDescent="0.2"/>
    <row r="3312" ht="16" customHeight="1" x14ac:dyDescent="0.2"/>
    <row r="3313" ht="16" customHeight="1" x14ac:dyDescent="0.2"/>
    <row r="3314" ht="16" customHeight="1" x14ac:dyDescent="0.2"/>
    <row r="3315" ht="16" customHeight="1" x14ac:dyDescent="0.2"/>
    <row r="3316" ht="16" customHeight="1" x14ac:dyDescent="0.2"/>
    <row r="3317" ht="16" customHeight="1" x14ac:dyDescent="0.2"/>
    <row r="3318" ht="16" customHeight="1" x14ac:dyDescent="0.2"/>
    <row r="3319" ht="16" customHeight="1" x14ac:dyDescent="0.2"/>
    <row r="3320" ht="16" customHeight="1" x14ac:dyDescent="0.2"/>
    <row r="3321" ht="16" customHeight="1" x14ac:dyDescent="0.2"/>
    <row r="3322" ht="16" customHeight="1" x14ac:dyDescent="0.2"/>
    <row r="3323" ht="16" customHeight="1" x14ac:dyDescent="0.2"/>
    <row r="3324" ht="16" customHeight="1" x14ac:dyDescent="0.2"/>
    <row r="3325" ht="16" customHeight="1" x14ac:dyDescent="0.2"/>
    <row r="3326" ht="16" customHeight="1" x14ac:dyDescent="0.2"/>
    <row r="3327" ht="16" customHeight="1" x14ac:dyDescent="0.2"/>
    <row r="3328" ht="16" customHeight="1" x14ac:dyDescent="0.2"/>
    <row r="3329" ht="16" customHeight="1" x14ac:dyDescent="0.2"/>
    <row r="3330" ht="16" customHeight="1" x14ac:dyDescent="0.2"/>
    <row r="3331" ht="16" customHeight="1" x14ac:dyDescent="0.2"/>
    <row r="3332" ht="16" customHeight="1" x14ac:dyDescent="0.2"/>
    <row r="3333" ht="16" customHeight="1" x14ac:dyDescent="0.2"/>
    <row r="3334" ht="16" customHeight="1" x14ac:dyDescent="0.2"/>
    <row r="3335" ht="16" customHeight="1" x14ac:dyDescent="0.2"/>
    <row r="3336" ht="16" customHeight="1" x14ac:dyDescent="0.2"/>
    <row r="3337" ht="16" customHeight="1" x14ac:dyDescent="0.2"/>
    <row r="3338" ht="16" customHeight="1" x14ac:dyDescent="0.2"/>
    <row r="3339" ht="16" customHeight="1" x14ac:dyDescent="0.2"/>
    <row r="3340" ht="16" customHeight="1" x14ac:dyDescent="0.2"/>
    <row r="3341" ht="16" customHeight="1" x14ac:dyDescent="0.2"/>
    <row r="3342" ht="16" customHeight="1" x14ac:dyDescent="0.2"/>
    <row r="3343" ht="16" customHeight="1" x14ac:dyDescent="0.2"/>
    <row r="3344" ht="16" customHeight="1" x14ac:dyDescent="0.2"/>
    <row r="3345" ht="16" customHeight="1" x14ac:dyDescent="0.2"/>
    <row r="3346" ht="16" customHeight="1" x14ac:dyDescent="0.2"/>
    <row r="3347" ht="16" customHeight="1" x14ac:dyDescent="0.2"/>
    <row r="3348" ht="16" customHeight="1" x14ac:dyDescent="0.2"/>
    <row r="3349" ht="16" customHeight="1" x14ac:dyDescent="0.2"/>
    <row r="3350" ht="16" customHeight="1" x14ac:dyDescent="0.2"/>
    <row r="3351" ht="16" customHeight="1" x14ac:dyDescent="0.2"/>
    <row r="3352" ht="16" customHeight="1" x14ac:dyDescent="0.2"/>
    <row r="3353" ht="16" customHeight="1" x14ac:dyDescent="0.2"/>
    <row r="3354" ht="16" customHeight="1" x14ac:dyDescent="0.2"/>
    <row r="3355" ht="16" customHeight="1" x14ac:dyDescent="0.2"/>
    <row r="3356" ht="16" customHeight="1" x14ac:dyDescent="0.2"/>
    <row r="3357" ht="16" customHeight="1" x14ac:dyDescent="0.2"/>
    <row r="3358" ht="16" customHeight="1" x14ac:dyDescent="0.2"/>
    <row r="3359" ht="16" customHeight="1" x14ac:dyDescent="0.2"/>
    <row r="3360" ht="16" customHeight="1" x14ac:dyDescent="0.2"/>
    <row r="3361" ht="16" customHeight="1" x14ac:dyDescent="0.2"/>
    <row r="3362" ht="16" customHeight="1" x14ac:dyDescent="0.2"/>
    <row r="3363" ht="16" customHeight="1" x14ac:dyDescent="0.2"/>
    <row r="3364" ht="16" customHeight="1" x14ac:dyDescent="0.2"/>
    <row r="3365" ht="16" customHeight="1" x14ac:dyDescent="0.2"/>
    <row r="3366" ht="16" customHeight="1" x14ac:dyDescent="0.2"/>
    <row r="3367" ht="16" customHeight="1" x14ac:dyDescent="0.2"/>
    <row r="3368" ht="16" customHeight="1" x14ac:dyDescent="0.2"/>
    <row r="3369" ht="16" customHeight="1" x14ac:dyDescent="0.2"/>
    <row r="3370" ht="16" customHeight="1" x14ac:dyDescent="0.2"/>
    <row r="3371" ht="16" customHeight="1" x14ac:dyDescent="0.2"/>
    <row r="3372" ht="16" customHeight="1" x14ac:dyDescent="0.2"/>
    <row r="3373" ht="16" customHeight="1" x14ac:dyDescent="0.2"/>
    <row r="3374" ht="16" customHeight="1" x14ac:dyDescent="0.2"/>
    <row r="3375" ht="16" customHeight="1" x14ac:dyDescent="0.2"/>
    <row r="3376" ht="16" customHeight="1" x14ac:dyDescent="0.2"/>
    <row r="3377" ht="16" customHeight="1" x14ac:dyDescent="0.2"/>
    <row r="3378" ht="16" customHeight="1" x14ac:dyDescent="0.2"/>
    <row r="3379" ht="16" customHeight="1" x14ac:dyDescent="0.2"/>
    <row r="3380" ht="16" customHeight="1" x14ac:dyDescent="0.2"/>
    <row r="3381" ht="16" customHeight="1" x14ac:dyDescent="0.2"/>
    <row r="3382" ht="16" customHeight="1" x14ac:dyDescent="0.2"/>
    <row r="3383" ht="16" customHeight="1" x14ac:dyDescent="0.2"/>
    <row r="3384" ht="16" customHeight="1" x14ac:dyDescent="0.2"/>
    <row r="3385" ht="16" customHeight="1" x14ac:dyDescent="0.2"/>
    <row r="3386" ht="16" customHeight="1" x14ac:dyDescent="0.2"/>
    <row r="3387" ht="16" customHeight="1" x14ac:dyDescent="0.2"/>
    <row r="3388" ht="16" customHeight="1" x14ac:dyDescent="0.2"/>
    <row r="3389" ht="16" customHeight="1" x14ac:dyDescent="0.2"/>
    <row r="3390" ht="16" customHeight="1" x14ac:dyDescent="0.2"/>
    <row r="3391" ht="16" customHeight="1" x14ac:dyDescent="0.2"/>
    <row r="3392" ht="16" customHeight="1" x14ac:dyDescent="0.2"/>
    <row r="3393" ht="16" customHeight="1" x14ac:dyDescent="0.2"/>
    <row r="3394" ht="16" customHeight="1" x14ac:dyDescent="0.2"/>
    <row r="3395" ht="16" customHeight="1" x14ac:dyDescent="0.2"/>
    <row r="3396" ht="16" customHeight="1" x14ac:dyDescent="0.2"/>
    <row r="3397" ht="16" customHeight="1" x14ac:dyDescent="0.2"/>
    <row r="3398" ht="16" customHeight="1" x14ac:dyDescent="0.2"/>
    <row r="3399" ht="16" customHeight="1" x14ac:dyDescent="0.2"/>
    <row r="3400" ht="16" customHeight="1" x14ac:dyDescent="0.2"/>
    <row r="3401" ht="16" customHeight="1" x14ac:dyDescent="0.2"/>
    <row r="3402" ht="16" customHeight="1" x14ac:dyDescent="0.2"/>
    <row r="3403" ht="16" customHeight="1" x14ac:dyDescent="0.2"/>
    <row r="3404" ht="16" customHeight="1" x14ac:dyDescent="0.2"/>
    <row r="3405" ht="16" customHeight="1" x14ac:dyDescent="0.2"/>
    <row r="3406" ht="16" customHeight="1" x14ac:dyDescent="0.2"/>
    <row r="3407" ht="16" customHeight="1" x14ac:dyDescent="0.2"/>
    <row r="3408" ht="16" customHeight="1" x14ac:dyDescent="0.2"/>
    <row r="3409" ht="16" customHeight="1" x14ac:dyDescent="0.2"/>
    <row r="3410" ht="16" customHeight="1" x14ac:dyDescent="0.2"/>
    <row r="3411" ht="16" customHeight="1" x14ac:dyDescent="0.2"/>
    <row r="3412" ht="16" customHeight="1" x14ac:dyDescent="0.2"/>
    <row r="3413" ht="16" customHeight="1" x14ac:dyDescent="0.2"/>
    <row r="3414" ht="16" customHeight="1" x14ac:dyDescent="0.2"/>
    <row r="3415" ht="16" customHeight="1" x14ac:dyDescent="0.2"/>
    <row r="3416" ht="16" customHeight="1" x14ac:dyDescent="0.2"/>
    <row r="3417" ht="16" customHeight="1" x14ac:dyDescent="0.2"/>
    <row r="3418" ht="16" customHeight="1" x14ac:dyDescent="0.2"/>
    <row r="3419" ht="16" customHeight="1" x14ac:dyDescent="0.2"/>
    <row r="3420" ht="16" customHeight="1" x14ac:dyDescent="0.2"/>
    <row r="3421" ht="16" customHeight="1" x14ac:dyDescent="0.2"/>
    <row r="3422" ht="16" customHeight="1" x14ac:dyDescent="0.2"/>
    <row r="3423" ht="16" customHeight="1" x14ac:dyDescent="0.2"/>
    <row r="3424" ht="16" customHeight="1" x14ac:dyDescent="0.2"/>
    <row r="3425" ht="16" customHeight="1" x14ac:dyDescent="0.2"/>
    <row r="3426" ht="16" customHeight="1" x14ac:dyDescent="0.2"/>
    <row r="3427" ht="16" customHeight="1" x14ac:dyDescent="0.2"/>
    <row r="3428" ht="16" customHeight="1" x14ac:dyDescent="0.2"/>
    <row r="3429" ht="16" customHeight="1" x14ac:dyDescent="0.2"/>
    <row r="3430" ht="16" customHeight="1" x14ac:dyDescent="0.2"/>
    <row r="3431" ht="16" customHeight="1" x14ac:dyDescent="0.2"/>
    <row r="3432" ht="16" customHeight="1" x14ac:dyDescent="0.2"/>
    <row r="3433" ht="16" customHeight="1" x14ac:dyDescent="0.2"/>
    <row r="3434" ht="16" customHeight="1" x14ac:dyDescent="0.2"/>
    <row r="3435" ht="16" customHeight="1" x14ac:dyDescent="0.2"/>
    <row r="3436" ht="16" customHeight="1" x14ac:dyDescent="0.2"/>
    <row r="3437" ht="16" customHeight="1" x14ac:dyDescent="0.2"/>
    <row r="3438" ht="16" customHeight="1" x14ac:dyDescent="0.2"/>
    <row r="3439" ht="16" customHeight="1" x14ac:dyDescent="0.2"/>
    <row r="3440" ht="16" customHeight="1" x14ac:dyDescent="0.2"/>
    <row r="3441" ht="16" customHeight="1" x14ac:dyDescent="0.2"/>
    <row r="3442" ht="16" customHeight="1" x14ac:dyDescent="0.2"/>
    <row r="3443" ht="16" customHeight="1" x14ac:dyDescent="0.2"/>
    <row r="3444" ht="16" customHeight="1" x14ac:dyDescent="0.2"/>
    <row r="3445" ht="16" customHeight="1" x14ac:dyDescent="0.2"/>
    <row r="3446" ht="16" customHeight="1" x14ac:dyDescent="0.2"/>
    <row r="3447" ht="16" customHeight="1" x14ac:dyDescent="0.2"/>
    <row r="3448" ht="16" customHeight="1" x14ac:dyDescent="0.2"/>
    <row r="3449" ht="16" customHeight="1" x14ac:dyDescent="0.2"/>
    <row r="3450" ht="16" customHeight="1" x14ac:dyDescent="0.2"/>
    <row r="3451" ht="16" customHeight="1" x14ac:dyDescent="0.2"/>
    <row r="3452" ht="16" customHeight="1" x14ac:dyDescent="0.2"/>
    <row r="3453" ht="16" customHeight="1" x14ac:dyDescent="0.2"/>
    <row r="3454" ht="16" customHeight="1" x14ac:dyDescent="0.2"/>
    <row r="3455" ht="16" customHeight="1" x14ac:dyDescent="0.2"/>
    <row r="3456" ht="16" customHeight="1" x14ac:dyDescent="0.2"/>
    <row r="3457" ht="16" customHeight="1" x14ac:dyDescent="0.2"/>
    <row r="3458" ht="16" customHeight="1" x14ac:dyDescent="0.2"/>
    <row r="3459" ht="16" customHeight="1" x14ac:dyDescent="0.2"/>
    <row r="3460" ht="16" customHeight="1" x14ac:dyDescent="0.2"/>
    <row r="3461" ht="16" customHeight="1" x14ac:dyDescent="0.2"/>
    <row r="3462" ht="16" customHeight="1" x14ac:dyDescent="0.2"/>
    <row r="3463" ht="16" customHeight="1" x14ac:dyDescent="0.2"/>
    <row r="3464" ht="16" customHeight="1" x14ac:dyDescent="0.2"/>
    <row r="3465" ht="16" customHeight="1" x14ac:dyDescent="0.2"/>
    <row r="3466" ht="16" customHeight="1" x14ac:dyDescent="0.2"/>
    <row r="3467" ht="16" customHeight="1" x14ac:dyDescent="0.2"/>
    <row r="3468" ht="16" customHeight="1" x14ac:dyDescent="0.2"/>
    <row r="3469" ht="16" customHeight="1" x14ac:dyDescent="0.2"/>
    <row r="3470" ht="16" customHeight="1" x14ac:dyDescent="0.2"/>
    <row r="3471" ht="16" customHeight="1" x14ac:dyDescent="0.2"/>
    <row r="3472" ht="16" customHeight="1" x14ac:dyDescent="0.2"/>
    <row r="3473" ht="16" customHeight="1" x14ac:dyDescent="0.2"/>
    <row r="3474" ht="16" customHeight="1" x14ac:dyDescent="0.2"/>
    <row r="3475" ht="16" customHeight="1" x14ac:dyDescent="0.2"/>
    <row r="3476" ht="16" customHeight="1" x14ac:dyDescent="0.2"/>
    <row r="3477" ht="16" customHeight="1" x14ac:dyDescent="0.2"/>
    <row r="3478" ht="16" customHeight="1" x14ac:dyDescent="0.2"/>
    <row r="3479" ht="16" customHeight="1" x14ac:dyDescent="0.2"/>
    <row r="3480" ht="16" customHeight="1" x14ac:dyDescent="0.2"/>
    <row r="3481" ht="16" customHeight="1" x14ac:dyDescent="0.2"/>
    <row r="3482" ht="16" customHeight="1" x14ac:dyDescent="0.2"/>
    <row r="3483" ht="16" customHeight="1" x14ac:dyDescent="0.2"/>
    <row r="3484" ht="16" customHeight="1" x14ac:dyDescent="0.2"/>
    <row r="3485" ht="16" customHeight="1" x14ac:dyDescent="0.2"/>
    <row r="3486" ht="16" customHeight="1" x14ac:dyDescent="0.2"/>
    <row r="3487" ht="16" customHeight="1" x14ac:dyDescent="0.2"/>
    <row r="3488" ht="16" customHeight="1" x14ac:dyDescent="0.2"/>
    <row r="3489" ht="16" customHeight="1" x14ac:dyDescent="0.2"/>
    <row r="3490" ht="16" customHeight="1" x14ac:dyDescent="0.2"/>
    <row r="3491" ht="16" customHeight="1" x14ac:dyDescent="0.2"/>
    <row r="3492" ht="16" customHeight="1" x14ac:dyDescent="0.2"/>
    <row r="3493" ht="16" customHeight="1" x14ac:dyDescent="0.2"/>
    <row r="3494" ht="16" customHeight="1" x14ac:dyDescent="0.2"/>
    <row r="3495" ht="16" customHeight="1" x14ac:dyDescent="0.2"/>
    <row r="3496" ht="16" customHeight="1" x14ac:dyDescent="0.2"/>
    <row r="3497" ht="16" customHeight="1" x14ac:dyDescent="0.2"/>
    <row r="3498" ht="16" customHeight="1" x14ac:dyDescent="0.2"/>
    <row r="3499" ht="16" customHeight="1" x14ac:dyDescent="0.2"/>
    <row r="3500" ht="16" customHeight="1" x14ac:dyDescent="0.2"/>
    <row r="3501" ht="16" customHeight="1" x14ac:dyDescent="0.2"/>
    <row r="3502" ht="16" customHeight="1" x14ac:dyDescent="0.2"/>
    <row r="3503" ht="16" customHeight="1" x14ac:dyDescent="0.2"/>
    <row r="3504" ht="16" customHeight="1" x14ac:dyDescent="0.2"/>
    <row r="3505" ht="16" customHeight="1" x14ac:dyDescent="0.2"/>
    <row r="3506" ht="16" customHeight="1" x14ac:dyDescent="0.2"/>
    <row r="3507" ht="16" customHeight="1" x14ac:dyDescent="0.2"/>
    <row r="3508" ht="16" customHeight="1" x14ac:dyDescent="0.2"/>
    <row r="3509" ht="16" customHeight="1" x14ac:dyDescent="0.2"/>
    <row r="3510" ht="16" customHeight="1" x14ac:dyDescent="0.2"/>
    <row r="3511" ht="16" customHeight="1" x14ac:dyDescent="0.2"/>
    <row r="3512" ht="16" customHeight="1" x14ac:dyDescent="0.2"/>
    <row r="3513" ht="16" customHeight="1" x14ac:dyDescent="0.2"/>
    <row r="3514" ht="16" customHeight="1" x14ac:dyDescent="0.2"/>
    <row r="3515" ht="16" customHeight="1" x14ac:dyDescent="0.2"/>
    <row r="3516" ht="16" customHeight="1" x14ac:dyDescent="0.2"/>
    <row r="3517" ht="16" customHeight="1" x14ac:dyDescent="0.2"/>
    <row r="3518" ht="16" customHeight="1" x14ac:dyDescent="0.2"/>
    <row r="3519" ht="16" customHeight="1" x14ac:dyDescent="0.2"/>
    <row r="3520" ht="16" customHeight="1" x14ac:dyDescent="0.2"/>
    <row r="3521" ht="16" customHeight="1" x14ac:dyDescent="0.2"/>
    <row r="3522" ht="16" customHeight="1" x14ac:dyDescent="0.2"/>
    <row r="3523" ht="16" customHeight="1" x14ac:dyDescent="0.2"/>
    <row r="3524" ht="16" customHeight="1" x14ac:dyDescent="0.2"/>
    <row r="3525" ht="16" customHeight="1" x14ac:dyDescent="0.2"/>
    <row r="3526" ht="16" customHeight="1" x14ac:dyDescent="0.2"/>
    <row r="3527" ht="16" customHeight="1" x14ac:dyDescent="0.2"/>
    <row r="3528" ht="16" customHeight="1" x14ac:dyDescent="0.2"/>
    <row r="3529" ht="16" customHeight="1" x14ac:dyDescent="0.2"/>
    <row r="3530" ht="16" customHeight="1" x14ac:dyDescent="0.2"/>
    <row r="3531" ht="16" customHeight="1" x14ac:dyDescent="0.2"/>
    <row r="3532" ht="16" customHeight="1" x14ac:dyDescent="0.2"/>
    <row r="3533" ht="16" customHeight="1" x14ac:dyDescent="0.2"/>
    <row r="3534" ht="16" customHeight="1" x14ac:dyDescent="0.2"/>
    <row r="3535" ht="16" customHeight="1" x14ac:dyDescent="0.2"/>
    <row r="3536" ht="16" customHeight="1" x14ac:dyDescent="0.2"/>
    <row r="3537" ht="16" customHeight="1" x14ac:dyDescent="0.2"/>
    <row r="3538" ht="16" customHeight="1" x14ac:dyDescent="0.2"/>
    <row r="3539" ht="16" customHeight="1" x14ac:dyDescent="0.2"/>
    <row r="3540" ht="16" customHeight="1" x14ac:dyDescent="0.2"/>
    <row r="3541" ht="16" customHeight="1" x14ac:dyDescent="0.2"/>
    <row r="3542" ht="16" customHeight="1" x14ac:dyDescent="0.2"/>
    <row r="3543" ht="16" customHeight="1" x14ac:dyDescent="0.2"/>
    <row r="3544" ht="16" customHeight="1" x14ac:dyDescent="0.2"/>
    <row r="3545" ht="16" customHeight="1" x14ac:dyDescent="0.2"/>
    <row r="3546" ht="16" customHeight="1" x14ac:dyDescent="0.2"/>
    <row r="3547" ht="16" customHeight="1" x14ac:dyDescent="0.2"/>
    <row r="3548" ht="16" customHeight="1" x14ac:dyDescent="0.2"/>
    <row r="3549" ht="16" customHeight="1" x14ac:dyDescent="0.2"/>
    <row r="3550" ht="16" customHeight="1" x14ac:dyDescent="0.2"/>
    <row r="3551" ht="16" customHeight="1" x14ac:dyDescent="0.2"/>
    <row r="3552" ht="16" customHeight="1" x14ac:dyDescent="0.2"/>
    <row r="3553" ht="16" customHeight="1" x14ac:dyDescent="0.2"/>
    <row r="3554" ht="16" customHeight="1" x14ac:dyDescent="0.2"/>
    <row r="3555" ht="16" customHeight="1" x14ac:dyDescent="0.2"/>
    <row r="3556" ht="16" customHeight="1" x14ac:dyDescent="0.2"/>
    <row r="3557" ht="16" customHeight="1" x14ac:dyDescent="0.2"/>
    <row r="3558" ht="16" customHeight="1" x14ac:dyDescent="0.2"/>
    <row r="3559" ht="16" customHeight="1" x14ac:dyDescent="0.2"/>
    <row r="3560" ht="16" customHeight="1" x14ac:dyDescent="0.2"/>
    <row r="3561" ht="16" customHeight="1" x14ac:dyDescent="0.2"/>
    <row r="3562" ht="16" customHeight="1" x14ac:dyDescent="0.2"/>
    <row r="3563" ht="16" customHeight="1" x14ac:dyDescent="0.2"/>
    <row r="3564" ht="16" customHeight="1" x14ac:dyDescent="0.2"/>
    <row r="3565" ht="16" customHeight="1" x14ac:dyDescent="0.2"/>
    <row r="3566" ht="16" customHeight="1" x14ac:dyDescent="0.2"/>
    <row r="3567" ht="16" customHeight="1" x14ac:dyDescent="0.2"/>
    <row r="3568" ht="16" customHeight="1" x14ac:dyDescent="0.2"/>
    <row r="3569" ht="16" customHeight="1" x14ac:dyDescent="0.2"/>
    <row r="3570" ht="16" customHeight="1" x14ac:dyDescent="0.2"/>
    <row r="3571" ht="16" customHeight="1" x14ac:dyDescent="0.2"/>
    <row r="3572" ht="16" customHeight="1" x14ac:dyDescent="0.2"/>
    <row r="3573" ht="16" customHeight="1" x14ac:dyDescent="0.2"/>
    <row r="3574" ht="16" customHeight="1" x14ac:dyDescent="0.2"/>
    <row r="3575" ht="16" customHeight="1" x14ac:dyDescent="0.2"/>
    <row r="3576" ht="16" customHeight="1" x14ac:dyDescent="0.2"/>
    <row r="3577" ht="16" customHeight="1" x14ac:dyDescent="0.2"/>
    <row r="3578" ht="16" customHeight="1" x14ac:dyDescent="0.2"/>
    <row r="3579" ht="16" customHeight="1" x14ac:dyDescent="0.2"/>
    <row r="3580" ht="16" customHeight="1" x14ac:dyDescent="0.2"/>
    <row r="3581" ht="16" customHeight="1" x14ac:dyDescent="0.2"/>
    <row r="3582" ht="16" customHeight="1" x14ac:dyDescent="0.2"/>
    <row r="3583" ht="16" customHeight="1" x14ac:dyDescent="0.2"/>
    <row r="3584" ht="16" customHeight="1" x14ac:dyDescent="0.2"/>
    <row r="3585" ht="16" customHeight="1" x14ac:dyDescent="0.2"/>
    <row r="3586" ht="16" customHeight="1" x14ac:dyDescent="0.2"/>
    <row r="3587" ht="16" customHeight="1" x14ac:dyDescent="0.2"/>
    <row r="3588" ht="16" customHeight="1" x14ac:dyDescent="0.2"/>
    <row r="3589" ht="16" customHeight="1" x14ac:dyDescent="0.2"/>
    <row r="3590" ht="16" customHeight="1" x14ac:dyDescent="0.2"/>
    <row r="3591" ht="16" customHeight="1" x14ac:dyDescent="0.2"/>
    <row r="3592" ht="16" customHeight="1" x14ac:dyDescent="0.2"/>
    <row r="3593" ht="16" customHeight="1" x14ac:dyDescent="0.2"/>
    <row r="3594" ht="16" customHeight="1" x14ac:dyDescent="0.2"/>
    <row r="3595" ht="16" customHeight="1" x14ac:dyDescent="0.2"/>
    <row r="3596" ht="16" customHeight="1" x14ac:dyDescent="0.2"/>
    <row r="3597" ht="16" customHeight="1" x14ac:dyDescent="0.2"/>
    <row r="3598" ht="16" customHeight="1" x14ac:dyDescent="0.2"/>
    <row r="3599" ht="16" customHeight="1" x14ac:dyDescent="0.2"/>
    <row r="3600" ht="16" customHeight="1" x14ac:dyDescent="0.2"/>
    <row r="3601" ht="16" customHeight="1" x14ac:dyDescent="0.2"/>
    <row r="3602" ht="16" customHeight="1" x14ac:dyDescent="0.2"/>
    <row r="3603" ht="16" customHeight="1" x14ac:dyDescent="0.2"/>
    <row r="3604" ht="16" customHeight="1" x14ac:dyDescent="0.2"/>
    <row r="3605" ht="16" customHeight="1" x14ac:dyDescent="0.2"/>
    <row r="3606" ht="16" customHeight="1" x14ac:dyDescent="0.2"/>
    <row r="3607" ht="16" customHeight="1" x14ac:dyDescent="0.2"/>
    <row r="3608" ht="16" customHeight="1" x14ac:dyDescent="0.2"/>
    <row r="3609" ht="16" customHeight="1" x14ac:dyDescent="0.2"/>
    <row r="3610" ht="16" customHeight="1" x14ac:dyDescent="0.2"/>
    <row r="3611" ht="16" customHeight="1" x14ac:dyDescent="0.2"/>
    <row r="3612" ht="16" customHeight="1" x14ac:dyDescent="0.2"/>
    <row r="3613" ht="16" customHeight="1" x14ac:dyDescent="0.2"/>
    <row r="3614" ht="16" customHeight="1" x14ac:dyDescent="0.2"/>
    <row r="3615" ht="16" customHeight="1" x14ac:dyDescent="0.2"/>
    <row r="3616" ht="16" customHeight="1" x14ac:dyDescent="0.2"/>
    <row r="3617" ht="16" customHeight="1" x14ac:dyDescent="0.2"/>
    <row r="3618" ht="16" customHeight="1" x14ac:dyDescent="0.2"/>
    <row r="3619" ht="16" customHeight="1" x14ac:dyDescent="0.2"/>
    <row r="3620" ht="16" customHeight="1" x14ac:dyDescent="0.2"/>
    <row r="3621" ht="16" customHeight="1" x14ac:dyDescent="0.2"/>
    <row r="3622" ht="16" customHeight="1" x14ac:dyDescent="0.2"/>
    <row r="3623" ht="16" customHeight="1" x14ac:dyDescent="0.2"/>
    <row r="3624" ht="16" customHeight="1" x14ac:dyDescent="0.2"/>
    <row r="3625" ht="16" customHeight="1" x14ac:dyDescent="0.2"/>
    <row r="3626" ht="16" customHeight="1" x14ac:dyDescent="0.2"/>
    <row r="3627" ht="16" customHeight="1" x14ac:dyDescent="0.2"/>
    <row r="3628" ht="16" customHeight="1" x14ac:dyDescent="0.2"/>
    <row r="3629" ht="16" customHeight="1" x14ac:dyDescent="0.2"/>
    <row r="3630" ht="16" customHeight="1" x14ac:dyDescent="0.2"/>
    <row r="3631" ht="16" customHeight="1" x14ac:dyDescent="0.2"/>
    <row r="3632" ht="16" customHeight="1" x14ac:dyDescent="0.2"/>
    <row r="3633" ht="16" customHeight="1" x14ac:dyDescent="0.2"/>
    <row r="3634" ht="16" customHeight="1" x14ac:dyDescent="0.2"/>
    <row r="3635" ht="16" customHeight="1" x14ac:dyDescent="0.2"/>
    <row r="3636" ht="16" customHeight="1" x14ac:dyDescent="0.2"/>
    <row r="3637" ht="16" customHeight="1" x14ac:dyDescent="0.2"/>
    <row r="3638" ht="16" customHeight="1" x14ac:dyDescent="0.2"/>
    <row r="3639" ht="16" customHeight="1" x14ac:dyDescent="0.2"/>
    <row r="3640" ht="16" customHeight="1" x14ac:dyDescent="0.2"/>
    <row r="3641" ht="16" customHeight="1" x14ac:dyDescent="0.2"/>
    <row r="3642" ht="16" customHeight="1" x14ac:dyDescent="0.2"/>
    <row r="3643" ht="16" customHeight="1" x14ac:dyDescent="0.2"/>
    <row r="3644" ht="16" customHeight="1" x14ac:dyDescent="0.2"/>
    <row r="3645" ht="16" customHeight="1" x14ac:dyDescent="0.2"/>
    <row r="3646" ht="16" customHeight="1" x14ac:dyDescent="0.2"/>
    <row r="3647" ht="16" customHeight="1" x14ac:dyDescent="0.2"/>
    <row r="3648" ht="16" customHeight="1" x14ac:dyDescent="0.2"/>
    <row r="3649" ht="16" customHeight="1" x14ac:dyDescent="0.2"/>
    <row r="3650" ht="16" customHeight="1" x14ac:dyDescent="0.2"/>
    <row r="3651" ht="16" customHeight="1" x14ac:dyDescent="0.2"/>
    <row r="3652" ht="16" customHeight="1" x14ac:dyDescent="0.2"/>
    <row r="3653" ht="16" customHeight="1" x14ac:dyDescent="0.2"/>
    <row r="3654" ht="16" customHeight="1" x14ac:dyDescent="0.2"/>
    <row r="3655" ht="16" customHeight="1" x14ac:dyDescent="0.2"/>
    <row r="3656" ht="16" customHeight="1" x14ac:dyDescent="0.2"/>
    <row r="3657" ht="16" customHeight="1" x14ac:dyDescent="0.2"/>
    <row r="3658" ht="16" customHeight="1" x14ac:dyDescent="0.2"/>
    <row r="3659" ht="16" customHeight="1" x14ac:dyDescent="0.2"/>
    <row r="3660" ht="16" customHeight="1" x14ac:dyDescent="0.2"/>
    <row r="3661" ht="16" customHeight="1" x14ac:dyDescent="0.2"/>
    <row r="3662" ht="16" customHeight="1" x14ac:dyDescent="0.2"/>
    <row r="3663" ht="16" customHeight="1" x14ac:dyDescent="0.2"/>
    <row r="3664" ht="16" customHeight="1" x14ac:dyDescent="0.2"/>
    <row r="3665" ht="16" customHeight="1" x14ac:dyDescent="0.2"/>
    <row r="3666" ht="16" customHeight="1" x14ac:dyDescent="0.2"/>
    <row r="3667" ht="16" customHeight="1" x14ac:dyDescent="0.2"/>
    <row r="3668" ht="16" customHeight="1" x14ac:dyDescent="0.2"/>
    <row r="3669" ht="16" customHeight="1" x14ac:dyDescent="0.2"/>
    <row r="3670" ht="16" customHeight="1" x14ac:dyDescent="0.2"/>
    <row r="3671" ht="16" customHeight="1" x14ac:dyDescent="0.2"/>
    <row r="3672" ht="16" customHeight="1" x14ac:dyDescent="0.2"/>
    <row r="3673" ht="16" customHeight="1" x14ac:dyDescent="0.2"/>
    <row r="3674" ht="16" customHeight="1" x14ac:dyDescent="0.2"/>
    <row r="3675" ht="16" customHeight="1" x14ac:dyDescent="0.2"/>
    <row r="3676" ht="16" customHeight="1" x14ac:dyDescent="0.2"/>
    <row r="3677" ht="16" customHeight="1" x14ac:dyDescent="0.2"/>
    <row r="3678" ht="16" customHeight="1" x14ac:dyDescent="0.2"/>
    <row r="3679" ht="16" customHeight="1" x14ac:dyDescent="0.2"/>
    <row r="3680" ht="16" customHeight="1" x14ac:dyDescent="0.2"/>
    <row r="3681" ht="16" customHeight="1" x14ac:dyDescent="0.2"/>
    <row r="3682" ht="16" customHeight="1" x14ac:dyDescent="0.2"/>
    <row r="3683" ht="16" customHeight="1" x14ac:dyDescent="0.2"/>
    <row r="3684" ht="16" customHeight="1" x14ac:dyDescent="0.2"/>
    <row r="3685" ht="16" customHeight="1" x14ac:dyDescent="0.2"/>
    <row r="3686" ht="16" customHeight="1" x14ac:dyDescent="0.2"/>
    <row r="3687" ht="16" customHeight="1" x14ac:dyDescent="0.2"/>
    <row r="3688" ht="16" customHeight="1" x14ac:dyDescent="0.2"/>
    <row r="3689" ht="16" customHeight="1" x14ac:dyDescent="0.2"/>
    <row r="3690" ht="16" customHeight="1" x14ac:dyDescent="0.2"/>
    <row r="3691" ht="16" customHeight="1" x14ac:dyDescent="0.2"/>
    <row r="3692" ht="16" customHeight="1" x14ac:dyDescent="0.2"/>
    <row r="3693" ht="16" customHeight="1" x14ac:dyDescent="0.2"/>
    <row r="3694" ht="16" customHeight="1" x14ac:dyDescent="0.2"/>
    <row r="3695" ht="16" customHeight="1" x14ac:dyDescent="0.2"/>
    <row r="3696" ht="16" customHeight="1" x14ac:dyDescent="0.2"/>
    <row r="3697" ht="16" customHeight="1" x14ac:dyDescent="0.2"/>
    <row r="3698" ht="16" customHeight="1" x14ac:dyDescent="0.2"/>
    <row r="3699" ht="16" customHeight="1" x14ac:dyDescent="0.2"/>
    <row r="3700" ht="16" customHeight="1" x14ac:dyDescent="0.2"/>
    <row r="3701" ht="16" customHeight="1" x14ac:dyDescent="0.2"/>
    <row r="3702" ht="16" customHeight="1" x14ac:dyDescent="0.2"/>
    <row r="3703" ht="16" customHeight="1" x14ac:dyDescent="0.2"/>
    <row r="3704" ht="16" customHeight="1" x14ac:dyDescent="0.2"/>
    <row r="3705" ht="16" customHeight="1" x14ac:dyDescent="0.2"/>
    <row r="3706" ht="16" customHeight="1" x14ac:dyDescent="0.2"/>
    <row r="3707" ht="16" customHeight="1" x14ac:dyDescent="0.2"/>
    <row r="3708" ht="16" customHeight="1" x14ac:dyDescent="0.2"/>
    <row r="3709" ht="16" customHeight="1" x14ac:dyDescent="0.2"/>
    <row r="3710" ht="16" customHeight="1" x14ac:dyDescent="0.2"/>
    <row r="3711" ht="16" customHeight="1" x14ac:dyDescent="0.2"/>
    <row r="3712" ht="16" customHeight="1" x14ac:dyDescent="0.2"/>
    <row r="3713" ht="16" customHeight="1" x14ac:dyDescent="0.2"/>
    <row r="3714" ht="16" customHeight="1" x14ac:dyDescent="0.2"/>
    <row r="3715" ht="16" customHeight="1" x14ac:dyDescent="0.2"/>
    <row r="3716" ht="16" customHeight="1" x14ac:dyDescent="0.2"/>
    <row r="3717" ht="16" customHeight="1" x14ac:dyDescent="0.2"/>
    <row r="3718" ht="16" customHeight="1" x14ac:dyDescent="0.2"/>
    <row r="3719" ht="16" customHeight="1" x14ac:dyDescent="0.2"/>
    <row r="3720" ht="16" customHeight="1" x14ac:dyDescent="0.2"/>
    <row r="3721" ht="16" customHeight="1" x14ac:dyDescent="0.2"/>
    <row r="3722" ht="16" customHeight="1" x14ac:dyDescent="0.2"/>
    <row r="3723" ht="16" customHeight="1" x14ac:dyDescent="0.2"/>
    <row r="3724" ht="16" customHeight="1" x14ac:dyDescent="0.2"/>
    <row r="3725" ht="16" customHeight="1" x14ac:dyDescent="0.2"/>
    <row r="3726" ht="16" customHeight="1" x14ac:dyDescent="0.2"/>
    <row r="3727" ht="16" customHeight="1" x14ac:dyDescent="0.2"/>
    <row r="3728" ht="16" customHeight="1" x14ac:dyDescent="0.2"/>
    <row r="3729" ht="16" customHeight="1" x14ac:dyDescent="0.2"/>
    <row r="3730" ht="16" customHeight="1" x14ac:dyDescent="0.2"/>
    <row r="3731" ht="16" customHeight="1" x14ac:dyDescent="0.2"/>
    <row r="3732" ht="16" customHeight="1" x14ac:dyDescent="0.2"/>
    <row r="3733" ht="16" customHeight="1" x14ac:dyDescent="0.2"/>
    <row r="3734" ht="16" customHeight="1" x14ac:dyDescent="0.2"/>
    <row r="3735" ht="16" customHeight="1" x14ac:dyDescent="0.2"/>
    <row r="3736" ht="16" customHeight="1" x14ac:dyDescent="0.2"/>
    <row r="3737" ht="16" customHeight="1" x14ac:dyDescent="0.2"/>
    <row r="3738" ht="16" customHeight="1" x14ac:dyDescent="0.2"/>
    <row r="3739" ht="16" customHeight="1" x14ac:dyDescent="0.2"/>
    <row r="3740" ht="16" customHeight="1" x14ac:dyDescent="0.2"/>
    <row r="3741" ht="16" customHeight="1" x14ac:dyDescent="0.2"/>
    <row r="3742" ht="16" customHeight="1" x14ac:dyDescent="0.2"/>
    <row r="3743" ht="16" customHeight="1" x14ac:dyDescent="0.2"/>
    <row r="3744" ht="16" customHeight="1" x14ac:dyDescent="0.2"/>
    <row r="3745" ht="16" customHeight="1" x14ac:dyDescent="0.2"/>
    <row r="3746" ht="16" customHeight="1" x14ac:dyDescent="0.2"/>
    <row r="3747" ht="16" customHeight="1" x14ac:dyDescent="0.2"/>
    <row r="3748" ht="16" customHeight="1" x14ac:dyDescent="0.2"/>
    <row r="3749" ht="16" customHeight="1" x14ac:dyDescent="0.2"/>
    <row r="3750" ht="16" customHeight="1" x14ac:dyDescent="0.2"/>
    <row r="3751" ht="16" customHeight="1" x14ac:dyDescent="0.2"/>
    <row r="3752" ht="16" customHeight="1" x14ac:dyDescent="0.2"/>
    <row r="3753" ht="16" customHeight="1" x14ac:dyDescent="0.2"/>
    <row r="3754" ht="16" customHeight="1" x14ac:dyDescent="0.2"/>
    <row r="3755" ht="16" customHeight="1" x14ac:dyDescent="0.2"/>
    <row r="3756" ht="16" customHeight="1" x14ac:dyDescent="0.2"/>
    <row r="3757" ht="16" customHeight="1" x14ac:dyDescent="0.2"/>
    <row r="3758" ht="16" customHeight="1" x14ac:dyDescent="0.2"/>
    <row r="3759" ht="16" customHeight="1" x14ac:dyDescent="0.2"/>
    <row r="3760" ht="16" customHeight="1" x14ac:dyDescent="0.2"/>
    <row r="3761" ht="16" customHeight="1" x14ac:dyDescent="0.2"/>
    <row r="3762" ht="16" customHeight="1" x14ac:dyDescent="0.2"/>
    <row r="3763" ht="16" customHeight="1" x14ac:dyDescent="0.2"/>
    <row r="3764" ht="16" customHeight="1" x14ac:dyDescent="0.2"/>
    <row r="3765" ht="16" customHeight="1" x14ac:dyDescent="0.2"/>
    <row r="3766" ht="16" customHeight="1" x14ac:dyDescent="0.2"/>
    <row r="3767" ht="16" customHeight="1" x14ac:dyDescent="0.2"/>
    <row r="3768" ht="16" customHeight="1" x14ac:dyDescent="0.2"/>
    <row r="3769" ht="16" customHeight="1" x14ac:dyDescent="0.2"/>
    <row r="3770" ht="16" customHeight="1" x14ac:dyDescent="0.2"/>
    <row r="3771" ht="16" customHeight="1" x14ac:dyDescent="0.2"/>
    <row r="3772" ht="16" customHeight="1" x14ac:dyDescent="0.2"/>
    <row r="3773" ht="16" customHeight="1" x14ac:dyDescent="0.2"/>
    <row r="3774" ht="16" customHeight="1" x14ac:dyDescent="0.2"/>
    <row r="3775" ht="16" customHeight="1" x14ac:dyDescent="0.2"/>
    <row r="3776" ht="16" customHeight="1" x14ac:dyDescent="0.2"/>
    <row r="3777" ht="16" customHeight="1" x14ac:dyDescent="0.2"/>
    <row r="3778" ht="16" customHeight="1" x14ac:dyDescent="0.2"/>
    <row r="3779" ht="16" customHeight="1" x14ac:dyDescent="0.2"/>
    <row r="3780" ht="16" customHeight="1" x14ac:dyDescent="0.2"/>
    <row r="3781" ht="16" customHeight="1" x14ac:dyDescent="0.2"/>
    <row r="3782" ht="16" customHeight="1" x14ac:dyDescent="0.2"/>
    <row r="3783" ht="16" customHeight="1" x14ac:dyDescent="0.2"/>
    <row r="3784" ht="16" customHeight="1" x14ac:dyDescent="0.2"/>
    <row r="3785" ht="16" customHeight="1" x14ac:dyDescent="0.2"/>
    <row r="3786" ht="16" customHeight="1" x14ac:dyDescent="0.2"/>
    <row r="3787" ht="16" customHeight="1" x14ac:dyDescent="0.2"/>
    <row r="3788" ht="16" customHeight="1" x14ac:dyDescent="0.2"/>
    <row r="3789" ht="16" customHeight="1" x14ac:dyDescent="0.2"/>
    <row r="3790" ht="16" customHeight="1" x14ac:dyDescent="0.2"/>
    <row r="3791" ht="16" customHeight="1" x14ac:dyDescent="0.2"/>
    <row r="3792" ht="16" customHeight="1" x14ac:dyDescent="0.2"/>
    <row r="3793" ht="16" customHeight="1" x14ac:dyDescent="0.2"/>
    <row r="3794" ht="16" customHeight="1" x14ac:dyDescent="0.2"/>
    <row r="3795" ht="16" customHeight="1" x14ac:dyDescent="0.2"/>
    <row r="3796" ht="16" customHeight="1" x14ac:dyDescent="0.2"/>
    <row r="3797" ht="16" customHeight="1" x14ac:dyDescent="0.2"/>
    <row r="3798" ht="16" customHeight="1" x14ac:dyDescent="0.2"/>
    <row r="3799" ht="16" customHeight="1" x14ac:dyDescent="0.2"/>
    <row r="3800" ht="16" customHeight="1" x14ac:dyDescent="0.2"/>
    <row r="3801" ht="16" customHeight="1" x14ac:dyDescent="0.2"/>
    <row r="3802" ht="16" customHeight="1" x14ac:dyDescent="0.2"/>
    <row r="3803" ht="16" customHeight="1" x14ac:dyDescent="0.2"/>
    <row r="3804" ht="16" customHeight="1" x14ac:dyDescent="0.2"/>
    <row r="3805" ht="16" customHeight="1" x14ac:dyDescent="0.2"/>
    <row r="3806" ht="16" customHeight="1" x14ac:dyDescent="0.2"/>
    <row r="3807" ht="16" customHeight="1" x14ac:dyDescent="0.2"/>
    <row r="3808" ht="16" customHeight="1" x14ac:dyDescent="0.2"/>
    <row r="3809" ht="16" customHeight="1" x14ac:dyDescent="0.2"/>
    <row r="3810" ht="16" customHeight="1" x14ac:dyDescent="0.2"/>
    <row r="3811" ht="16" customHeight="1" x14ac:dyDescent="0.2"/>
    <row r="3812" ht="16" customHeight="1" x14ac:dyDescent="0.2"/>
    <row r="3813" ht="16" customHeight="1" x14ac:dyDescent="0.2"/>
    <row r="3814" ht="16" customHeight="1" x14ac:dyDescent="0.2"/>
    <row r="3815" ht="16" customHeight="1" x14ac:dyDescent="0.2"/>
    <row r="3816" ht="16" customHeight="1" x14ac:dyDescent="0.2"/>
    <row r="3817" ht="16" customHeight="1" x14ac:dyDescent="0.2"/>
    <row r="3818" ht="16" customHeight="1" x14ac:dyDescent="0.2"/>
    <row r="3819" ht="16" customHeight="1" x14ac:dyDescent="0.2"/>
    <row r="3820" ht="16" customHeight="1" x14ac:dyDescent="0.2"/>
    <row r="3821" ht="16" customHeight="1" x14ac:dyDescent="0.2"/>
    <row r="3822" ht="16" customHeight="1" x14ac:dyDescent="0.2"/>
    <row r="3823" ht="16" customHeight="1" x14ac:dyDescent="0.2"/>
    <row r="3824" ht="16" customHeight="1" x14ac:dyDescent="0.2"/>
    <row r="3825" ht="16" customHeight="1" x14ac:dyDescent="0.2"/>
    <row r="3826" ht="16" customHeight="1" x14ac:dyDescent="0.2"/>
    <row r="3827" ht="16" customHeight="1" x14ac:dyDescent="0.2"/>
    <row r="3828" ht="16" customHeight="1" x14ac:dyDescent="0.2"/>
    <row r="3829" ht="16" customHeight="1" x14ac:dyDescent="0.2"/>
    <row r="3830" ht="16" customHeight="1" x14ac:dyDescent="0.2"/>
    <row r="3831" ht="16" customHeight="1" x14ac:dyDescent="0.2"/>
    <row r="3832" ht="16" customHeight="1" x14ac:dyDescent="0.2"/>
    <row r="3833" ht="16" customHeight="1" x14ac:dyDescent="0.2"/>
    <row r="3834" ht="16" customHeight="1" x14ac:dyDescent="0.2"/>
    <row r="3835" ht="16" customHeight="1" x14ac:dyDescent="0.2"/>
    <row r="3836" ht="16" customHeight="1" x14ac:dyDescent="0.2"/>
    <row r="3837" ht="16" customHeight="1" x14ac:dyDescent="0.2"/>
    <row r="3838" ht="16" customHeight="1" x14ac:dyDescent="0.2"/>
    <row r="3839" ht="16" customHeight="1" x14ac:dyDescent="0.2"/>
    <row r="3840" ht="16" customHeight="1" x14ac:dyDescent="0.2"/>
    <row r="3841" ht="16" customHeight="1" x14ac:dyDescent="0.2"/>
    <row r="3842" ht="16" customHeight="1" x14ac:dyDescent="0.2"/>
    <row r="3843" ht="16" customHeight="1" x14ac:dyDescent="0.2"/>
    <row r="3844" ht="16" customHeight="1" x14ac:dyDescent="0.2"/>
    <row r="3845" ht="16" customHeight="1" x14ac:dyDescent="0.2"/>
    <row r="3846" ht="16" customHeight="1" x14ac:dyDescent="0.2"/>
    <row r="3847" ht="16" customHeight="1" x14ac:dyDescent="0.2"/>
    <row r="3848" ht="16" customHeight="1" x14ac:dyDescent="0.2"/>
    <row r="3849" ht="16" customHeight="1" x14ac:dyDescent="0.2"/>
    <row r="3850" ht="16" customHeight="1" x14ac:dyDescent="0.2"/>
    <row r="3851" ht="16" customHeight="1" x14ac:dyDescent="0.2"/>
    <row r="3852" ht="16" customHeight="1" x14ac:dyDescent="0.2"/>
    <row r="3853" ht="16" customHeight="1" x14ac:dyDescent="0.2"/>
    <row r="3854" ht="16" customHeight="1" x14ac:dyDescent="0.2"/>
    <row r="3855" ht="16" customHeight="1" x14ac:dyDescent="0.2"/>
    <row r="3856" ht="16" customHeight="1" x14ac:dyDescent="0.2"/>
    <row r="3857" ht="16" customHeight="1" x14ac:dyDescent="0.2"/>
    <row r="3858" ht="16" customHeight="1" x14ac:dyDescent="0.2"/>
    <row r="3859" ht="16" customHeight="1" x14ac:dyDescent="0.2"/>
    <row r="3860" ht="16" customHeight="1" x14ac:dyDescent="0.2"/>
    <row r="3861" ht="16" customHeight="1" x14ac:dyDescent="0.2"/>
    <row r="3862" ht="16" customHeight="1" x14ac:dyDescent="0.2"/>
    <row r="3863" ht="16" customHeight="1" x14ac:dyDescent="0.2"/>
    <row r="3864" ht="16" customHeight="1" x14ac:dyDescent="0.2"/>
    <row r="3865" ht="16" customHeight="1" x14ac:dyDescent="0.2"/>
    <row r="3866" ht="16" customHeight="1" x14ac:dyDescent="0.2"/>
    <row r="3867" ht="16" customHeight="1" x14ac:dyDescent="0.2"/>
    <row r="3868" ht="16" customHeight="1" x14ac:dyDescent="0.2"/>
    <row r="3869" ht="16" customHeight="1" x14ac:dyDescent="0.2"/>
    <row r="3870" ht="16" customHeight="1" x14ac:dyDescent="0.2"/>
    <row r="3871" ht="16" customHeight="1" x14ac:dyDescent="0.2"/>
    <row r="3872" ht="16" customHeight="1" x14ac:dyDescent="0.2"/>
    <row r="3873" ht="16" customHeight="1" x14ac:dyDescent="0.2"/>
    <row r="3874" ht="16" customHeight="1" x14ac:dyDescent="0.2"/>
    <row r="3875" ht="16" customHeight="1" x14ac:dyDescent="0.2"/>
    <row r="3876" ht="16" customHeight="1" x14ac:dyDescent="0.2"/>
    <row r="3877" ht="16" customHeight="1" x14ac:dyDescent="0.2"/>
    <row r="3878" ht="16" customHeight="1" x14ac:dyDescent="0.2"/>
    <row r="3879" ht="16" customHeight="1" x14ac:dyDescent="0.2"/>
    <row r="3880" ht="16" customHeight="1" x14ac:dyDescent="0.2"/>
    <row r="3881" ht="16" customHeight="1" x14ac:dyDescent="0.2"/>
    <row r="3882" ht="16" customHeight="1" x14ac:dyDescent="0.2"/>
    <row r="3883" ht="16" customHeight="1" x14ac:dyDescent="0.2"/>
    <row r="3884" ht="16" customHeight="1" x14ac:dyDescent="0.2"/>
    <row r="3885" ht="16" customHeight="1" x14ac:dyDescent="0.2"/>
    <row r="3886" ht="16" customHeight="1" x14ac:dyDescent="0.2"/>
    <row r="3887" ht="16" customHeight="1" x14ac:dyDescent="0.2"/>
    <row r="3888" ht="16" customHeight="1" x14ac:dyDescent="0.2"/>
    <row r="3889" ht="16" customHeight="1" x14ac:dyDescent="0.2"/>
    <row r="3890" ht="16" customHeight="1" x14ac:dyDescent="0.2"/>
    <row r="3891" ht="16" customHeight="1" x14ac:dyDescent="0.2"/>
    <row r="3892" ht="16" customHeight="1" x14ac:dyDescent="0.2"/>
    <row r="3893" ht="16" customHeight="1" x14ac:dyDescent="0.2"/>
    <row r="3894" ht="16" customHeight="1" x14ac:dyDescent="0.2"/>
    <row r="3895" ht="16" customHeight="1" x14ac:dyDescent="0.2"/>
    <row r="3896" ht="16" customHeight="1" x14ac:dyDescent="0.2"/>
    <row r="3897" ht="16" customHeight="1" x14ac:dyDescent="0.2"/>
    <row r="3898" ht="16" customHeight="1" x14ac:dyDescent="0.2"/>
    <row r="3899" ht="16" customHeight="1" x14ac:dyDescent="0.2"/>
    <row r="3900" ht="16" customHeight="1" x14ac:dyDescent="0.2"/>
    <row r="3901" ht="16" customHeight="1" x14ac:dyDescent="0.2"/>
    <row r="3902" ht="16" customHeight="1" x14ac:dyDescent="0.2"/>
    <row r="3903" ht="16" customHeight="1" x14ac:dyDescent="0.2"/>
    <row r="3904" ht="16" customHeight="1" x14ac:dyDescent="0.2"/>
    <row r="3905" ht="16" customHeight="1" x14ac:dyDescent="0.2"/>
    <row r="3906" ht="16" customHeight="1" x14ac:dyDescent="0.2"/>
    <row r="3907" ht="16" customHeight="1" x14ac:dyDescent="0.2"/>
    <row r="3908" ht="16" customHeight="1" x14ac:dyDescent="0.2"/>
    <row r="3909" ht="16" customHeight="1" x14ac:dyDescent="0.2"/>
    <row r="3910" ht="16" customHeight="1" x14ac:dyDescent="0.2"/>
    <row r="3911" ht="16" customHeight="1" x14ac:dyDescent="0.2"/>
    <row r="3912" ht="16" customHeight="1" x14ac:dyDescent="0.2"/>
    <row r="3913" ht="16" customHeight="1" x14ac:dyDescent="0.2"/>
    <row r="3914" ht="16" customHeight="1" x14ac:dyDescent="0.2"/>
    <row r="3915" ht="16" customHeight="1" x14ac:dyDescent="0.2"/>
    <row r="3916" ht="16" customHeight="1" x14ac:dyDescent="0.2"/>
    <row r="3917" ht="16" customHeight="1" x14ac:dyDescent="0.2"/>
    <row r="3918" ht="16" customHeight="1" x14ac:dyDescent="0.2"/>
    <row r="3919" ht="16" customHeight="1" x14ac:dyDescent="0.2"/>
    <row r="3920" ht="16" customHeight="1" x14ac:dyDescent="0.2"/>
    <row r="3921" ht="16" customHeight="1" x14ac:dyDescent="0.2"/>
    <row r="3922" ht="16" customHeight="1" x14ac:dyDescent="0.2"/>
    <row r="3923" ht="16" customHeight="1" x14ac:dyDescent="0.2"/>
    <row r="3924" ht="16" customHeight="1" x14ac:dyDescent="0.2"/>
    <row r="3925" ht="16" customHeight="1" x14ac:dyDescent="0.2"/>
    <row r="3926" ht="16" customHeight="1" x14ac:dyDescent="0.2"/>
    <row r="3927" ht="16" customHeight="1" x14ac:dyDescent="0.2"/>
    <row r="3928" ht="16" customHeight="1" x14ac:dyDescent="0.2"/>
    <row r="3929" ht="16" customHeight="1" x14ac:dyDescent="0.2"/>
    <row r="3930" ht="16" customHeight="1" x14ac:dyDescent="0.2"/>
    <row r="3931" ht="16" customHeight="1" x14ac:dyDescent="0.2"/>
    <row r="3932" ht="16" customHeight="1" x14ac:dyDescent="0.2"/>
    <row r="3933" ht="16" customHeight="1" x14ac:dyDescent="0.2"/>
    <row r="3934" ht="16" customHeight="1" x14ac:dyDescent="0.2"/>
    <row r="3935" ht="16" customHeight="1" x14ac:dyDescent="0.2"/>
    <row r="3936" ht="16" customHeight="1" x14ac:dyDescent="0.2"/>
    <row r="3937" ht="16" customHeight="1" x14ac:dyDescent="0.2"/>
    <row r="3938" ht="16" customHeight="1" x14ac:dyDescent="0.2"/>
    <row r="3939" ht="16" customHeight="1" x14ac:dyDescent="0.2"/>
    <row r="3940" ht="16" customHeight="1" x14ac:dyDescent="0.2"/>
    <row r="3941" ht="16" customHeight="1" x14ac:dyDescent="0.2"/>
    <row r="3942" ht="16" customHeight="1" x14ac:dyDescent="0.2"/>
    <row r="3943" ht="16" customHeight="1" x14ac:dyDescent="0.2"/>
    <row r="3944" ht="16" customHeight="1" x14ac:dyDescent="0.2"/>
    <row r="3945" ht="16" customHeight="1" x14ac:dyDescent="0.2"/>
    <row r="3946" ht="16" customHeight="1" x14ac:dyDescent="0.2"/>
    <row r="3947" ht="16" customHeight="1" x14ac:dyDescent="0.2"/>
    <row r="3948" ht="16" customHeight="1" x14ac:dyDescent="0.2"/>
    <row r="3949" ht="16" customHeight="1" x14ac:dyDescent="0.2"/>
    <row r="3950" ht="16" customHeight="1" x14ac:dyDescent="0.2"/>
    <row r="3951" ht="16" customHeight="1" x14ac:dyDescent="0.2"/>
    <row r="3952" ht="16" customHeight="1" x14ac:dyDescent="0.2"/>
    <row r="3953" ht="16" customHeight="1" x14ac:dyDescent="0.2"/>
    <row r="3954" ht="16" customHeight="1" x14ac:dyDescent="0.2"/>
    <row r="3955" ht="16" customHeight="1" x14ac:dyDescent="0.2"/>
    <row r="3956" ht="16" customHeight="1" x14ac:dyDescent="0.2"/>
    <row r="3957" ht="16" customHeight="1" x14ac:dyDescent="0.2"/>
    <row r="3958" ht="16" customHeight="1" x14ac:dyDescent="0.2"/>
    <row r="3959" ht="16" customHeight="1" x14ac:dyDescent="0.2"/>
    <row r="3960" ht="16" customHeight="1" x14ac:dyDescent="0.2"/>
    <row r="3961" ht="16" customHeight="1" x14ac:dyDescent="0.2"/>
    <row r="3962" ht="16" customHeight="1" x14ac:dyDescent="0.2"/>
    <row r="3963" ht="16" customHeight="1" x14ac:dyDescent="0.2"/>
    <row r="3964" ht="16" customHeight="1" x14ac:dyDescent="0.2"/>
    <row r="3965" ht="16" customHeight="1" x14ac:dyDescent="0.2"/>
    <row r="3966" ht="16" customHeight="1" x14ac:dyDescent="0.2"/>
    <row r="3967" ht="16" customHeight="1" x14ac:dyDescent="0.2"/>
    <row r="3968" ht="16" customHeight="1" x14ac:dyDescent="0.2"/>
    <row r="3969" ht="16" customHeight="1" x14ac:dyDescent="0.2"/>
    <row r="3970" ht="16" customHeight="1" x14ac:dyDescent="0.2"/>
    <row r="3971" ht="16" customHeight="1" x14ac:dyDescent="0.2"/>
    <row r="3972" ht="16" customHeight="1" x14ac:dyDescent="0.2"/>
    <row r="3973" ht="16" customHeight="1" x14ac:dyDescent="0.2"/>
    <row r="3974" ht="16" customHeight="1" x14ac:dyDescent="0.2"/>
    <row r="3975" ht="16" customHeight="1" x14ac:dyDescent="0.2"/>
    <row r="3976" ht="16" customHeight="1" x14ac:dyDescent="0.2"/>
    <row r="3977" ht="16" customHeight="1" x14ac:dyDescent="0.2"/>
    <row r="3978" ht="16" customHeight="1" x14ac:dyDescent="0.2"/>
    <row r="3979" ht="16" customHeight="1" x14ac:dyDescent="0.2"/>
    <row r="3980" ht="16" customHeight="1" x14ac:dyDescent="0.2"/>
    <row r="3981" ht="16" customHeight="1" x14ac:dyDescent="0.2"/>
    <row r="3982" ht="16" customHeight="1" x14ac:dyDescent="0.2"/>
    <row r="3983" ht="16" customHeight="1" x14ac:dyDescent="0.2"/>
    <row r="3984" ht="16" customHeight="1" x14ac:dyDescent="0.2"/>
    <row r="3985" ht="16" customHeight="1" x14ac:dyDescent="0.2"/>
    <row r="3986" ht="16" customHeight="1" x14ac:dyDescent="0.2"/>
    <row r="3987" ht="16" customHeight="1" x14ac:dyDescent="0.2"/>
    <row r="3988" ht="16" customHeight="1" x14ac:dyDescent="0.2"/>
    <row r="3989" ht="16" customHeight="1" x14ac:dyDescent="0.2"/>
    <row r="3990" ht="16" customHeight="1" x14ac:dyDescent="0.2"/>
    <row r="3991" ht="16" customHeight="1" x14ac:dyDescent="0.2"/>
    <row r="3992" ht="16" customHeight="1" x14ac:dyDescent="0.2"/>
    <row r="3993" ht="16" customHeight="1" x14ac:dyDescent="0.2"/>
    <row r="3994" ht="16" customHeight="1" x14ac:dyDescent="0.2"/>
    <row r="3995" ht="16" customHeight="1" x14ac:dyDescent="0.2"/>
    <row r="3996" ht="16" customHeight="1" x14ac:dyDescent="0.2"/>
    <row r="3997" ht="16" customHeight="1" x14ac:dyDescent="0.2"/>
    <row r="3998" ht="16" customHeight="1" x14ac:dyDescent="0.2"/>
    <row r="3999" ht="16" customHeight="1" x14ac:dyDescent="0.2"/>
    <row r="4000" ht="16" customHeight="1" x14ac:dyDescent="0.2"/>
    <row r="4001" ht="16" customHeight="1" x14ac:dyDescent="0.2"/>
    <row r="4002" ht="16" customHeight="1" x14ac:dyDescent="0.2"/>
    <row r="4003" ht="16" customHeight="1" x14ac:dyDescent="0.2"/>
    <row r="4004" ht="16" customHeight="1" x14ac:dyDescent="0.2"/>
    <row r="4005" ht="16" customHeight="1" x14ac:dyDescent="0.2"/>
    <row r="4006" ht="16" customHeight="1" x14ac:dyDescent="0.2"/>
    <row r="4007" ht="16" customHeight="1" x14ac:dyDescent="0.2"/>
    <row r="4008" ht="16" customHeight="1" x14ac:dyDescent="0.2"/>
    <row r="4009" ht="16" customHeight="1" x14ac:dyDescent="0.2"/>
    <row r="4010" ht="16" customHeight="1" x14ac:dyDescent="0.2"/>
    <row r="4011" ht="16" customHeight="1" x14ac:dyDescent="0.2"/>
    <row r="4012" ht="16" customHeight="1" x14ac:dyDescent="0.2"/>
    <row r="4013" ht="16" customHeight="1" x14ac:dyDescent="0.2"/>
    <row r="4014" ht="16" customHeight="1" x14ac:dyDescent="0.2"/>
    <row r="4015" ht="16" customHeight="1" x14ac:dyDescent="0.2"/>
    <row r="4016" ht="16" customHeight="1" x14ac:dyDescent="0.2"/>
    <row r="4017" ht="16" customHeight="1" x14ac:dyDescent="0.2"/>
    <row r="4018" ht="16" customHeight="1" x14ac:dyDescent="0.2"/>
    <row r="4019" ht="16" customHeight="1" x14ac:dyDescent="0.2"/>
    <row r="4020" ht="16" customHeight="1" x14ac:dyDescent="0.2"/>
    <row r="4021" ht="16" customHeight="1" x14ac:dyDescent="0.2"/>
    <row r="4022" ht="16" customHeight="1" x14ac:dyDescent="0.2"/>
    <row r="4023" ht="16" customHeight="1" x14ac:dyDescent="0.2"/>
    <row r="4024" ht="16" customHeight="1" x14ac:dyDescent="0.2"/>
    <row r="4025" ht="16" customHeight="1" x14ac:dyDescent="0.2"/>
    <row r="4026" ht="16" customHeight="1" x14ac:dyDescent="0.2"/>
    <row r="4027" ht="16" customHeight="1" x14ac:dyDescent="0.2"/>
    <row r="4028" ht="16" customHeight="1" x14ac:dyDescent="0.2"/>
    <row r="4029" ht="16" customHeight="1" x14ac:dyDescent="0.2"/>
    <row r="4030" ht="16" customHeight="1" x14ac:dyDescent="0.2"/>
    <row r="4031" ht="16" customHeight="1" x14ac:dyDescent="0.2"/>
    <row r="4032" ht="16" customHeight="1" x14ac:dyDescent="0.2"/>
    <row r="4033" ht="16" customHeight="1" x14ac:dyDescent="0.2"/>
    <row r="4034" ht="16" customHeight="1" x14ac:dyDescent="0.2"/>
    <row r="4035" ht="16" customHeight="1" x14ac:dyDescent="0.2"/>
    <row r="4036" ht="16" customHeight="1" x14ac:dyDescent="0.2"/>
    <row r="4037" ht="16" customHeight="1" x14ac:dyDescent="0.2"/>
    <row r="4038" ht="16" customHeight="1" x14ac:dyDescent="0.2"/>
    <row r="4039" ht="16" customHeight="1" x14ac:dyDescent="0.2"/>
    <row r="4040" ht="16" customHeight="1" x14ac:dyDescent="0.2"/>
    <row r="4041" ht="16" customHeight="1" x14ac:dyDescent="0.2"/>
    <row r="4042" ht="16" customHeight="1" x14ac:dyDescent="0.2"/>
    <row r="4043" ht="16" customHeight="1" x14ac:dyDescent="0.2"/>
    <row r="4044" ht="16" customHeight="1" x14ac:dyDescent="0.2"/>
    <row r="4045" ht="16" customHeight="1" x14ac:dyDescent="0.2"/>
    <row r="4046" ht="16" customHeight="1" x14ac:dyDescent="0.2"/>
    <row r="4047" ht="16" customHeight="1" x14ac:dyDescent="0.2"/>
    <row r="4048" ht="16" customHeight="1" x14ac:dyDescent="0.2"/>
    <row r="4049" ht="16" customHeight="1" x14ac:dyDescent="0.2"/>
    <row r="4050" ht="16" customHeight="1" x14ac:dyDescent="0.2"/>
    <row r="4051" ht="16" customHeight="1" x14ac:dyDescent="0.2"/>
    <row r="4052" ht="16" customHeight="1" x14ac:dyDescent="0.2"/>
    <row r="4053" ht="16" customHeight="1" x14ac:dyDescent="0.2"/>
    <row r="4054" ht="16" customHeight="1" x14ac:dyDescent="0.2"/>
    <row r="4055" ht="16" customHeight="1" x14ac:dyDescent="0.2"/>
    <row r="4056" ht="16" customHeight="1" x14ac:dyDescent="0.2"/>
    <row r="4057" ht="16" customHeight="1" x14ac:dyDescent="0.2"/>
    <row r="4058" ht="16" customHeight="1" x14ac:dyDescent="0.2"/>
    <row r="4059" ht="16" customHeight="1" x14ac:dyDescent="0.2"/>
    <row r="4060" ht="16" customHeight="1" x14ac:dyDescent="0.2"/>
    <row r="4061" ht="16" customHeight="1" x14ac:dyDescent="0.2"/>
    <row r="4062" ht="16" customHeight="1" x14ac:dyDescent="0.2"/>
    <row r="4063" ht="16" customHeight="1" x14ac:dyDescent="0.2"/>
    <row r="4064" ht="16" customHeight="1" x14ac:dyDescent="0.2"/>
    <row r="4065" ht="16" customHeight="1" x14ac:dyDescent="0.2"/>
    <row r="4066" ht="16" customHeight="1" x14ac:dyDescent="0.2"/>
    <row r="4067" ht="16" customHeight="1" x14ac:dyDescent="0.2"/>
    <row r="4068" ht="16" customHeight="1" x14ac:dyDescent="0.2"/>
    <row r="4069" ht="16" customHeight="1" x14ac:dyDescent="0.2"/>
    <row r="4070" ht="16" customHeight="1" x14ac:dyDescent="0.2"/>
    <row r="4071" ht="16" customHeight="1" x14ac:dyDescent="0.2"/>
    <row r="4072" ht="16" customHeight="1" x14ac:dyDescent="0.2"/>
    <row r="4073" ht="16" customHeight="1" x14ac:dyDescent="0.2"/>
    <row r="4074" ht="16" customHeight="1" x14ac:dyDescent="0.2"/>
    <row r="4075" ht="16" customHeight="1" x14ac:dyDescent="0.2"/>
    <row r="4076" ht="16" customHeight="1" x14ac:dyDescent="0.2"/>
    <row r="4077" ht="16" customHeight="1" x14ac:dyDescent="0.2"/>
    <row r="4078" ht="16" customHeight="1" x14ac:dyDescent="0.2"/>
    <row r="4079" ht="16" customHeight="1" x14ac:dyDescent="0.2"/>
    <row r="4080" ht="16" customHeight="1" x14ac:dyDescent="0.2"/>
    <row r="4081" ht="16" customHeight="1" x14ac:dyDescent="0.2"/>
    <row r="4082" ht="16" customHeight="1" x14ac:dyDescent="0.2"/>
    <row r="4083" ht="16" customHeight="1" x14ac:dyDescent="0.2"/>
    <row r="4084" ht="16" customHeight="1" x14ac:dyDescent="0.2"/>
    <row r="4085" ht="16" customHeight="1" x14ac:dyDescent="0.2"/>
    <row r="4086" ht="16" customHeight="1" x14ac:dyDescent="0.2"/>
    <row r="4087" ht="16" customHeight="1" x14ac:dyDescent="0.2"/>
    <row r="4088" ht="16" customHeight="1" x14ac:dyDescent="0.2"/>
    <row r="4089" ht="16" customHeight="1" x14ac:dyDescent="0.2"/>
    <row r="4090" ht="16" customHeight="1" x14ac:dyDescent="0.2"/>
    <row r="4091" ht="16" customHeight="1" x14ac:dyDescent="0.2"/>
    <row r="4092" ht="16" customHeight="1" x14ac:dyDescent="0.2"/>
    <row r="4093" ht="16" customHeight="1" x14ac:dyDescent="0.2"/>
    <row r="4094" ht="16" customHeight="1" x14ac:dyDescent="0.2"/>
    <row r="4095" ht="16" customHeight="1" x14ac:dyDescent="0.2"/>
    <row r="4096" ht="16" customHeight="1" x14ac:dyDescent="0.2"/>
    <row r="4097" ht="16" customHeight="1" x14ac:dyDescent="0.2"/>
    <row r="4098" ht="16" customHeight="1" x14ac:dyDescent="0.2"/>
    <row r="4099" ht="16" customHeight="1" x14ac:dyDescent="0.2"/>
    <row r="4100" ht="16" customHeight="1" x14ac:dyDescent="0.2"/>
    <row r="4101" ht="16" customHeight="1" x14ac:dyDescent="0.2"/>
    <row r="4102" ht="16" customHeight="1" x14ac:dyDescent="0.2"/>
    <row r="4103" ht="16" customHeight="1" x14ac:dyDescent="0.2"/>
    <row r="4104" ht="16" customHeight="1" x14ac:dyDescent="0.2"/>
    <row r="4105" ht="16" customHeight="1" x14ac:dyDescent="0.2"/>
    <row r="4106" ht="16" customHeight="1" x14ac:dyDescent="0.2"/>
    <row r="4107" ht="16" customHeight="1" x14ac:dyDescent="0.2"/>
    <row r="4108" ht="16" customHeight="1" x14ac:dyDescent="0.2"/>
    <row r="4109" ht="16" customHeight="1" x14ac:dyDescent="0.2"/>
    <row r="4110" ht="16" customHeight="1" x14ac:dyDescent="0.2"/>
    <row r="4111" ht="16" customHeight="1" x14ac:dyDescent="0.2"/>
    <row r="4112" ht="16" customHeight="1" x14ac:dyDescent="0.2"/>
    <row r="4113" ht="16" customHeight="1" x14ac:dyDescent="0.2"/>
    <row r="4114" ht="16" customHeight="1" x14ac:dyDescent="0.2"/>
    <row r="4115" ht="16" customHeight="1" x14ac:dyDescent="0.2"/>
    <row r="4116" ht="16" customHeight="1" x14ac:dyDescent="0.2"/>
    <row r="4117" ht="16" customHeight="1" x14ac:dyDescent="0.2"/>
    <row r="4118" ht="16" customHeight="1" x14ac:dyDescent="0.2"/>
    <row r="4119" ht="16" customHeight="1" x14ac:dyDescent="0.2"/>
    <row r="4120" ht="16" customHeight="1" x14ac:dyDescent="0.2"/>
    <row r="4121" ht="16" customHeight="1" x14ac:dyDescent="0.2"/>
    <row r="4122" ht="16" customHeight="1" x14ac:dyDescent="0.2"/>
    <row r="4123" ht="16" customHeight="1" x14ac:dyDescent="0.2"/>
    <row r="4124" ht="16" customHeight="1" x14ac:dyDescent="0.2"/>
    <row r="4125" ht="16" customHeight="1" x14ac:dyDescent="0.2"/>
    <row r="4126" ht="16" customHeight="1" x14ac:dyDescent="0.2"/>
    <row r="4127" ht="16" customHeight="1" x14ac:dyDescent="0.2"/>
    <row r="4128" ht="16" customHeight="1" x14ac:dyDescent="0.2"/>
    <row r="4129" ht="16" customHeight="1" x14ac:dyDescent="0.2"/>
    <row r="4130" ht="16" customHeight="1" x14ac:dyDescent="0.2"/>
    <row r="4131" ht="16" customHeight="1" x14ac:dyDescent="0.2"/>
    <row r="4132" ht="16" customHeight="1" x14ac:dyDescent="0.2"/>
    <row r="4133" ht="16" customHeight="1" x14ac:dyDescent="0.2"/>
    <row r="4134" ht="16" customHeight="1" x14ac:dyDescent="0.2"/>
    <row r="4135" ht="16" customHeight="1" x14ac:dyDescent="0.2"/>
    <row r="4136" ht="16" customHeight="1" x14ac:dyDescent="0.2"/>
    <row r="4137" ht="16" customHeight="1" x14ac:dyDescent="0.2"/>
    <row r="4138" ht="16" customHeight="1" x14ac:dyDescent="0.2"/>
    <row r="4139" ht="16" customHeight="1" x14ac:dyDescent="0.2"/>
    <row r="4140" ht="16" customHeight="1" x14ac:dyDescent="0.2"/>
    <row r="4141" ht="16" customHeight="1" x14ac:dyDescent="0.2"/>
    <row r="4142" ht="16" customHeight="1" x14ac:dyDescent="0.2"/>
    <row r="4143" ht="16" customHeight="1" x14ac:dyDescent="0.2"/>
    <row r="4144" ht="16" customHeight="1" x14ac:dyDescent="0.2"/>
    <row r="4145" ht="16" customHeight="1" x14ac:dyDescent="0.2"/>
    <row r="4146" ht="16" customHeight="1" x14ac:dyDescent="0.2"/>
    <row r="4147" ht="16" customHeight="1" x14ac:dyDescent="0.2"/>
    <row r="4148" ht="16" customHeight="1" x14ac:dyDescent="0.2"/>
    <row r="4149" ht="16" customHeight="1" x14ac:dyDescent="0.2"/>
    <row r="4150" ht="16" customHeight="1" x14ac:dyDescent="0.2"/>
    <row r="4151" ht="16" customHeight="1" x14ac:dyDescent="0.2"/>
    <row r="4152" ht="16" customHeight="1" x14ac:dyDescent="0.2"/>
    <row r="4153" ht="16" customHeight="1" x14ac:dyDescent="0.2"/>
    <row r="4154" ht="16" customHeight="1" x14ac:dyDescent="0.2"/>
    <row r="4155" ht="16" customHeight="1" x14ac:dyDescent="0.2"/>
    <row r="4156" ht="16" customHeight="1" x14ac:dyDescent="0.2"/>
    <row r="4157" ht="16" customHeight="1" x14ac:dyDescent="0.2"/>
    <row r="4158" ht="16" customHeight="1" x14ac:dyDescent="0.2"/>
    <row r="4159" ht="16" customHeight="1" x14ac:dyDescent="0.2"/>
    <row r="4160" ht="16" customHeight="1" x14ac:dyDescent="0.2"/>
    <row r="4161" ht="16" customHeight="1" x14ac:dyDescent="0.2"/>
    <row r="4162" ht="16" customHeight="1" x14ac:dyDescent="0.2"/>
    <row r="4163" ht="16" customHeight="1" x14ac:dyDescent="0.2"/>
    <row r="4164" ht="16" customHeight="1" x14ac:dyDescent="0.2"/>
    <row r="4165" ht="16" customHeight="1" x14ac:dyDescent="0.2"/>
    <row r="4166" ht="16" customHeight="1" x14ac:dyDescent="0.2"/>
    <row r="4167" ht="16" customHeight="1" x14ac:dyDescent="0.2"/>
    <row r="4168" ht="16" customHeight="1" x14ac:dyDescent="0.2"/>
    <row r="4169" ht="16" customHeight="1" x14ac:dyDescent="0.2"/>
    <row r="4170" ht="16" customHeight="1" x14ac:dyDescent="0.2"/>
    <row r="4171" ht="16" customHeight="1" x14ac:dyDescent="0.2"/>
    <row r="4172" ht="16" customHeight="1" x14ac:dyDescent="0.2"/>
    <row r="4173" ht="16" customHeight="1" x14ac:dyDescent="0.2"/>
    <row r="4174" ht="16" customHeight="1" x14ac:dyDescent="0.2"/>
    <row r="4175" ht="16" customHeight="1" x14ac:dyDescent="0.2"/>
    <row r="4176" ht="16" customHeight="1" x14ac:dyDescent="0.2"/>
    <row r="4177" ht="16" customHeight="1" x14ac:dyDescent="0.2"/>
    <row r="4178" ht="16" customHeight="1" x14ac:dyDescent="0.2"/>
    <row r="4179" ht="16" customHeight="1" x14ac:dyDescent="0.2"/>
    <row r="4180" ht="16" customHeight="1" x14ac:dyDescent="0.2"/>
    <row r="4181" ht="16" customHeight="1" x14ac:dyDescent="0.2"/>
    <row r="4182" ht="16" customHeight="1" x14ac:dyDescent="0.2"/>
    <row r="4183" ht="16" customHeight="1" x14ac:dyDescent="0.2"/>
    <row r="4184" ht="16" customHeight="1" x14ac:dyDescent="0.2"/>
    <row r="4185" ht="16" customHeight="1" x14ac:dyDescent="0.2"/>
    <row r="4186" ht="16" customHeight="1" x14ac:dyDescent="0.2"/>
    <row r="4187" ht="16" customHeight="1" x14ac:dyDescent="0.2"/>
    <row r="4188" ht="16" customHeight="1" x14ac:dyDescent="0.2"/>
    <row r="4189" ht="16" customHeight="1" x14ac:dyDescent="0.2"/>
    <row r="4190" ht="16" customHeight="1" x14ac:dyDescent="0.2"/>
    <row r="4191" ht="16" customHeight="1" x14ac:dyDescent="0.2"/>
    <row r="4192" ht="16" customHeight="1" x14ac:dyDescent="0.2"/>
    <row r="4193" ht="16" customHeight="1" x14ac:dyDescent="0.2"/>
    <row r="4194" ht="16" customHeight="1" x14ac:dyDescent="0.2"/>
    <row r="4195" ht="16" customHeight="1" x14ac:dyDescent="0.2"/>
    <row r="4196" ht="16" customHeight="1" x14ac:dyDescent="0.2"/>
    <row r="4197" ht="16" customHeight="1" x14ac:dyDescent="0.2"/>
    <row r="4198" ht="16" customHeight="1" x14ac:dyDescent="0.2"/>
    <row r="4199" ht="16" customHeight="1" x14ac:dyDescent="0.2"/>
    <row r="4200" ht="16" customHeight="1" x14ac:dyDescent="0.2"/>
    <row r="4201" ht="16" customHeight="1" x14ac:dyDescent="0.2"/>
    <row r="4202" ht="16" customHeight="1" x14ac:dyDescent="0.2"/>
    <row r="4203" ht="16" customHeight="1" x14ac:dyDescent="0.2"/>
    <row r="4204" ht="16" customHeight="1" x14ac:dyDescent="0.2"/>
    <row r="4205" ht="16" customHeight="1" x14ac:dyDescent="0.2"/>
    <row r="4206" ht="16" customHeight="1" x14ac:dyDescent="0.2"/>
    <row r="4207" ht="16" customHeight="1" x14ac:dyDescent="0.2"/>
    <row r="4208" ht="16" customHeight="1" x14ac:dyDescent="0.2"/>
    <row r="4209" ht="16" customHeight="1" x14ac:dyDescent="0.2"/>
    <row r="4210" ht="16" customHeight="1" x14ac:dyDescent="0.2"/>
    <row r="4211" ht="16" customHeight="1" x14ac:dyDescent="0.2"/>
    <row r="4212" ht="16" customHeight="1" x14ac:dyDescent="0.2"/>
    <row r="4213" ht="16" customHeight="1" x14ac:dyDescent="0.2"/>
    <row r="4214" ht="16" customHeight="1" x14ac:dyDescent="0.2"/>
    <row r="4215" ht="16" customHeight="1" x14ac:dyDescent="0.2"/>
    <row r="4216" ht="16" customHeight="1" x14ac:dyDescent="0.2"/>
    <row r="4217" ht="16" customHeight="1" x14ac:dyDescent="0.2"/>
    <row r="4218" ht="16" customHeight="1" x14ac:dyDescent="0.2"/>
    <row r="4219" ht="16" customHeight="1" x14ac:dyDescent="0.2"/>
    <row r="4220" ht="16" customHeight="1" x14ac:dyDescent="0.2"/>
    <row r="4221" ht="16" customHeight="1" x14ac:dyDescent="0.2"/>
    <row r="4222" ht="16" customHeight="1" x14ac:dyDescent="0.2"/>
    <row r="4223" ht="16" customHeight="1" x14ac:dyDescent="0.2"/>
    <row r="4224" ht="16" customHeight="1" x14ac:dyDescent="0.2"/>
    <row r="4225" ht="16" customHeight="1" x14ac:dyDescent="0.2"/>
    <row r="4226" ht="16" customHeight="1" x14ac:dyDescent="0.2"/>
    <row r="4227" ht="16" customHeight="1" x14ac:dyDescent="0.2"/>
    <row r="4228" ht="16" customHeight="1" x14ac:dyDescent="0.2"/>
    <row r="4229" ht="16" customHeight="1" x14ac:dyDescent="0.2"/>
    <row r="4230" ht="16" customHeight="1" x14ac:dyDescent="0.2"/>
    <row r="4231" ht="16" customHeight="1" x14ac:dyDescent="0.2"/>
    <row r="4232" ht="16" customHeight="1" x14ac:dyDescent="0.2"/>
    <row r="4233" ht="16" customHeight="1" x14ac:dyDescent="0.2"/>
    <row r="4234" ht="16" customHeight="1" x14ac:dyDescent="0.2"/>
    <row r="4235" ht="16" customHeight="1" x14ac:dyDescent="0.2"/>
    <row r="4236" ht="16" customHeight="1" x14ac:dyDescent="0.2"/>
    <row r="4237" ht="16" customHeight="1" x14ac:dyDescent="0.2"/>
    <row r="4238" ht="16" customHeight="1" x14ac:dyDescent="0.2"/>
    <row r="4239" ht="16" customHeight="1" x14ac:dyDescent="0.2"/>
    <row r="4240" ht="16" customHeight="1" x14ac:dyDescent="0.2"/>
    <row r="4241" ht="16" customHeight="1" x14ac:dyDescent="0.2"/>
    <row r="4242" ht="16" customHeight="1" x14ac:dyDescent="0.2"/>
    <row r="4243" ht="16" customHeight="1" x14ac:dyDescent="0.2"/>
    <row r="4244" ht="16" customHeight="1" x14ac:dyDescent="0.2"/>
    <row r="4245" ht="16" customHeight="1" x14ac:dyDescent="0.2"/>
    <row r="4246" ht="16" customHeight="1" x14ac:dyDescent="0.2"/>
    <row r="4247" ht="16" customHeight="1" x14ac:dyDescent="0.2"/>
    <row r="4248" ht="16" customHeight="1" x14ac:dyDescent="0.2"/>
    <row r="4249" ht="16" customHeight="1" x14ac:dyDescent="0.2"/>
    <row r="4250" ht="16" customHeight="1" x14ac:dyDescent="0.2"/>
    <row r="4251" ht="16" customHeight="1" x14ac:dyDescent="0.2"/>
    <row r="4252" ht="16" customHeight="1" x14ac:dyDescent="0.2"/>
    <row r="4253" ht="16" customHeight="1" x14ac:dyDescent="0.2"/>
    <row r="4254" ht="16" customHeight="1" x14ac:dyDescent="0.2"/>
    <row r="4255" ht="16" customHeight="1" x14ac:dyDescent="0.2"/>
    <row r="4256" ht="16" customHeight="1" x14ac:dyDescent="0.2"/>
    <row r="4257" ht="16" customHeight="1" x14ac:dyDescent="0.2"/>
    <row r="4258" ht="16" customHeight="1" x14ac:dyDescent="0.2"/>
    <row r="4259" ht="16" customHeight="1" x14ac:dyDescent="0.2"/>
    <row r="4260" ht="16" customHeight="1" x14ac:dyDescent="0.2"/>
    <row r="4261" ht="16" customHeight="1" x14ac:dyDescent="0.2"/>
    <row r="4262" ht="16" customHeight="1" x14ac:dyDescent="0.2"/>
    <row r="4263" ht="16" customHeight="1" x14ac:dyDescent="0.2"/>
    <row r="4264" ht="16" customHeight="1" x14ac:dyDescent="0.2"/>
    <row r="4265" ht="16" customHeight="1" x14ac:dyDescent="0.2"/>
    <row r="4266" ht="16" customHeight="1" x14ac:dyDescent="0.2"/>
    <row r="4267" ht="16" customHeight="1" x14ac:dyDescent="0.2"/>
    <row r="4268" ht="16" customHeight="1" x14ac:dyDescent="0.2"/>
    <row r="4269" ht="16" customHeight="1" x14ac:dyDescent="0.2"/>
    <row r="4270" ht="16" customHeight="1" x14ac:dyDescent="0.2"/>
    <row r="4271" ht="16" customHeight="1" x14ac:dyDescent="0.2"/>
    <row r="4272" ht="16" customHeight="1" x14ac:dyDescent="0.2"/>
    <row r="4273" ht="16" customHeight="1" x14ac:dyDescent="0.2"/>
    <row r="4274" ht="16" customHeight="1" x14ac:dyDescent="0.2"/>
    <row r="4275" ht="16" customHeight="1" x14ac:dyDescent="0.2"/>
    <row r="4276" ht="16" customHeight="1" x14ac:dyDescent="0.2"/>
    <row r="4277" ht="16" customHeight="1" x14ac:dyDescent="0.2"/>
    <row r="4278" ht="16" customHeight="1" x14ac:dyDescent="0.2"/>
    <row r="4279" ht="16" customHeight="1" x14ac:dyDescent="0.2"/>
    <row r="4280" ht="16" customHeight="1" x14ac:dyDescent="0.2"/>
    <row r="4281" ht="16" customHeight="1" x14ac:dyDescent="0.2"/>
    <row r="4282" ht="16" customHeight="1" x14ac:dyDescent="0.2"/>
    <row r="4283" ht="16" customHeight="1" x14ac:dyDescent="0.2"/>
    <row r="4284" ht="16" customHeight="1" x14ac:dyDescent="0.2"/>
    <row r="4285" ht="16" customHeight="1" x14ac:dyDescent="0.2"/>
    <row r="4286" ht="16" customHeight="1" x14ac:dyDescent="0.2"/>
    <row r="4287" ht="16" customHeight="1" x14ac:dyDescent="0.2"/>
    <row r="4288" ht="16" customHeight="1" x14ac:dyDescent="0.2"/>
    <row r="4289" ht="16" customHeight="1" x14ac:dyDescent="0.2"/>
    <row r="4290" ht="16" customHeight="1" x14ac:dyDescent="0.2"/>
    <row r="4291" ht="16" customHeight="1" x14ac:dyDescent="0.2"/>
    <row r="4292" ht="16" customHeight="1" x14ac:dyDescent="0.2"/>
    <row r="4293" ht="16" customHeight="1" x14ac:dyDescent="0.2"/>
    <row r="4294" ht="16" customHeight="1" x14ac:dyDescent="0.2"/>
    <row r="4295" ht="16" customHeight="1" x14ac:dyDescent="0.2"/>
    <row r="4296" ht="16" customHeight="1" x14ac:dyDescent="0.2"/>
    <row r="4297" ht="16" customHeight="1" x14ac:dyDescent="0.2"/>
    <row r="4298" ht="16" customHeight="1" x14ac:dyDescent="0.2"/>
    <row r="4299" ht="16" customHeight="1" x14ac:dyDescent="0.2"/>
    <row r="4300" ht="16" customHeight="1" x14ac:dyDescent="0.2"/>
    <row r="4301" ht="16" customHeight="1" x14ac:dyDescent="0.2"/>
    <row r="4302" ht="16" customHeight="1" x14ac:dyDescent="0.2"/>
    <row r="4303" ht="16" customHeight="1" x14ac:dyDescent="0.2"/>
    <row r="4304" ht="16" customHeight="1" x14ac:dyDescent="0.2"/>
    <row r="4305" ht="16" customHeight="1" x14ac:dyDescent="0.2"/>
    <row r="4306" ht="16" customHeight="1" x14ac:dyDescent="0.2"/>
    <row r="4307" ht="16" customHeight="1" x14ac:dyDescent="0.2"/>
    <row r="4308" ht="16" customHeight="1" x14ac:dyDescent="0.2"/>
    <row r="4309" ht="16" customHeight="1" x14ac:dyDescent="0.2"/>
    <row r="4310" ht="16" customHeight="1" x14ac:dyDescent="0.2"/>
    <row r="4311" ht="16" customHeight="1" x14ac:dyDescent="0.2"/>
    <row r="4312" ht="16" customHeight="1" x14ac:dyDescent="0.2"/>
    <row r="4313" ht="16" customHeight="1" x14ac:dyDescent="0.2"/>
    <row r="4314" ht="16" customHeight="1" x14ac:dyDescent="0.2"/>
    <row r="4315" ht="16" customHeight="1" x14ac:dyDescent="0.2"/>
    <row r="4316" ht="16" customHeight="1" x14ac:dyDescent="0.2"/>
    <row r="4317" ht="16" customHeight="1" x14ac:dyDescent="0.2"/>
    <row r="4318" ht="16" customHeight="1" x14ac:dyDescent="0.2"/>
    <row r="4319" ht="16" customHeight="1" x14ac:dyDescent="0.2"/>
    <row r="4320" ht="16" customHeight="1" x14ac:dyDescent="0.2"/>
    <row r="4321" ht="16" customHeight="1" x14ac:dyDescent="0.2"/>
    <row r="4322" ht="16" customHeight="1" x14ac:dyDescent="0.2"/>
    <row r="4323" ht="16" customHeight="1" x14ac:dyDescent="0.2"/>
    <row r="4324" ht="16" customHeight="1" x14ac:dyDescent="0.2"/>
    <row r="4325" ht="16" customHeight="1" x14ac:dyDescent="0.2"/>
    <row r="4326" ht="16" customHeight="1" x14ac:dyDescent="0.2"/>
    <row r="4327" ht="16" customHeight="1" x14ac:dyDescent="0.2"/>
    <row r="4328" ht="16" customHeight="1" x14ac:dyDescent="0.2"/>
    <row r="4329" ht="16" customHeight="1" x14ac:dyDescent="0.2"/>
    <row r="4330" ht="16" customHeight="1" x14ac:dyDescent="0.2"/>
    <row r="4331" ht="16" customHeight="1" x14ac:dyDescent="0.2"/>
    <row r="4332" ht="16" customHeight="1" x14ac:dyDescent="0.2"/>
    <row r="4333" ht="16" customHeight="1" x14ac:dyDescent="0.2"/>
    <row r="4334" ht="16" customHeight="1" x14ac:dyDescent="0.2"/>
    <row r="4335" ht="16" customHeight="1" x14ac:dyDescent="0.2"/>
    <row r="4336" ht="16" customHeight="1" x14ac:dyDescent="0.2"/>
    <row r="4337" ht="16" customHeight="1" x14ac:dyDescent="0.2"/>
    <row r="4338" ht="16" customHeight="1" x14ac:dyDescent="0.2"/>
    <row r="4339" ht="16" customHeight="1" x14ac:dyDescent="0.2"/>
    <row r="4340" ht="16" customHeight="1" x14ac:dyDescent="0.2"/>
    <row r="4341" ht="16" customHeight="1" x14ac:dyDescent="0.2"/>
    <row r="4342" ht="16" customHeight="1" x14ac:dyDescent="0.2"/>
    <row r="4343" ht="16" customHeight="1" x14ac:dyDescent="0.2"/>
    <row r="4344" ht="16" customHeight="1" x14ac:dyDescent="0.2"/>
    <row r="4345" ht="16" customHeight="1" x14ac:dyDescent="0.2"/>
    <row r="4346" ht="16" customHeight="1" x14ac:dyDescent="0.2"/>
    <row r="4347" ht="16" customHeight="1" x14ac:dyDescent="0.2"/>
    <row r="4348" ht="16" customHeight="1" x14ac:dyDescent="0.2"/>
    <row r="4349" ht="16" customHeight="1" x14ac:dyDescent="0.2"/>
    <row r="4350" ht="16" customHeight="1" x14ac:dyDescent="0.2"/>
    <row r="4351" ht="16" customHeight="1" x14ac:dyDescent="0.2"/>
    <row r="4352" ht="16" customHeight="1" x14ac:dyDescent="0.2"/>
    <row r="4353" ht="16" customHeight="1" x14ac:dyDescent="0.2"/>
    <row r="4354" ht="16" customHeight="1" x14ac:dyDescent="0.2"/>
    <row r="4355" ht="16" customHeight="1" x14ac:dyDescent="0.2"/>
    <row r="4356" ht="16" customHeight="1" x14ac:dyDescent="0.2"/>
    <row r="4357" ht="16" customHeight="1" x14ac:dyDescent="0.2"/>
    <row r="4358" ht="16" customHeight="1" x14ac:dyDescent="0.2"/>
    <row r="4359" ht="16" customHeight="1" x14ac:dyDescent="0.2"/>
    <row r="4360" ht="16" customHeight="1" x14ac:dyDescent="0.2"/>
    <row r="4361" ht="16" customHeight="1" x14ac:dyDescent="0.2"/>
    <row r="4362" ht="16" customHeight="1" x14ac:dyDescent="0.2"/>
    <row r="4363" ht="16" customHeight="1" x14ac:dyDescent="0.2"/>
    <row r="4364" ht="16" customHeight="1" x14ac:dyDescent="0.2"/>
    <row r="4365" ht="16" customHeight="1" x14ac:dyDescent="0.2"/>
    <row r="4366" ht="16" customHeight="1" x14ac:dyDescent="0.2"/>
    <row r="4367" ht="16" customHeight="1" x14ac:dyDescent="0.2"/>
    <row r="4368" ht="16" customHeight="1" x14ac:dyDescent="0.2"/>
    <row r="4369" ht="16" customHeight="1" x14ac:dyDescent="0.2"/>
    <row r="4370" ht="16" customHeight="1" x14ac:dyDescent="0.2"/>
    <row r="4371" ht="16" customHeight="1" x14ac:dyDescent="0.2"/>
    <row r="4372" ht="16" customHeight="1" x14ac:dyDescent="0.2"/>
    <row r="4373" ht="16" customHeight="1" x14ac:dyDescent="0.2"/>
    <row r="4374" ht="16" customHeight="1" x14ac:dyDescent="0.2"/>
    <row r="4375" ht="16" customHeight="1" x14ac:dyDescent="0.2"/>
    <row r="4376" ht="16" customHeight="1" x14ac:dyDescent="0.2"/>
    <row r="4377" ht="16" customHeight="1" x14ac:dyDescent="0.2"/>
    <row r="4378" ht="16" customHeight="1" x14ac:dyDescent="0.2"/>
    <row r="4379" ht="16" customHeight="1" x14ac:dyDescent="0.2"/>
    <row r="4380" ht="16" customHeight="1" x14ac:dyDescent="0.2"/>
    <row r="4381" ht="16" customHeight="1" x14ac:dyDescent="0.2"/>
    <row r="4382" ht="16" customHeight="1" x14ac:dyDescent="0.2"/>
    <row r="4383" ht="16" customHeight="1" x14ac:dyDescent="0.2"/>
    <row r="4384" ht="16" customHeight="1" x14ac:dyDescent="0.2"/>
    <row r="4385" ht="16" customHeight="1" x14ac:dyDescent="0.2"/>
    <row r="4386" ht="16" customHeight="1" x14ac:dyDescent="0.2"/>
    <row r="4387" ht="16" customHeight="1" x14ac:dyDescent="0.2"/>
    <row r="4388" ht="16" customHeight="1" x14ac:dyDescent="0.2"/>
    <row r="4389" ht="16" customHeight="1" x14ac:dyDescent="0.2"/>
    <row r="4390" ht="16" customHeight="1" x14ac:dyDescent="0.2"/>
    <row r="4391" ht="16" customHeight="1" x14ac:dyDescent="0.2"/>
    <row r="4392" ht="16" customHeight="1" x14ac:dyDescent="0.2"/>
    <row r="4393" ht="16" customHeight="1" x14ac:dyDescent="0.2"/>
    <row r="4394" ht="16" customHeight="1" x14ac:dyDescent="0.2"/>
    <row r="4395" ht="16" customHeight="1" x14ac:dyDescent="0.2"/>
    <row r="4396" ht="16" customHeight="1" x14ac:dyDescent="0.2"/>
    <row r="4397" ht="16" customHeight="1" x14ac:dyDescent="0.2"/>
    <row r="4398" ht="16" customHeight="1" x14ac:dyDescent="0.2"/>
    <row r="4399" ht="16" customHeight="1" x14ac:dyDescent="0.2"/>
    <row r="4400" ht="16" customHeight="1" x14ac:dyDescent="0.2"/>
    <row r="4401" ht="16" customHeight="1" x14ac:dyDescent="0.2"/>
    <row r="4402" ht="16" customHeight="1" x14ac:dyDescent="0.2"/>
    <row r="4403" ht="16" customHeight="1" x14ac:dyDescent="0.2"/>
    <row r="4404" ht="16" customHeight="1" x14ac:dyDescent="0.2"/>
    <row r="4405" ht="16" customHeight="1" x14ac:dyDescent="0.2"/>
    <row r="4406" ht="16" customHeight="1" x14ac:dyDescent="0.2"/>
    <row r="4407" ht="16" customHeight="1" x14ac:dyDescent="0.2"/>
    <row r="4408" ht="16" customHeight="1" x14ac:dyDescent="0.2"/>
    <row r="4409" ht="16" customHeight="1" x14ac:dyDescent="0.2"/>
    <row r="4410" ht="16" customHeight="1" x14ac:dyDescent="0.2"/>
    <row r="4411" ht="16" customHeight="1" x14ac:dyDescent="0.2"/>
    <row r="4412" ht="16" customHeight="1" x14ac:dyDescent="0.2"/>
    <row r="4413" ht="16" customHeight="1" x14ac:dyDescent="0.2"/>
    <row r="4414" ht="16" customHeight="1" x14ac:dyDescent="0.2"/>
    <row r="4415" ht="16" customHeight="1" x14ac:dyDescent="0.2"/>
    <row r="4416" ht="16" customHeight="1" x14ac:dyDescent="0.2"/>
    <row r="4417" ht="16" customHeight="1" x14ac:dyDescent="0.2"/>
    <row r="4418" ht="16" customHeight="1" x14ac:dyDescent="0.2"/>
    <row r="4419" ht="16" customHeight="1" x14ac:dyDescent="0.2"/>
    <row r="4420" ht="16" customHeight="1" x14ac:dyDescent="0.2"/>
    <row r="4421" ht="16" customHeight="1" x14ac:dyDescent="0.2"/>
    <row r="4422" ht="16" customHeight="1" x14ac:dyDescent="0.2"/>
    <row r="4423" ht="16" customHeight="1" x14ac:dyDescent="0.2"/>
    <row r="4424" ht="16" customHeight="1" x14ac:dyDescent="0.2"/>
    <row r="4425" ht="16" customHeight="1" x14ac:dyDescent="0.2"/>
    <row r="4426" ht="16" customHeight="1" x14ac:dyDescent="0.2"/>
    <row r="4427" ht="16" customHeight="1" x14ac:dyDescent="0.2"/>
    <row r="4428" ht="16" customHeight="1" x14ac:dyDescent="0.2"/>
    <row r="4429" ht="16" customHeight="1" x14ac:dyDescent="0.2"/>
    <row r="4430" ht="16" customHeight="1" x14ac:dyDescent="0.2"/>
    <row r="4431" ht="16" customHeight="1" x14ac:dyDescent="0.2"/>
    <row r="4432" ht="16" customHeight="1" x14ac:dyDescent="0.2"/>
    <row r="4433" ht="16" customHeight="1" x14ac:dyDescent="0.2"/>
    <row r="4434" ht="16" customHeight="1" x14ac:dyDescent="0.2"/>
    <row r="4435" ht="16" customHeight="1" x14ac:dyDescent="0.2"/>
    <row r="4436" ht="16" customHeight="1" x14ac:dyDescent="0.2"/>
    <row r="4437" ht="16" customHeight="1" x14ac:dyDescent="0.2"/>
    <row r="4438" ht="16" customHeight="1" x14ac:dyDescent="0.2"/>
    <row r="4439" ht="16" customHeight="1" x14ac:dyDescent="0.2"/>
    <row r="4440" ht="16" customHeight="1" x14ac:dyDescent="0.2"/>
    <row r="4441" ht="16" customHeight="1" x14ac:dyDescent="0.2"/>
    <row r="4442" ht="16" customHeight="1" x14ac:dyDescent="0.2"/>
    <row r="4443" ht="16" customHeight="1" x14ac:dyDescent="0.2"/>
    <row r="4444" ht="16" customHeight="1" x14ac:dyDescent="0.2"/>
    <row r="4445" ht="16" customHeight="1" x14ac:dyDescent="0.2"/>
    <row r="4446" ht="16" customHeight="1" x14ac:dyDescent="0.2"/>
    <row r="4447" ht="16" customHeight="1" x14ac:dyDescent="0.2"/>
    <row r="4448" ht="16" customHeight="1" x14ac:dyDescent="0.2"/>
    <row r="4449" ht="16" customHeight="1" x14ac:dyDescent="0.2"/>
    <row r="4450" ht="16" customHeight="1" x14ac:dyDescent="0.2"/>
    <row r="4451" ht="16" customHeight="1" x14ac:dyDescent="0.2"/>
    <row r="4452" ht="16" customHeight="1" x14ac:dyDescent="0.2"/>
    <row r="4453" ht="16" customHeight="1" x14ac:dyDescent="0.2"/>
    <row r="4454" ht="16" customHeight="1" x14ac:dyDescent="0.2"/>
    <row r="4455" ht="16" customHeight="1" x14ac:dyDescent="0.2"/>
    <row r="4456" ht="16" customHeight="1" x14ac:dyDescent="0.2"/>
    <row r="4457" ht="16" customHeight="1" x14ac:dyDescent="0.2"/>
    <row r="4458" ht="16" customHeight="1" x14ac:dyDescent="0.2"/>
    <row r="4459" ht="16" customHeight="1" x14ac:dyDescent="0.2"/>
    <row r="4460" ht="16" customHeight="1" x14ac:dyDescent="0.2"/>
    <row r="4461" ht="16" customHeight="1" x14ac:dyDescent="0.2"/>
    <row r="4462" ht="16" customHeight="1" x14ac:dyDescent="0.2"/>
    <row r="4463" ht="16" customHeight="1" x14ac:dyDescent="0.2"/>
    <row r="4464" ht="16" customHeight="1" x14ac:dyDescent="0.2"/>
    <row r="4465" ht="16" customHeight="1" x14ac:dyDescent="0.2"/>
    <row r="4466" ht="16" customHeight="1" x14ac:dyDescent="0.2"/>
    <row r="4467" ht="16" customHeight="1" x14ac:dyDescent="0.2"/>
    <row r="4468" ht="16" customHeight="1" x14ac:dyDescent="0.2"/>
    <row r="4469" ht="16" customHeight="1" x14ac:dyDescent="0.2"/>
    <row r="4470" ht="16" customHeight="1" x14ac:dyDescent="0.2"/>
    <row r="4471" ht="16" customHeight="1" x14ac:dyDescent="0.2"/>
    <row r="4472" ht="16" customHeight="1" x14ac:dyDescent="0.2"/>
    <row r="4473" ht="16" customHeight="1" x14ac:dyDescent="0.2"/>
    <row r="4474" ht="16" customHeight="1" x14ac:dyDescent="0.2"/>
    <row r="4475" ht="16" customHeight="1" x14ac:dyDescent="0.2"/>
    <row r="4476" ht="16" customHeight="1" x14ac:dyDescent="0.2"/>
    <row r="4477" ht="16" customHeight="1" x14ac:dyDescent="0.2"/>
    <row r="4478" ht="16" customHeight="1" x14ac:dyDescent="0.2"/>
    <row r="4479" ht="16" customHeight="1" x14ac:dyDescent="0.2"/>
    <row r="4480" ht="16" customHeight="1" x14ac:dyDescent="0.2"/>
    <row r="4481" ht="16" customHeight="1" x14ac:dyDescent="0.2"/>
    <row r="4482" ht="16" customHeight="1" x14ac:dyDescent="0.2"/>
    <row r="4483" ht="16" customHeight="1" x14ac:dyDescent="0.2"/>
    <row r="4484" ht="16" customHeight="1" x14ac:dyDescent="0.2"/>
    <row r="4485" ht="16" customHeight="1" x14ac:dyDescent="0.2"/>
    <row r="4486" ht="16" customHeight="1" x14ac:dyDescent="0.2"/>
    <row r="4487" ht="16" customHeight="1" x14ac:dyDescent="0.2"/>
    <row r="4488" ht="16" customHeight="1" x14ac:dyDescent="0.2"/>
    <row r="4489" ht="16" customHeight="1" x14ac:dyDescent="0.2"/>
    <row r="4490" ht="16" customHeight="1" x14ac:dyDescent="0.2"/>
    <row r="4491" ht="16" customHeight="1" x14ac:dyDescent="0.2"/>
    <row r="4492" ht="16" customHeight="1" x14ac:dyDescent="0.2"/>
    <row r="4493" ht="16" customHeight="1" x14ac:dyDescent="0.2"/>
    <row r="4494" ht="16" customHeight="1" x14ac:dyDescent="0.2"/>
    <row r="4495" ht="16" customHeight="1" x14ac:dyDescent="0.2"/>
    <row r="4496" ht="16" customHeight="1" x14ac:dyDescent="0.2"/>
    <row r="4497" ht="16" customHeight="1" x14ac:dyDescent="0.2"/>
    <row r="4498" ht="16" customHeight="1" x14ac:dyDescent="0.2"/>
    <row r="4499" ht="16" customHeight="1" x14ac:dyDescent="0.2"/>
    <row r="4500" ht="16" customHeight="1" x14ac:dyDescent="0.2"/>
    <row r="4501" ht="16" customHeight="1" x14ac:dyDescent="0.2"/>
    <row r="4502" ht="16" customHeight="1" x14ac:dyDescent="0.2"/>
    <row r="4503" ht="16" customHeight="1" x14ac:dyDescent="0.2"/>
    <row r="4504" ht="16" customHeight="1" x14ac:dyDescent="0.2"/>
    <row r="4505" ht="16" customHeight="1" x14ac:dyDescent="0.2"/>
    <row r="4506" ht="16" customHeight="1" x14ac:dyDescent="0.2"/>
    <row r="4507" ht="16" customHeight="1" x14ac:dyDescent="0.2"/>
    <row r="4508" ht="16" customHeight="1" x14ac:dyDescent="0.2"/>
    <row r="4509" ht="16" customHeight="1" x14ac:dyDescent="0.2"/>
    <row r="4510" ht="16" customHeight="1" x14ac:dyDescent="0.2"/>
    <row r="4511" ht="16" customHeight="1" x14ac:dyDescent="0.2"/>
    <row r="4512" ht="16" customHeight="1" x14ac:dyDescent="0.2"/>
    <row r="4513" ht="16" customHeight="1" x14ac:dyDescent="0.2"/>
    <row r="4514" ht="16" customHeight="1" x14ac:dyDescent="0.2"/>
    <row r="4515" ht="16" customHeight="1" x14ac:dyDescent="0.2"/>
    <row r="4516" ht="16" customHeight="1" x14ac:dyDescent="0.2"/>
    <row r="4517" ht="16" customHeight="1" x14ac:dyDescent="0.2"/>
    <row r="4518" ht="16" customHeight="1" x14ac:dyDescent="0.2"/>
    <row r="4519" ht="16" customHeight="1" x14ac:dyDescent="0.2"/>
    <row r="4520" ht="16" customHeight="1" x14ac:dyDescent="0.2"/>
    <row r="4521" ht="16" customHeight="1" x14ac:dyDescent="0.2"/>
    <row r="4522" ht="16" customHeight="1" x14ac:dyDescent="0.2"/>
    <row r="4523" ht="16" customHeight="1" x14ac:dyDescent="0.2"/>
    <row r="4524" ht="16" customHeight="1" x14ac:dyDescent="0.2"/>
    <row r="4525" ht="16" customHeight="1" x14ac:dyDescent="0.2"/>
    <row r="4526" ht="16" customHeight="1" x14ac:dyDescent="0.2"/>
    <row r="4527" ht="16" customHeight="1" x14ac:dyDescent="0.2"/>
    <row r="4528" ht="16" customHeight="1" x14ac:dyDescent="0.2"/>
    <row r="4529" ht="16" customHeight="1" x14ac:dyDescent="0.2"/>
    <row r="4530" ht="16" customHeight="1" x14ac:dyDescent="0.2"/>
    <row r="4531" ht="16" customHeight="1" x14ac:dyDescent="0.2"/>
    <row r="4532" ht="16" customHeight="1" x14ac:dyDescent="0.2"/>
    <row r="4533" ht="16" customHeight="1" x14ac:dyDescent="0.2"/>
    <row r="4534" ht="16" customHeight="1" x14ac:dyDescent="0.2"/>
    <row r="4535" ht="16" customHeight="1" x14ac:dyDescent="0.2"/>
    <row r="4536" ht="16" customHeight="1" x14ac:dyDescent="0.2"/>
    <row r="4537" ht="16" customHeight="1" x14ac:dyDescent="0.2"/>
    <row r="4538" ht="16" customHeight="1" x14ac:dyDescent="0.2"/>
    <row r="4539" ht="16" customHeight="1" x14ac:dyDescent="0.2"/>
    <row r="4540" ht="16" customHeight="1" x14ac:dyDescent="0.2"/>
    <row r="4541" ht="16" customHeight="1" x14ac:dyDescent="0.2"/>
    <row r="4542" ht="16" customHeight="1" x14ac:dyDescent="0.2"/>
    <row r="4543" ht="16" customHeight="1" x14ac:dyDescent="0.2"/>
    <row r="4544" ht="16" customHeight="1" x14ac:dyDescent="0.2"/>
    <row r="4545" ht="16" customHeight="1" x14ac:dyDescent="0.2"/>
    <row r="4546" ht="16" customHeight="1" x14ac:dyDescent="0.2"/>
    <row r="4547" ht="16" customHeight="1" x14ac:dyDescent="0.2"/>
    <row r="4548" ht="16" customHeight="1" x14ac:dyDescent="0.2"/>
    <row r="4549" ht="16" customHeight="1" x14ac:dyDescent="0.2"/>
    <row r="4550" ht="16" customHeight="1" x14ac:dyDescent="0.2"/>
    <row r="4551" ht="16" customHeight="1" x14ac:dyDescent="0.2"/>
    <row r="4552" ht="16" customHeight="1" x14ac:dyDescent="0.2"/>
    <row r="4553" ht="16" customHeight="1" x14ac:dyDescent="0.2"/>
    <row r="4554" ht="16" customHeight="1" x14ac:dyDescent="0.2"/>
    <row r="4555" ht="16" customHeight="1" x14ac:dyDescent="0.2"/>
    <row r="4556" ht="16" customHeight="1" x14ac:dyDescent="0.2"/>
    <row r="4557" ht="16" customHeight="1" x14ac:dyDescent="0.2"/>
    <row r="4558" ht="16" customHeight="1" x14ac:dyDescent="0.2"/>
    <row r="4559" ht="16" customHeight="1" x14ac:dyDescent="0.2"/>
    <row r="4560" ht="16" customHeight="1" x14ac:dyDescent="0.2"/>
    <row r="4561" ht="16" customHeight="1" x14ac:dyDescent="0.2"/>
    <row r="4562" ht="16" customHeight="1" x14ac:dyDescent="0.2"/>
    <row r="4563" ht="16" customHeight="1" x14ac:dyDescent="0.2"/>
    <row r="4564" ht="16" customHeight="1" x14ac:dyDescent="0.2"/>
    <row r="4565" ht="16" customHeight="1" x14ac:dyDescent="0.2"/>
    <row r="4566" ht="16" customHeight="1" x14ac:dyDescent="0.2"/>
    <row r="4567" ht="16" customHeight="1" x14ac:dyDescent="0.2"/>
    <row r="4568" ht="16" customHeight="1" x14ac:dyDescent="0.2"/>
    <row r="4569" ht="16" customHeight="1" x14ac:dyDescent="0.2"/>
    <row r="4570" ht="16" customHeight="1" x14ac:dyDescent="0.2"/>
    <row r="4571" ht="16" customHeight="1" x14ac:dyDescent="0.2"/>
    <row r="4572" ht="16" customHeight="1" x14ac:dyDescent="0.2"/>
    <row r="4573" ht="16" customHeight="1" x14ac:dyDescent="0.2"/>
    <row r="4574" ht="16" customHeight="1" x14ac:dyDescent="0.2"/>
    <row r="4575" ht="16" customHeight="1" x14ac:dyDescent="0.2"/>
    <row r="4576" ht="16" customHeight="1" x14ac:dyDescent="0.2"/>
    <row r="4577" ht="16" customHeight="1" x14ac:dyDescent="0.2"/>
    <row r="4578" ht="16" customHeight="1" x14ac:dyDescent="0.2"/>
    <row r="4579" ht="16" customHeight="1" x14ac:dyDescent="0.2"/>
    <row r="4580" ht="16" customHeight="1" x14ac:dyDescent="0.2"/>
    <row r="4581" ht="16" customHeight="1" x14ac:dyDescent="0.2"/>
    <row r="4582" ht="16" customHeight="1" x14ac:dyDescent="0.2"/>
    <row r="4583" ht="16" customHeight="1" x14ac:dyDescent="0.2"/>
    <row r="4584" ht="16" customHeight="1" x14ac:dyDescent="0.2"/>
    <row r="4585" ht="16" customHeight="1" x14ac:dyDescent="0.2"/>
    <row r="4586" ht="16" customHeight="1" x14ac:dyDescent="0.2"/>
    <row r="4587" ht="16" customHeight="1" x14ac:dyDescent="0.2"/>
    <row r="4588" ht="16" customHeight="1" x14ac:dyDescent="0.2"/>
    <row r="4589" ht="16" customHeight="1" x14ac:dyDescent="0.2"/>
    <row r="4590" ht="16" customHeight="1" x14ac:dyDescent="0.2"/>
    <row r="4591" ht="16" customHeight="1" x14ac:dyDescent="0.2"/>
    <row r="4592" ht="16" customHeight="1" x14ac:dyDescent="0.2"/>
    <row r="4593" ht="16" customHeight="1" x14ac:dyDescent="0.2"/>
    <row r="4594" ht="16" customHeight="1" x14ac:dyDescent="0.2"/>
    <row r="4595" ht="16" customHeight="1" x14ac:dyDescent="0.2"/>
    <row r="4596" ht="16" customHeight="1" x14ac:dyDescent="0.2"/>
    <row r="4597" ht="16" customHeight="1" x14ac:dyDescent="0.2"/>
    <row r="4598" ht="16" customHeight="1" x14ac:dyDescent="0.2"/>
    <row r="4599" ht="16" customHeight="1" x14ac:dyDescent="0.2"/>
    <row r="4600" ht="16" customHeight="1" x14ac:dyDescent="0.2"/>
    <row r="4601" ht="16" customHeight="1" x14ac:dyDescent="0.2"/>
    <row r="4602" ht="16" customHeight="1" x14ac:dyDescent="0.2"/>
    <row r="4603" ht="16" customHeight="1" x14ac:dyDescent="0.2"/>
    <row r="4604" ht="16" customHeight="1" x14ac:dyDescent="0.2"/>
    <row r="4605" ht="16" customHeight="1" x14ac:dyDescent="0.2"/>
    <row r="4606" ht="16" customHeight="1" x14ac:dyDescent="0.2"/>
    <row r="4607" ht="16" customHeight="1" x14ac:dyDescent="0.2"/>
    <row r="4608" ht="16" customHeight="1" x14ac:dyDescent="0.2"/>
    <row r="4609" ht="16" customHeight="1" x14ac:dyDescent="0.2"/>
    <row r="4610" ht="16" customHeight="1" x14ac:dyDescent="0.2"/>
    <row r="4611" ht="16" customHeight="1" x14ac:dyDescent="0.2"/>
    <row r="4612" ht="16" customHeight="1" x14ac:dyDescent="0.2"/>
    <row r="4613" ht="16" customHeight="1" x14ac:dyDescent="0.2"/>
    <row r="4614" ht="16" customHeight="1" x14ac:dyDescent="0.2"/>
    <row r="4615" ht="16" customHeight="1" x14ac:dyDescent="0.2"/>
    <row r="4616" ht="16" customHeight="1" x14ac:dyDescent="0.2"/>
    <row r="4617" ht="16" customHeight="1" x14ac:dyDescent="0.2"/>
    <row r="4618" ht="16" customHeight="1" x14ac:dyDescent="0.2"/>
    <row r="4619" ht="16" customHeight="1" x14ac:dyDescent="0.2"/>
    <row r="4620" ht="16" customHeight="1" x14ac:dyDescent="0.2"/>
    <row r="4621" ht="16" customHeight="1" x14ac:dyDescent="0.2"/>
    <row r="4622" ht="16" customHeight="1" x14ac:dyDescent="0.2"/>
    <row r="4623" ht="16" customHeight="1" x14ac:dyDescent="0.2"/>
    <row r="4624" ht="16" customHeight="1" x14ac:dyDescent="0.2"/>
    <row r="4625" ht="16" customHeight="1" x14ac:dyDescent="0.2"/>
    <row r="4626" ht="16" customHeight="1" x14ac:dyDescent="0.2"/>
    <row r="4627" ht="16" customHeight="1" x14ac:dyDescent="0.2"/>
    <row r="4628" ht="16" customHeight="1" x14ac:dyDescent="0.2"/>
    <row r="4629" ht="16" customHeight="1" x14ac:dyDescent="0.2"/>
    <row r="4630" ht="16" customHeight="1" x14ac:dyDescent="0.2"/>
    <row r="4631" ht="16" customHeight="1" x14ac:dyDescent="0.2"/>
    <row r="4632" ht="16" customHeight="1" x14ac:dyDescent="0.2"/>
    <row r="4633" ht="16" customHeight="1" x14ac:dyDescent="0.2"/>
    <row r="4634" ht="16" customHeight="1" x14ac:dyDescent="0.2"/>
    <row r="4635" ht="16" customHeight="1" x14ac:dyDescent="0.2"/>
    <row r="4636" ht="16" customHeight="1" x14ac:dyDescent="0.2"/>
    <row r="4637" ht="16" customHeight="1" x14ac:dyDescent="0.2"/>
    <row r="4638" ht="16" customHeight="1" x14ac:dyDescent="0.2"/>
    <row r="4639" ht="16" customHeight="1" x14ac:dyDescent="0.2"/>
    <row r="4640" ht="16" customHeight="1" x14ac:dyDescent="0.2"/>
    <row r="4641" ht="16" customHeight="1" x14ac:dyDescent="0.2"/>
    <row r="4642" ht="16" customHeight="1" x14ac:dyDescent="0.2"/>
    <row r="4643" ht="16" customHeight="1" x14ac:dyDescent="0.2"/>
    <row r="4644" ht="16" customHeight="1" x14ac:dyDescent="0.2"/>
    <row r="4645" ht="16" customHeight="1" x14ac:dyDescent="0.2"/>
    <row r="4646" ht="16" customHeight="1" x14ac:dyDescent="0.2"/>
    <row r="4647" ht="16" customHeight="1" x14ac:dyDescent="0.2"/>
    <row r="4648" ht="16" customHeight="1" x14ac:dyDescent="0.2"/>
    <row r="4649" ht="16" customHeight="1" x14ac:dyDescent="0.2"/>
    <row r="4650" ht="16" customHeight="1" x14ac:dyDescent="0.2"/>
    <row r="4651" ht="16" customHeight="1" x14ac:dyDescent="0.2"/>
    <row r="4652" ht="16" customHeight="1" x14ac:dyDescent="0.2"/>
    <row r="4653" ht="16" customHeight="1" x14ac:dyDescent="0.2"/>
    <row r="4654" ht="16" customHeight="1" x14ac:dyDescent="0.2"/>
    <row r="4655" ht="16" customHeight="1" x14ac:dyDescent="0.2"/>
    <row r="4656" ht="16" customHeight="1" x14ac:dyDescent="0.2"/>
    <row r="4657" ht="16" customHeight="1" x14ac:dyDescent="0.2"/>
    <row r="4658" ht="16" customHeight="1" x14ac:dyDescent="0.2"/>
    <row r="4659" ht="16" customHeight="1" x14ac:dyDescent="0.2"/>
    <row r="4660" ht="16" customHeight="1" x14ac:dyDescent="0.2"/>
    <row r="4661" ht="16" customHeight="1" x14ac:dyDescent="0.2"/>
    <row r="4662" ht="16" customHeight="1" x14ac:dyDescent="0.2"/>
    <row r="4663" ht="16" customHeight="1" x14ac:dyDescent="0.2"/>
    <row r="4664" ht="16" customHeight="1" x14ac:dyDescent="0.2"/>
    <row r="4665" ht="16" customHeight="1" x14ac:dyDescent="0.2"/>
    <row r="4666" ht="16" customHeight="1" x14ac:dyDescent="0.2"/>
    <row r="4667" ht="16" customHeight="1" x14ac:dyDescent="0.2"/>
    <row r="4668" ht="16" customHeight="1" x14ac:dyDescent="0.2"/>
    <row r="4669" ht="16" customHeight="1" x14ac:dyDescent="0.2"/>
    <row r="4670" ht="16" customHeight="1" x14ac:dyDescent="0.2"/>
    <row r="4671" ht="16" customHeight="1" x14ac:dyDescent="0.2"/>
    <row r="4672" ht="16" customHeight="1" x14ac:dyDescent="0.2"/>
    <row r="4673" ht="16" customHeight="1" x14ac:dyDescent="0.2"/>
    <row r="4674" ht="16" customHeight="1" x14ac:dyDescent="0.2"/>
    <row r="4675" ht="16" customHeight="1" x14ac:dyDescent="0.2"/>
    <row r="4676" ht="16" customHeight="1" x14ac:dyDescent="0.2"/>
    <row r="4677" ht="16" customHeight="1" x14ac:dyDescent="0.2"/>
    <row r="4678" ht="16" customHeight="1" x14ac:dyDescent="0.2"/>
    <row r="4679" ht="16" customHeight="1" x14ac:dyDescent="0.2"/>
    <row r="4680" ht="16" customHeight="1" x14ac:dyDescent="0.2"/>
    <row r="4681" ht="16" customHeight="1" x14ac:dyDescent="0.2"/>
    <row r="4682" ht="16" customHeight="1" x14ac:dyDescent="0.2"/>
    <row r="4683" ht="16" customHeight="1" x14ac:dyDescent="0.2"/>
    <row r="4684" ht="16" customHeight="1" x14ac:dyDescent="0.2"/>
    <row r="4685" ht="16" customHeight="1" x14ac:dyDescent="0.2"/>
    <row r="4686" ht="16" customHeight="1" x14ac:dyDescent="0.2"/>
    <row r="4687" ht="16" customHeight="1" x14ac:dyDescent="0.2"/>
    <row r="4688" ht="16" customHeight="1" x14ac:dyDescent="0.2"/>
    <row r="4689" ht="16" customHeight="1" x14ac:dyDescent="0.2"/>
    <row r="4690" ht="16" customHeight="1" x14ac:dyDescent="0.2"/>
    <row r="4691" ht="16" customHeight="1" x14ac:dyDescent="0.2"/>
    <row r="4692" ht="16" customHeight="1" x14ac:dyDescent="0.2"/>
    <row r="4693" ht="16" customHeight="1" x14ac:dyDescent="0.2"/>
    <row r="4694" ht="16" customHeight="1" x14ac:dyDescent="0.2"/>
    <row r="4695" ht="16" customHeight="1" x14ac:dyDescent="0.2"/>
    <row r="4696" ht="16" customHeight="1" x14ac:dyDescent="0.2"/>
    <row r="4697" ht="16" customHeight="1" x14ac:dyDescent="0.2"/>
    <row r="4698" ht="16" customHeight="1" x14ac:dyDescent="0.2"/>
    <row r="4699" ht="16" customHeight="1" x14ac:dyDescent="0.2"/>
    <row r="4700" ht="16" customHeight="1" x14ac:dyDescent="0.2"/>
    <row r="4701" ht="16" customHeight="1" x14ac:dyDescent="0.2"/>
    <row r="4702" ht="16" customHeight="1" x14ac:dyDescent="0.2"/>
    <row r="4703" ht="16" customHeight="1" x14ac:dyDescent="0.2"/>
    <row r="4704" ht="16" customHeight="1" x14ac:dyDescent="0.2"/>
    <row r="4705" ht="16" customHeight="1" x14ac:dyDescent="0.2"/>
    <row r="4706" ht="16" customHeight="1" x14ac:dyDescent="0.2"/>
    <row r="4707" ht="16" customHeight="1" x14ac:dyDescent="0.2"/>
    <row r="4708" ht="16" customHeight="1" x14ac:dyDescent="0.2"/>
    <row r="4709" ht="16" customHeight="1" x14ac:dyDescent="0.2"/>
    <row r="4710" ht="16" customHeight="1" x14ac:dyDescent="0.2"/>
    <row r="4711" ht="16" customHeight="1" x14ac:dyDescent="0.2"/>
    <row r="4712" ht="16" customHeight="1" x14ac:dyDescent="0.2"/>
    <row r="4713" ht="16" customHeight="1" x14ac:dyDescent="0.2"/>
    <row r="4714" ht="16" customHeight="1" x14ac:dyDescent="0.2"/>
    <row r="4715" ht="16" customHeight="1" x14ac:dyDescent="0.2"/>
    <row r="4716" ht="16" customHeight="1" x14ac:dyDescent="0.2"/>
    <row r="4717" ht="16" customHeight="1" x14ac:dyDescent="0.2"/>
    <row r="4718" ht="16" customHeight="1" x14ac:dyDescent="0.2"/>
    <row r="4719" ht="16" customHeight="1" x14ac:dyDescent="0.2"/>
    <row r="4720" ht="16" customHeight="1" x14ac:dyDescent="0.2"/>
    <row r="4721" ht="16" customHeight="1" x14ac:dyDescent="0.2"/>
    <row r="4722" ht="16" customHeight="1" x14ac:dyDescent="0.2"/>
    <row r="4723" ht="16" customHeight="1" x14ac:dyDescent="0.2"/>
    <row r="4724" ht="16" customHeight="1" x14ac:dyDescent="0.2"/>
    <row r="4725" ht="16" customHeight="1" x14ac:dyDescent="0.2"/>
    <row r="4726" ht="16" customHeight="1" x14ac:dyDescent="0.2"/>
    <row r="4727" ht="16" customHeight="1" x14ac:dyDescent="0.2"/>
    <row r="4728" ht="16" customHeight="1" x14ac:dyDescent="0.2"/>
    <row r="4729" ht="16" customHeight="1" x14ac:dyDescent="0.2"/>
    <row r="4730" ht="16" customHeight="1" x14ac:dyDescent="0.2"/>
    <row r="4731" ht="16" customHeight="1" x14ac:dyDescent="0.2"/>
    <row r="4732" ht="16" customHeight="1" x14ac:dyDescent="0.2"/>
    <row r="4733" ht="16" customHeight="1" x14ac:dyDescent="0.2"/>
    <row r="4734" ht="16" customHeight="1" x14ac:dyDescent="0.2"/>
    <row r="4735" ht="16" customHeight="1" x14ac:dyDescent="0.2"/>
    <row r="4736" ht="16" customHeight="1" x14ac:dyDescent="0.2"/>
    <row r="4737" ht="16" customHeight="1" x14ac:dyDescent="0.2"/>
    <row r="4738" ht="16" customHeight="1" x14ac:dyDescent="0.2"/>
    <row r="4739" ht="16" customHeight="1" x14ac:dyDescent="0.2"/>
    <row r="4740" ht="16" customHeight="1" x14ac:dyDescent="0.2"/>
    <row r="4741" ht="16" customHeight="1" x14ac:dyDescent="0.2"/>
    <row r="4742" ht="16" customHeight="1" x14ac:dyDescent="0.2"/>
    <row r="4743" ht="16" customHeight="1" x14ac:dyDescent="0.2"/>
    <row r="4744" ht="16" customHeight="1" x14ac:dyDescent="0.2"/>
    <row r="4745" ht="16" customHeight="1" x14ac:dyDescent="0.2"/>
    <row r="4746" ht="16" customHeight="1" x14ac:dyDescent="0.2"/>
    <row r="4747" ht="16" customHeight="1" x14ac:dyDescent="0.2"/>
    <row r="4748" ht="16" customHeight="1" x14ac:dyDescent="0.2"/>
    <row r="4749" ht="16" customHeight="1" x14ac:dyDescent="0.2"/>
    <row r="4750" ht="16" customHeight="1" x14ac:dyDescent="0.2"/>
    <row r="4751" ht="16" customHeight="1" x14ac:dyDescent="0.2"/>
    <row r="4752" ht="16" customHeight="1" x14ac:dyDescent="0.2"/>
    <row r="4753" ht="16" customHeight="1" x14ac:dyDescent="0.2"/>
    <row r="4754" ht="16" customHeight="1" x14ac:dyDescent="0.2"/>
    <row r="4755" ht="16" customHeight="1" x14ac:dyDescent="0.2"/>
    <row r="4756" ht="16" customHeight="1" x14ac:dyDescent="0.2"/>
    <row r="4757" ht="16" customHeight="1" x14ac:dyDescent="0.2"/>
    <row r="4758" ht="16" customHeight="1" x14ac:dyDescent="0.2"/>
    <row r="4759" ht="16" customHeight="1" x14ac:dyDescent="0.2"/>
    <row r="4760" ht="16" customHeight="1" x14ac:dyDescent="0.2"/>
    <row r="4761" ht="16" customHeight="1" x14ac:dyDescent="0.2"/>
    <row r="4762" ht="16" customHeight="1" x14ac:dyDescent="0.2"/>
    <row r="4763" ht="16" customHeight="1" x14ac:dyDescent="0.2"/>
    <row r="4764" ht="16" customHeight="1" x14ac:dyDescent="0.2"/>
    <row r="4765" ht="16" customHeight="1" x14ac:dyDescent="0.2"/>
    <row r="4766" ht="16" customHeight="1" x14ac:dyDescent="0.2"/>
    <row r="4767" ht="16" customHeight="1" x14ac:dyDescent="0.2"/>
    <row r="4768" ht="16" customHeight="1" x14ac:dyDescent="0.2"/>
    <row r="4769" ht="16" customHeight="1" x14ac:dyDescent="0.2"/>
    <row r="4770" ht="16" customHeight="1" x14ac:dyDescent="0.2"/>
    <row r="4771" ht="16" customHeight="1" x14ac:dyDescent="0.2"/>
    <row r="4772" ht="16" customHeight="1" x14ac:dyDescent="0.2"/>
    <row r="4773" ht="16" customHeight="1" x14ac:dyDescent="0.2"/>
    <row r="4774" ht="16" customHeight="1" x14ac:dyDescent="0.2"/>
    <row r="4775" ht="16" customHeight="1" x14ac:dyDescent="0.2"/>
    <row r="4776" ht="16" customHeight="1" x14ac:dyDescent="0.2"/>
    <row r="4777" ht="16" customHeight="1" x14ac:dyDescent="0.2"/>
    <row r="4778" ht="16" customHeight="1" x14ac:dyDescent="0.2"/>
    <row r="4779" ht="16" customHeight="1" x14ac:dyDescent="0.2"/>
    <row r="4780" ht="16" customHeight="1" x14ac:dyDescent="0.2"/>
    <row r="4781" ht="16" customHeight="1" x14ac:dyDescent="0.2"/>
    <row r="4782" ht="16" customHeight="1" x14ac:dyDescent="0.2"/>
    <row r="4783" ht="16" customHeight="1" x14ac:dyDescent="0.2"/>
    <row r="4784" ht="16" customHeight="1" x14ac:dyDescent="0.2"/>
    <row r="4785" ht="16" customHeight="1" x14ac:dyDescent="0.2"/>
    <row r="4786" ht="16" customHeight="1" x14ac:dyDescent="0.2"/>
    <row r="4787" ht="16" customHeight="1" x14ac:dyDescent="0.2"/>
    <row r="4788" ht="16" customHeight="1" x14ac:dyDescent="0.2"/>
    <row r="4789" ht="16" customHeight="1" x14ac:dyDescent="0.2"/>
    <row r="4790" ht="16" customHeight="1" x14ac:dyDescent="0.2"/>
    <row r="4791" ht="16" customHeight="1" x14ac:dyDescent="0.2"/>
    <row r="4792" ht="16" customHeight="1" x14ac:dyDescent="0.2"/>
    <row r="4793" ht="16" customHeight="1" x14ac:dyDescent="0.2"/>
    <row r="4794" ht="16" customHeight="1" x14ac:dyDescent="0.2"/>
    <row r="4795" ht="16" customHeight="1" x14ac:dyDescent="0.2"/>
    <row r="4796" ht="16" customHeight="1" x14ac:dyDescent="0.2"/>
    <row r="4797" ht="16" customHeight="1" x14ac:dyDescent="0.2"/>
    <row r="4798" ht="16" customHeight="1" x14ac:dyDescent="0.2"/>
    <row r="4799" ht="16" customHeight="1" x14ac:dyDescent="0.2"/>
    <row r="4800" ht="16" customHeight="1" x14ac:dyDescent="0.2"/>
    <row r="4801" ht="16" customHeight="1" x14ac:dyDescent="0.2"/>
    <row r="4802" ht="16" customHeight="1" x14ac:dyDescent="0.2"/>
    <row r="4803" ht="16" customHeight="1" x14ac:dyDescent="0.2"/>
    <row r="4804" ht="16" customHeight="1" x14ac:dyDescent="0.2"/>
    <row r="4805" ht="16" customHeight="1" x14ac:dyDescent="0.2"/>
    <row r="4806" ht="16" customHeight="1" x14ac:dyDescent="0.2"/>
    <row r="4807" ht="16" customHeight="1" x14ac:dyDescent="0.2"/>
    <row r="4808" ht="16" customHeight="1" x14ac:dyDescent="0.2"/>
    <row r="4809" ht="16" customHeight="1" x14ac:dyDescent="0.2"/>
    <row r="4810" ht="16" customHeight="1" x14ac:dyDescent="0.2"/>
    <row r="4811" ht="16" customHeight="1" x14ac:dyDescent="0.2"/>
    <row r="4812" ht="16" customHeight="1" x14ac:dyDescent="0.2"/>
    <row r="4813" ht="16" customHeight="1" x14ac:dyDescent="0.2"/>
    <row r="4814" ht="16" customHeight="1" x14ac:dyDescent="0.2"/>
    <row r="4815" ht="16" customHeight="1" x14ac:dyDescent="0.2"/>
    <row r="4816" ht="16" customHeight="1" x14ac:dyDescent="0.2"/>
    <row r="4817" ht="16" customHeight="1" x14ac:dyDescent="0.2"/>
    <row r="4818" ht="16" customHeight="1" x14ac:dyDescent="0.2"/>
    <row r="4819" ht="16" customHeight="1" x14ac:dyDescent="0.2"/>
    <row r="4820" ht="16" customHeight="1" x14ac:dyDescent="0.2"/>
    <row r="4821" ht="16" customHeight="1" x14ac:dyDescent="0.2"/>
    <row r="4822" ht="16" customHeight="1" x14ac:dyDescent="0.2"/>
    <row r="4823" ht="16" customHeight="1" x14ac:dyDescent="0.2"/>
    <row r="4824" ht="16" customHeight="1" x14ac:dyDescent="0.2"/>
    <row r="4825" ht="16" customHeight="1" x14ac:dyDescent="0.2"/>
    <row r="4826" ht="16" customHeight="1" x14ac:dyDescent="0.2"/>
    <row r="4827" ht="16" customHeight="1" x14ac:dyDescent="0.2"/>
    <row r="4828" ht="16" customHeight="1" x14ac:dyDescent="0.2"/>
    <row r="4829" ht="16" customHeight="1" x14ac:dyDescent="0.2"/>
    <row r="4830" ht="16" customHeight="1" x14ac:dyDescent="0.2"/>
    <row r="4831" ht="16" customHeight="1" x14ac:dyDescent="0.2"/>
    <row r="4832" ht="16" customHeight="1" x14ac:dyDescent="0.2"/>
    <row r="4833" ht="16" customHeight="1" x14ac:dyDescent="0.2"/>
    <row r="4834" ht="16" customHeight="1" x14ac:dyDescent="0.2"/>
    <row r="4835" ht="16" customHeight="1" x14ac:dyDescent="0.2"/>
    <row r="4836" ht="16" customHeight="1" x14ac:dyDescent="0.2"/>
    <row r="4837" ht="16" customHeight="1" x14ac:dyDescent="0.2"/>
    <row r="4838" ht="16" customHeight="1" x14ac:dyDescent="0.2"/>
    <row r="4839" ht="16" customHeight="1" x14ac:dyDescent="0.2"/>
    <row r="4840" ht="16" customHeight="1" x14ac:dyDescent="0.2"/>
    <row r="4841" ht="16" customHeight="1" x14ac:dyDescent="0.2"/>
    <row r="4842" ht="16" customHeight="1" x14ac:dyDescent="0.2"/>
    <row r="4843" ht="16" customHeight="1" x14ac:dyDescent="0.2"/>
    <row r="4844" ht="16" customHeight="1" x14ac:dyDescent="0.2"/>
    <row r="4845" ht="16" customHeight="1" x14ac:dyDescent="0.2"/>
    <row r="4846" ht="16" customHeight="1" x14ac:dyDescent="0.2"/>
    <row r="4847" ht="16" customHeight="1" x14ac:dyDescent="0.2"/>
    <row r="4848" ht="16" customHeight="1" x14ac:dyDescent="0.2"/>
    <row r="4849" ht="16" customHeight="1" x14ac:dyDescent="0.2"/>
    <row r="4850" ht="16" customHeight="1" x14ac:dyDescent="0.2"/>
    <row r="4851" ht="16" customHeight="1" x14ac:dyDescent="0.2"/>
    <row r="4852" ht="16" customHeight="1" x14ac:dyDescent="0.2"/>
    <row r="4853" ht="16" customHeight="1" x14ac:dyDescent="0.2"/>
    <row r="4854" ht="16" customHeight="1" x14ac:dyDescent="0.2"/>
    <row r="4855" ht="16" customHeight="1" x14ac:dyDescent="0.2"/>
    <row r="4856" ht="16" customHeight="1" x14ac:dyDescent="0.2"/>
    <row r="4857" ht="16" customHeight="1" x14ac:dyDescent="0.2"/>
    <row r="4858" ht="16" customHeight="1" x14ac:dyDescent="0.2"/>
    <row r="4859" ht="16" customHeight="1" x14ac:dyDescent="0.2"/>
    <row r="4860" ht="16" customHeight="1" x14ac:dyDescent="0.2"/>
    <row r="4861" ht="16" customHeight="1" x14ac:dyDescent="0.2"/>
    <row r="4862" ht="16" customHeight="1" x14ac:dyDescent="0.2"/>
    <row r="4863" ht="16" customHeight="1" x14ac:dyDescent="0.2"/>
    <row r="4864" ht="16" customHeight="1" x14ac:dyDescent="0.2"/>
    <row r="4865" ht="16" customHeight="1" x14ac:dyDescent="0.2"/>
    <row r="4866" ht="16" customHeight="1" x14ac:dyDescent="0.2"/>
    <row r="4867" ht="16" customHeight="1" x14ac:dyDescent="0.2"/>
    <row r="4868" ht="16" customHeight="1" x14ac:dyDescent="0.2"/>
    <row r="4869" ht="16" customHeight="1" x14ac:dyDescent="0.2"/>
    <row r="4870" ht="16" customHeight="1" x14ac:dyDescent="0.2"/>
    <row r="4871" ht="16" customHeight="1" x14ac:dyDescent="0.2"/>
    <row r="4872" ht="16" customHeight="1" x14ac:dyDescent="0.2"/>
    <row r="4873" ht="16" customHeight="1" x14ac:dyDescent="0.2"/>
    <row r="4874" ht="16" customHeight="1" x14ac:dyDescent="0.2"/>
    <row r="4875" ht="16" customHeight="1" x14ac:dyDescent="0.2"/>
    <row r="4876" ht="16" customHeight="1" x14ac:dyDescent="0.2"/>
    <row r="4877" ht="16" customHeight="1" x14ac:dyDescent="0.2"/>
    <row r="4878" ht="16" customHeight="1" x14ac:dyDescent="0.2"/>
    <row r="4879" ht="16" customHeight="1" x14ac:dyDescent="0.2"/>
    <row r="4880" ht="16" customHeight="1" x14ac:dyDescent="0.2"/>
    <row r="4881" ht="16" customHeight="1" x14ac:dyDescent="0.2"/>
    <row r="4882" ht="16" customHeight="1" x14ac:dyDescent="0.2"/>
    <row r="4883" ht="16" customHeight="1" x14ac:dyDescent="0.2"/>
    <row r="4884" ht="16" customHeight="1" x14ac:dyDescent="0.2"/>
    <row r="4885" ht="16" customHeight="1" x14ac:dyDescent="0.2"/>
    <row r="4886" ht="16" customHeight="1" x14ac:dyDescent="0.2"/>
    <row r="4887" ht="16" customHeight="1" x14ac:dyDescent="0.2"/>
    <row r="4888" ht="16" customHeight="1" x14ac:dyDescent="0.2"/>
    <row r="4889" ht="16" customHeight="1" x14ac:dyDescent="0.2"/>
    <row r="4890" ht="16" customHeight="1" x14ac:dyDescent="0.2"/>
    <row r="4891" ht="16" customHeight="1" x14ac:dyDescent="0.2"/>
    <row r="4892" ht="16" customHeight="1" x14ac:dyDescent="0.2"/>
    <row r="4893" ht="16" customHeight="1" x14ac:dyDescent="0.2"/>
    <row r="4894" ht="16" customHeight="1" x14ac:dyDescent="0.2"/>
    <row r="4895" ht="16" customHeight="1" x14ac:dyDescent="0.2"/>
    <row r="4896" ht="16" customHeight="1" x14ac:dyDescent="0.2"/>
    <row r="4897" ht="16" customHeight="1" x14ac:dyDescent="0.2"/>
    <row r="4898" ht="16" customHeight="1" x14ac:dyDescent="0.2"/>
    <row r="4899" ht="16" customHeight="1" x14ac:dyDescent="0.2"/>
    <row r="4900" ht="16" customHeight="1" x14ac:dyDescent="0.2"/>
    <row r="4901" ht="16" customHeight="1" x14ac:dyDescent="0.2"/>
    <row r="4902" ht="16" customHeight="1" x14ac:dyDescent="0.2"/>
    <row r="4903" ht="16" customHeight="1" x14ac:dyDescent="0.2"/>
    <row r="4904" ht="16" customHeight="1" x14ac:dyDescent="0.2"/>
    <row r="4905" ht="16" customHeight="1" x14ac:dyDescent="0.2"/>
    <row r="4906" ht="16" customHeight="1" x14ac:dyDescent="0.2"/>
    <row r="4907" ht="16" customHeight="1" x14ac:dyDescent="0.2"/>
    <row r="4908" ht="16" customHeight="1" x14ac:dyDescent="0.2"/>
    <row r="4909" ht="16" customHeight="1" x14ac:dyDescent="0.2"/>
    <row r="4910" ht="16" customHeight="1" x14ac:dyDescent="0.2"/>
    <row r="4911" ht="16" customHeight="1" x14ac:dyDescent="0.2"/>
    <row r="4912" ht="16" customHeight="1" x14ac:dyDescent="0.2"/>
    <row r="4913" ht="16" customHeight="1" x14ac:dyDescent="0.2"/>
    <row r="4914" ht="16" customHeight="1" x14ac:dyDescent="0.2"/>
    <row r="4915" ht="16" customHeight="1" x14ac:dyDescent="0.2"/>
    <row r="4916" ht="16" customHeight="1" x14ac:dyDescent="0.2"/>
    <row r="4917" ht="16" customHeight="1" x14ac:dyDescent="0.2"/>
    <row r="4918" ht="16" customHeight="1" x14ac:dyDescent="0.2"/>
    <row r="4919" ht="16" customHeight="1" x14ac:dyDescent="0.2"/>
    <row r="4920" ht="16" customHeight="1" x14ac:dyDescent="0.2"/>
    <row r="4921" ht="16" customHeight="1" x14ac:dyDescent="0.2"/>
    <row r="4922" ht="16" customHeight="1" x14ac:dyDescent="0.2"/>
    <row r="4923" ht="16" customHeight="1" x14ac:dyDescent="0.2"/>
    <row r="4924" ht="16" customHeight="1" x14ac:dyDescent="0.2"/>
    <row r="4925" ht="16" customHeight="1" x14ac:dyDescent="0.2"/>
    <row r="4926" ht="16" customHeight="1" x14ac:dyDescent="0.2"/>
    <row r="4927" ht="16" customHeight="1" x14ac:dyDescent="0.2"/>
    <row r="4928" ht="16" customHeight="1" x14ac:dyDescent="0.2"/>
    <row r="4929" ht="16" customHeight="1" x14ac:dyDescent="0.2"/>
    <row r="4930" ht="16" customHeight="1" x14ac:dyDescent="0.2"/>
    <row r="4931" ht="16" customHeight="1" x14ac:dyDescent="0.2"/>
    <row r="4932" ht="16" customHeight="1" x14ac:dyDescent="0.2"/>
    <row r="4933" ht="16" customHeight="1" x14ac:dyDescent="0.2"/>
    <row r="4934" ht="16" customHeight="1" x14ac:dyDescent="0.2"/>
    <row r="4935" ht="16" customHeight="1" x14ac:dyDescent="0.2"/>
    <row r="4936" ht="16" customHeight="1" x14ac:dyDescent="0.2"/>
    <row r="4937" ht="16" customHeight="1" x14ac:dyDescent="0.2"/>
    <row r="4938" ht="16" customHeight="1" x14ac:dyDescent="0.2"/>
    <row r="4939" ht="16" customHeight="1" x14ac:dyDescent="0.2"/>
    <row r="4940" ht="16" customHeight="1" x14ac:dyDescent="0.2"/>
    <row r="4941" ht="16" customHeight="1" x14ac:dyDescent="0.2"/>
    <row r="4942" ht="16" customHeight="1" x14ac:dyDescent="0.2"/>
    <row r="4943" ht="16" customHeight="1" x14ac:dyDescent="0.2"/>
    <row r="4944" ht="16" customHeight="1" x14ac:dyDescent="0.2"/>
    <row r="4945" ht="16" customHeight="1" x14ac:dyDescent="0.2"/>
    <row r="4946" ht="16" customHeight="1" x14ac:dyDescent="0.2"/>
    <row r="4947" ht="16" customHeight="1" x14ac:dyDescent="0.2"/>
    <row r="4948" ht="16" customHeight="1" x14ac:dyDescent="0.2"/>
    <row r="4949" ht="16" customHeight="1" x14ac:dyDescent="0.2"/>
    <row r="4950" ht="16" customHeight="1" x14ac:dyDescent="0.2"/>
    <row r="4951" ht="16" customHeight="1" x14ac:dyDescent="0.2"/>
    <row r="4952" ht="16" customHeight="1" x14ac:dyDescent="0.2"/>
    <row r="4953" ht="16" customHeight="1" x14ac:dyDescent="0.2"/>
    <row r="4954" ht="16" customHeight="1" x14ac:dyDescent="0.2"/>
    <row r="4955" ht="16" customHeight="1" x14ac:dyDescent="0.2"/>
    <row r="4956" ht="16" customHeight="1" x14ac:dyDescent="0.2"/>
    <row r="4957" ht="16" customHeight="1" x14ac:dyDescent="0.2"/>
    <row r="4958" ht="16" customHeight="1" x14ac:dyDescent="0.2"/>
    <row r="4959" ht="16" customHeight="1" x14ac:dyDescent="0.2"/>
    <row r="4960" ht="16" customHeight="1" x14ac:dyDescent="0.2"/>
    <row r="4961" ht="16" customHeight="1" x14ac:dyDescent="0.2"/>
    <row r="4962" ht="16" customHeight="1" x14ac:dyDescent="0.2"/>
    <row r="4963" ht="16" customHeight="1" x14ac:dyDescent="0.2"/>
    <row r="4964" ht="16" customHeight="1" x14ac:dyDescent="0.2"/>
    <row r="4965" ht="16" customHeight="1" x14ac:dyDescent="0.2"/>
    <row r="4966" ht="16" customHeight="1" x14ac:dyDescent="0.2"/>
    <row r="4967" ht="16" customHeight="1" x14ac:dyDescent="0.2"/>
    <row r="4968" ht="16" customHeight="1" x14ac:dyDescent="0.2"/>
    <row r="4969" ht="16" customHeight="1" x14ac:dyDescent="0.2"/>
    <row r="4970" ht="16" customHeight="1" x14ac:dyDescent="0.2"/>
    <row r="4971" ht="16" customHeight="1" x14ac:dyDescent="0.2"/>
    <row r="4972" ht="16" customHeight="1" x14ac:dyDescent="0.2"/>
    <row r="4973" ht="16" customHeight="1" x14ac:dyDescent="0.2"/>
    <row r="4974" ht="16" customHeight="1" x14ac:dyDescent="0.2"/>
    <row r="4975" ht="16" customHeight="1" x14ac:dyDescent="0.2"/>
    <row r="4976" ht="16" customHeight="1" x14ac:dyDescent="0.2"/>
    <row r="4977" ht="16" customHeight="1" x14ac:dyDescent="0.2"/>
    <row r="4978" ht="16" customHeight="1" x14ac:dyDescent="0.2"/>
    <row r="4979" ht="16" customHeight="1" x14ac:dyDescent="0.2"/>
    <row r="4980" ht="16" customHeight="1" x14ac:dyDescent="0.2"/>
    <row r="4981" ht="16" customHeight="1" x14ac:dyDescent="0.2"/>
    <row r="4982" ht="16" customHeight="1" x14ac:dyDescent="0.2"/>
    <row r="4983" ht="16" customHeight="1" x14ac:dyDescent="0.2"/>
    <row r="4984" ht="16" customHeight="1" x14ac:dyDescent="0.2"/>
    <row r="4985" ht="16" customHeight="1" x14ac:dyDescent="0.2"/>
    <row r="4986" ht="16" customHeight="1" x14ac:dyDescent="0.2"/>
    <row r="4987" ht="16" customHeight="1" x14ac:dyDescent="0.2"/>
    <row r="4988" ht="16" customHeight="1" x14ac:dyDescent="0.2"/>
    <row r="4989" ht="16" customHeight="1" x14ac:dyDescent="0.2"/>
    <row r="4990" ht="16" customHeight="1" x14ac:dyDescent="0.2"/>
    <row r="4991" ht="16" customHeight="1" x14ac:dyDescent="0.2"/>
    <row r="4992" ht="16" customHeight="1" x14ac:dyDescent="0.2"/>
    <row r="4993" ht="16" customHeight="1" x14ac:dyDescent="0.2"/>
    <row r="4994" ht="16" customHeight="1" x14ac:dyDescent="0.2"/>
    <row r="4995" ht="16" customHeight="1" x14ac:dyDescent="0.2"/>
    <row r="4996" ht="16" customHeight="1" x14ac:dyDescent="0.2"/>
    <row r="4997" ht="16" customHeight="1" x14ac:dyDescent="0.2"/>
    <row r="4998" ht="16" customHeight="1" x14ac:dyDescent="0.2"/>
    <row r="4999" ht="16" customHeight="1" x14ac:dyDescent="0.2"/>
    <row r="5000" ht="16" customHeight="1" x14ac:dyDescent="0.2"/>
    <row r="5001" ht="16" customHeight="1" x14ac:dyDescent="0.2"/>
    <row r="5002" ht="16" customHeight="1" x14ac:dyDescent="0.2"/>
    <row r="5003" ht="16" customHeight="1" x14ac:dyDescent="0.2"/>
    <row r="5004" ht="16" customHeight="1" x14ac:dyDescent="0.2"/>
    <row r="5005" ht="16" customHeight="1" x14ac:dyDescent="0.2"/>
    <row r="5006" ht="16" customHeight="1" x14ac:dyDescent="0.2"/>
    <row r="5007" ht="16" customHeight="1" x14ac:dyDescent="0.2"/>
    <row r="5008" ht="16" customHeight="1" x14ac:dyDescent="0.2"/>
    <row r="5009" ht="16" customHeight="1" x14ac:dyDescent="0.2"/>
    <row r="5010" ht="16" customHeight="1" x14ac:dyDescent="0.2"/>
    <row r="5011" ht="16" customHeight="1" x14ac:dyDescent="0.2"/>
    <row r="5012" ht="16" customHeight="1" x14ac:dyDescent="0.2"/>
    <row r="5013" ht="16" customHeight="1" x14ac:dyDescent="0.2"/>
    <row r="5014" ht="16" customHeight="1" x14ac:dyDescent="0.2"/>
    <row r="5015" ht="16" customHeight="1" x14ac:dyDescent="0.2"/>
    <row r="5016" ht="16" customHeight="1" x14ac:dyDescent="0.2"/>
    <row r="5017" ht="16" customHeight="1" x14ac:dyDescent="0.2"/>
    <row r="5018" ht="16" customHeight="1" x14ac:dyDescent="0.2"/>
    <row r="5019" ht="16" customHeight="1" x14ac:dyDescent="0.2"/>
    <row r="5020" ht="16" customHeight="1" x14ac:dyDescent="0.2"/>
    <row r="5021" ht="16" customHeight="1" x14ac:dyDescent="0.2"/>
    <row r="5022" ht="16" customHeight="1" x14ac:dyDescent="0.2"/>
    <row r="5023" ht="16" customHeight="1" x14ac:dyDescent="0.2"/>
    <row r="5024" ht="16" customHeight="1" x14ac:dyDescent="0.2"/>
    <row r="5025" ht="16" customHeight="1" x14ac:dyDescent="0.2"/>
    <row r="5026" ht="16" customHeight="1" x14ac:dyDescent="0.2"/>
    <row r="5027" ht="16" customHeight="1" x14ac:dyDescent="0.2"/>
    <row r="5028" ht="16" customHeight="1" x14ac:dyDescent="0.2"/>
    <row r="5029" ht="16" customHeight="1" x14ac:dyDescent="0.2"/>
    <row r="5030" ht="16" customHeight="1" x14ac:dyDescent="0.2"/>
    <row r="5031" ht="16" customHeight="1" x14ac:dyDescent="0.2"/>
    <row r="5032" ht="16" customHeight="1" x14ac:dyDescent="0.2"/>
    <row r="5033" ht="16" customHeight="1" x14ac:dyDescent="0.2"/>
    <row r="5034" ht="16" customHeight="1" x14ac:dyDescent="0.2"/>
    <row r="5035" ht="16" customHeight="1" x14ac:dyDescent="0.2"/>
    <row r="5036" ht="16" customHeight="1" x14ac:dyDescent="0.2"/>
    <row r="5037" ht="16" customHeight="1" x14ac:dyDescent="0.2"/>
    <row r="5038" ht="16" customHeight="1" x14ac:dyDescent="0.2"/>
    <row r="5039" ht="16" customHeight="1" x14ac:dyDescent="0.2"/>
    <row r="5040" ht="16" customHeight="1" x14ac:dyDescent="0.2"/>
    <row r="5041" ht="16" customHeight="1" x14ac:dyDescent="0.2"/>
    <row r="5042" ht="16" customHeight="1" x14ac:dyDescent="0.2"/>
    <row r="5043" ht="16" customHeight="1" x14ac:dyDescent="0.2"/>
    <row r="5044" ht="16" customHeight="1" x14ac:dyDescent="0.2"/>
    <row r="5045" ht="16" customHeight="1" x14ac:dyDescent="0.2"/>
    <row r="5046" ht="16" customHeight="1" x14ac:dyDescent="0.2"/>
    <row r="5047" ht="16" customHeight="1" x14ac:dyDescent="0.2"/>
    <row r="5048" ht="16" customHeight="1" x14ac:dyDescent="0.2"/>
    <row r="5049" ht="16" customHeight="1" x14ac:dyDescent="0.2"/>
    <row r="5050" ht="16" customHeight="1" x14ac:dyDescent="0.2"/>
    <row r="5051" ht="16" customHeight="1" x14ac:dyDescent="0.2"/>
    <row r="5052" ht="16" customHeight="1" x14ac:dyDescent="0.2"/>
    <row r="5053" ht="16" customHeight="1" x14ac:dyDescent="0.2"/>
    <row r="5054" ht="16" customHeight="1" x14ac:dyDescent="0.2"/>
    <row r="5055" ht="16" customHeight="1" x14ac:dyDescent="0.2"/>
    <row r="5056" ht="16" customHeight="1" x14ac:dyDescent="0.2"/>
    <row r="5057" ht="16" customHeight="1" x14ac:dyDescent="0.2"/>
    <row r="5058" ht="16" customHeight="1" x14ac:dyDescent="0.2"/>
    <row r="5059" ht="16" customHeight="1" x14ac:dyDescent="0.2"/>
    <row r="5060" ht="16" customHeight="1" x14ac:dyDescent="0.2"/>
    <row r="5061" ht="16" customHeight="1" x14ac:dyDescent="0.2"/>
    <row r="5062" ht="16" customHeight="1" x14ac:dyDescent="0.2"/>
    <row r="5063" ht="16" customHeight="1" x14ac:dyDescent="0.2"/>
    <row r="5064" ht="16" customHeight="1" x14ac:dyDescent="0.2"/>
    <row r="5065" ht="16" customHeight="1" x14ac:dyDescent="0.2"/>
    <row r="5066" ht="16" customHeight="1" x14ac:dyDescent="0.2"/>
    <row r="5067" ht="16" customHeight="1" x14ac:dyDescent="0.2"/>
    <row r="5068" ht="16" customHeight="1" x14ac:dyDescent="0.2"/>
    <row r="5069" ht="16" customHeight="1" x14ac:dyDescent="0.2"/>
    <row r="5070" ht="16" customHeight="1" x14ac:dyDescent="0.2"/>
    <row r="5071" ht="16" customHeight="1" x14ac:dyDescent="0.2"/>
    <row r="5072" ht="16" customHeight="1" x14ac:dyDescent="0.2"/>
    <row r="5073" ht="16" customHeight="1" x14ac:dyDescent="0.2"/>
    <row r="5074" ht="16" customHeight="1" x14ac:dyDescent="0.2"/>
    <row r="5075" ht="16" customHeight="1" x14ac:dyDescent="0.2"/>
    <row r="5076" ht="16" customHeight="1" x14ac:dyDescent="0.2"/>
    <row r="5077" ht="16" customHeight="1" x14ac:dyDescent="0.2"/>
    <row r="5078" ht="16" customHeight="1" x14ac:dyDescent="0.2"/>
    <row r="5079" ht="16" customHeight="1" x14ac:dyDescent="0.2"/>
    <row r="5080" ht="16" customHeight="1" x14ac:dyDescent="0.2"/>
    <row r="5081" ht="16" customHeight="1" x14ac:dyDescent="0.2"/>
    <row r="5082" ht="16" customHeight="1" x14ac:dyDescent="0.2"/>
    <row r="5083" ht="16" customHeight="1" x14ac:dyDescent="0.2"/>
    <row r="5084" ht="16" customHeight="1" x14ac:dyDescent="0.2"/>
    <row r="5085" ht="16" customHeight="1" x14ac:dyDescent="0.2"/>
    <row r="5086" ht="16" customHeight="1" x14ac:dyDescent="0.2"/>
    <row r="5087" ht="16" customHeight="1" x14ac:dyDescent="0.2"/>
    <row r="5088" ht="16" customHeight="1" x14ac:dyDescent="0.2"/>
    <row r="5089" ht="16" customHeight="1" x14ac:dyDescent="0.2"/>
    <row r="5090" ht="16" customHeight="1" x14ac:dyDescent="0.2"/>
    <row r="5091" ht="16" customHeight="1" x14ac:dyDescent="0.2"/>
    <row r="5092" ht="16" customHeight="1" x14ac:dyDescent="0.2"/>
    <row r="5093" ht="16" customHeight="1" x14ac:dyDescent="0.2"/>
    <row r="5094" ht="16" customHeight="1" x14ac:dyDescent="0.2"/>
    <row r="5095" ht="16" customHeight="1" x14ac:dyDescent="0.2"/>
    <row r="5096" ht="16" customHeight="1" x14ac:dyDescent="0.2"/>
    <row r="5097" ht="16" customHeight="1" x14ac:dyDescent="0.2"/>
    <row r="5098" ht="16" customHeight="1" x14ac:dyDescent="0.2"/>
    <row r="5099" ht="16" customHeight="1" x14ac:dyDescent="0.2"/>
    <row r="5100" ht="16" customHeight="1" x14ac:dyDescent="0.2"/>
    <row r="5101" ht="16" customHeight="1" x14ac:dyDescent="0.2"/>
    <row r="5102" ht="16" customHeight="1" x14ac:dyDescent="0.2"/>
    <row r="5103" ht="16" customHeight="1" x14ac:dyDescent="0.2"/>
    <row r="5104" ht="16" customHeight="1" x14ac:dyDescent="0.2"/>
    <row r="5105" ht="16" customHeight="1" x14ac:dyDescent="0.2"/>
    <row r="5106" ht="16" customHeight="1" x14ac:dyDescent="0.2"/>
    <row r="5107" ht="16" customHeight="1" x14ac:dyDescent="0.2"/>
    <row r="5108" ht="16" customHeight="1" x14ac:dyDescent="0.2"/>
    <row r="5109" ht="16" customHeight="1" x14ac:dyDescent="0.2"/>
    <row r="5110" ht="16" customHeight="1" x14ac:dyDescent="0.2"/>
    <row r="5111" ht="16" customHeight="1" x14ac:dyDescent="0.2"/>
    <row r="5112" ht="16" customHeight="1" x14ac:dyDescent="0.2"/>
    <row r="5113" ht="16" customHeight="1" x14ac:dyDescent="0.2"/>
    <row r="5114" ht="16" customHeight="1" x14ac:dyDescent="0.2"/>
    <row r="5115" ht="16" customHeight="1" x14ac:dyDescent="0.2"/>
    <row r="5116" ht="16" customHeight="1" x14ac:dyDescent="0.2"/>
    <row r="5117" ht="16" customHeight="1" x14ac:dyDescent="0.2"/>
    <row r="5118" ht="16" customHeight="1" x14ac:dyDescent="0.2"/>
    <row r="5119" ht="16" customHeight="1" x14ac:dyDescent="0.2"/>
    <row r="5120" ht="16" customHeight="1" x14ac:dyDescent="0.2"/>
    <row r="5121" ht="16" customHeight="1" x14ac:dyDescent="0.2"/>
    <row r="5122" ht="16" customHeight="1" x14ac:dyDescent="0.2"/>
    <row r="5123" ht="16" customHeight="1" x14ac:dyDescent="0.2"/>
    <row r="5124" ht="16" customHeight="1" x14ac:dyDescent="0.2"/>
    <row r="5125" ht="16" customHeight="1" x14ac:dyDescent="0.2"/>
    <row r="5126" ht="16" customHeight="1" x14ac:dyDescent="0.2"/>
    <row r="5127" ht="16" customHeight="1" x14ac:dyDescent="0.2"/>
    <row r="5128" ht="16" customHeight="1" x14ac:dyDescent="0.2"/>
    <row r="5129" ht="16" customHeight="1" x14ac:dyDescent="0.2"/>
    <row r="5130" ht="16" customHeight="1" x14ac:dyDescent="0.2"/>
    <row r="5131" ht="16" customHeight="1" x14ac:dyDescent="0.2"/>
    <row r="5132" ht="16" customHeight="1" x14ac:dyDescent="0.2"/>
    <row r="5133" ht="16" customHeight="1" x14ac:dyDescent="0.2"/>
    <row r="5134" ht="16" customHeight="1" x14ac:dyDescent="0.2"/>
    <row r="5135" ht="16" customHeight="1" x14ac:dyDescent="0.2"/>
    <row r="5136" ht="16" customHeight="1" x14ac:dyDescent="0.2"/>
    <row r="5137" ht="16" customHeight="1" x14ac:dyDescent="0.2"/>
    <row r="5138" ht="16" customHeight="1" x14ac:dyDescent="0.2"/>
    <row r="5139" ht="16" customHeight="1" x14ac:dyDescent="0.2"/>
    <row r="5140" ht="16" customHeight="1" x14ac:dyDescent="0.2"/>
    <row r="5141" ht="16" customHeight="1" x14ac:dyDescent="0.2"/>
    <row r="5142" ht="16" customHeight="1" x14ac:dyDescent="0.2"/>
    <row r="5143" ht="16" customHeight="1" x14ac:dyDescent="0.2"/>
    <row r="5144" ht="16" customHeight="1" x14ac:dyDescent="0.2"/>
    <row r="5145" ht="16" customHeight="1" x14ac:dyDescent="0.2"/>
    <row r="5146" ht="16" customHeight="1" x14ac:dyDescent="0.2"/>
    <row r="5147" ht="16" customHeight="1" x14ac:dyDescent="0.2"/>
    <row r="5148" ht="16" customHeight="1" x14ac:dyDescent="0.2"/>
    <row r="5149" ht="16" customHeight="1" x14ac:dyDescent="0.2"/>
    <row r="5150" ht="16" customHeight="1" x14ac:dyDescent="0.2"/>
    <row r="5151" ht="16" customHeight="1" x14ac:dyDescent="0.2"/>
    <row r="5152" ht="16" customHeight="1" x14ac:dyDescent="0.2"/>
    <row r="5153" ht="16" customHeight="1" x14ac:dyDescent="0.2"/>
    <row r="5154" ht="16" customHeight="1" x14ac:dyDescent="0.2"/>
    <row r="5155" ht="16" customHeight="1" x14ac:dyDescent="0.2"/>
    <row r="5156" ht="16" customHeight="1" x14ac:dyDescent="0.2"/>
    <row r="5157" ht="16" customHeight="1" x14ac:dyDescent="0.2"/>
    <row r="5158" ht="16" customHeight="1" x14ac:dyDescent="0.2"/>
    <row r="5159" ht="16" customHeight="1" x14ac:dyDescent="0.2"/>
    <row r="5160" ht="16" customHeight="1" x14ac:dyDescent="0.2"/>
    <row r="5161" ht="16" customHeight="1" x14ac:dyDescent="0.2"/>
    <row r="5162" ht="16" customHeight="1" x14ac:dyDescent="0.2"/>
    <row r="5163" ht="16" customHeight="1" x14ac:dyDescent="0.2"/>
    <row r="5164" ht="16" customHeight="1" x14ac:dyDescent="0.2"/>
    <row r="5165" ht="16" customHeight="1" x14ac:dyDescent="0.2"/>
    <row r="5166" ht="16" customHeight="1" x14ac:dyDescent="0.2"/>
    <row r="5167" ht="16" customHeight="1" x14ac:dyDescent="0.2"/>
    <row r="5168" ht="16" customHeight="1" x14ac:dyDescent="0.2"/>
    <row r="5169" ht="16" customHeight="1" x14ac:dyDescent="0.2"/>
    <row r="5170" ht="16" customHeight="1" x14ac:dyDescent="0.2"/>
    <row r="5171" ht="16" customHeight="1" x14ac:dyDescent="0.2"/>
    <row r="5172" ht="16" customHeight="1" x14ac:dyDescent="0.2"/>
    <row r="5173" ht="16" customHeight="1" x14ac:dyDescent="0.2"/>
    <row r="5174" ht="16" customHeight="1" x14ac:dyDescent="0.2"/>
    <row r="5175" ht="16" customHeight="1" x14ac:dyDescent="0.2"/>
    <row r="5176" ht="16" customHeight="1" x14ac:dyDescent="0.2"/>
    <row r="5177" ht="16" customHeight="1" x14ac:dyDescent="0.2"/>
    <row r="5178" ht="16" customHeight="1" x14ac:dyDescent="0.2"/>
    <row r="5179" ht="16" customHeight="1" x14ac:dyDescent="0.2"/>
    <row r="5180" ht="16" customHeight="1" x14ac:dyDescent="0.2"/>
    <row r="5181" ht="16" customHeight="1" x14ac:dyDescent="0.2"/>
    <row r="5182" ht="16" customHeight="1" x14ac:dyDescent="0.2"/>
    <row r="5183" ht="16" customHeight="1" x14ac:dyDescent="0.2"/>
    <row r="5184" ht="16" customHeight="1" x14ac:dyDescent="0.2"/>
    <row r="5185" ht="16" customHeight="1" x14ac:dyDescent="0.2"/>
    <row r="5186" ht="16" customHeight="1" x14ac:dyDescent="0.2"/>
    <row r="5187" ht="16" customHeight="1" x14ac:dyDescent="0.2"/>
    <row r="5188" ht="16" customHeight="1" x14ac:dyDescent="0.2"/>
    <row r="5189" ht="16" customHeight="1" x14ac:dyDescent="0.2"/>
    <row r="5190" ht="16" customHeight="1" x14ac:dyDescent="0.2"/>
    <row r="5191" ht="16" customHeight="1" x14ac:dyDescent="0.2"/>
    <row r="5192" ht="16" customHeight="1" x14ac:dyDescent="0.2"/>
    <row r="5193" ht="16" customHeight="1" x14ac:dyDescent="0.2"/>
    <row r="5194" ht="16" customHeight="1" x14ac:dyDescent="0.2"/>
    <row r="5195" ht="16" customHeight="1" x14ac:dyDescent="0.2"/>
    <row r="5196" ht="16" customHeight="1" x14ac:dyDescent="0.2"/>
    <row r="5197" ht="16" customHeight="1" x14ac:dyDescent="0.2"/>
    <row r="5198" ht="16" customHeight="1" x14ac:dyDescent="0.2"/>
    <row r="5199" ht="16" customHeight="1" x14ac:dyDescent="0.2"/>
    <row r="5200" ht="16" customHeight="1" x14ac:dyDescent="0.2"/>
    <row r="5201" ht="16" customHeight="1" x14ac:dyDescent="0.2"/>
    <row r="5202" ht="16" customHeight="1" x14ac:dyDescent="0.2"/>
    <row r="5203" ht="16" customHeight="1" x14ac:dyDescent="0.2"/>
    <row r="5204" ht="16" customHeight="1" x14ac:dyDescent="0.2"/>
    <row r="5205" ht="16" customHeight="1" x14ac:dyDescent="0.2"/>
    <row r="5206" ht="16" customHeight="1" x14ac:dyDescent="0.2"/>
    <row r="5207" ht="16" customHeight="1" x14ac:dyDescent="0.2"/>
    <row r="5208" ht="16" customHeight="1" x14ac:dyDescent="0.2"/>
    <row r="5209" ht="16" customHeight="1" x14ac:dyDescent="0.2"/>
    <row r="5210" ht="16" customHeight="1" x14ac:dyDescent="0.2"/>
    <row r="5211" ht="16" customHeight="1" x14ac:dyDescent="0.2"/>
    <row r="5212" ht="16" customHeight="1" x14ac:dyDescent="0.2"/>
    <row r="5213" ht="16" customHeight="1" x14ac:dyDescent="0.2"/>
    <row r="5214" ht="16" customHeight="1" x14ac:dyDescent="0.2"/>
    <row r="5215" ht="16" customHeight="1" x14ac:dyDescent="0.2"/>
    <row r="5216" ht="16" customHeight="1" x14ac:dyDescent="0.2"/>
    <row r="5217" ht="16" customHeight="1" x14ac:dyDescent="0.2"/>
    <row r="5218" ht="16" customHeight="1" x14ac:dyDescent="0.2"/>
    <row r="5219" ht="16" customHeight="1" x14ac:dyDescent="0.2"/>
    <row r="5220" ht="16" customHeight="1" x14ac:dyDescent="0.2"/>
    <row r="5221" ht="16" customHeight="1" x14ac:dyDescent="0.2"/>
    <row r="5222" ht="16" customHeight="1" x14ac:dyDescent="0.2"/>
    <row r="5223" ht="16" customHeight="1" x14ac:dyDescent="0.2"/>
    <row r="5224" ht="16" customHeight="1" x14ac:dyDescent="0.2"/>
    <row r="5225" ht="16" customHeight="1" x14ac:dyDescent="0.2"/>
    <row r="5226" ht="16" customHeight="1" x14ac:dyDescent="0.2"/>
    <row r="5227" ht="16" customHeight="1" x14ac:dyDescent="0.2"/>
    <row r="5228" ht="16" customHeight="1" x14ac:dyDescent="0.2"/>
    <row r="5229" ht="16" customHeight="1" x14ac:dyDescent="0.2"/>
    <row r="5230" ht="16" customHeight="1" x14ac:dyDescent="0.2"/>
    <row r="5231" ht="16" customHeight="1" x14ac:dyDescent="0.2"/>
    <row r="5232" ht="16" customHeight="1" x14ac:dyDescent="0.2"/>
    <row r="5233" ht="16" customHeight="1" x14ac:dyDescent="0.2"/>
    <row r="5234" ht="16" customHeight="1" x14ac:dyDescent="0.2"/>
    <row r="5235" ht="16" customHeight="1" x14ac:dyDescent="0.2"/>
    <row r="5236" ht="16" customHeight="1" x14ac:dyDescent="0.2"/>
    <row r="5237" ht="16" customHeight="1" x14ac:dyDescent="0.2"/>
    <row r="5238" ht="16" customHeight="1" x14ac:dyDescent="0.2"/>
    <row r="5239" ht="16" customHeight="1" x14ac:dyDescent="0.2"/>
    <row r="5240" ht="16" customHeight="1" x14ac:dyDescent="0.2"/>
    <row r="5241" ht="16" customHeight="1" x14ac:dyDescent="0.2"/>
    <row r="5242" ht="16" customHeight="1" x14ac:dyDescent="0.2"/>
    <row r="5243" ht="16" customHeight="1" x14ac:dyDescent="0.2"/>
    <row r="5244" ht="16" customHeight="1" x14ac:dyDescent="0.2"/>
    <row r="5245" ht="16" customHeight="1" x14ac:dyDescent="0.2"/>
    <row r="5246" ht="16" customHeight="1" x14ac:dyDescent="0.2"/>
    <row r="5247" ht="16" customHeight="1" x14ac:dyDescent="0.2"/>
    <row r="5248" ht="16" customHeight="1" x14ac:dyDescent="0.2"/>
    <row r="5249" ht="16" customHeight="1" x14ac:dyDescent="0.2"/>
    <row r="5250" ht="16" customHeight="1" x14ac:dyDescent="0.2"/>
    <row r="5251" ht="16" customHeight="1" x14ac:dyDescent="0.2"/>
    <row r="5252" ht="16" customHeight="1" x14ac:dyDescent="0.2"/>
    <row r="5253" ht="16" customHeight="1" x14ac:dyDescent="0.2"/>
    <row r="5254" ht="16" customHeight="1" x14ac:dyDescent="0.2"/>
    <row r="5255" ht="16" customHeight="1" x14ac:dyDescent="0.2"/>
    <row r="5256" ht="16" customHeight="1" x14ac:dyDescent="0.2"/>
    <row r="5257" ht="16" customHeight="1" x14ac:dyDescent="0.2"/>
    <row r="5258" ht="16" customHeight="1" x14ac:dyDescent="0.2"/>
    <row r="5259" ht="16" customHeight="1" x14ac:dyDescent="0.2"/>
    <row r="5260" ht="16" customHeight="1" x14ac:dyDescent="0.2"/>
    <row r="5261" ht="16" customHeight="1" x14ac:dyDescent="0.2"/>
    <row r="5262" ht="16" customHeight="1" x14ac:dyDescent="0.2"/>
    <row r="5263" ht="16" customHeight="1" x14ac:dyDescent="0.2"/>
    <row r="5264" ht="16" customHeight="1" x14ac:dyDescent="0.2"/>
    <row r="5265" ht="16" customHeight="1" x14ac:dyDescent="0.2"/>
    <row r="5266" ht="16" customHeight="1" x14ac:dyDescent="0.2"/>
    <row r="5267" ht="16" customHeight="1" x14ac:dyDescent="0.2"/>
    <row r="5268" ht="16" customHeight="1" x14ac:dyDescent="0.2"/>
    <row r="5269" ht="16" customHeight="1" x14ac:dyDescent="0.2"/>
    <row r="5270" ht="16" customHeight="1" x14ac:dyDescent="0.2"/>
    <row r="5271" ht="16" customHeight="1" x14ac:dyDescent="0.2"/>
    <row r="5272" ht="16" customHeight="1" x14ac:dyDescent="0.2"/>
    <row r="5273" ht="16" customHeight="1" x14ac:dyDescent="0.2"/>
    <row r="5274" ht="16" customHeight="1" x14ac:dyDescent="0.2"/>
    <row r="5275" ht="16" customHeight="1" x14ac:dyDescent="0.2"/>
    <row r="5276" ht="16" customHeight="1" x14ac:dyDescent="0.2"/>
    <row r="5277" ht="16" customHeight="1" x14ac:dyDescent="0.2"/>
    <row r="5278" ht="16" customHeight="1" x14ac:dyDescent="0.2"/>
    <row r="5279" ht="16" customHeight="1" x14ac:dyDescent="0.2"/>
    <row r="5280" ht="16" customHeight="1" x14ac:dyDescent="0.2"/>
    <row r="5281" ht="16" customHeight="1" x14ac:dyDescent="0.2"/>
    <row r="5282" ht="16" customHeight="1" x14ac:dyDescent="0.2"/>
    <row r="5283" ht="16" customHeight="1" x14ac:dyDescent="0.2"/>
    <row r="5284" ht="16" customHeight="1" x14ac:dyDescent="0.2"/>
    <row r="5285" ht="16" customHeight="1" x14ac:dyDescent="0.2"/>
    <row r="5286" ht="16" customHeight="1" x14ac:dyDescent="0.2"/>
    <row r="5287" ht="16" customHeight="1" x14ac:dyDescent="0.2"/>
    <row r="5288" ht="16" customHeight="1" x14ac:dyDescent="0.2"/>
    <row r="5289" ht="16" customHeight="1" x14ac:dyDescent="0.2"/>
    <row r="5290" ht="16" customHeight="1" x14ac:dyDescent="0.2"/>
    <row r="5291" ht="16" customHeight="1" x14ac:dyDescent="0.2"/>
    <row r="5292" ht="16" customHeight="1" x14ac:dyDescent="0.2"/>
    <row r="5293" ht="16" customHeight="1" x14ac:dyDescent="0.2"/>
    <row r="5294" ht="16" customHeight="1" x14ac:dyDescent="0.2"/>
    <row r="5295" ht="16" customHeight="1" x14ac:dyDescent="0.2"/>
    <row r="5296" ht="16" customHeight="1" x14ac:dyDescent="0.2"/>
    <row r="5297" ht="16" customHeight="1" x14ac:dyDescent="0.2"/>
    <row r="5298" ht="16" customHeight="1" x14ac:dyDescent="0.2"/>
    <row r="5299" ht="16" customHeight="1" x14ac:dyDescent="0.2"/>
    <row r="5300" ht="16" customHeight="1" x14ac:dyDescent="0.2"/>
    <row r="5301" ht="16" customHeight="1" x14ac:dyDescent="0.2"/>
    <row r="5302" ht="16" customHeight="1" x14ac:dyDescent="0.2"/>
    <row r="5303" ht="16" customHeight="1" x14ac:dyDescent="0.2"/>
    <row r="5304" ht="16" customHeight="1" x14ac:dyDescent="0.2"/>
    <row r="5305" ht="16" customHeight="1" x14ac:dyDescent="0.2"/>
    <row r="5306" ht="16" customHeight="1" x14ac:dyDescent="0.2"/>
    <row r="5307" ht="16" customHeight="1" x14ac:dyDescent="0.2"/>
    <row r="5308" ht="16" customHeight="1" x14ac:dyDescent="0.2"/>
    <row r="5309" ht="16" customHeight="1" x14ac:dyDescent="0.2"/>
    <row r="5310" ht="16" customHeight="1" x14ac:dyDescent="0.2"/>
    <row r="5311" ht="16" customHeight="1" x14ac:dyDescent="0.2"/>
    <row r="5312" ht="16" customHeight="1" x14ac:dyDescent="0.2"/>
    <row r="5313" ht="16" customHeight="1" x14ac:dyDescent="0.2"/>
    <row r="5314" ht="16" customHeight="1" x14ac:dyDescent="0.2"/>
    <row r="5315" ht="16" customHeight="1" x14ac:dyDescent="0.2"/>
    <row r="5316" ht="16" customHeight="1" x14ac:dyDescent="0.2"/>
    <row r="5317" ht="16" customHeight="1" x14ac:dyDescent="0.2"/>
    <row r="5318" ht="16" customHeight="1" x14ac:dyDescent="0.2"/>
    <row r="5319" ht="16" customHeight="1" x14ac:dyDescent="0.2"/>
    <row r="5320" ht="16" customHeight="1" x14ac:dyDescent="0.2"/>
    <row r="5321" ht="16" customHeight="1" x14ac:dyDescent="0.2"/>
    <row r="5322" ht="16" customHeight="1" x14ac:dyDescent="0.2"/>
    <row r="5323" ht="16" customHeight="1" x14ac:dyDescent="0.2"/>
    <row r="5324" ht="16" customHeight="1" x14ac:dyDescent="0.2"/>
    <row r="5325" ht="16" customHeight="1" x14ac:dyDescent="0.2"/>
    <row r="5326" ht="16" customHeight="1" x14ac:dyDescent="0.2"/>
    <row r="5327" ht="16" customHeight="1" x14ac:dyDescent="0.2"/>
    <row r="5328" ht="16" customHeight="1" x14ac:dyDescent="0.2"/>
    <row r="5329" ht="16" customHeight="1" x14ac:dyDescent="0.2"/>
    <row r="5330" ht="16" customHeight="1" x14ac:dyDescent="0.2"/>
    <row r="5331" ht="16" customHeight="1" x14ac:dyDescent="0.2"/>
    <row r="5332" ht="16" customHeight="1" x14ac:dyDescent="0.2"/>
    <row r="5333" ht="16" customHeight="1" x14ac:dyDescent="0.2"/>
    <row r="5334" ht="16" customHeight="1" x14ac:dyDescent="0.2"/>
    <row r="5335" ht="16" customHeight="1" x14ac:dyDescent="0.2"/>
    <row r="5336" ht="16" customHeight="1" x14ac:dyDescent="0.2"/>
    <row r="5337" ht="16" customHeight="1" x14ac:dyDescent="0.2"/>
    <row r="5338" ht="16" customHeight="1" x14ac:dyDescent="0.2"/>
    <row r="5339" ht="16" customHeight="1" x14ac:dyDescent="0.2"/>
    <row r="5340" ht="16" customHeight="1" x14ac:dyDescent="0.2"/>
    <row r="5341" ht="16" customHeight="1" x14ac:dyDescent="0.2"/>
    <row r="5342" ht="16" customHeight="1" x14ac:dyDescent="0.2"/>
    <row r="5343" ht="16" customHeight="1" x14ac:dyDescent="0.2"/>
    <row r="5344" ht="16" customHeight="1" x14ac:dyDescent="0.2"/>
    <row r="5345" ht="16" customHeight="1" x14ac:dyDescent="0.2"/>
    <row r="5346" ht="16" customHeight="1" x14ac:dyDescent="0.2"/>
    <row r="5347" ht="16" customHeight="1" x14ac:dyDescent="0.2"/>
    <row r="5348" ht="16" customHeight="1" x14ac:dyDescent="0.2"/>
    <row r="5349" ht="16" customHeight="1" x14ac:dyDescent="0.2"/>
    <row r="5350" ht="16" customHeight="1" x14ac:dyDescent="0.2"/>
    <row r="5351" ht="16" customHeight="1" x14ac:dyDescent="0.2"/>
    <row r="5352" ht="16" customHeight="1" x14ac:dyDescent="0.2"/>
    <row r="5353" ht="16" customHeight="1" x14ac:dyDescent="0.2"/>
    <row r="5354" ht="16" customHeight="1" x14ac:dyDescent="0.2"/>
    <row r="5355" ht="16" customHeight="1" x14ac:dyDescent="0.2"/>
    <row r="5356" ht="16" customHeight="1" x14ac:dyDescent="0.2"/>
    <row r="5357" ht="16" customHeight="1" x14ac:dyDescent="0.2"/>
    <row r="5358" ht="16" customHeight="1" x14ac:dyDescent="0.2"/>
    <row r="5359" ht="16" customHeight="1" x14ac:dyDescent="0.2"/>
    <row r="5360" ht="16" customHeight="1" x14ac:dyDescent="0.2"/>
    <row r="5361" ht="16" customHeight="1" x14ac:dyDescent="0.2"/>
    <row r="5362" ht="16" customHeight="1" x14ac:dyDescent="0.2"/>
    <row r="5363" ht="16" customHeight="1" x14ac:dyDescent="0.2"/>
    <row r="5364" ht="16" customHeight="1" x14ac:dyDescent="0.2"/>
    <row r="5365" ht="16" customHeight="1" x14ac:dyDescent="0.2"/>
    <row r="5366" ht="16" customHeight="1" x14ac:dyDescent="0.2"/>
    <row r="5367" ht="16" customHeight="1" x14ac:dyDescent="0.2"/>
    <row r="5368" ht="16" customHeight="1" x14ac:dyDescent="0.2"/>
    <row r="5369" ht="16" customHeight="1" x14ac:dyDescent="0.2"/>
    <row r="5370" ht="16" customHeight="1" x14ac:dyDescent="0.2"/>
    <row r="5371" ht="16" customHeight="1" x14ac:dyDescent="0.2"/>
    <row r="5372" ht="16" customHeight="1" x14ac:dyDescent="0.2"/>
    <row r="5373" ht="16" customHeight="1" x14ac:dyDescent="0.2"/>
    <row r="5374" ht="16" customHeight="1" x14ac:dyDescent="0.2"/>
    <row r="5375" ht="16" customHeight="1" x14ac:dyDescent="0.2"/>
    <row r="5376" ht="16" customHeight="1" x14ac:dyDescent="0.2"/>
    <row r="5377" ht="16" customHeight="1" x14ac:dyDescent="0.2"/>
    <row r="5378" ht="16" customHeight="1" x14ac:dyDescent="0.2"/>
    <row r="5379" ht="16" customHeight="1" x14ac:dyDescent="0.2"/>
    <row r="5380" ht="16" customHeight="1" x14ac:dyDescent="0.2"/>
    <row r="5381" ht="16" customHeight="1" x14ac:dyDescent="0.2"/>
    <row r="5382" ht="16" customHeight="1" x14ac:dyDescent="0.2"/>
    <row r="5383" ht="16" customHeight="1" x14ac:dyDescent="0.2"/>
    <row r="5384" ht="16" customHeight="1" x14ac:dyDescent="0.2"/>
    <row r="5385" ht="16" customHeight="1" x14ac:dyDescent="0.2"/>
    <row r="5386" ht="16" customHeight="1" x14ac:dyDescent="0.2"/>
    <row r="5387" ht="16" customHeight="1" x14ac:dyDescent="0.2"/>
    <row r="5388" ht="16" customHeight="1" x14ac:dyDescent="0.2"/>
    <row r="5389" ht="16" customHeight="1" x14ac:dyDescent="0.2"/>
    <row r="5390" ht="16" customHeight="1" x14ac:dyDescent="0.2"/>
    <row r="5391" ht="16" customHeight="1" x14ac:dyDescent="0.2"/>
    <row r="5392" ht="16" customHeight="1" x14ac:dyDescent="0.2"/>
    <row r="5393" ht="16" customHeight="1" x14ac:dyDescent="0.2"/>
    <row r="5394" ht="16" customHeight="1" x14ac:dyDescent="0.2"/>
    <row r="5395" ht="16" customHeight="1" x14ac:dyDescent="0.2"/>
    <row r="5396" ht="16" customHeight="1" x14ac:dyDescent="0.2"/>
    <row r="5397" ht="16" customHeight="1" x14ac:dyDescent="0.2"/>
    <row r="5398" ht="16" customHeight="1" x14ac:dyDescent="0.2"/>
    <row r="5399" ht="16" customHeight="1" x14ac:dyDescent="0.2"/>
    <row r="5400" ht="16" customHeight="1" x14ac:dyDescent="0.2"/>
    <row r="5401" ht="16" customHeight="1" x14ac:dyDescent="0.2"/>
    <row r="5402" ht="16" customHeight="1" x14ac:dyDescent="0.2"/>
    <row r="5403" ht="16" customHeight="1" x14ac:dyDescent="0.2"/>
    <row r="5404" ht="16" customHeight="1" x14ac:dyDescent="0.2"/>
    <row r="5405" ht="16" customHeight="1" x14ac:dyDescent="0.2"/>
    <row r="5406" ht="16" customHeight="1" x14ac:dyDescent="0.2"/>
    <row r="5407" ht="16" customHeight="1" x14ac:dyDescent="0.2"/>
    <row r="5408" ht="16" customHeight="1" x14ac:dyDescent="0.2"/>
    <row r="5409" ht="16" customHeight="1" x14ac:dyDescent="0.2"/>
    <row r="5410" ht="16" customHeight="1" x14ac:dyDescent="0.2"/>
    <row r="5411" ht="16" customHeight="1" x14ac:dyDescent="0.2"/>
    <row r="5412" ht="16" customHeight="1" x14ac:dyDescent="0.2"/>
    <row r="5413" ht="16" customHeight="1" x14ac:dyDescent="0.2"/>
    <row r="5414" ht="16" customHeight="1" x14ac:dyDescent="0.2"/>
    <row r="5415" ht="16" customHeight="1" x14ac:dyDescent="0.2"/>
    <row r="5416" ht="16" customHeight="1" x14ac:dyDescent="0.2"/>
    <row r="5417" ht="16" customHeight="1" x14ac:dyDescent="0.2"/>
    <row r="5418" ht="16" customHeight="1" x14ac:dyDescent="0.2"/>
    <row r="5419" ht="16" customHeight="1" x14ac:dyDescent="0.2"/>
    <row r="5420" ht="16" customHeight="1" x14ac:dyDescent="0.2"/>
    <row r="5421" ht="16" customHeight="1" x14ac:dyDescent="0.2"/>
    <row r="5422" ht="16" customHeight="1" x14ac:dyDescent="0.2"/>
    <row r="5423" ht="16" customHeight="1" x14ac:dyDescent="0.2"/>
    <row r="5424" ht="16" customHeight="1" x14ac:dyDescent="0.2"/>
    <row r="5425" ht="16" customHeight="1" x14ac:dyDescent="0.2"/>
    <row r="5426" ht="16" customHeight="1" x14ac:dyDescent="0.2"/>
    <row r="5427" ht="16" customHeight="1" x14ac:dyDescent="0.2"/>
    <row r="5428" ht="16" customHeight="1" x14ac:dyDescent="0.2"/>
    <row r="5429" ht="16" customHeight="1" x14ac:dyDescent="0.2"/>
    <row r="5430" ht="16" customHeight="1" x14ac:dyDescent="0.2"/>
    <row r="5431" ht="16" customHeight="1" x14ac:dyDescent="0.2"/>
    <row r="5432" ht="16" customHeight="1" x14ac:dyDescent="0.2"/>
    <row r="5433" ht="16" customHeight="1" x14ac:dyDescent="0.2"/>
    <row r="5434" ht="16" customHeight="1" x14ac:dyDescent="0.2"/>
    <row r="5435" ht="16" customHeight="1" x14ac:dyDescent="0.2"/>
    <row r="5436" ht="16" customHeight="1" x14ac:dyDescent="0.2"/>
    <row r="5437" ht="16" customHeight="1" x14ac:dyDescent="0.2"/>
    <row r="5438" ht="16" customHeight="1" x14ac:dyDescent="0.2"/>
    <row r="5439" ht="16" customHeight="1" x14ac:dyDescent="0.2"/>
    <row r="5440" ht="16" customHeight="1" x14ac:dyDescent="0.2"/>
    <row r="5441" ht="16" customHeight="1" x14ac:dyDescent="0.2"/>
    <row r="5442" ht="16" customHeight="1" x14ac:dyDescent="0.2"/>
    <row r="5443" ht="16" customHeight="1" x14ac:dyDescent="0.2"/>
    <row r="5444" ht="16" customHeight="1" x14ac:dyDescent="0.2"/>
    <row r="5445" ht="16" customHeight="1" x14ac:dyDescent="0.2"/>
    <row r="5446" ht="16" customHeight="1" x14ac:dyDescent="0.2"/>
    <row r="5447" ht="16" customHeight="1" x14ac:dyDescent="0.2"/>
    <row r="5448" ht="16" customHeight="1" x14ac:dyDescent="0.2"/>
    <row r="5449" ht="16" customHeight="1" x14ac:dyDescent="0.2"/>
    <row r="5450" ht="16" customHeight="1" x14ac:dyDescent="0.2"/>
    <row r="5451" ht="16" customHeight="1" x14ac:dyDescent="0.2"/>
    <row r="5452" ht="16" customHeight="1" x14ac:dyDescent="0.2"/>
    <row r="5453" ht="16" customHeight="1" x14ac:dyDescent="0.2"/>
    <row r="5454" ht="16" customHeight="1" x14ac:dyDescent="0.2"/>
    <row r="5455" ht="16" customHeight="1" x14ac:dyDescent="0.2"/>
    <row r="5456" ht="16" customHeight="1" x14ac:dyDescent="0.2"/>
    <row r="5457" ht="16" customHeight="1" x14ac:dyDescent="0.2"/>
    <row r="5458" ht="16" customHeight="1" x14ac:dyDescent="0.2"/>
    <row r="5459" ht="16" customHeight="1" x14ac:dyDescent="0.2"/>
    <row r="5460" ht="16" customHeight="1" x14ac:dyDescent="0.2"/>
    <row r="5461" ht="16" customHeight="1" x14ac:dyDescent="0.2"/>
    <row r="5462" ht="16" customHeight="1" x14ac:dyDescent="0.2"/>
    <row r="5463" ht="16" customHeight="1" x14ac:dyDescent="0.2"/>
    <row r="5464" ht="16" customHeight="1" x14ac:dyDescent="0.2"/>
    <row r="5465" ht="16" customHeight="1" x14ac:dyDescent="0.2"/>
    <row r="5466" ht="16" customHeight="1" x14ac:dyDescent="0.2"/>
    <row r="5467" ht="16" customHeight="1" x14ac:dyDescent="0.2"/>
    <row r="5468" ht="16" customHeight="1" x14ac:dyDescent="0.2"/>
    <row r="5469" ht="16" customHeight="1" x14ac:dyDescent="0.2"/>
    <row r="5470" ht="16" customHeight="1" x14ac:dyDescent="0.2"/>
    <row r="5471" ht="16" customHeight="1" x14ac:dyDescent="0.2"/>
    <row r="5472" ht="16" customHeight="1" x14ac:dyDescent="0.2"/>
    <row r="5473" ht="16" customHeight="1" x14ac:dyDescent="0.2"/>
    <row r="5474" ht="16" customHeight="1" x14ac:dyDescent="0.2"/>
    <row r="5475" ht="16" customHeight="1" x14ac:dyDescent="0.2"/>
    <row r="5476" ht="16" customHeight="1" x14ac:dyDescent="0.2"/>
    <row r="5477" ht="16" customHeight="1" x14ac:dyDescent="0.2"/>
    <row r="5478" ht="16" customHeight="1" x14ac:dyDescent="0.2"/>
    <row r="5479" ht="16" customHeight="1" x14ac:dyDescent="0.2"/>
    <row r="5480" ht="16" customHeight="1" x14ac:dyDescent="0.2"/>
    <row r="5481" ht="16" customHeight="1" x14ac:dyDescent="0.2"/>
    <row r="5482" ht="16" customHeight="1" x14ac:dyDescent="0.2"/>
    <row r="5483" ht="16" customHeight="1" x14ac:dyDescent="0.2"/>
    <row r="5484" ht="16" customHeight="1" x14ac:dyDescent="0.2"/>
    <row r="5485" ht="16" customHeight="1" x14ac:dyDescent="0.2"/>
    <row r="5486" ht="16" customHeight="1" x14ac:dyDescent="0.2"/>
    <row r="5487" ht="16" customHeight="1" x14ac:dyDescent="0.2"/>
    <row r="5488" ht="16" customHeight="1" x14ac:dyDescent="0.2"/>
    <row r="5489" ht="16" customHeight="1" x14ac:dyDescent="0.2"/>
    <row r="5490" ht="16" customHeight="1" x14ac:dyDescent="0.2"/>
    <row r="5491" ht="16" customHeight="1" x14ac:dyDescent="0.2"/>
    <row r="5492" ht="16" customHeight="1" x14ac:dyDescent="0.2"/>
    <row r="5493" ht="16" customHeight="1" x14ac:dyDescent="0.2"/>
    <row r="5494" ht="16" customHeight="1" x14ac:dyDescent="0.2"/>
    <row r="5495" ht="16" customHeight="1" x14ac:dyDescent="0.2"/>
    <row r="5496" ht="16" customHeight="1" x14ac:dyDescent="0.2"/>
    <row r="5497" ht="16" customHeight="1" x14ac:dyDescent="0.2"/>
    <row r="5498" ht="16" customHeight="1" x14ac:dyDescent="0.2"/>
    <row r="5499" ht="16" customHeight="1" x14ac:dyDescent="0.2"/>
    <row r="5500" ht="16" customHeight="1" x14ac:dyDescent="0.2"/>
    <row r="5501" ht="16" customHeight="1" x14ac:dyDescent="0.2"/>
    <row r="5502" ht="16" customHeight="1" x14ac:dyDescent="0.2"/>
    <row r="5503" ht="16" customHeight="1" x14ac:dyDescent="0.2"/>
    <row r="5504" ht="16" customHeight="1" x14ac:dyDescent="0.2"/>
    <row r="5505" ht="16" customHeight="1" x14ac:dyDescent="0.2"/>
    <row r="5506" ht="16" customHeight="1" x14ac:dyDescent="0.2"/>
    <row r="5507" ht="16" customHeight="1" x14ac:dyDescent="0.2"/>
    <row r="5508" ht="16" customHeight="1" x14ac:dyDescent="0.2"/>
    <row r="5509" ht="16" customHeight="1" x14ac:dyDescent="0.2"/>
    <row r="5510" ht="16" customHeight="1" x14ac:dyDescent="0.2"/>
    <row r="5511" ht="16" customHeight="1" x14ac:dyDescent="0.2"/>
    <row r="5512" ht="16" customHeight="1" x14ac:dyDescent="0.2"/>
    <row r="5513" ht="16" customHeight="1" x14ac:dyDescent="0.2"/>
    <row r="5514" ht="16" customHeight="1" x14ac:dyDescent="0.2"/>
    <row r="5515" ht="16" customHeight="1" x14ac:dyDescent="0.2"/>
    <row r="5516" ht="16" customHeight="1" x14ac:dyDescent="0.2"/>
    <row r="5517" ht="16" customHeight="1" x14ac:dyDescent="0.2"/>
    <row r="5518" ht="16" customHeight="1" x14ac:dyDescent="0.2"/>
    <row r="5519" ht="16" customHeight="1" x14ac:dyDescent="0.2"/>
    <row r="5520" ht="16" customHeight="1" x14ac:dyDescent="0.2"/>
    <row r="5521" ht="16" customHeight="1" x14ac:dyDescent="0.2"/>
    <row r="5522" ht="16" customHeight="1" x14ac:dyDescent="0.2"/>
    <row r="5523" ht="16" customHeight="1" x14ac:dyDescent="0.2"/>
    <row r="5524" ht="16" customHeight="1" x14ac:dyDescent="0.2"/>
    <row r="5525" ht="16" customHeight="1" x14ac:dyDescent="0.2"/>
    <row r="5526" ht="16" customHeight="1" x14ac:dyDescent="0.2"/>
    <row r="5527" ht="16" customHeight="1" x14ac:dyDescent="0.2"/>
    <row r="5528" ht="16" customHeight="1" x14ac:dyDescent="0.2"/>
    <row r="5529" ht="16" customHeight="1" x14ac:dyDescent="0.2"/>
    <row r="5530" ht="16" customHeight="1" x14ac:dyDescent="0.2"/>
    <row r="5531" ht="16" customHeight="1" x14ac:dyDescent="0.2"/>
    <row r="5532" ht="16" customHeight="1" x14ac:dyDescent="0.2"/>
    <row r="5533" ht="16" customHeight="1" x14ac:dyDescent="0.2"/>
    <row r="5534" ht="16" customHeight="1" x14ac:dyDescent="0.2"/>
    <row r="5535" ht="16" customHeight="1" x14ac:dyDescent="0.2"/>
    <row r="5536" ht="16" customHeight="1" x14ac:dyDescent="0.2"/>
    <row r="5537" ht="16" customHeight="1" x14ac:dyDescent="0.2"/>
    <row r="5538" ht="16" customHeight="1" x14ac:dyDescent="0.2"/>
    <row r="5539" ht="16" customHeight="1" x14ac:dyDescent="0.2"/>
    <row r="5540" ht="16" customHeight="1" x14ac:dyDescent="0.2"/>
    <row r="5541" ht="16" customHeight="1" x14ac:dyDescent="0.2"/>
    <row r="5542" ht="16" customHeight="1" x14ac:dyDescent="0.2"/>
    <row r="5543" ht="16" customHeight="1" x14ac:dyDescent="0.2"/>
    <row r="5544" ht="16" customHeight="1" x14ac:dyDescent="0.2"/>
    <row r="5545" ht="16" customHeight="1" x14ac:dyDescent="0.2"/>
    <row r="5546" ht="16" customHeight="1" x14ac:dyDescent="0.2"/>
    <row r="5547" ht="16" customHeight="1" x14ac:dyDescent="0.2"/>
    <row r="5548" ht="16" customHeight="1" x14ac:dyDescent="0.2"/>
    <row r="5549" ht="16" customHeight="1" x14ac:dyDescent="0.2"/>
    <row r="5550" ht="16" customHeight="1" x14ac:dyDescent="0.2"/>
    <row r="5551" ht="16" customHeight="1" x14ac:dyDescent="0.2"/>
    <row r="5552" ht="16" customHeight="1" x14ac:dyDescent="0.2"/>
    <row r="5553" ht="16" customHeight="1" x14ac:dyDescent="0.2"/>
    <row r="5554" ht="16" customHeight="1" x14ac:dyDescent="0.2"/>
    <row r="5555" ht="16" customHeight="1" x14ac:dyDescent="0.2"/>
    <row r="5556" ht="16" customHeight="1" x14ac:dyDescent="0.2"/>
    <row r="5557" ht="16" customHeight="1" x14ac:dyDescent="0.2"/>
    <row r="5558" ht="16" customHeight="1" x14ac:dyDescent="0.2"/>
    <row r="5559" ht="16" customHeight="1" x14ac:dyDescent="0.2"/>
    <row r="5560" ht="16" customHeight="1" x14ac:dyDescent="0.2"/>
    <row r="5561" ht="16" customHeight="1" x14ac:dyDescent="0.2"/>
    <row r="5562" ht="16" customHeight="1" x14ac:dyDescent="0.2"/>
    <row r="5563" ht="16" customHeight="1" x14ac:dyDescent="0.2"/>
    <row r="5564" ht="16" customHeight="1" x14ac:dyDescent="0.2"/>
    <row r="5565" ht="16" customHeight="1" x14ac:dyDescent="0.2"/>
    <row r="5566" ht="16" customHeight="1" x14ac:dyDescent="0.2"/>
    <row r="5567" ht="16" customHeight="1" x14ac:dyDescent="0.2"/>
    <row r="5568" ht="16" customHeight="1" x14ac:dyDescent="0.2"/>
    <row r="5569" ht="16" customHeight="1" x14ac:dyDescent="0.2"/>
    <row r="5570" ht="16" customHeight="1" x14ac:dyDescent="0.2"/>
    <row r="5571" ht="16" customHeight="1" x14ac:dyDescent="0.2"/>
    <row r="5572" ht="16" customHeight="1" x14ac:dyDescent="0.2"/>
    <row r="5573" ht="16" customHeight="1" x14ac:dyDescent="0.2"/>
    <row r="5574" ht="16" customHeight="1" x14ac:dyDescent="0.2"/>
    <row r="5575" ht="16" customHeight="1" x14ac:dyDescent="0.2"/>
    <row r="5576" ht="16" customHeight="1" x14ac:dyDescent="0.2"/>
    <row r="5577" ht="16" customHeight="1" x14ac:dyDescent="0.2"/>
    <row r="5578" ht="16" customHeight="1" x14ac:dyDescent="0.2"/>
    <row r="5579" ht="16" customHeight="1" x14ac:dyDescent="0.2"/>
    <row r="5580" ht="16" customHeight="1" x14ac:dyDescent="0.2"/>
    <row r="5581" ht="16" customHeight="1" x14ac:dyDescent="0.2"/>
    <row r="5582" ht="16" customHeight="1" x14ac:dyDescent="0.2"/>
    <row r="5583" ht="16" customHeight="1" x14ac:dyDescent="0.2"/>
    <row r="5584" ht="16" customHeight="1" x14ac:dyDescent="0.2"/>
    <row r="5585" ht="16" customHeight="1" x14ac:dyDescent="0.2"/>
    <row r="5586" ht="16" customHeight="1" x14ac:dyDescent="0.2"/>
    <row r="5587" ht="16" customHeight="1" x14ac:dyDescent="0.2"/>
    <row r="5588" ht="16" customHeight="1" x14ac:dyDescent="0.2"/>
    <row r="5589" ht="16" customHeight="1" x14ac:dyDescent="0.2"/>
    <row r="5590" ht="16" customHeight="1" x14ac:dyDescent="0.2"/>
    <row r="5591" ht="16" customHeight="1" x14ac:dyDescent="0.2"/>
    <row r="5592" ht="16" customHeight="1" x14ac:dyDescent="0.2"/>
    <row r="5593" ht="16" customHeight="1" x14ac:dyDescent="0.2"/>
    <row r="5594" ht="16" customHeight="1" x14ac:dyDescent="0.2"/>
    <row r="5595" ht="16" customHeight="1" x14ac:dyDescent="0.2"/>
    <row r="5596" ht="16" customHeight="1" x14ac:dyDescent="0.2"/>
    <row r="5597" ht="16" customHeight="1" x14ac:dyDescent="0.2"/>
    <row r="5598" ht="16" customHeight="1" x14ac:dyDescent="0.2"/>
    <row r="5599" ht="16" customHeight="1" x14ac:dyDescent="0.2"/>
    <row r="5600" ht="16" customHeight="1" x14ac:dyDescent="0.2"/>
    <row r="5601" ht="16" customHeight="1" x14ac:dyDescent="0.2"/>
    <row r="5602" ht="16" customHeight="1" x14ac:dyDescent="0.2"/>
    <row r="5603" ht="16" customHeight="1" x14ac:dyDescent="0.2"/>
    <row r="5604" ht="16" customHeight="1" x14ac:dyDescent="0.2"/>
    <row r="5605" ht="16" customHeight="1" x14ac:dyDescent="0.2"/>
    <row r="5606" ht="16" customHeight="1" x14ac:dyDescent="0.2"/>
    <row r="5607" ht="16" customHeight="1" x14ac:dyDescent="0.2"/>
    <row r="5608" ht="16" customHeight="1" x14ac:dyDescent="0.2"/>
    <row r="5609" ht="16" customHeight="1" x14ac:dyDescent="0.2"/>
    <row r="5610" ht="16" customHeight="1" x14ac:dyDescent="0.2"/>
    <row r="5611" ht="16" customHeight="1" x14ac:dyDescent="0.2"/>
    <row r="5612" ht="16" customHeight="1" x14ac:dyDescent="0.2"/>
    <row r="5613" ht="16" customHeight="1" x14ac:dyDescent="0.2"/>
    <row r="5614" ht="16" customHeight="1" x14ac:dyDescent="0.2"/>
    <row r="5615" ht="16" customHeight="1" x14ac:dyDescent="0.2"/>
    <row r="5616" ht="16" customHeight="1" x14ac:dyDescent="0.2"/>
    <row r="5617" ht="16" customHeight="1" x14ac:dyDescent="0.2"/>
    <row r="5618" ht="16" customHeight="1" x14ac:dyDescent="0.2"/>
    <row r="5619" ht="16" customHeight="1" x14ac:dyDescent="0.2"/>
    <row r="5620" ht="16" customHeight="1" x14ac:dyDescent="0.2"/>
    <row r="5621" ht="16" customHeight="1" x14ac:dyDescent="0.2"/>
    <row r="5622" ht="16" customHeight="1" x14ac:dyDescent="0.2"/>
    <row r="5623" ht="16" customHeight="1" x14ac:dyDescent="0.2"/>
    <row r="5624" ht="16" customHeight="1" x14ac:dyDescent="0.2"/>
    <row r="5625" ht="16" customHeight="1" x14ac:dyDescent="0.2"/>
    <row r="5626" ht="16" customHeight="1" x14ac:dyDescent="0.2"/>
    <row r="5627" ht="16" customHeight="1" x14ac:dyDescent="0.2"/>
    <row r="5628" ht="16" customHeight="1" x14ac:dyDescent="0.2"/>
    <row r="5629" ht="16" customHeight="1" x14ac:dyDescent="0.2"/>
    <row r="5630" ht="16" customHeight="1" x14ac:dyDescent="0.2"/>
    <row r="5631" ht="16" customHeight="1" x14ac:dyDescent="0.2"/>
    <row r="5632" ht="16" customHeight="1" x14ac:dyDescent="0.2"/>
    <row r="5633" ht="16" customHeight="1" x14ac:dyDescent="0.2"/>
    <row r="5634" ht="16" customHeight="1" x14ac:dyDescent="0.2"/>
    <row r="5635" ht="16" customHeight="1" x14ac:dyDescent="0.2"/>
    <row r="5636" ht="16" customHeight="1" x14ac:dyDescent="0.2"/>
    <row r="5637" ht="16" customHeight="1" x14ac:dyDescent="0.2"/>
    <row r="5638" ht="16" customHeight="1" x14ac:dyDescent="0.2"/>
    <row r="5639" ht="16" customHeight="1" x14ac:dyDescent="0.2"/>
    <row r="5640" ht="16" customHeight="1" x14ac:dyDescent="0.2"/>
    <row r="5641" ht="16" customHeight="1" x14ac:dyDescent="0.2"/>
    <row r="5642" ht="16" customHeight="1" x14ac:dyDescent="0.2"/>
    <row r="5643" ht="16" customHeight="1" x14ac:dyDescent="0.2"/>
    <row r="5644" ht="16" customHeight="1" x14ac:dyDescent="0.2"/>
    <row r="5645" ht="16" customHeight="1" x14ac:dyDescent="0.2"/>
    <row r="5646" ht="16" customHeight="1" x14ac:dyDescent="0.2"/>
    <row r="5647" ht="16" customHeight="1" x14ac:dyDescent="0.2"/>
    <row r="5648" ht="16" customHeight="1" x14ac:dyDescent="0.2"/>
    <row r="5649" ht="16" customHeight="1" x14ac:dyDescent="0.2"/>
    <row r="5650" ht="16" customHeight="1" x14ac:dyDescent="0.2"/>
    <row r="5651" ht="16" customHeight="1" x14ac:dyDescent="0.2"/>
    <row r="5652" ht="16" customHeight="1" x14ac:dyDescent="0.2"/>
    <row r="5653" ht="16" customHeight="1" x14ac:dyDescent="0.2"/>
    <row r="5654" ht="16" customHeight="1" x14ac:dyDescent="0.2"/>
    <row r="5655" ht="16" customHeight="1" x14ac:dyDescent="0.2"/>
    <row r="5656" ht="16" customHeight="1" x14ac:dyDescent="0.2"/>
    <row r="5657" ht="16" customHeight="1" x14ac:dyDescent="0.2"/>
    <row r="5658" ht="16" customHeight="1" x14ac:dyDescent="0.2"/>
    <row r="5659" ht="16" customHeight="1" x14ac:dyDescent="0.2"/>
    <row r="5660" ht="16" customHeight="1" x14ac:dyDescent="0.2"/>
    <row r="5661" ht="16" customHeight="1" x14ac:dyDescent="0.2"/>
    <row r="5662" ht="16" customHeight="1" x14ac:dyDescent="0.2"/>
    <row r="5663" ht="16" customHeight="1" x14ac:dyDescent="0.2"/>
    <row r="5664" ht="16" customHeight="1" x14ac:dyDescent="0.2"/>
    <row r="5665" ht="16" customHeight="1" x14ac:dyDescent="0.2"/>
    <row r="5666" ht="16" customHeight="1" x14ac:dyDescent="0.2"/>
    <row r="5667" ht="16" customHeight="1" x14ac:dyDescent="0.2"/>
    <row r="5668" ht="16" customHeight="1" x14ac:dyDescent="0.2"/>
    <row r="5669" ht="16" customHeight="1" x14ac:dyDescent="0.2"/>
    <row r="5670" ht="16" customHeight="1" x14ac:dyDescent="0.2"/>
    <row r="5671" ht="16" customHeight="1" x14ac:dyDescent="0.2"/>
    <row r="5672" ht="16" customHeight="1" x14ac:dyDescent="0.2"/>
    <row r="5673" ht="16" customHeight="1" x14ac:dyDescent="0.2"/>
    <row r="5674" ht="16" customHeight="1" x14ac:dyDescent="0.2"/>
    <row r="5675" ht="16" customHeight="1" x14ac:dyDescent="0.2"/>
    <row r="5676" ht="16" customHeight="1" x14ac:dyDescent="0.2"/>
    <row r="5677" ht="16" customHeight="1" x14ac:dyDescent="0.2"/>
    <row r="5678" ht="16" customHeight="1" x14ac:dyDescent="0.2"/>
    <row r="5679" ht="16" customHeight="1" x14ac:dyDescent="0.2"/>
    <row r="5680" ht="16" customHeight="1" x14ac:dyDescent="0.2"/>
    <row r="5681" ht="16" customHeight="1" x14ac:dyDescent="0.2"/>
    <row r="5682" ht="16" customHeight="1" x14ac:dyDescent="0.2"/>
    <row r="5683" ht="16" customHeight="1" x14ac:dyDescent="0.2"/>
    <row r="5684" ht="16" customHeight="1" x14ac:dyDescent="0.2"/>
    <row r="5685" ht="16" customHeight="1" x14ac:dyDescent="0.2"/>
    <row r="5686" ht="16" customHeight="1" x14ac:dyDescent="0.2"/>
    <row r="5687" ht="16" customHeight="1" x14ac:dyDescent="0.2"/>
    <row r="5688" ht="16" customHeight="1" x14ac:dyDescent="0.2"/>
    <row r="5689" ht="16" customHeight="1" x14ac:dyDescent="0.2"/>
    <row r="5690" ht="16" customHeight="1" x14ac:dyDescent="0.2"/>
    <row r="5691" ht="16" customHeight="1" x14ac:dyDescent="0.2"/>
    <row r="5692" ht="16" customHeight="1" x14ac:dyDescent="0.2"/>
    <row r="5693" ht="16" customHeight="1" x14ac:dyDescent="0.2"/>
    <row r="5694" ht="16" customHeight="1" x14ac:dyDescent="0.2"/>
    <row r="5695" ht="16" customHeight="1" x14ac:dyDescent="0.2"/>
    <row r="5696" ht="16" customHeight="1" x14ac:dyDescent="0.2"/>
    <row r="5697" ht="16" customHeight="1" x14ac:dyDescent="0.2"/>
    <row r="5698" ht="16" customHeight="1" x14ac:dyDescent="0.2"/>
    <row r="5699" ht="16" customHeight="1" x14ac:dyDescent="0.2"/>
    <row r="5700" ht="16" customHeight="1" x14ac:dyDescent="0.2"/>
    <row r="5701" ht="16" customHeight="1" x14ac:dyDescent="0.2"/>
    <row r="5702" ht="16" customHeight="1" x14ac:dyDescent="0.2"/>
    <row r="5703" ht="16" customHeight="1" x14ac:dyDescent="0.2"/>
    <row r="5704" ht="16" customHeight="1" x14ac:dyDescent="0.2"/>
    <row r="5705" ht="16" customHeight="1" x14ac:dyDescent="0.2"/>
    <row r="5706" ht="16" customHeight="1" x14ac:dyDescent="0.2"/>
    <row r="5707" ht="16" customHeight="1" x14ac:dyDescent="0.2"/>
    <row r="5708" ht="16" customHeight="1" x14ac:dyDescent="0.2"/>
    <row r="5709" ht="16" customHeight="1" x14ac:dyDescent="0.2"/>
    <row r="5710" ht="16" customHeight="1" x14ac:dyDescent="0.2"/>
    <row r="5711" ht="16" customHeight="1" x14ac:dyDescent="0.2"/>
    <row r="5712" ht="16" customHeight="1" x14ac:dyDescent="0.2"/>
    <row r="5713" ht="16" customHeight="1" x14ac:dyDescent="0.2"/>
    <row r="5714" ht="16" customHeight="1" x14ac:dyDescent="0.2"/>
    <row r="5715" ht="16" customHeight="1" x14ac:dyDescent="0.2"/>
    <row r="5716" ht="16" customHeight="1" x14ac:dyDescent="0.2"/>
    <row r="5717" ht="16" customHeight="1" x14ac:dyDescent="0.2"/>
    <row r="5718" ht="16" customHeight="1" x14ac:dyDescent="0.2"/>
    <row r="5719" ht="16" customHeight="1" x14ac:dyDescent="0.2"/>
    <row r="5720" ht="16" customHeight="1" x14ac:dyDescent="0.2"/>
    <row r="5721" ht="16" customHeight="1" x14ac:dyDescent="0.2"/>
    <row r="5722" ht="16" customHeight="1" x14ac:dyDescent="0.2"/>
    <row r="5723" ht="16" customHeight="1" x14ac:dyDescent="0.2"/>
    <row r="5724" ht="16" customHeight="1" x14ac:dyDescent="0.2"/>
    <row r="5725" ht="16" customHeight="1" x14ac:dyDescent="0.2"/>
    <row r="5726" ht="16" customHeight="1" x14ac:dyDescent="0.2"/>
    <row r="5727" ht="16" customHeight="1" x14ac:dyDescent="0.2"/>
    <row r="5728" ht="16" customHeight="1" x14ac:dyDescent="0.2"/>
    <row r="5729" ht="16" customHeight="1" x14ac:dyDescent="0.2"/>
    <row r="5730" ht="16" customHeight="1" x14ac:dyDescent="0.2"/>
    <row r="5731" ht="16" customHeight="1" x14ac:dyDescent="0.2"/>
    <row r="5732" ht="16" customHeight="1" x14ac:dyDescent="0.2"/>
    <row r="5733" ht="16" customHeight="1" x14ac:dyDescent="0.2"/>
    <row r="5734" ht="16" customHeight="1" x14ac:dyDescent="0.2"/>
    <row r="5735" ht="16" customHeight="1" x14ac:dyDescent="0.2"/>
    <row r="5736" ht="16" customHeight="1" x14ac:dyDescent="0.2"/>
    <row r="5737" ht="16" customHeight="1" x14ac:dyDescent="0.2"/>
    <row r="5738" ht="16" customHeight="1" x14ac:dyDescent="0.2"/>
    <row r="5739" ht="16" customHeight="1" x14ac:dyDescent="0.2"/>
    <row r="5740" ht="16" customHeight="1" x14ac:dyDescent="0.2"/>
    <row r="5741" ht="16" customHeight="1" x14ac:dyDescent="0.2"/>
    <row r="5742" ht="16" customHeight="1" x14ac:dyDescent="0.2"/>
    <row r="5743" ht="16" customHeight="1" x14ac:dyDescent="0.2"/>
    <row r="5744" ht="16" customHeight="1" x14ac:dyDescent="0.2"/>
    <row r="5745" ht="16" customHeight="1" x14ac:dyDescent="0.2"/>
    <row r="5746" ht="16" customHeight="1" x14ac:dyDescent="0.2"/>
    <row r="5747" ht="16" customHeight="1" x14ac:dyDescent="0.2"/>
    <row r="5748" ht="16" customHeight="1" x14ac:dyDescent="0.2"/>
    <row r="5749" ht="16" customHeight="1" x14ac:dyDescent="0.2"/>
    <row r="5750" ht="16" customHeight="1" x14ac:dyDescent="0.2"/>
    <row r="5751" ht="16" customHeight="1" x14ac:dyDescent="0.2"/>
    <row r="5752" ht="16" customHeight="1" x14ac:dyDescent="0.2"/>
    <row r="5753" ht="16" customHeight="1" x14ac:dyDescent="0.2"/>
    <row r="5754" ht="16" customHeight="1" x14ac:dyDescent="0.2"/>
    <row r="5755" ht="16" customHeight="1" x14ac:dyDescent="0.2"/>
    <row r="5756" ht="16" customHeight="1" x14ac:dyDescent="0.2"/>
    <row r="5757" ht="16" customHeight="1" x14ac:dyDescent="0.2"/>
    <row r="5758" ht="16" customHeight="1" x14ac:dyDescent="0.2"/>
    <row r="5759" ht="16" customHeight="1" x14ac:dyDescent="0.2"/>
    <row r="5760" ht="16" customHeight="1" x14ac:dyDescent="0.2"/>
    <row r="5761" ht="16" customHeight="1" x14ac:dyDescent="0.2"/>
    <row r="5762" ht="16" customHeight="1" x14ac:dyDescent="0.2"/>
    <row r="5763" ht="16" customHeight="1" x14ac:dyDescent="0.2"/>
    <row r="5764" ht="16" customHeight="1" x14ac:dyDescent="0.2"/>
    <row r="5765" ht="16" customHeight="1" x14ac:dyDescent="0.2"/>
    <row r="5766" ht="16" customHeight="1" x14ac:dyDescent="0.2"/>
    <row r="5767" ht="16" customHeight="1" x14ac:dyDescent="0.2"/>
    <row r="5768" ht="16" customHeight="1" x14ac:dyDescent="0.2"/>
    <row r="5769" ht="16" customHeight="1" x14ac:dyDescent="0.2"/>
    <row r="5770" ht="16" customHeight="1" x14ac:dyDescent="0.2"/>
    <row r="5771" ht="16" customHeight="1" x14ac:dyDescent="0.2"/>
    <row r="5772" ht="16" customHeight="1" x14ac:dyDescent="0.2"/>
    <row r="5773" ht="16" customHeight="1" x14ac:dyDescent="0.2"/>
    <row r="5774" ht="16" customHeight="1" x14ac:dyDescent="0.2"/>
    <row r="5775" ht="16" customHeight="1" x14ac:dyDescent="0.2"/>
    <row r="5776" ht="16" customHeight="1" x14ac:dyDescent="0.2"/>
    <row r="5777" ht="16" customHeight="1" x14ac:dyDescent="0.2"/>
    <row r="5778" ht="16" customHeight="1" x14ac:dyDescent="0.2"/>
    <row r="5779" ht="16" customHeight="1" x14ac:dyDescent="0.2"/>
    <row r="5780" ht="16" customHeight="1" x14ac:dyDescent="0.2"/>
    <row r="5781" ht="16" customHeight="1" x14ac:dyDescent="0.2"/>
    <row r="5782" ht="16" customHeight="1" x14ac:dyDescent="0.2"/>
    <row r="5783" ht="16" customHeight="1" x14ac:dyDescent="0.2"/>
    <row r="5784" ht="16" customHeight="1" x14ac:dyDescent="0.2"/>
    <row r="5785" ht="16" customHeight="1" x14ac:dyDescent="0.2"/>
    <row r="5786" ht="16" customHeight="1" x14ac:dyDescent="0.2"/>
    <row r="5787" ht="16" customHeight="1" x14ac:dyDescent="0.2"/>
    <row r="5788" ht="16" customHeight="1" x14ac:dyDescent="0.2"/>
    <row r="5789" ht="16" customHeight="1" x14ac:dyDescent="0.2"/>
    <row r="5790" ht="16" customHeight="1" x14ac:dyDescent="0.2"/>
    <row r="5791" ht="16" customHeight="1" x14ac:dyDescent="0.2"/>
    <row r="5792" ht="16" customHeight="1" x14ac:dyDescent="0.2"/>
    <row r="5793" ht="16" customHeight="1" x14ac:dyDescent="0.2"/>
    <row r="5794" ht="16" customHeight="1" x14ac:dyDescent="0.2"/>
    <row r="5795" ht="16" customHeight="1" x14ac:dyDescent="0.2"/>
    <row r="5796" ht="16" customHeight="1" x14ac:dyDescent="0.2"/>
    <row r="5797" ht="16" customHeight="1" x14ac:dyDescent="0.2"/>
    <row r="5798" ht="16" customHeight="1" x14ac:dyDescent="0.2"/>
    <row r="5799" ht="16" customHeight="1" x14ac:dyDescent="0.2"/>
    <row r="5800" ht="16" customHeight="1" x14ac:dyDescent="0.2"/>
    <row r="5801" ht="16" customHeight="1" x14ac:dyDescent="0.2"/>
    <row r="5802" ht="16" customHeight="1" x14ac:dyDescent="0.2"/>
    <row r="5803" ht="16" customHeight="1" x14ac:dyDescent="0.2"/>
    <row r="5804" ht="16" customHeight="1" x14ac:dyDescent="0.2"/>
    <row r="5805" ht="16" customHeight="1" x14ac:dyDescent="0.2"/>
    <row r="5806" ht="16" customHeight="1" x14ac:dyDescent="0.2"/>
    <row r="5807" ht="16" customHeight="1" x14ac:dyDescent="0.2"/>
    <row r="5808" ht="16" customHeight="1" x14ac:dyDescent="0.2"/>
    <row r="5809" ht="16" customHeight="1" x14ac:dyDescent="0.2"/>
    <row r="5810" ht="16" customHeight="1" x14ac:dyDescent="0.2"/>
    <row r="5811" ht="16" customHeight="1" x14ac:dyDescent="0.2"/>
    <row r="5812" ht="16" customHeight="1" x14ac:dyDescent="0.2"/>
    <row r="5813" ht="16" customHeight="1" x14ac:dyDescent="0.2"/>
    <row r="5814" ht="16" customHeight="1" x14ac:dyDescent="0.2"/>
    <row r="5815" ht="16" customHeight="1" x14ac:dyDescent="0.2"/>
    <row r="5816" ht="16" customHeight="1" x14ac:dyDescent="0.2"/>
    <row r="5817" ht="16" customHeight="1" x14ac:dyDescent="0.2"/>
    <row r="5818" ht="16" customHeight="1" x14ac:dyDescent="0.2"/>
    <row r="5819" ht="16" customHeight="1" x14ac:dyDescent="0.2"/>
    <row r="5820" ht="16" customHeight="1" x14ac:dyDescent="0.2"/>
    <row r="5821" ht="16" customHeight="1" x14ac:dyDescent="0.2"/>
    <row r="5822" ht="16" customHeight="1" x14ac:dyDescent="0.2"/>
    <row r="5823" ht="16" customHeight="1" x14ac:dyDescent="0.2"/>
    <row r="5824" ht="16" customHeight="1" x14ac:dyDescent="0.2"/>
    <row r="5825" ht="16" customHeight="1" x14ac:dyDescent="0.2"/>
    <row r="5826" ht="16" customHeight="1" x14ac:dyDescent="0.2"/>
    <row r="5827" ht="16" customHeight="1" x14ac:dyDescent="0.2"/>
    <row r="5828" ht="16" customHeight="1" x14ac:dyDescent="0.2"/>
    <row r="5829" ht="16" customHeight="1" x14ac:dyDescent="0.2"/>
    <row r="5830" ht="16" customHeight="1" x14ac:dyDescent="0.2"/>
    <row r="5831" ht="16" customHeight="1" x14ac:dyDescent="0.2"/>
    <row r="5832" ht="16" customHeight="1" x14ac:dyDescent="0.2"/>
    <row r="5833" ht="16" customHeight="1" x14ac:dyDescent="0.2"/>
    <row r="5834" ht="16" customHeight="1" x14ac:dyDescent="0.2"/>
    <row r="5835" ht="16" customHeight="1" x14ac:dyDescent="0.2"/>
    <row r="5836" ht="16" customHeight="1" x14ac:dyDescent="0.2"/>
    <row r="5837" ht="16" customHeight="1" x14ac:dyDescent="0.2"/>
    <row r="5838" ht="16" customHeight="1" x14ac:dyDescent="0.2"/>
    <row r="5839" ht="16" customHeight="1" x14ac:dyDescent="0.2"/>
    <row r="5840" ht="16" customHeight="1" x14ac:dyDescent="0.2"/>
    <row r="5841" ht="16" customHeight="1" x14ac:dyDescent="0.2"/>
    <row r="5842" ht="16" customHeight="1" x14ac:dyDescent="0.2"/>
    <row r="5843" ht="16" customHeight="1" x14ac:dyDescent="0.2"/>
    <row r="5844" ht="16" customHeight="1" x14ac:dyDescent="0.2"/>
    <row r="5845" ht="16" customHeight="1" x14ac:dyDescent="0.2"/>
    <row r="5846" ht="16" customHeight="1" x14ac:dyDescent="0.2"/>
    <row r="5847" ht="16" customHeight="1" x14ac:dyDescent="0.2"/>
    <row r="5848" ht="16" customHeight="1" x14ac:dyDescent="0.2"/>
    <row r="5849" ht="16" customHeight="1" x14ac:dyDescent="0.2"/>
    <row r="5850" ht="16" customHeight="1" x14ac:dyDescent="0.2"/>
    <row r="5851" ht="16" customHeight="1" x14ac:dyDescent="0.2"/>
    <row r="5852" ht="16" customHeight="1" x14ac:dyDescent="0.2"/>
    <row r="5853" ht="16" customHeight="1" x14ac:dyDescent="0.2"/>
    <row r="5854" ht="16" customHeight="1" x14ac:dyDescent="0.2"/>
    <row r="5855" ht="16" customHeight="1" x14ac:dyDescent="0.2"/>
    <row r="5856" ht="16" customHeight="1" x14ac:dyDescent="0.2"/>
    <row r="5857" ht="16" customHeight="1" x14ac:dyDescent="0.2"/>
    <row r="5858" ht="16" customHeight="1" x14ac:dyDescent="0.2"/>
    <row r="5859" ht="16" customHeight="1" x14ac:dyDescent="0.2"/>
    <row r="5860" ht="16" customHeight="1" x14ac:dyDescent="0.2"/>
    <row r="5861" ht="16" customHeight="1" x14ac:dyDescent="0.2"/>
    <row r="5862" ht="16" customHeight="1" x14ac:dyDescent="0.2"/>
    <row r="5863" ht="16" customHeight="1" x14ac:dyDescent="0.2"/>
    <row r="5864" ht="16" customHeight="1" x14ac:dyDescent="0.2"/>
    <row r="5865" ht="16" customHeight="1" x14ac:dyDescent="0.2"/>
    <row r="5866" ht="16" customHeight="1" x14ac:dyDescent="0.2"/>
    <row r="5867" ht="16" customHeight="1" x14ac:dyDescent="0.2"/>
    <row r="5868" ht="16" customHeight="1" x14ac:dyDescent="0.2"/>
    <row r="5869" ht="16" customHeight="1" x14ac:dyDescent="0.2"/>
    <row r="5870" ht="16" customHeight="1" x14ac:dyDescent="0.2"/>
    <row r="5871" ht="16" customHeight="1" x14ac:dyDescent="0.2"/>
    <row r="5872" ht="16" customHeight="1" x14ac:dyDescent="0.2"/>
    <row r="5873" ht="16" customHeight="1" x14ac:dyDescent="0.2"/>
    <row r="5874" ht="16" customHeight="1" x14ac:dyDescent="0.2"/>
    <row r="5875" ht="16" customHeight="1" x14ac:dyDescent="0.2"/>
    <row r="5876" ht="16" customHeight="1" x14ac:dyDescent="0.2"/>
    <row r="5877" ht="16" customHeight="1" x14ac:dyDescent="0.2"/>
    <row r="5878" ht="16" customHeight="1" x14ac:dyDescent="0.2"/>
    <row r="5879" ht="16" customHeight="1" x14ac:dyDescent="0.2"/>
    <row r="5880" ht="16" customHeight="1" x14ac:dyDescent="0.2"/>
    <row r="5881" ht="16" customHeight="1" x14ac:dyDescent="0.2"/>
    <row r="5882" ht="16" customHeight="1" x14ac:dyDescent="0.2"/>
    <row r="5883" ht="16" customHeight="1" x14ac:dyDescent="0.2"/>
    <row r="5884" ht="16" customHeight="1" x14ac:dyDescent="0.2"/>
    <row r="5885" ht="16" customHeight="1" x14ac:dyDescent="0.2"/>
    <row r="5886" ht="16" customHeight="1" x14ac:dyDescent="0.2"/>
    <row r="5887" ht="16" customHeight="1" x14ac:dyDescent="0.2"/>
    <row r="5888" ht="16" customHeight="1" x14ac:dyDescent="0.2"/>
    <row r="5889" ht="16" customHeight="1" x14ac:dyDescent="0.2"/>
    <row r="5890" ht="16" customHeight="1" x14ac:dyDescent="0.2"/>
    <row r="5891" ht="16" customHeight="1" x14ac:dyDescent="0.2"/>
    <row r="5892" ht="16" customHeight="1" x14ac:dyDescent="0.2"/>
    <row r="5893" ht="16" customHeight="1" x14ac:dyDescent="0.2"/>
    <row r="5894" ht="16" customHeight="1" x14ac:dyDescent="0.2"/>
    <row r="5895" ht="16" customHeight="1" x14ac:dyDescent="0.2"/>
    <row r="5896" ht="16" customHeight="1" x14ac:dyDescent="0.2"/>
    <row r="5897" ht="16" customHeight="1" x14ac:dyDescent="0.2"/>
    <row r="5898" ht="16" customHeight="1" x14ac:dyDescent="0.2"/>
    <row r="5899" ht="16" customHeight="1" x14ac:dyDescent="0.2"/>
    <row r="5900" ht="16" customHeight="1" x14ac:dyDescent="0.2"/>
    <row r="5901" ht="16" customHeight="1" x14ac:dyDescent="0.2"/>
    <row r="5902" ht="16" customHeight="1" x14ac:dyDescent="0.2"/>
    <row r="5903" ht="16" customHeight="1" x14ac:dyDescent="0.2"/>
    <row r="5904" ht="16" customHeight="1" x14ac:dyDescent="0.2"/>
    <row r="5905" ht="16" customHeight="1" x14ac:dyDescent="0.2"/>
    <row r="5906" ht="16" customHeight="1" x14ac:dyDescent="0.2"/>
    <row r="5907" ht="16" customHeight="1" x14ac:dyDescent="0.2"/>
    <row r="5908" ht="16" customHeight="1" x14ac:dyDescent="0.2"/>
    <row r="5909" ht="16" customHeight="1" x14ac:dyDescent="0.2"/>
    <row r="5910" ht="16" customHeight="1" x14ac:dyDescent="0.2"/>
    <row r="5911" ht="16" customHeight="1" x14ac:dyDescent="0.2"/>
    <row r="5912" ht="16" customHeight="1" x14ac:dyDescent="0.2"/>
    <row r="5913" ht="16" customHeight="1" x14ac:dyDescent="0.2"/>
    <row r="5914" ht="16" customHeight="1" x14ac:dyDescent="0.2"/>
    <row r="5915" ht="16" customHeight="1" x14ac:dyDescent="0.2"/>
    <row r="5916" ht="16" customHeight="1" x14ac:dyDescent="0.2"/>
    <row r="5917" ht="16" customHeight="1" x14ac:dyDescent="0.2"/>
    <row r="5918" ht="16" customHeight="1" x14ac:dyDescent="0.2"/>
    <row r="5919" ht="16" customHeight="1" x14ac:dyDescent="0.2"/>
    <row r="5920" ht="16" customHeight="1" x14ac:dyDescent="0.2"/>
    <row r="5921" ht="16" customHeight="1" x14ac:dyDescent="0.2"/>
    <row r="5922" ht="16" customHeight="1" x14ac:dyDescent="0.2"/>
    <row r="5923" ht="16" customHeight="1" x14ac:dyDescent="0.2"/>
    <row r="5924" ht="16" customHeight="1" x14ac:dyDescent="0.2"/>
    <row r="5925" ht="16" customHeight="1" x14ac:dyDescent="0.2"/>
    <row r="5926" ht="16" customHeight="1" x14ac:dyDescent="0.2"/>
    <row r="5927" ht="16" customHeight="1" x14ac:dyDescent="0.2"/>
    <row r="5928" ht="16" customHeight="1" x14ac:dyDescent="0.2"/>
    <row r="5929" ht="16" customHeight="1" x14ac:dyDescent="0.2"/>
    <row r="5930" ht="16" customHeight="1" x14ac:dyDescent="0.2"/>
    <row r="5931" ht="16" customHeight="1" x14ac:dyDescent="0.2"/>
    <row r="5932" ht="16" customHeight="1" x14ac:dyDescent="0.2"/>
    <row r="5933" ht="16" customHeight="1" x14ac:dyDescent="0.2"/>
    <row r="5934" ht="16" customHeight="1" x14ac:dyDescent="0.2"/>
    <row r="5935" ht="16" customHeight="1" x14ac:dyDescent="0.2"/>
    <row r="5936" ht="16" customHeight="1" x14ac:dyDescent="0.2"/>
    <row r="5937" ht="16" customHeight="1" x14ac:dyDescent="0.2"/>
    <row r="5938" ht="16" customHeight="1" x14ac:dyDescent="0.2"/>
    <row r="5939" ht="16" customHeight="1" x14ac:dyDescent="0.2"/>
    <row r="5940" ht="16" customHeight="1" x14ac:dyDescent="0.2"/>
    <row r="5941" ht="16" customHeight="1" x14ac:dyDescent="0.2"/>
    <row r="5942" ht="16" customHeight="1" x14ac:dyDescent="0.2"/>
    <row r="5943" ht="16" customHeight="1" x14ac:dyDescent="0.2"/>
    <row r="5944" ht="16" customHeight="1" x14ac:dyDescent="0.2"/>
    <row r="5945" ht="16" customHeight="1" x14ac:dyDescent="0.2"/>
    <row r="5946" ht="16" customHeight="1" x14ac:dyDescent="0.2"/>
    <row r="5947" ht="16" customHeight="1" x14ac:dyDescent="0.2"/>
    <row r="5948" ht="16" customHeight="1" x14ac:dyDescent="0.2"/>
    <row r="5949" ht="16" customHeight="1" x14ac:dyDescent="0.2"/>
    <row r="5950" ht="16" customHeight="1" x14ac:dyDescent="0.2"/>
    <row r="5951" ht="16" customHeight="1" x14ac:dyDescent="0.2"/>
    <row r="5952" ht="16" customHeight="1" x14ac:dyDescent="0.2"/>
    <row r="5953" ht="16" customHeight="1" x14ac:dyDescent="0.2"/>
    <row r="5954" ht="16" customHeight="1" x14ac:dyDescent="0.2"/>
    <row r="5955" ht="16" customHeight="1" x14ac:dyDescent="0.2"/>
    <row r="5956" ht="16" customHeight="1" x14ac:dyDescent="0.2"/>
    <row r="5957" ht="16" customHeight="1" x14ac:dyDescent="0.2"/>
    <row r="5958" ht="16" customHeight="1" x14ac:dyDescent="0.2"/>
    <row r="5959" ht="16" customHeight="1" x14ac:dyDescent="0.2"/>
    <row r="5960" ht="16" customHeight="1" x14ac:dyDescent="0.2"/>
    <row r="5961" ht="16" customHeight="1" x14ac:dyDescent="0.2"/>
    <row r="5962" ht="16" customHeight="1" x14ac:dyDescent="0.2"/>
    <row r="5963" ht="16" customHeight="1" x14ac:dyDescent="0.2"/>
    <row r="5964" ht="16" customHeight="1" x14ac:dyDescent="0.2"/>
    <row r="5965" ht="16" customHeight="1" x14ac:dyDescent="0.2"/>
    <row r="5966" ht="16" customHeight="1" x14ac:dyDescent="0.2"/>
    <row r="5967" ht="16" customHeight="1" x14ac:dyDescent="0.2"/>
    <row r="5968" ht="16" customHeight="1" x14ac:dyDescent="0.2"/>
    <row r="5969" ht="16" customHeight="1" x14ac:dyDescent="0.2"/>
    <row r="5970" ht="16" customHeight="1" x14ac:dyDescent="0.2"/>
    <row r="5971" ht="16" customHeight="1" x14ac:dyDescent="0.2"/>
    <row r="5972" ht="16" customHeight="1" x14ac:dyDescent="0.2"/>
    <row r="5973" ht="16" customHeight="1" x14ac:dyDescent="0.2"/>
    <row r="5974" ht="16" customHeight="1" x14ac:dyDescent="0.2"/>
    <row r="5975" ht="16" customHeight="1" x14ac:dyDescent="0.2"/>
    <row r="5976" ht="16" customHeight="1" x14ac:dyDescent="0.2"/>
    <row r="5977" ht="16" customHeight="1" x14ac:dyDescent="0.2"/>
    <row r="5978" ht="16" customHeight="1" x14ac:dyDescent="0.2"/>
    <row r="5979" ht="16" customHeight="1" x14ac:dyDescent="0.2"/>
    <row r="5980" ht="16" customHeight="1" x14ac:dyDescent="0.2"/>
    <row r="5981" ht="16" customHeight="1" x14ac:dyDescent="0.2"/>
    <row r="5982" ht="16" customHeight="1" x14ac:dyDescent="0.2"/>
    <row r="5983" ht="16" customHeight="1" x14ac:dyDescent="0.2"/>
    <row r="5984" ht="16" customHeight="1" x14ac:dyDescent="0.2"/>
    <row r="5985" ht="16" customHeight="1" x14ac:dyDescent="0.2"/>
    <row r="5986" ht="16" customHeight="1" x14ac:dyDescent="0.2"/>
    <row r="5987" ht="16" customHeight="1" x14ac:dyDescent="0.2"/>
    <row r="5988" ht="16" customHeight="1" x14ac:dyDescent="0.2"/>
    <row r="5989" ht="16" customHeight="1" x14ac:dyDescent="0.2"/>
    <row r="5990" ht="16" customHeight="1" x14ac:dyDescent="0.2"/>
    <row r="5991" ht="16" customHeight="1" x14ac:dyDescent="0.2"/>
    <row r="5992" ht="16" customHeight="1" x14ac:dyDescent="0.2"/>
    <row r="5993" ht="16" customHeight="1" x14ac:dyDescent="0.2"/>
    <row r="5994" ht="16" customHeight="1" x14ac:dyDescent="0.2"/>
    <row r="5995" ht="16" customHeight="1" x14ac:dyDescent="0.2"/>
    <row r="5996" ht="16" customHeight="1" x14ac:dyDescent="0.2"/>
    <row r="5997" ht="16" customHeight="1" x14ac:dyDescent="0.2"/>
    <row r="5998" ht="16" customHeight="1" x14ac:dyDescent="0.2"/>
    <row r="5999" ht="16" customHeight="1" x14ac:dyDescent="0.2"/>
    <row r="6000" ht="16" customHeight="1" x14ac:dyDescent="0.2"/>
    <row r="6001" ht="16" customHeight="1" x14ac:dyDescent="0.2"/>
    <row r="6002" ht="16" customHeight="1" x14ac:dyDescent="0.2"/>
    <row r="6003" ht="16" customHeight="1" x14ac:dyDescent="0.2"/>
    <row r="6004" ht="16" customHeight="1" x14ac:dyDescent="0.2"/>
    <row r="6005" ht="16" customHeight="1" x14ac:dyDescent="0.2"/>
    <row r="6006" ht="16" customHeight="1" x14ac:dyDescent="0.2"/>
    <row r="6007" ht="16" customHeight="1" x14ac:dyDescent="0.2"/>
    <row r="6008" ht="16" customHeight="1" x14ac:dyDescent="0.2"/>
    <row r="6009" ht="16" customHeight="1" x14ac:dyDescent="0.2"/>
    <row r="6010" ht="16" customHeight="1" x14ac:dyDescent="0.2"/>
    <row r="6011" ht="16" customHeight="1" x14ac:dyDescent="0.2"/>
    <row r="6012" ht="16" customHeight="1" x14ac:dyDescent="0.2"/>
    <row r="6013" ht="16" customHeight="1" x14ac:dyDescent="0.2"/>
    <row r="6014" ht="16" customHeight="1" x14ac:dyDescent="0.2"/>
    <row r="6015" ht="16" customHeight="1" x14ac:dyDescent="0.2"/>
    <row r="6016" ht="16" customHeight="1" x14ac:dyDescent="0.2"/>
    <row r="6017" ht="16" customHeight="1" x14ac:dyDescent="0.2"/>
    <row r="6018" ht="16" customHeight="1" x14ac:dyDescent="0.2"/>
    <row r="6019" ht="16" customHeight="1" x14ac:dyDescent="0.2"/>
    <row r="6020" ht="16" customHeight="1" x14ac:dyDescent="0.2"/>
    <row r="6021" ht="16" customHeight="1" x14ac:dyDescent="0.2"/>
    <row r="6022" ht="16" customHeight="1" x14ac:dyDescent="0.2"/>
    <row r="6023" ht="16" customHeight="1" x14ac:dyDescent="0.2"/>
    <row r="6024" ht="16" customHeight="1" x14ac:dyDescent="0.2"/>
    <row r="6025" ht="16" customHeight="1" x14ac:dyDescent="0.2"/>
    <row r="6026" ht="16" customHeight="1" x14ac:dyDescent="0.2"/>
    <row r="6027" ht="16" customHeight="1" x14ac:dyDescent="0.2"/>
    <row r="6028" ht="16" customHeight="1" x14ac:dyDescent="0.2"/>
    <row r="6029" ht="16" customHeight="1" x14ac:dyDescent="0.2"/>
    <row r="6030" ht="16" customHeight="1" x14ac:dyDescent="0.2"/>
    <row r="6031" ht="16" customHeight="1" x14ac:dyDescent="0.2"/>
    <row r="6032" ht="16" customHeight="1" x14ac:dyDescent="0.2"/>
    <row r="6033" ht="16" customHeight="1" x14ac:dyDescent="0.2"/>
    <row r="6034" ht="16" customHeight="1" x14ac:dyDescent="0.2"/>
    <row r="6035" ht="16" customHeight="1" x14ac:dyDescent="0.2"/>
    <row r="6036" ht="16" customHeight="1" x14ac:dyDescent="0.2"/>
    <row r="6037" ht="16" customHeight="1" x14ac:dyDescent="0.2"/>
    <row r="6038" ht="16" customHeight="1" x14ac:dyDescent="0.2"/>
    <row r="6039" ht="16" customHeight="1" x14ac:dyDescent="0.2"/>
    <row r="6040" ht="16" customHeight="1" x14ac:dyDescent="0.2"/>
    <row r="6041" ht="16" customHeight="1" x14ac:dyDescent="0.2"/>
    <row r="6042" ht="16" customHeight="1" x14ac:dyDescent="0.2"/>
    <row r="6043" ht="16" customHeight="1" x14ac:dyDescent="0.2"/>
    <row r="6044" ht="16" customHeight="1" x14ac:dyDescent="0.2"/>
    <row r="6045" ht="16" customHeight="1" x14ac:dyDescent="0.2"/>
    <row r="6046" ht="16" customHeight="1" x14ac:dyDescent="0.2"/>
    <row r="6047" ht="16" customHeight="1" x14ac:dyDescent="0.2"/>
    <row r="6048" ht="16" customHeight="1" x14ac:dyDescent="0.2"/>
    <row r="6049" ht="16" customHeight="1" x14ac:dyDescent="0.2"/>
    <row r="6050" ht="16" customHeight="1" x14ac:dyDescent="0.2"/>
    <row r="6051" ht="16" customHeight="1" x14ac:dyDescent="0.2"/>
    <row r="6052" ht="16" customHeight="1" x14ac:dyDescent="0.2"/>
    <row r="6053" ht="16" customHeight="1" x14ac:dyDescent="0.2"/>
    <row r="6054" ht="16" customHeight="1" x14ac:dyDescent="0.2"/>
    <row r="6055" ht="16" customHeight="1" x14ac:dyDescent="0.2"/>
    <row r="6056" ht="16" customHeight="1" x14ac:dyDescent="0.2"/>
    <row r="6057" ht="16" customHeight="1" x14ac:dyDescent="0.2"/>
    <row r="6058" ht="16" customHeight="1" x14ac:dyDescent="0.2"/>
    <row r="6059" ht="16" customHeight="1" x14ac:dyDescent="0.2"/>
    <row r="6060" ht="16" customHeight="1" x14ac:dyDescent="0.2"/>
    <row r="6061" ht="16" customHeight="1" x14ac:dyDescent="0.2"/>
    <row r="6062" ht="16" customHeight="1" x14ac:dyDescent="0.2"/>
    <row r="6063" ht="16" customHeight="1" x14ac:dyDescent="0.2"/>
    <row r="6064" ht="16" customHeight="1" x14ac:dyDescent="0.2"/>
    <row r="6065" ht="16" customHeight="1" x14ac:dyDescent="0.2"/>
    <row r="6066" ht="16" customHeight="1" x14ac:dyDescent="0.2"/>
    <row r="6067" ht="16" customHeight="1" x14ac:dyDescent="0.2"/>
    <row r="6068" ht="16" customHeight="1" x14ac:dyDescent="0.2"/>
    <row r="6069" ht="16" customHeight="1" x14ac:dyDescent="0.2"/>
    <row r="6070" ht="16" customHeight="1" x14ac:dyDescent="0.2"/>
    <row r="6071" ht="16" customHeight="1" x14ac:dyDescent="0.2"/>
    <row r="6072" ht="16" customHeight="1" x14ac:dyDescent="0.2"/>
    <row r="6073" ht="16" customHeight="1" x14ac:dyDescent="0.2"/>
    <row r="6074" ht="16" customHeight="1" x14ac:dyDescent="0.2"/>
    <row r="6075" ht="16" customHeight="1" x14ac:dyDescent="0.2"/>
    <row r="6076" ht="16" customHeight="1" x14ac:dyDescent="0.2"/>
    <row r="6077" ht="16" customHeight="1" x14ac:dyDescent="0.2"/>
    <row r="6078" ht="16" customHeight="1" x14ac:dyDescent="0.2"/>
    <row r="6079" ht="16" customHeight="1" x14ac:dyDescent="0.2"/>
    <row r="6080" ht="16" customHeight="1" x14ac:dyDescent="0.2"/>
    <row r="6081" ht="16" customHeight="1" x14ac:dyDescent="0.2"/>
    <row r="6082" ht="16" customHeight="1" x14ac:dyDescent="0.2"/>
    <row r="6083" ht="16" customHeight="1" x14ac:dyDescent="0.2"/>
    <row r="6084" ht="16" customHeight="1" x14ac:dyDescent="0.2"/>
    <row r="6085" ht="16" customHeight="1" x14ac:dyDescent="0.2"/>
    <row r="6086" ht="16" customHeight="1" x14ac:dyDescent="0.2"/>
    <row r="6087" ht="16" customHeight="1" x14ac:dyDescent="0.2"/>
    <row r="6088" ht="16" customHeight="1" x14ac:dyDescent="0.2"/>
    <row r="6089" ht="16" customHeight="1" x14ac:dyDescent="0.2"/>
    <row r="6090" ht="16" customHeight="1" x14ac:dyDescent="0.2"/>
    <row r="6091" ht="16" customHeight="1" x14ac:dyDescent="0.2"/>
    <row r="6092" ht="16" customHeight="1" x14ac:dyDescent="0.2"/>
    <row r="6093" ht="16" customHeight="1" x14ac:dyDescent="0.2"/>
    <row r="6094" ht="16" customHeight="1" x14ac:dyDescent="0.2"/>
    <row r="6095" ht="16" customHeight="1" x14ac:dyDescent="0.2"/>
    <row r="6096" ht="16" customHeight="1" x14ac:dyDescent="0.2"/>
    <row r="6097" ht="16" customHeight="1" x14ac:dyDescent="0.2"/>
    <row r="6098" ht="16" customHeight="1" x14ac:dyDescent="0.2"/>
    <row r="6099" ht="16" customHeight="1" x14ac:dyDescent="0.2"/>
    <row r="6100" ht="16" customHeight="1" x14ac:dyDescent="0.2"/>
    <row r="6101" ht="16" customHeight="1" x14ac:dyDescent="0.2"/>
    <row r="6102" ht="16" customHeight="1" x14ac:dyDescent="0.2"/>
    <row r="6103" ht="16" customHeight="1" x14ac:dyDescent="0.2"/>
    <row r="6104" ht="16" customHeight="1" x14ac:dyDescent="0.2"/>
    <row r="6105" ht="16" customHeight="1" x14ac:dyDescent="0.2"/>
    <row r="6106" ht="16" customHeight="1" x14ac:dyDescent="0.2"/>
    <row r="6107" ht="16" customHeight="1" x14ac:dyDescent="0.2"/>
    <row r="6108" ht="16" customHeight="1" x14ac:dyDescent="0.2"/>
    <row r="6109" ht="16" customHeight="1" x14ac:dyDescent="0.2"/>
    <row r="6110" ht="16" customHeight="1" x14ac:dyDescent="0.2"/>
    <row r="6111" ht="16" customHeight="1" x14ac:dyDescent="0.2"/>
    <row r="6112" ht="16" customHeight="1" x14ac:dyDescent="0.2"/>
    <row r="6113" ht="16" customHeight="1" x14ac:dyDescent="0.2"/>
    <row r="6114" ht="16" customHeight="1" x14ac:dyDescent="0.2"/>
    <row r="6115" ht="16" customHeight="1" x14ac:dyDescent="0.2"/>
    <row r="6116" ht="16" customHeight="1" x14ac:dyDescent="0.2"/>
    <row r="6117" ht="16" customHeight="1" x14ac:dyDescent="0.2"/>
    <row r="6118" ht="16" customHeight="1" x14ac:dyDescent="0.2"/>
    <row r="6119" ht="16" customHeight="1" x14ac:dyDescent="0.2"/>
    <row r="6120" ht="16" customHeight="1" x14ac:dyDescent="0.2"/>
    <row r="6121" ht="16" customHeight="1" x14ac:dyDescent="0.2"/>
    <row r="6122" ht="16" customHeight="1" x14ac:dyDescent="0.2"/>
    <row r="6123" ht="16" customHeight="1" x14ac:dyDescent="0.2"/>
    <row r="6124" ht="16" customHeight="1" x14ac:dyDescent="0.2"/>
    <row r="6125" ht="16" customHeight="1" x14ac:dyDescent="0.2"/>
    <row r="6126" ht="16" customHeight="1" x14ac:dyDescent="0.2"/>
    <row r="6127" ht="16" customHeight="1" x14ac:dyDescent="0.2"/>
    <row r="6128" ht="16" customHeight="1" x14ac:dyDescent="0.2"/>
    <row r="6129" ht="16" customHeight="1" x14ac:dyDescent="0.2"/>
    <row r="6130" ht="16" customHeight="1" x14ac:dyDescent="0.2"/>
    <row r="6131" ht="16" customHeight="1" x14ac:dyDescent="0.2"/>
    <row r="6132" ht="16" customHeight="1" x14ac:dyDescent="0.2"/>
    <row r="6133" ht="16" customHeight="1" x14ac:dyDescent="0.2"/>
    <row r="6134" ht="16" customHeight="1" x14ac:dyDescent="0.2"/>
    <row r="6135" ht="16" customHeight="1" x14ac:dyDescent="0.2"/>
    <row r="6136" ht="16" customHeight="1" x14ac:dyDescent="0.2"/>
    <row r="6137" ht="16" customHeight="1" x14ac:dyDescent="0.2"/>
    <row r="6138" ht="16" customHeight="1" x14ac:dyDescent="0.2"/>
    <row r="6139" ht="16" customHeight="1" x14ac:dyDescent="0.2"/>
    <row r="6140" ht="16" customHeight="1" x14ac:dyDescent="0.2"/>
    <row r="6141" ht="16" customHeight="1" x14ac:dyDescent="0.2"/>
    <row r="6142" ht="16" customHeight="1" x14ac:dyDescent="0.2"/>
    <row r="6143" ht="16" customHeight="1" x14ac:dyDescent="0.2"/>
    <row r="6144" ht="16" customHeight="1" x14ac:dyDescent="0.2"/>
  </sheetData>
  <pageMargins left="0" right="0" top="0" bottom="0" header="0" footer="0"/>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5"/>
  <sheetViews>
    <sheetView topLeftCell="A19" workbookViewId="0">
      <selection activeCell="H45" sqref="H45"/>
    </sheetView>
  </sheetViews>
  <sheetFormatPr baseColWidth="10" defaultColWidth="10.5" defaultRowHeight="16" x14ac:dyDescent="0.2"/>
  <sheetData>
    <row r="1" spans="1:4" ht="25" x14ac:dyDescent="0.25">
      <c r="A1" s="663">
        <v>1</v>
      </c>
      <c r="B1" s="664" t="s">
        <v>1555</v>
      </c>
      <c r="C1" s="664" t="s">
        <v>1556</v>
      </c>
      <c r="D1" s="664" t="s">
        <v>1237</v>
      </c>
    </row>
    <row r="2" spans="1:4" ht="25" x14ac:dyDescent="0.25">
      <c r="A2" s="663">
        <v>2</v>
      </c>
      <c r="B2" s="664" t="s">
        <v>1557</v>
      </c>
      <c r="C2" s="664"/>
      <c r="D2" s="664" t="s">
        <v>1558</v>
      </c>
    </row>
    <row r="3" spans="1:4" ht="25" x14ac:dyDescent="0.25">
      <c r="A3" s="663">
        <v>4</v>
      </c>
      <c r="B3" s="664" t="s">
        <v>1559</v>
      </c>
      <c r="C3" s="664" t="s">
        <v>1560</v>
      </c>
      <c r="D3" s="664" t="s">
        <v>1235</v>
      </c>
    </row>
    <row r="4" spans="1:4" ht="25" x14ac:dyDescent="0.25">
      <c r="A4" s="663">
        <v>5</v>
      </c>
      <c r="B4" s="664" t="s">
        <v>1561</v>
      </c>
      <c r="C4" s="664" t="s">
        <v>1562</v>
      </c>
      <c r="D4" s="664" t="s">
        <v>1229</v>
      </c>
    </row>
    <row r="5" spans="1:4" ht="25" x14ac:dyDescent="0.25">
      <c r="A5" s="663">
        <v>6</v>
      </c>
      <c r="B5" s="664" t="s">
        <v>1563</v>
      </c>
      <c r="C5" s="664" t="s">
        <v>1564</v>
      </c>
      <c r="D5" s="664" t="s">
        <v>1281</v>
      </c>
    </row>
    <row r="6" spans="1:4" ht="25" x14ac:dyDescent="0.25">
      <c r="A6" s="663">
        <v>8</v>
      </c>
      <c r="B6" s="664" t="s">
        <v>1565</v>
      </c>
      <c r="C6" s="664" t="s">
        <v>1566</v>
      </c>
      <c r="D6" s="664" t="s">
        <v>1279</v>
      </c>
    </row>
    <row r="7" spans="1:4" ht="25" x14ac:dyDescent="0.25">
      <c r="A7" s="663">
        <v>9</v>
      </c>
      <c r="B7" s="664" t="s">
        <v>1567</v>
      </c>
      <c r="C7" s="664" t="s">
        <v>1568</v>
      </c>
      <c r="D7" s="664" t="s">
        <v>1285</v>
      </c>
    </row>
    <row r="8" spans="1:4" ht="25" x14ac:dyDescent="0.25">
      <c r="A8" s="663">
        <v>10</v>
      </c>
      <c r="B8" s="664" t="s">
        <v>1569</v>
      </c>
      <c r="C8" s="664" t="s">
        <v>1570</v>
      </c>
      <c r="D8" s="664" t="s">
        <v>1307</v>
      </c>
    </row>
    <row r="9" spans="1:4" ht="25" x14ac:dyDescent="0.25">
      <c r="A9" s="663">
        <v>11</v>
      </c>
      <c r="B9" s="664" t="s">
        <v>1571</v>
      </c>
      <c r="C9" s="664" t="s">
        <v>1572</v>
      </c>
      <c r="D9" s="664" t="s">
        <v>1573</v>
      </c>
    </row>
    <row r="10" spans="1:4" ht="25" x14ac:dyDescent="0.25">
      <c r="A10" s="663">
        <v>12</v>
      </c>
      <c r="B10" s="664" t="s">
        <v>1574</v>
      </c>
      <c r="C10" s="664" t="s">
        <v>1575</v>
      </c>
      <c r="D10" s="664" t="s">
        <v>490</v>
      </c>
    </row>
    <row r="11" spans="1:4" ht="25" x14ac:dyDescent="0.25">
      <c r="A11" s="663">
        <v>13</v>
      </c>
      <c r="B11" s="664" t="s">
        <v>1576</v>
      </c>
      <c r="C11" s="664" t="s">
        <v>1577</v>
      </c>
      <c r="D11" s="664" t="s">
        <v>1578</v>
      </c>
    </row>
    <row r="12" spans="1:4" ht="25" x14ac:dyDescent="0.25">
      <c r="A12" s="663">
        <v>15</v>
      </c>
      <c r="B12" s="664" t="s">
        <v>1579</v>
      </c>
      <c r="C12" s="664"/>
      <c r="D12" s="664" t="s">
        <v>1580</v>
      </c>
    </row>
    <row r="13" spans="1:4" ht="25" x14ac:dyDescent="0.25">
      <c r="A13" s="663">
        <v>16</v>
      </c>
      <c r="B13" s="664" t="s">
        <v>1581</v>
      </c>
      <c r="C13" s="664"/>
      <c r="D13" s="664" t="s">
        <v>1582</v>
      </c>
    </row>
    <row r="14" spans="1:4" ht="25" x14ac:dyDescent="0.25">
      <c r="A14" s="663">
        <v>17</v>
      </c>
      <c r="B14" s="664" t="s">
        <v>1583</v>
      </c>
      <c r="C14" s="664" t="s">
        <v>1584</v>
      </c>
      <c r="D14" s="664" t="s">
        <v>1585</v>
      </c>
    </row>
    <row r="15" spans="1:4" ht="25" x14ac:dyDescent="0.25">
      <c r="A15" s="663">
        <v>18</v>
      </c>
      <c r="B15" s="664" t="s">
        <v>1586</v>
      </c>
      <c r="C15" s="664" t="s">
        <v>1587</v>
      </c>
      <c r="D15" s="664" t="s">
        <v>1588</v>
      </c>
    </row>
    <row r="16" spans="1:4" ht="25" x14ac:dyDescent="0.25">
      <c r="A16" s="663">
        <v>19</v>
      </c>
      <c r="B16" s="664" t="s">
        <v>1589</v>
      </c>
      <c r="C16" s="664"/>
      <c r="D16" s="664" t="s">
        <v>1590</v>
      </c>
    </row>
    <row r="17" spans="1:4" ht="25" x14ac:dyDescent="0.25">
      <c r="A17" s="663">
        <v>20</v>
      </c>
      <c r="B17" s="664" t="s">
        <v>1591</v>
      </c>
      <c r="C17" s="664" t="s">
        <v>1592</v>
      </c>
      <c r="D17" s="664" t="s">
        <v>1593</v>
      </c>
    </row>
    <row r="18" spans="1:4" ht="25" x14ac:dyDescent="0.25">
      <c r="A18" s="663">
        <v>21</v>
      </c>
      <c r="B18" s="664" t="s">
        <v>1594</v>
      </c>
      <c r="C18" s="664" t="s">
        <v>1595</v>
      </c>
      <c r="D18" s="664" t="s">
        <v>1369</v>
      </c>
    </row>
    <row r="19" spans="1:4" ht="25" x14ac:dyDescent="0.25">
      <c r="A19" s="663">
        <v>22</v>
      </c>
      <c r="B19" s="664" t="s">
        <v>1596</v>
      </c>
      <c r="C19" s="664"/>
      <c r="D19" s="664" t="s">
        <v>1597</v>
      </c>
    </row>
    <row r="20" spans="1:4" ht="25" x14ac:dyDescent="0.25">
      <c r="A20" s="663">
        <v>23</v>
      </c>
      <c r="B20" s="664" t="s">
        <v>1598</v>
      </c>
      <c r="C20" s="664" t="s">
        <v>1599</v>
      </c>
      <c r="D20" s="664" t="s">
        <v>1600</v>
      </c>
    </row>
    <row r="21" spans="1:4" ht="25" x14ac:dyDescent="0.25">
      <c r="A21" s="663">
        <v>24</v>
      </c>
      <c r="B21" s="664" t="s">
        <v>1601</v>
      </c>
      <c r="C21" s="664" t="s">
        <v>1602</v>
      </c>
      <c r="D21" s="664" t="s">
        <v>1603</v>
      </c>
    </row>
    <row r="22" spans="1:4" ht="25" x14ac:dyDescent="0.25">
      <c r="A22" s="663">
        <v>25</v>
      </c>
      <c r="B22" s="664" t="s">
        <v>1604</v>
      </c>
      <c r="C22" s="664" t="s">
        <v>1605</v>
      </c>
      <c r="D22" s="664" t="s">
        <v>1397</v>
      </c>
    </row>
    <row r="23" spans="1:4" ht="25" x14ac:dyDescent="0.25">
      <c r="A23" s="663">
        <v>26</v>
      </c>
      <c r="B23" s="664" t="s">
        <v>1606</v>
      </c>
      <c r="C23" s="664" t="s">
        <v>1607</v>
      </c>
      <c r="D23" s="664" t="s">
        <v>1407</v>
      </c>
    </row>
    <row r="24" spans="1:4" ht="25" x14ac:dyDescent="0.25">
      <c r="A24" s="663">
        <v>27</v>
      </c>
      <c r="B24" s="664" t="s">
        <v>1608</v>
      </c>
      <c r="C24" s="664" t="s">
        <v>1609</v>
      </c>
      <c r="D24" s="664" t="s">
        <v>1610</v>
      </c>
    </row>
    <row r="25" spans="1:4" ht="25" x14ac:dyDescent="0.25">
      <c r="A25" s="663">
        <v>28</v>
      </c>
      <c r="B25" s="664" t="s">
        <v>1611</v>
      </c>
      <c r="C25" s="664" t="s">
        <v>1612</v>
      </c>
      <c r="D25" s="664" t="s">
        <v>1613</v>
      </c>
    </row>
    <row r="26" spans="1:4" ht="25" x14ac:dyDescent="0.25">
      <c r="A26" s="663">
        <v>29</v>
      </c>
      <c r="B26" s="664" t="s">
        <v>1614</v>
      </c>
      <c r="C26" s="664" t="s">
        <v>1615</v>
      </c>
      <c r="D26" s="664" t="s">
        <v>1616</v>
      </c>
    </row>
    <row r="27" spans="1:4" ht="25" x14ac:dyDescent="0.25">
      <c r="A27" s="663">
        <v>30</v>
      </c>
      <c r="B27" s="664" t="s">
        <v>1617</v>
      </c>
      <c r="C27" s="664" t="s">
        <v>1618</v>
      </c>
      <c r="D27" s="664" t="s">
        <v>1619</v>
      </c>
    </row>
    <row r="28" spans="1:4" ht="25" x14ac:dyDescent="0.25">
      <c r="A28" s="663">
        <v>31</v>
      </c>
      <c r="B28" s="664" t="s">
        <v>1620</v>
      </c>
      <c r="C28" s="664" t="s">
        <v>1621</v>
      </c>
      <c r="D28" s="664" t="s">
        <v>1622</v>
      </c>
    </row>
    <row r="29" spans="1:4" ht="25" x14ac:dyDescent="0.25">
      <c r="A29" s="663">
        <v>32</v>
      </c>
      <c r="B29" s="664" t="s">
        <v>1623</v>
      </c>
      <c r="C29" s="664" t="s">
        <v>1624</v>
      </c>
      <c r="D29" s="664" t="s">
        <v>1625</v>
      </c>
    </row>
    <row r="30" spans="1:4" ht="25" x14ac:dyDescent="0.25">
      <c r="A30" s="663">
        <v>33</v>
      </c>
      <c r="B30" s="664" t="s">
        <v>1626</v>
      </c>
      <c r="C30" s="664" t="s">
        <v>1627</v>
      </c>
      <c r="D30" s="664" t="s">
        <v>1411</v>
      </c>
    </row>
    <row r="31" spans="1:4" ht="25" x14ac:dyDescent="0.25">
      <c r="A31" s="663">
        <v>34</v>
      </c>
      <c r="B31" s="664" t="s">
        <v>1628</v>
      </c>
      <c r="C31" s="664" t="s">
        <v>1629</v>
      </c>
      <c r="D31" s="664" t="s">
        <v>1630</v>
      </c>
    </row>
    <row r="32" spans="1:4" ht="25" x14ac:dyDescent="0.25">
      <c r="A32" s="663">
        <v>35</v>
      </c>
      <c r="B32" s="664" t="s">
        <v>1631</v>
      </c>
      <c r="C32" s="664" t="s">
        <v>1632</v>
      </c>
      <c r="D32" s="664" t="s">
        <v>1633</v>
      </c>
    </row>
    <row r="33" spans="1:4" ht="25" x14ac:dyDescent="0.25">
      <c r="A33" s="663">
        <v>36</v>
      </c>
      <c r="B33" s="664" t="s">
        <v>1634</v>
      </c>
      <c r="C33" s="664" t="s">
        <v>1635</v>
      </c>
      <c r="D33" s="664" t="s">
        <v>1636</v>
      </c>
    </row>
    <row r="34" spans="1:4" ht="25" x14ac:dyDescent="0.25">
      <c r="A34" s="663">
        <v>37</v>
      </c>
      <c r="B34" s="664" t="s">
        <v>1637</v>
      </c>
      <c r="C34" s="664" t="s">
        <v>1638</v>
      </c>
      <c r="D34" s="664" t="s">
        <v>1639</v>
      </c>
    </row>
    <row r="35" spans="1:4" ht="25" x14ac:dyDescent="0.25">
      <c r="A35" s="663">
        <v>38</v>
      </c>
      <c r="B35" s="664" t="s">
        <v>1640</v>
      </c>
      <c r="C35" s="664"/>
      <c r="D35" s="664" t="s">
        <v>1641</v>
      </c>
    </row>
    <row r="36" spans="1:4" ht="25" x14ac:dyDescent="0.25">
      <c r="A36" s="663">
        <v>39</v>
      </c>
      <c r="B36" s="664" t="s">
        <v>1642</v>
      </c>
      <c r="C36" s="664"/>
      <c r="D36" s="664" t="s">
        <v>1643</v>
      </c>
    </row>
    <row r="37" spans="1:4" ht="25" x14ac:dyDescent="0.25">
      <c r="A37" s="663">
        <v>40</v>
      </c>
      <c r="B37" s="664" t="s">
        <v>1644</v>
      </c>
      <c r="C37" s="664" t="s">
        <v>1645</v>
      </c>
      <c r="D37" s="664" t="s">
        <v>1646</v>
      </c>
    </row>
    <row r="38" spans="1:4" ht="25" x14ac:dyDescent="0.25">
      <c r="A38" s="663">
        <v>41</v>
      </c>
      <c r="B38" s="664" t="s">
        <v>1647</v>
      </c>
      <c r="C38" s="664" t="s">
        <v>1648</v>
      </c>
      <c r="D38" s="664" t="s">
        <v>1649</v>
      </c>
    </row>
    <row r="39" spans="1:4" ht="25" x14ac:dyDescent="0.25">
      <c r="A39" s="663">
        <v>42</v>
      </c>
      <c r="B39" s="664" t="s">
        <v>1650</v>
      </c>
      <c r="C39" s="664" t="s">
        <v>1651</v>
      </c>
      <c r="D39" s="664" t="s">
        <v>1421</v>
      </c>
    </row>
    <row r="40" spans="1:4" ht="25" x14ac:dyDescent="0.25">
      <c r="A40" s="663">
        <v>44</v>
      </c>
      <c r="B40" s="664" t="s">
        <v>1652</v>
      </c>
      <c r="C40" s="664" t="s">
        <v>1653</v>
      </c>
      <c r="D40" s="664" t="s">
        <v>1439</v>
      </c>
    </row>
    <row r="41" spans="1:4" ht="25" x14ac:dyDescent="0.25">
      <c r="A41" s="663">
        <v>45</v>
      </c>
      <c r="B41" s="664" t="s">
        <v>1654</v>
      </c>
      <c r="C41" s="664" t="s">
        <v>1655</v>
      </c>
      <c r="D41" s="664" t="s">
        <v>1453</v>
      </c>
    </row>
    <row r="42" spans="1:4" ht="25" x14ac:dyDescent="0.25">
      <c r="A42" s="663">
        <v>46</v>
      </c>
      <c r="B42" s="664" t="s">
        <v>1656</v>
      </c>
      <c r="C42" s="664"/>
      <c r="D42" s="664" t="s">
        <v>1657</v>
      </c>
    </row>
    <row r="43" spans="1:4" ht="25" x14ac:dyDescent="0.25">
      <c r="A43" s="663">
        <v>47</v>
      </c>
      <c r="B43" s="664" t="s">
        <v>1658</v>
      </c>
      <c r="C43" s="664" t="s">
        <v>1659</v>
      </c>
      <c r="D43" s="664" t="s">
        <v>1660</v>
      </c>
    </row>
    <row r="44" spans="1:4" ht="25" x14ac:dyDescent="0.25">
      <c r="A44" s="663">
        <v>48</v>
      </c>
      <c r="B44" s="664" t="s">
        <v>1661</v>
      </c>
      <c r="C44" s="664" t="s">
        <v>1662</v>
      </c>
      <c r="D44" s="664" t="s">
        <v>1663</v>
      </c>
    </row>
    <row r="45" spans="1:4" ht="25" x14ac:dyDescent="0.25">
      <c r="A45" s="663">
        <v>49</v>
      </c>
      <c r="B45" s="664" t="s">
        <v>1664</v>
      </c>
      <c r="C45" s="664"/>
      <c r="D45" s="664" t="s">
        <v>1665</v>
      </c>
    </row>
    <row r="46" spans="1:4" ht="25" x14ac:dyDescent="0.25">
      <c r="A46" s="663">
        <v>50</v>
      </c>
      <c r="B46" s="664" t="s">
        <v>1666</v>
      </c>
      <c r="C46" s="664" t="s">
        <v>1667</v>
      </c>
      <c r="D46" s="664" t="s">
        <v>1668</v>
      </c>
    </row>
    <row r="47" spans="1:4" ht="25" x14ac:dyDescent="0.25">
      <c r="A47" s="663">
        <v>51</v>
      </c>
      <c r="B47" s="664" t="s">
        <v>1669</v>
      </c>
      <c r="C47" s="664" t="s">
        <v>1670</v>
      </c>
      <c r="D47" s="664" t="s">
        <v>1499</v>
      </c>
    </row>
    <row r="48" spans="1:4" ht="25" x14ac:dyDescent="0.25">
      <c r="A48" s="663">
        <v>53</v>
      </c>
      <c r="B48" s="664" t="s">
        <v>1671</v>
      </c>
      <c r="C48" s="664" t="s">
        <v>1672</v>
      </c>
      <c r="D48" s="664" t="s">
        <v>1509</v>
      </c>
    </row>
    <row r="49" spans="1:4" ht="25" x14ac:dyDescent="0.25">
      <c r="A49" s="663">
        <v>54</v>
      </c>
      <c r="B49" s="664" t="s">
        <v>1673</v>
      </c>
      <c r="C49" s="664" t="s">
        <v>1674</v>
      </c>
      <c r="D49" s="664" t="s">
        <v>1675</v>
      </c>
    </row>
    <row r="50" spans="1:4" ht="25" x14ac:dyDescent="0.25">
      <c r="A50" s="663">
        <v>55</v>
      </c>
      <c r="B50" s="664" t="s">
        <v>1676</v>
      </c>
      <c r="C50" s="664" t="s">
        <v>1677</v>
      </c>
      <c r="D50" s="664" t="s">
        <v>1678</v>
      </c>
    </row>
    <row r="51" spans="1:4" ht="25" x14ac:dyDescent="0.25">
      <c r="A51" s="663">
        <v>56</v>
      </c>
      <c r="B51" s="664" t="s">
        <v>1679</v>
      </c>
      <c r="C51" s="664" t="s">
        <v>1680</v>
      </c>
      <c r="D51" s="664" t="s">
        <v>1681</v>
      </c>
    </row>
    <row r="55" spans="1:4" x14ac:dyDescent="0.2">
      <c r="D55" s="16"/>
    </row>
  </sheetData>
  <pageMargins left="0" right="0" top="0" bottom="0" header="0" footer="0"/>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76"/>
  <sheetViews>
    <sheetView topLeftCell="A21" workbookViewId="0">
      <selection activeCell="B49" sqref="B49"/>
    </sheetView>
  </sheetViews>
  <sheetFormatPr baseColWidth="10" defaultColWidth="9" defaultRowHeight="13" x14ac:dyDescent="0.15"/>
  <cols>
    <col min="1" max="1" width="30" style="665" customWidth="1"/>
    <col min="2" max="2" width="15" style="666" customWidth="1"/>
    <col min="3" max="3" width="9" style="665" customWidth="1"/>
    <col min="4" max="16384" width="9" style="665"/>
  </cols>
  <sheetData>
    <row r="1" spans="1:9" ht="18" x14ac:dyDescent="0.15">
      <c r="A1" s="1148" t="s">
        <v>1682</v>
      </c>
      <c r="B1" s="1148"/>
    </row>
    <row r="2" spans="1:9" ht="18" x14ac:dyDescent="0.15">
      <c r="A2" s="1148" t="s">
        <v>1683</v>
      </c>
      <c r="B2" s="1148"/>
    </row>
    <row r="3" spans="1:9" ht="18" x14ac:dyDescent="0.15">
      <c r="A3" s="1148" t="s">
        <v>1684</v>
      </c>
      <c r="B3" s="1148"/>
    </row>
    <row r="4" spans="1:9" ht="20.25" customHeight="1" x14ac:dyDescent="0.15">
      <c r="A4" s="1149" t="s">
        <v>466</v>
      </c>
      <c r="B4" s="1150" t="s">
        <v>1685</v>
      </c>
    </row>
    <row r="5" spans="1:9" ht="20.25" customHeight="1" x14ac:dyDescent="0.15">
      <c r="A5" s="1149"/>
      <c r="B5" s="1150"/>
    </row>
    <row r="6" spans="1:9" ht="20.25" customHeight="1" x14ac:dyDescent="0.15">
      <c r="A6" s="667"/>
      <c r="B6" s="668"/>
    </row>
    <row r="7" spans="1:9" ht="16" x14ac:dyDescent="0.2">
      <c r="A7" s="669" t="s">
        <v>1686</v>
      </c>
      <c r="B7" s="670" t="s">
        <v>1687</v>
      </c>
      <c r="D7"/>
      <c r="E7"/>
      <c r="F7"/>
      <c r="G7"/>
      <c r="H7"/>
      <c r="I7"/>
    </row>
    <row r="8" spans="1:9" ht="16" x14ac:dyDescent="0.2">
      <c r="A8" s="669" t="s">
        <v>1688</v>
      </c>
      <c r="B8" s="670" t="s">
        <v>1689</v>
      </c>
      <c r="D8"/>
      <c r="E8"/>
      <c r="F8"/>
      <c r="G8"/>
      <c r="H8"/>
      <c r="I8"/>
    </row>
    <row r="9" spans="1:9" ht="16" x14ac:dyDescent="0.2">
      <c r="A9" s="669" t="s">
        <v>1690</v>
      </c>
      <c r="B9" s="670" t="s">
        <v>1689</v>
      </c>
      <c r="D9"/>
      <c r="E9"/>
      <c r="F9"/>
      <c r="G9"/>
      <c r="H9"/>
      <c r="I9"/>
    </row>
    <row r="10" spans="1:9" ht="16" x14ac:dyDescent="0.2">
      <c r="A10" s="669" t="s">
        <v>1691</v>
      </c>
      <c r="B10" s="670" t="s">
        <v>1689</v>
      </c>
      <c r="D10"/>
      <c r="E10"/>
      <c r="F10"/>
      <c r="G10"/>
      <c r="H10"/>
      <c r="I10"/>
    </row>
    <row r="11" spans="1:9" ht="16" x14ac:dyDescent="0.2">
      <c r="A11" s="669" t="s">
        <v>1692</v>
      </c>
      <c r="B11" s="670" t="s">
        <v>1689</v>
      </c>
      <c r="D11"/>
      <c r="E11"/>
      <c r="F11"/>
      <c r="G11"/>
      <c r="H11"/>
      <c r="I11"/>
    </row>
    <row r="12" spans="1:9" ht="16" x14ac:dyDescent="0.2">
      <c r="A12" s="669" t="s">
        <v>1693</v>
      </c>
      <c r="B12" s="670" t="s">
        <v>1689</v>
      </c>
      <c r="D12"/>
      <c r="E12"/>
      <c r="F12"/>
      <c r="G12"/>
      <c r="H12"/>
      <c r="I12"/>
    </row>
    <row r="13" spans="1:9" ht="16" x14ac:dyDescent="0.2">
      <c r="A13" s="669" t="s">
        <v>1694</v>
      </c>
      <c r="B13" s="670" t="s">
        <v>1687</v>
      </c>
      <c r="D13"/>
      <c r="E13"/>
      <c r="F13"/>
      <c r="G13"/>
      <c r="H13"/>
      <c r="I13"/>
    </row>
    <row r="14" spans="1:9" ht="16" x14ac:dyDescent="0.2">
      <c r="A14" s="669" t="s">
        <v>1695</v>
      </c>
      <c r="B14" s="670" t="s">
        <v>1689</v>
      </c>
      <c r="D14"/>
      <c r="E14"/>
      <c r="F14"/>
      <c r="G14"/>
      <c r="H14"/>
      <c r="I14"/>
    </row>
    <row r="15" spans="1:9" ht="16" x14ac:dyDescent="0.2">
      <c r="A15" s="669" t="s">
        <v>1696</v>
      </c>
      <c r="B15" s="670" t="s">
        <v>1697</v>
      </c>
      <c r="D15"/>
      <c r="E15"/>
      <c r="F15"/>
      <c r="G15"/>
      <c r="H15"/>
      <c r="I15"/>
    </row>
    <row r="16" spans="1:9" ht="16" x14ac:dyDescent="0.2">
      <c r="A16" s="669" t="s">
        <v>1698</v>
      </c>
      <c r="B16" s="670" t="s">
        <v>1687</v>
      </c>
      <c r="D16"/>
      <c r="E16"/>
      <c r="F16"/>
      <c r="G16"/>
      <c r="H16"/>
      <c r="I16"/>
    </row>
    <row r="17" spans="1:9" ht="16" x14ac:dyDescent="0.2">
      <c r="A17" s="669" t="s">
        <v>1699</v>
      </c>
      <c r="B17" s="670" t="s">
        <v>1697</v>
      </c>
      <c r="D17"/>
      <c r="E17"/>
      <c r="F17"/>
      <c r="G17"/>
      <c r="H17"/>
      <c r="I17"/>
    </row>
    <row r="18" spans="1:9" ht="16" x14ac:dyDescent="0.2">
      <c r="A18" s="669" t="s">
        <v>1700</v>
      </c>
      <c r="B18" s="670" t="s">
        <v>1687</v>
      </c>
      <c r="D18"/>
      <c r="E18"/>
      <c r="F18"/>
      <c r="G18"/>
      <c r="H18"/>
      <c r="I18"/>
    </row>
    <row r="19" spans="1:9" ht="16" x14ac:dyDescent="0.2">
      <c r="A19" s="669" t="s">
        <v>1701</v>
      </c>
      <c r="B19" s="670" t="s">
        <v>1687</v>
      </c>
      <c r="D19"/>
      <c r="E19"/>
      <c r="F19"/>
      <c r="G19"/>
      <c r="H19"/>
      <c r="I19"/>
    </row>
    <row r="20" spans="1:9" ht="16" x14ac:dyDescent="0.2">
      <c r="A20" s="669" t="s">
        <v>1702</v>
      </c>
      <c r="B20" s="670" t="s">
        <v>1689</v>
      </c>
      <c r="D20"/>
      <c r="E20"/>
      <c r="F20"/>
      <c r="G20"/>
      <c r="H20"/>
      <c r="I20"/>
    </row>
    <row r="21" spans="1:9" ht="16" x14ac:dyDescent="0.2">
      <c r="A21" s="669" t="s">
        <v>1703</v>
      </c>
      <c r="B21" s="670" t="s">
        <v>1687</v>
      </c>
      <c r="D21"/>
      <c r="E21"/>
      <c r="F21"/>
      <c r="G21"/>
      <c r="H21"/>
      <c r="I21"/>
    </row>
    <row r="22" spans="1:9" ht="16" x14ac:dyDescent="0.2">
      <c r="A22" s="669" t="s">
        <v>1704</v>
      </c>
      <c r="B22" s="670" t="s">
        <v>1687</v>
      </c>
      <c r="D22"/>
      <c r="E22"/>
      <c r="F22"/>
      <c r="G22"/>
      <c r="H22"/>
      <c r="I22"/>
    </row>
    <row r="23" spans="1:9" ht="16" x14ac:dyDescent="0.2">
      <c r="A23" s="669" t="s">
        <v>1705</v>
      </c>
      <c r="B23" s="670" t="s">
        <v>1689</v>
      </c>
      <c r="D23"/>
      <c r="E23"/>
      <c r="F23"/>
      <c r="G23"/>
      <c r="H23"/>
      <c r="I23"/>
    </row>
    <row r="24" spans="1:9" ht="16" x14ac:dyDescent="0.2">
      <c r="A24" s="669" t="s">
        <v>1705</v>
      </c>
      <c r="B24" s="670" t="s">
        <v>1689</v>
      </c>
      <c r="D24"/>
      <c r="E24"/>
      <c r="F24"/>
      <c r="G24"/>
      <c r="H24"/>
      <c r="I24"/>
    </row>
    <row r="25" spans="1:9" ht="16" x14ac:dyDescent="0.2">
      <c r="A25" s="669" t="s">
        <v>1706</v>
      </c>
      <c r="B25" s="670" t="s">
        <v>1687</v>
      </c>
      <c r="D25"/>
      <c r="E25"/>
      <c r="F25"/>
      <c r="G25"/>
      <c r="H25"/>
      <c r="I25"/>
    </row>
    <row r="26" spans="1:9" ht="16" x14ac:dyDescent="0.2">
      <c r="A26" s="669" t="s">
        <v>1707</v>
      </c>
      <c r="B26" s="670" t="s">
        <v>1687</v>
      </c>
      <c r="D26"/>
      <c r="E26"/>
      <c r="F26"/>
      <c r="G26"/>
      <c r="H26"/>
      <c r="I26"/>
    </row>
    <row r="27" spans="1:9" ht="16" x14ac:dyDescent="0.2">
      <c r="A27" s="669" t="s">
        <v>1708</v>
      </c>
      <c r="B27" s="670" t="s">
        <v>1689</v>
      </c>
      <c r="D27"/>
      <c r="E27"/>
      <c r="F27"/>
      <c r="G27"/>
      <c r="H27"/>
      <c r="I27"/>
    </row>
    <row r="28" spans="1:9" ht="16" x14ac:dyDescent="0.2">
      <c r="A28" s="669" t="s">
        <v>1709</v>
      </c>
      <c r="B28" s="670" t="s">
        <v>1689</v>
      </c>
      <c r="D28"/>
      <c r="E28"/>
      <c r="F28"/>
      <c r="G28"/>
      <c r="H28"/>
      <c r="I28"/>
    </row>
    <row r="29" spans="1:9" ht="16" x14ac:dyDescent="0.2">
      <c r="A29" s="669" t="s">
        <v>1710</v>
      </c>
      <c r="B29" s="670" t="s">
        <v>1689</v>
      </c>
      <c r="D29"/>
      <c r="E29"/>
      <c r="F29"/>
      <c r="G29"/>
      <c r="H29"/>
      <c r="I29"/>
    </row>
    <row r="30" spans="1:9" ht="16" x14ac:dyDescent="0.2">
      <c r="A30" s="669" t="s">
        <v>1711</v>
      </c>
      <c r="B30" s="670">
        <v>0.02</v>
      </c>
      <c r="D30"/>
      <c r="E30"/>
      <c r="F30"/>
      <c r="G30"/>
      <c r="H30"/>
      <c r="I30"/>
    </row>
    <row r="31" spans="1:9" ht="16" x14ac:dyDescent="0.2">
      <c r="A31" s="669" t="s">
        <v>1712</v>
      </c>
      <c r="B31" s="670" t="s">
        <v>1689</v>
      </c>
      <c r="D31"/>
      <c r="E31"/>
      <c r="F31"/>
      <c r="G31"/>
      <c r="H31"/>
      <c r="I31"/>
    </row>
    <row r="32" spans="1:9" ht="16" x14ac:dyDescent="0.2">
      <c r="A32" s="669" t="s">
        <v>1713</v>
      </c>
      <c r="B32" s="670" t="s">
        <v>1687</v>
      </c>
      <c r="D32"/>
      <c r="E32"/>
      <c r="F32"/>
      <c r="G32"/>
      <c r="H32"/>
      <c r="I32"/>
    </row>
    <row r="33" spans="1:9" ht="16" x14ac:dyDescent="0.2">
      <c r="A33" s="669" t="s">
        <v>1714</v>
      </c>
      <c r="B33" s="670" t="s">
        <v>1715</v>
      </c>
      <c r="D33"/>
      <c r="E33"/>
      <c r="F33"/>
      <c r="G33"/>
      <c r="H33"/>
      <c r="I33"/>
    </row>
    <row r="34" spans="1:9" ht="16" x14ac:dyDescent="0.2">
      <c r="A34" s="669" t="s">
        <v>1716</v>
      </c>
      <c r="B34" s="670" t="s">
        <v>1687</v>
      </c>
      <c r="D34"/>
      <c r="E34"/>
      <c r="F34"/>
      <c r="G34"/>
      <c r="H34"/>
      <c r="I34"/>
    </row>
    <row r="35" spans="1:9" ht="16" x14ac:dyDescent="0.2">
      <c r="A35" s="669" t="s">
        <v>1717</v>
      </c>
      <c r="B35" s="670">
        <v>1.4999999999999999E-2</v>
      </c>
      <c r="D35"/>
      <c r="E35"/>
      <c r="F35"/>
      <c r="G35"/>
      <c r="H35"/>
      <c r="I35"/>
    </row>
    <row r="36" spans="1:9" ht="16" x14ac:dyDescent="0.2">
      <c r="A36" s="669" t="s">
        <v>1718</v>
      </c>
      <c r="B36" s="670" t="s">
        <v>1687</v>
      </c>
      <c r="D36"/>
      <c r="E36"/>
      <c r="F36"/>
      <c r="G36"/>
      <c r="H36"/>
      <c r="I36"/>
    </row>
    <row r="37" spans="1:9" ht="16" x14ac:dyDescent="0.2">
      <c r="A37" s="669" t="s">
        <v>1719</v>
      </c>
      <c r="B37" s="670" t="s">
        <v>1689</v>
      </c>
      <c r="D37"/>
      <c r="E37"/>
      <c r="F37"/>
      <c r="G37"/>
      <c r="H37"/>
      <c r="I37"/>
    </row>
    <row r="38" spans="1:9" ht="16" x14ac:dyDescent="0.2">
      <c r="A38" s="669" t="s">
        <v>1720</v>
      </c>
      <c r="B38" s="670" t="s">
        <v>1687</v>
      </c>
      <c r="D38"/>
      <c r="E38"/>
      <c r="F38"/>
      <c r="G38"/>
      <c r="H38"/>
      <c r="I38"/>
    </row>
    <row r="39" spans="1:9" ht="16" x14ac:dyDescent="0.2">
      <c r="A39" s="669" t="s">
        <v>1721</v>
      </c>
      <c r="B39" s="670" t="s">
        <v>1689</v>
      </c>
      <c r="D39"/>
      <c r="E39"/>
      <c r="F39"/>
      <c r="G39"/>
      <c r="H39"/>
      <c r="I39"/>
    </row>
    <row r="40" spans="1:9" ht="16" x14ac:dyDescent="0.2">
      <c r="A40" s="669" t="s">
        <v>1722</v>
      </c>
      <c r="B40" s="670" t="s">
        <v>1689</v>
      </c>
      <c r="D40"/>
      <c r="E40"/>
      <c r="F40"/>
      <c r="G40"/>
      <c r="H40"/>
      <c r="I40"/>
    </row>
    <row r="41" spans="1:9" ht="16" x14ac:dyDescent="0.2">
      <c r="A41" s="669" t="s">
        <v>1723</v>
      </c>
      <c r="B41" s="670" t="s">
        <v>1689</v>
      </c>
      <c r="D41"/>
      <c r="E41"/>
      <c r="F41"/>
      <c r="G41"/>
      <c r="H41"/>
      <c r="I41"/>
    </row>
    <row r="42" spans="1:9" ht="16" x14ac:dyDescent="0.2">
      <c r="A42" s="669" t="s">
        <v>1724</v>
      </c>
      <c r="B42" s="670" t="s">
        <v>1715</v>
      </c>
      <c r="D42"/>
      <c r="E42"/>
      <c r="F42"/>
      <c r="G42"/>
      <c r="H42"/>
      <c r="I42"/>
    </row>
    <row r="43" spans="1:9" ht="16" x14ac:dyDescent="0.2">
      <c r="A43" s="669" t="s">
        <v>1725</v>
      </c>
      <c r="B43" s="670" t="s">
        <v>1687</v>
      </c>
      <c r="D43"/>
      <c r="E43"/>
      <c r="F43"/>
      <c r="G43"/>
      <c r="H43"/>
      <c r="I43"/>
    </row>
    <row r="44" spans="1:9" ht="16" x14ac:dyDescent="0.2">
      <c r="A44" s="669" t="s">
        <v>1726</v>
      </c>
      <c r="B44" s="670" t="s">
        <v>1689</v>
      </c>
      <c r="D44"/>
      <c r="E44"/>
      <c r="F44"/>
      <c r="G44"/>
      <c r="H44"/>
      <c r="I44"/>
    </row>
    <row r="45" spans="1:9" ht="16" x14ac:dyDescent="0.2">
      <c r="A45" s="669" t="s">
        <v>1727</v>
      </c>
      <c r="B45" s="670" t="s">
        <v>1687</v>
      </c>
      <c r="D45"/>
      <c r="E45"/>
      <c r="F45"/>
      <c r="G45"/>
      <c r="H45"/>
      <c r="I45"/>
    </row>
    <row r="46" spans="1:9" ht="16" x14ac:dyDescent="0.2">
      <c r="A46" s="669" t="s">
        <v>1728</v>
      </c>
      <c r="B46" s="670" t="s">
        <v>1687</v>
      </c>
      <c r="D46"/>
      <c r="E46"/>
      <c r="F46"/>
      <c r="G46"/>
      <c r="H46"/>
      <c r="I46"/>
    </row>
    <row r="47" spans="1:9" ht="16" x14ac:dyDescent="0.2">
      <c r="A47" s="669" t="s">
        <v>1729</v>
      </c>
      <c r="B47" s="670" t="s">
        <v>1689</v>
      </c>
      <c r="D47"/>
      <c r="E47"/>
      <c r="F47"/>
      <c r="G47"/>
      <c r="H47"/>
      <c r="I47"/>
    </row>
    <row r="48" spans="1:9" ht="16" x14ac:dyDescent="0.2">
      <c r="A48" s="669" t="s">
        <v>1730</v>
      </c>
      <c r="B48" s="670">
        <v>1.4999999999999999E-2</v>
      </c>
      <c r="D48"/>
      <c r="E48"/>
      <c r="F48"/>
      <c r="G48"/>
      <c r="H48"/>
      <c r="I48"/>
    </row>
    <row r="49" spans="1:9" ht="16" x14ac:dyDescent="0.2">
      <c r="A49" s="669" t="s">
        <v>1731</v>
      </c>
      <c r="B49" s="670">
        <v>0.01</v>
      </c>
      <c r="D49"/>
      <c r="E49"/>
      <c r="F49"/>
      <c r="G49"/>
      <c r="H49"/>
      <c r="I49"/>
    </row>
    <row r="50" spans="1:9" ht="16" x14ac:dyDescent="0.2">
      <c r="A50" s="669" t="s">
        <v>1732</v>
      </c>
      <c r="B50" s="670" t="s">
        <v>1689</v>
      </c>
      <c r="D50"/>
      <c r="E50"/>
      <c r="F50"/>
      <c r="G50"/>
      <c r="H50"/>
      <c r="I50"/>
    </row>
    <row r="51" spans="1:9" ht="16" x14ac:dyDescent="0.2">
      <c r="A51" s="669" t="s">
        <v>1733</v>
      </c>
      <c r="B51" s="670" t="s">
        <v>1687</v>
      </c>
      <c r="D51"/>
      <c r="E51"/>
      <c r="F51"/>
      <c r="G51"/>
      <c r="H51"/>
      <c r="I51"/>
    </row>
    <row r="52" spans="1:9" ht="16" x14ac:dyDescent="0.2">
      <c r="A52" s="669" t="s">
        <v>1734</v>
      </c>
      <c r="B52" s="670" t="s">
        <v>1689</v>
      </c>
      <c r="D52"/>
      <c r="E52"/>
      <c r="F52"/>
      <c r="G52"/>
      <c r="H52"/>
      <c r="I52"/>
    </row>
    <row r="53" spans="1:9" ht="16" x14ac:dyDescent="0.2">
      <c r="A53" s="669" t="s">
        <v>1735</v>
      </c>
      <c r="B53" s="670" t="s">
        <v>1689</v>
      </c>
      <c r="D53"/>
      <c r="E53"/>
      <c r="F53"/>
      <c r="G53"/>
      <c r="H53"/>
      <c r="I53"/>
    </row>
    <row r="54" spans="1:9" ht="16" x14ac:dyDescent="0.2">
      <c r="A54" s="669" t="s">
        <v>1736</v>
      </c>
      <c r="B54" s="670" t="s">
        <v>1689</v>
      </c>
      <c r="D54"/>
      <c r="E54"/>
      <c r="F54"/>
      <c r="G54"/>
      <c r="H54"/>
      <c r="I54"/>
    </row>
    <row r="55" spans="1:9" ht="16" x14ac:dyDescent="0.2">
      <c r="A55" s="669" t="s">
        <v>1737</v>
      </c>
      <c r="B55" s="670" t="s">
        <v>1715</v>
      </c>
      <c r="D55"/>
      <c r="E55"/>
      <c r="F55"/>
      <c r="G55"/>
      <c r="H55"/>
      <c r="I55"/>
    </row>
    <row r="56" spans="1:9" ht="16" x14ac:dyDescent="0.2">
      <c r="A56" s="669" t="s">
        <v>1738</v>
      </c>
      <c r="B56" s="670" t="s">
        <v>1687</v>
      </c>
      <c r="D56"/>
      <c r="E56"/>
      <c r="F56"/>
      <c r="G56"/>
      <c r="H56"/>
      <c r="I56"/>
    </row>
    <row r="57" spans="1:9" ht="16" x14ac:dyDescent="0.2">
      <c r="A57" s="669" t="s">
        <v>1739</v>
      </c>
      <c r="B57" s="670" t="s">
        <v>1689</v>
      </c>
      <c r="D57"/>
      <c r="E57"/>
      <c r="F57"/>
      <c r="G57"/>
      <c r="H57"/>
      <c r="I57"/>
    </row>
    <row r="58" spans="1:9" ht="16" x14ac:dyDescent="0.2">
      <c r="A58" s="669" t="s">
        <v>1740</v>
      </c>
      <c r="B58" s="670" t="s">
        <v>1689</v>
      </c>
      <c r="D58"/>
      <c r="E58"/>
      <c r="F58"/>
      <c r="G58"/>
      <c r="H58"/>
      <c r="I58"/>
    </row>
    <row r="59" spans="1:9" ht="16" x14ac:dyDescent="0.2">
      <c r="A59" s="669" t="s">
        <v>1741</v>
      </c>
      <c r="B59" s="670" t="s">
        <v>1689</v>
      </c>
      <c r="D59"/>
      <c r="E59"/>
      <c r="F59"/>
      <c r="G59"/>
      <c r="H59"/>
      <c r="I59"/>
    </row>
    <row r="60" spans="1:9" ht="16" x14ac:dyDescent="0.2">
      <c r="A60" s="669" t="s">
        <v>1742</v>
      </c>
      <c r="B60" s="670" t="s">
        <v>1689</v>
      </c>
      <c r="D60"/>
      <c r="E60"/>
      <c r="F60"/>
      <c r="G60"/>
      <c r="H60"/>
      <c r="I60"/>
    </row>
    <row r="61" spans="1:9" ht="16" x14ac:dyDescent="0.2">
      <c r="A61" s="669" t="s">
        <v>1743</v>
      </c>
      <c r="B61" s="670" t="s">
        <v>1689</v>
      </c>
      <c r="D61"/>
      <c r="E61"/>
      <c r="F61"/>
      <c r="G61"/>
      <c r="H61"/>
      <c r="I61"/>
    </row>
    <row r="62" spans="1:9" ht="16" x14ac:dyDescent="0.2">
      <c r="A62" s="669" t="s">
        <v>1744</v>
      </c>
      <c r="B62" s="670" t="s">
        <v>1689</v>
      </c>
      <c r="D62"/>
      <c r="E62"/>
      <c r="F62"/>
      <c r="G62"/>
      <c r="H62"/>
      <c r="I62"/>
    </row>
    <row r="63" spans="1:9" ht="16" x14ac:dyDescent="0.2">
      <c r="A63" s="669" t="s">
        <v>1745</v>
      </c>
      <c r="B63" s="670" t="s">
        <v>1689</v>
      </c>
      <c r="D63"/>
      <c r="E63"/>
      <c r="F63"/>
      <c r="G63"/>
      <c r="H63"/>
      <c r="I63"/>
    </row>
    <row r="64" spans="1:9" ht="16" x14ac:dyDescent="0.2">
      <c r="A64" s="669" t="s">
        <v>1746</v>
      </c>
      <c r="B64" s="670" t="s">
        <v>1689</v>
      </c>
      <c r="D64"/>
      <c r="E64"/>
      <c r="F64"/>
      <c r="G64"/>
      <c r="H64"/>
      <c r="I64"/>
    </row>
    <row r="65" spans="1:9" ht="16" x14ac:dyDescent="0.2">
      <c r="A65" s="669" t="s">
        <v>1747</v>
      </c>
      <c r="B65" s="670" t="s">
        <v>1715</v>
      </c>
      <c r="D65"/>
      <c r="E65"/>
      <c r="F65"/>
      <c r="G65"/>
      <c r="H65"/>
      <c r="I65"/>
    </row>
    <row r="66" spans="1:9" ht="16" x14ac:dyDescent="0.2">
      <c r="A66" s="669" t="s">
        <v>1748</v>
      </c>
      <c r="B66" s="670" t="s">
        <v>1689</v>
      </c>
      <c r="D66"/>
      <c r="E66"/>
      <c r="F66"/>
      <c r="G66"/>
      <c r="H66"/>
      <c r="I66"/>
    </row>
    <row r="67" spans="1:9" ht="16" x14ac:dyDescent="0.2">
      <c r="A67" s="669" t="s">
        <v>1749</v>
      </c>
      <c r="B67" s="670" t="s">
        <v>1689</v>
      </c>
      <c r="D67"/>
      <c r="E67"/>
      <c r="F67"/>
      <c r="G67"/>
      <c r="H67"/>
      <c r="I67"/>
    </row>
    <row r="68" spans="1:9" ht="16" x14ac:dyDescent="0.2">
      <c r="A68" s="669" t="s">
        <v>1750</v>
      </c>
      <c r="B68" s="670" t="s">
        <v>1689</v>
      </c>
      <c r="D68"/>
      <c r="E68"/>
      <c r="F68"/>
      <c r="G68"/>
      <c r="H68"/>
      <c r="I68"/>
    </row>
    <row r="69" spans="1:9" ht="16" x14ac:dyDescent="0.2">
      <c r="A69" s="669" t="s">
        <v>1751</v>
      </c>
      <c r="B69" s="670" t="s">
        <v>1689</v>
      </c>
      <c r="D69"/>
      <c r="E69"/>
      <c r="F69"/>
      <c r="G69"/>
      <c r="H69"/>
      <c r="I69"/>
    </row>
    <row r="70" spans="1:9" ht="16" x14ac:dyDescent="0.2">
      <c r="A70" s="669" t="s">
        <v>1752</v>
      </c>
      <c r="B70" s="670" t="s">
        <v>1689</v>
      </c>
      <c r="D70"/>
      <c r="E70"/>
      <c r="F70"/>
      <c r="G70"/>
      <c r="H70"/>
      <c r="I70"/>
    </row>
    <row r="71" spans="1:9" ht="16" x14ac:dyDescent="0.2">
      <c r="A71" s="669" t="s">
        <v>1753</v>
      </c>
      <c r="B71" s="670" t="s">
        <v>1715</v>
      </c>
      <c r="D71"/>
      <c r="E71"/>
      <c r="F71"/>
      <c r="G71"/>
      <c r="H71"/>
      <c r="I71"/>
    </row>
    <row r="72" spans="1:9" ht="16" x14ac:dyDescent="0.2">
      <c r="A72" s="669" t="s">
        <v>1754</v>
      </c>
      <c r="B72" s="670" t="s">
        <v>1687</v>
      </c>
      <c r="D72"/>
      <c r="E72"/>
      <c r="F72"/>
      <c r="G72"/>
      <c r="H72"/>
      <c r="I72"/>
    </row>
    <row r="73" spans="1:9" ht="16" x14ac:dyDescent="0.2">
      <c r="A73" s="669" t="s">
        <v>1755</v>
      </c>
      <c r="B73" s="670" t="s">
        <v>1689</v>
      </c>
      <c r="D73"/>
      <c r="E73"/>
      <c r="F73"/>
      <c r="G73"/>
      <c r="H73"/>
      <c r="I73"/>
    </row>
    <row r="74" spans="1:9" ht="16" x14ac:dyDescent="0.2">
      <c r="A74" s="669" t="s">
        <v>1756</v>
      </c>
      <c r="B74" s="670" t="s">
        <v>1687</v>
      </c>
      <c r="D74"/>
      <c r="E74"/>
      <c r="F74"/>
      <c r="G74"/>
      <c r="H74"/>
      <c r="I74"/>
    </row>
    <row r="75" spans="1:9" ht="30" customHeight="1" x14ac:dyDescent="0.2">
      <c r="A75" s="1147" t="s">
        <v>1757</v>
      </c>
      <c r="B75" s="1147"/>
    </row>
    <row r="76" spans="1:9" ht="60" customHeight="1" x14ac:dyDescent="0.2">
      <c r="A76" s="1147" t="s">
        <v>1758</v>
      </c>
      <c r="B76" s="1147"/>
    </row>
  </sheetData>
  <mergeCells count="7">
    <mergeCell ref="A76:B76"/>
    <mergeCell ref="A1:B1"/>
    <mergeCell ref="A2:B2"/>
    <mergeCell ref="A3:B3"/>
    <mergeCell ref="A4:A5"/>
    <mergeCell ref="B4:B5"/>
    <mergeCell ref="A75:B75"/>
  </mergeCells>
  <pageMargins left="0" right="0" top="0" bottom="0" header="0" footer="0"/>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0"/>
  <sheetViews>
    <sheetView workbookViewId="0">
      <selection activeCell="B121" sqref="B121"/>
    </sheetView>
  </sheetViews>
  <sheetFormatPr baseColWidth="10" defaultColWidth="8.5" defaultRowHeight="16" x14ac:dyDescent="0.2"/>
  <cols>
    <col min="1" max="1" width="16.33203125" style="671" customWidth="1"/>
    <col min="2" max="2" width="8.5" style="672"/>
    <col min="3" max="16384" width="8.5" style="671"/>
  </cols>
  <sheetData>
    <row r="1" spans="1:5" ht="17" thickBot="1" x14ac:dyDescent="0.25"/>
    <row r="2" spans="1:5" ht="17" thickBot="1" x14ac:dyDescent="0.25">
      <c r="A2" s="673" t="s">
        <v>1759</v>
      </c>
      <c r="B2" s="674">
        <v>0.04</v>
      </c>
      <c r="D2"/>
      <c r="E2"/>
    </row>
    <row r="3" spans="1:5" ht="17" thickBot="1" x14ac:dyDescent="0.25">
      <c r="A3" s="673" t="s">
        <v>1760</v>
      </c>
      <c r="B3" s="674">
        <v>0.04</v>
      </c>
      <c r="D3"/>
      <c r="E3"/>
    </row>
    <row r="4" spans="1:5" ht="17" thickBot="1" x14ac:dyDescent="0.25">
      <c r="A4" s="673" t="s">
        <v>1761</v>
      </c>
      <c r="B4" s="674">
        <v>0.04</v>
      </c>
      <c r="D4"/>
      <c r="E4"/>
    </row>
    <row r="5" spans="1:5" ht="17" thickBot="1" x14ac:dyDescent="0.25">
      <c r="A5" s="673" t="s">
        <v>1762</v>
      </c>
      <c r="B5" s="674">
        <v>0.04</v>
      </c>
      <c r="D5"/>
      <c r="E5"/>
    </row>
    <row r="6" spans="1:5" ht="17" thickBot="1" x14ac:dyDescent="0.25">
      <c r="A6" s="673" t="s">
        <v>1763</v>
      </c>
      <c r="B6" s="674">
        <v>0.04</v>
      </c>
      <c r="D6"/>
      <c r="E6"/>
    </row>
    <row r="7" spans="1:5" ht="17" thickBot="1" x14ac:dyDescent="0.25">
      <c r="A7" s="673" t="s">
        <v>1764</v>
      </c>
      <c r="B7" s="674">
        <v>0.04</v>
      </c>
      <c r="D7"/>
      <c r="E7"/>
    </row>
    <row r="8" spans="1:5" ht="17" thickBot="1" x14ac:dyDescent="0.25">
      <c r="A8" s="673" t="s">
        <v>1765</v>
      </c>
      <c r="B8" s="674">
        <v>0.04</v>
      </c>
      <c r="D8"/>
      <c r="E8"/>
    </row>
    <row r="9" spans="1:5" ht="17" thickBot="1" x14ac:dyDescent="0.25">
      <c r="A9" s="673" t="s">
        <v>1766</v>
      </c>
      <c r="B9" s="674">
        <v>3.0000000000000006E-2</v>
      </c>
      <c r="D9"/>
      <c r="E9"/>
    </row>
    <row r="10" spans="1:5" ht="17" thickBot="1" x14ac:dyDescent="0.25">
      <c r="A10" s="673" t="s">
        <v>1767</v>
      </c>
      <c r="B10" s="674">
        <v>0.04</v>
      </c>
      <c r="D10"/>
      <c r="E10"/>
    </row>
    <row r="11" spans="1:5" ht="17" thickBot="1" x14ac:dyDescent="0.25">
      <c r="A11" s="673" t="s">
        <v>1768</v>
      </c>
      <c r="B11" s="674">
        <v>0.04</v>
      </c>
      <c r="D11"/>
      <c r="E11"/>
    </row>
    <row r="12" spans="1:5" ht="17" thickBot="1" x14ac:dyDescent="0.25">
      <c r="A12" s="673" t="s">
        <v>1769</v>
      </c>
      <c r="B12" s="674">
        <v>0.03</v>
      </c>
      <c r="D12"/>
      <c r="E12"/>
    </row>
    <row r="13" spans="1:5" ht="17" thickBot="1" x14ac:dyDescent="0.25">
      <c r="A13" s="673" t="s">
        <v>1770</v>
      </c>
      <c r="B13" s="674">
        <v>0.04</v>
      </c>
      <c r="D13"/>
      <c r="E13"/>
    </row>
    <row r="14" spans="1:5" ht="17" thickBot="1" x14ac:dyDescent="0.25">
      <c r="A14" s="673" t="s">
        <v>1771</v>
      </c>
      <c r="B14" s="674">
        <v>0.04</v>
      </c>
      <c r="D14"/>
      <c r="E14"/>
    </row>
    <row r="15" spans="1:5" ht="17" thickBot="1" x14ac:dyDescent="0.25">
      <c r="A15" s="673" t="s">
        <v>1772</v>
      </c>
      <c r="B15" s="674">
        <v>0.04</v>
      </c>
      <c r="D15"/>
      <c r="E15"/>
    </row>
    <row r="16" spans="1:5" ht="17" thickBot="1" x14ac:dyDescent="0.25">
      <c r="A16" s="673" t="s">
        <v>1773</v>
      </c>
      <c r="B16" s="674">
        <v>0.04</v>
      </c>
      <c r="D16"/>
      <c r="E16"/>
    </row>
    <row r="17" spans="1:5" ht="17" thickBot="1" x14ac:dyDescent="0.25">
      <c r="A17" s="673" t="s">
        <v>1774</v>
      </c>
      <c r="B17" s="674">
        <v>0.04</v>
      </c>
      <c r="D17"/>
      <c r="E17"/>
    </row>
    <row r="18" spans="1:5" ht="17" thickBot="1" x14ac:dyDescent="0.25">
      <c r="A18" s="673" t="s">
        <v>1775</v>
      </c>
      <c r="B18" s="674">
        <v>0.03</v>
      </c>
      <c r="D18"/>
      <c r="E18"/>
    </row>
    <row r="19" spans="1:5" ht="17" thickBot="1" x14ac:dyDescent="0.25">
      <c r="A19" s="673" t="s">
        <v>1776</v>
      </c>
      <c r="B19" s="674">
        <v>0.03</v>
      </c>
      <c r="D19"/>
      <c r="E19"/>
    </row>
    <row r="20" spans="1:5" ht="17" thickBot="1" x14ac:dyDescent="0.25">
      <c r="A20" s="673" t="s">
        <v>1777</v>
      </c>
      <c r="B20" s="674">
        <v>0.04</v>
      </c>
      <c r="D20"/>
      <c r="E20"/>
    </row>
    <row r="21" spans="1:5" ht="17" thickBot="1" x14ac:dyDescent="0.25">
      <c r="A21" s="673" t="s">
        <v>1778</v>
      </c>
      <c r="B21" s="674">
        <v>3.0000000000000006E-2</v>
      </c>
      <c r="D21"/>
      <c r="E21"/>
    </row>
    <row r="22" spans="1:5" ht="17" thickBot="1" x14ac:dyDescent="0.25">
      <c r="A22" s="673" t="s">
        <v>1779</v>
      </c>
      <c r="B22" s="674">
        <v>0.04</v>
      </c>
      <c r="D22"/>
      <c r="E22"/>
    </row>
    <row r="23" spans="1:5" ht="17" thickBot="1" x14ac:dyDescent="0.25">
      <c r="A23" s="673" t="s">
        <v>1780</v>
      </c>
      <c r="B23" s="674">
        <v>0.03</v>
      </c>
      <c r="D23"/>
      <c r="E23"/>
    </row>
    <row r="24" spans="1:5" ht="17" thickBot="1" x14ac:dyDescent="0.25">
      <c r="A24" s="673" t="s">
        <v>1781</v>
      </c>
      <c r="B24" s="674">
        <v>0.03</v>
      </c>
      <c r="D24"/>
      <c r="E24"/>
    </row>
    <row r="25" spans="1:5" ht="17" thickBot="1" x14ac:dyDescent="0.25">
      <c r="A25" s="673" t="s">
        <v>1782</v>
      </c>
      <c r="B25" s="674">
        <v>0.04</v>
      </c>
      <c r="D25"/>
      <c r="E25"/>
    </row>
    <row r="26" spans="1:5" ht="17" thickBot="1" x14ac:dyDescent="0.25">
      <c r="A26" s="673" t="s">
        <v>1783</v>
      </c>
      <c r="B26" s="674">
        <v>0.03</v>
      </c>
      <c r="D26"/>
      <c r="E26"/>
    </row>
    <row r="27" spans="1:5" ht="17" thickBot="1" x14ac:dyDescent="0.25">
      <c r="A27" s="673" t="s">
        <v>1784</v>
      </c>
      <c r="B27" s="674">
        <v>0.04</v>
      </c>
      <c r="D27"/>
      <c r="E27"/>
    </row>
    <row r="28" spans="1:5" ht="17" thickBot="1" x14ac:dyDescent="0.25">
      <c r="A28" s="673" t="s">
        <v>1785</v>
      </c>
      <c r="B28" s="674">
        <v>0.03</v>
      </c>
      <c r="D28"/>
      <c r="E28"/>
    </row>
    <row r="29" spans="1:5" ht="17" thickBot="1" x14ac:dyDescent="0.25">
      <c r="A29" s="673" t="s">
        <v>1786</v>
      </c>
      <c r="B29" s="674">
        <v>0.02</v>
      </c>
      <c r="D29"/>
      <c r="E29"/>
    </row>
    <row r="30" spans="1:5" ht="17" thickBot="1" x14ac:dyDescent="0.25">
      <c r="A30" s="673" t="s">
        <v>1787</v>
      </c>
      <c r="B30" s="674">
        <v>0.04</v>
      </c>
      <c r="D30"/>
      <c r="E30"/>
    </row>
    <row r="31" spans="1:5" ht="17" thickBot="1" x14ac:dyDescent="0.25">
      <c r="A31" s="673" t="s">
        <v>1788</v>
      </c>
      <c r="B31" s="674">
        <v>0.04</v>
      </c>
      <c r="D31"/>
      <c r="E31"/>
    </row>
    <row r="32" spans="1:5" ht="17" thickBot="1" x14ac:dyDescent="0.25">
      <c r="A32" s="673" t="s">
        <v>1789</v>
      </c>
      <c r="B32" s="674">
        <v>0.05</v>
      </c>
      <c r="D32"/>
      <c r="E32"/>
    </row>
    <row r="33" spans="1:5" ht="17" thickBot="1" x14ac:dyDescent="0.25">
      <c r="A33" s="673" t="s">
        <v>1790</v>
      </c>
      <c r="B33" s="674">
        <v>0.03</v>
      </c>
      <c r="D33"/>
      <c r="E33"/>
    </row>
    <row r="34" spans="1:5" ht="17" thickBot="1" x14ac:dyDescent="0.25">
      <c r="A34" s="673" t="s">
        <v>1791</v>
      </c>
      <c r="B34" s="674">
        <v>0.02</v>
      </c>
      <c r="D34"/>
      <c r="E34"/>
    </row>
    <row r="35" spans="1:5" ht="17" thickBot="1" x14ac:dyDescent="0.25">
      <c r="A35" s="673" t="s">
        <v>1792</v>
      </c>
      <c r="B35" s="674">
        <v>0.04</v>
      </c>
      <c r="D35"/>
      <c r="E35"/>
    </row>
    <row r="36" spans="1:5" ht="17" thickBot="1" x14ac:dyDescent="0.25">
      <c r="A36" s="673" t="s">
        <v>1793</v>
      </c>
      <c r="B36" s="674">
        <v>0.04</v>
      </c>
      <c r="D36"/>
      <c r="E36"/>
    </row>
    <row r="37" spans="1:5" ht="17" thickBot="1" x14ac:dyDescent="0.25">
      <c r="A37" s="673" t="s">
        <v>1794</v>
      </c>
      <c r="B37" s="674">
        <v>4</v>
      </c>
      <c r="D37"/>
      <c r="E37"/>
    </row>
    <row r="38" spans="1:5" ht="17" thickBot="1" x14ac:dyDescent="0.25">
      <c r="A38" s="673" t="s">
        <v>1795</v>
      </c>
      <c r="B38" s="674">
        <v>0.04</v>
      </c>
      <c r="D38"/>
      <c r="E38"/>
    </row>
    <row r="39" spans="1:5" ht="17" thickBot="1" x14ac:dyDescent="0.25">
      <c r="A39" s="673" t="s">
        <v>1796</v>
      </c>
      <c r="B39" s="674">
        <v>0.03</v>
      </c>
      <c r="D39"/>
      <c r="E39"/>
    </row>
    <row r="40" spans="1:5" ht="17" thickBot="1" x14ac:dyDescent="0.25">
      <c r="A40" s="673" t="s">
        <v>1797</v>
      </c>
      <c r="B40" s="674">
        <v>0.03</v>
      </c>
      <c r="D40"/>
      <c r="E40"/>
    </row>
    <row r="41" spans="1:5" ht="17" thickBot="1" x14ac:dyDescent="0.25">
      <c r="A41" s="673" t="s">
        <v>1798</v>
      </c>
      <c r="B41" s="674">
        <v>0.04</v>
      </c>
      <c r="D41"/>
      <c r="E41"/>
    </row>
    <row r="42" spans="1:5" ht="17" thickBot="1" x14ac:dyDescent="0.25">
      <c r="A42" s="673" t="s">
        <v>1799</v>
      </c>
      <c r="B42" s="674">
        <v>0.03</v>
      </c>
      <c r="D42"/>
      <c r="E42"/>
    </row>
    <row r="43" spans="1:5" ht="17" thickBot="1" x14ac:dyDescent="0.25">
      <c r="A43" s="673" t="s">
        <v>1800</v>
      </c>
      <c r="B43" s="674">
        <v>0.04</v>
      </c>
      <c r="D43"/>
      <c r="E43"/>
    </row>
    <row r="44" spans="1:5" ht="17" thickBot="1" x14ac:dyDescent="0.25">
      <c r="A44" s="673" t="s">
        <v>1801</v>
      </c>
      <c r="B44" s="674">
        <v>0.04</v>
      </c>
      <c r="D44"/>
      <c r="E44"/>
    </row>
    <row r="45" spans="1:5" ht="17" thickBot="1" x14ac:dyDescent="0.25">
      <c r="A45" s="673" t="s">
        <v>1802</v>
      </c>
      <c r="B45" s="674">
        <v>4.9000000000000002E-2</v>
      </c>
      <c r="D45"/>
      <c r="E45"/>
    </row>
    <row r="46" spans="1:5" ht="17" thickBot="1" x14ac:dyDescent="0.25">
      <c r="A46" s="673" t="s">
        <v>1803</v>
      </c>
      <c r="B46" s="674">
        <v>0.04</v>
      </c>
      <c r="D46"/>
      <c r="E46"/>
    </row>
    <row r="47" spans="1:5" ht="17" thickBot="1" x14ac:dyDescent="0.25">
      <c r="A47" s="673" t="s">
        <v>1804</v>
      </c>
      <c r="B47" s="674">
        <v>0.04</v>
      </c>
      <c r="D47"/>
      <c r="E47"/>
    </row>
    <row r="48" spans="1:5" ht="17" thickBot="1" x14ac:dyDescent="0.25">
      <c r="A48" s="673" t="s">
        <v>1805</v>
      </c>
      <c r="B48" s="674">
        <v>0.04</v>
      </c>
      <c r="D48"/>
      <c r="E48"/>
    </row>
    <row r="49" spans="1:5" ht="17" thickBot="1" x14ac:dyDescent="0.25">
      <c r="A49" s="673" t="s">
        <v>1806</v>
      </c>
      <c r="B49" s="674">
        <v>3.0000000000000006E-2</v>
      </c>
      <c r="D49"/>
      <c r="E49"/>
    </row>
    <row r="50" spans="1:5" ht="17" thickBot="1" x14ac:dyDescent="0.25">
      <c r="A50" s="673" t="s">
        <v>1807</v>
      </c>
      <c r="B50" s="674">
        <v>0.04</v>
      </c>
      <c r="D50"/>
      <c r="E50"/>
    </row>
    <row r="51" spans="1:5" ht="17" thickBot="1" x14ac:dyDescent="0.25">
      <c r="A51" s="673" t="s">
        <v>1808</v>
      </c>
      <c r="B51" s="674">
        <v>0.04</v>
      </c>
      <c r="D51"/>
      <c r="E51"/>
    </row>
    <row r="52" spans="1:5" ht="17" thickBot="1" x14ac:dyDescent="0.25">
      <c r="A52" s="673" t="s">
        <v>1809</v>
      </c>
      <c r="B52" s="674">
        <v>0.04</v>
      </c>
      <c r="D52"/>
      <c r="E52"/>
    </row>
    <row r="53" spans="1:5" ht="17" thickBot="1" x14ac:dyDescent="0.25">
      <c r="A53" s="673" t="s">
        <v>1810</v>
      </c>
      <c r="B53" s="674">
        <v>0.04</v>
      </c>
      <c r="D53"/>
      <c r="E53"/>
    </row>
    <row r="54" spans="1:5" ht="17" thickBot="1" x14ac:dyDescent="0.25">
      <c r="A54" s="673" t="s">
        <v>1811</v>
      </c>
      <c r="B54" s="674">
        <v>0.04</v>
      </c>
      <c r="D54"/>
      <c r="E54"/>
    </row>
    <row r="55" spans="1:5" ht="17" thickBot="1" x14ac:dyDescent="0.25">
      <c r="A55" s="673" t="s">
        <v>1812</v>
      </c>
      <c r="B55" s="674">
        <v>0.04</v>
      </c>
      <c r="D55"/>
      <c r="E55"/>
    </row>
    <row r="56" spans="1:5" ht="17" thickBot="1" x14ac:dyDescent="0.25">
      <c r="A56" s="673" t="s">
        <v>1813</v>
      </c>
      <c r="B56" s="674">
        <v>3.0000000000000006E-2</v>
      </c>
      <c r="D56"/>
      <c r="E56"/>
    </row>
    <row r="57" spans="1:5" ht="17" thickBot="1" x14ac:dyDescent="0.25">
      <c r="A57" s="673" t="s">
        <v>1814</v>
      </c>
      <c r="B57" s="674">
        <v>0.03</v>
      </c>
      <c r="D57"/>
      <c r="E57"/>
    </row>
    <row r="58" spans="1:5" ht="17" thickBot="1" x14ac:dyDescent="0.25">
      <c r="A58" s="673" t="s">
        <v>1815</v>
      </c>
      <c r="B58" s="674">
        <v>3.0000000000000006E-2</v>
      </c>
      <c r="D58"/>
      <c r="E58"/>
    </row>
    <row r="59" spans="1:5" ht="17" thickBot="1" x14ac:dyDescent="0.25">
      <c r="A59" s="673" t="s">
        <v>1816</v>
      </c>
      <c r="B59" s="674">
        <v>3.0000000000000006E-2</v>
      </c>
      <c r="D59"/>
      <c r="E59"/>
    </row>
    <row r="60" spans="1:5" ht="17" thickBot="1" x14ac:dyDescent="0.25">
      <c r="A60" s="673" t="s">
        <v>1817</v>
      </c>
      <c r="B60" s="674">
        <v>0.03</v>
      </c>
      <c r="D60"/>
      <c r="E60"/>
    </row>
    <row r="61" spans="1:5" ht="17" thickBot="1" x14ac:dyDescent="0.25">
      <c r="A61" s="673" t="s">
        <v>1818</v>
      </c>
      <c r="B61" s="674">
        <v>4.9000000000000002E-2</v>
      </c>
      <c r="D61"/>
      <c r="E61"/>
    </row>
    <row r="62" spans="1:5" ht="17" thickBot="1" x14ac:dyDescent="0.25">
      <c r="A62" s="673" t="s">
        <v>1819</v>
      </c>
      <c r="B62" s="674">
        <v>0.03</v>
      </c>
      <c r="D62"/>
      <c r="E62"/>
    </row>
    <row r="63" spans="1:5" ht="17" thickBot="1" x14ac:dyDescent="0.25">
      <c r="A63" s="673" t="s">
        <v>1820</v>
      </c>
      <c r="B63" s="674">
        <v>0.04</v>
      </c>
      <c r="D63"/>
      <c r="E63"/>
    </row>
    <row r="64" spans="1:5" ht="17" thickBot="1" x14ac:dyDescent="0.25">
      <c r="A64" s="673" t="s">
        <v>1821</v>
      </c>
      <c r="B64" s="674">
        <v>0.03</v>
      </c>
      <c r="D64"/>
      <c r="E64"/>
    </row>
    <row r="65" spans="1:5" ht="17" thickBot="1" x14ac:dyDescent="0.25">
      <c r="A65" s="673" t="s">
        <v>1822</v>
      </c>
      <c r="B65" s="674">
        <v>0.03</v>
      </c>
      <c r="D65"/>
      <c r="E65"/>
    </row>
    <row r="66" spans="1:5" ht="17" thickBot="1" x14ac:dyDescent="0.25">
      <c r="A66" s="673" t="s">
        <v>1823</v>
      </c>
      <c r="B66" s="674">
        <v>0.04</v>
      </c>
      <c r="D66"/>
      <c r="E66"/>
    </row>
    <row r="67" spans="1:5" ht="17" thickBot="1" x14ac:dyDescent="0.25">
      <c r="A67" s="673" t="s">
        <v>1824</v>
      </c>
      <c r="B67" s="674">
        <v>0.04</v>
      </c>
      <c r="D67"/>
      <c r="E67"/>
    </row>
    <row r="68" spans="1:5" ht="17" thickBot="1" x14ac:dyDescent="0.25">
      <c r="A68" s="673" t="s">
        <v>1825</v>
      </c>
      <c r="B68" s="674">
        <v>0.02</v>
      </c>
      <c r="D68"/>
      <c r="E68"/>
    </row>
    <row r="69" spans="1:5" ht="17" thickBot="1" x14ac:dyDescent="0.25">
      <c r="A69" s="673" t="s">
        <v>1826</v>
      </c>
      <c r="B69" s="674">
        <v>0.03</v>
      </c>
      <c r="D69"/>
      <c r="E69"/>
    </row>
    <row r="70" spans="1:5" ht="17" thickBot="1" x14ac:dyDescent="0.25">
      <c r="A70" s="673" t="s">
        <v>1827</v>
      </c>
      <c r="B70" s="674">
        <v>0.03</v>
      </c>
      <c r="D70"/>
      <c r="E70"/>
    </row>
    <row r="71" spans="1:5" ht="17" thickBot="1" x14ac:dyDescent="0.25">
      <c r="A71" s="673" t="s">
        <v>1828</v>
      </c>
      <c r="B71" s="674">
        <v>0.04</v>
      </c>
      <c r="D71"/>
      <c r="E71"/>
    </row>
    <row r="72" spans="1:5" ht="17" thickBot="1" x14ac:dyDescent="0.25">
      <c r="A72" s="673" t="s">
        <v>1829</v>
      </c>
      <c r="B72" s="674">
        <v>0.04</v>
      </c>
      <c r="D72"/>
      <c r="E72"/>
    </row>
    <row r="73" spans="1:5" ht="17" thickBot="1" x14ac:dyDescent="0.25">
      <c r="A73" s="673" t="s">
        <v>1830</v>
      </c>
      <c r="B73" s="674">
        <v>0.04</v>
      </c>
      <c r="D73"/>
      <c r="E73"/>
    </row>
    <row r="74" spans="1:5" ht="17" thickBot="1" x14ac:dyDescent="0.25">
      <c r="A74" s="673" t="s">
        <v>1831</v>
      </c>
      <c r="B74" s="674">
        <v>3.0000000000000006E-2</v>
      </c>
      <c r="D74"/>
      <c r="E74"/>
    </row>
    <row r="75" spans="1:5" ht="17" thickBot="1" x14ac:dyDescent="0.25">
      <c r="A75" s="673" t="s">
        <v>1832</v>
      </c>
      <c r="B75" s="674">
        <v>3.0000000000000006E-2</v>
      </c>
      <c r="D75"/>
      <c r="E75"/>
    </row>
    <row r="76" spans="1:5" ht="17" thickBot="1" x14ac:dyDescent="0.25">
      <c r="A76" s="673" t="s">
        <v>1833</v>
      </c>
      <c r="B76" s="674">
        <v>0.04</v>
      </c>
      <c r="D76"/>
      <c r="E76"/>
    </row>
    <row r="77" spans="1:5" ht="17" thickBot="1" x14ac:dyDescent="0.25">
      <c r="A77" s="673" t="s">
        <v>1834</v>
      </c>
      <c r="B77" s="674">
        <v>0.03</v>
      </c>
      <c r="D77"/>
      <c r="E77"/>
    </row>
    <row r="78" spans="1:5" ht="17" thickBot="1" x14ac:dyDescent="0.25">
      <c r="A78" s="673" t="s">
        <v>1835</v>
      </c>
      <c r="B78" s="674">
        <v>0.04</v>
      </c>
      <c r="D78"/>
      <c r="E78"/>
    </row>
    <row r="79" spans="1:5" ht="17" thickBot="1" x14ac:dyDescent="0.25">
      <c r="A79" s="673" t="s">
        <v>1836</v>
      </c>
      <c r="B79" s="674">
        <v>0.03</v>
      </c>
      <c r="D79"/>
      <c r="E79"/>
    </row>
    <row r="80" spans="1:5" ht="17" thickBot="1" x14ac:dyDescent="0.25">
      <c r="A80" s="673" t="s">
        <v>1837</v>
      </c>
      <c r="B80" s="674">
        <v>0.03</v>
      </c>
      <c r="D80"/>
      <c r="E80"/>
    </row>
    <row r="81" spans="1:5" ht="17" thickBot="1" x14ac:dyDescent="0.25">
      <c r="A81" s="673" t="s">
        <v>1838</v>
      </c>
      <c r="B81" s="674">
        <v>0.04</v>
      </c>
      <c r="D81"/>
      <c r="E81"/>
    </row>
    <row r="82" spans="1:5" ht="17" thickBot="1" x14ac:dyDescent="0.25">
      <c r="A82" s="673" t="s">
        <v>1839</v>
      </c>
      <c r="B82" s="674">
        <v>0.04</v>
      </c>
      <c r="D82"/>
      <c r="E82"/>
    </row>
    <row r="83" spans="1:5" ht="17" thickBot="1" x14ac:dyDescent="0.25">
      <c r="A83" s="673" t="s">
        <v>1840</v>
      </c>
      <c r="B83" s="674">
        <v>0.04</v>
      </c>
      <c r="D83"/>
      <c r="E83"/>
    </row>
    <row r="84" spans="1:5" ht="17" thickBot="1" x14ac:dyDescent="0.25">
      <c r="A84" s="673" t="s">
        <v>1841</v>
      </c>
      <c r="B84" s="674">
        <v>0.04</v>
      </c>
      <c r="D84"/>
      <c r="E84"/>
    </row>
    <row r="85" spans="1:5" ht="17" thickBot="1" x14ac:dyDescent="0.25">
      <c r="A85" s="673" t="s">
        <v>1842</v>
      </c>
      <c r="B85" s="674">
        <v>0.03</v>
      </c>
      <c r="D85"/>
      <c r="E85"/>
    </row>
    <row r="86" spans="1:5" ht="17" thickBot="1" x14ac:dyDescent="0.25">
      <c r="A86" s="673" t="s">
        <v>1843</v>
      </c>
      <c r="B86" s="674">
        <v>0.04</v>
      </c>
      <c r="D86"/>
      <c r="E86"/>
    </row>
    <row r="87" spans="1:5" ht="17" thickBot="1" x14ac:dyDescent="0.25">
      <c r="A87" s="673" t="s">
        <v>1844</v>
      </c>
      <c r="B87" s="674">
        <v>0.04</v>
      </c>
      <c r="D87"/>
      <c r="E87"/>
    </row>
    <row r="88" spans="1:5" ht="17" thickBot="1" x14ac:dyDescent="0.25">
      <c r="A88" s="673" t="s">
        <v>1845</v>
      </c>
      <c r="B88" s="674">
        <v>0.04</v>
      </c>
      <c r="D88"/>
      <c r="E88"/>
    </row>
    <row r="89" spans="1:5" ht="17" thickBot="1" x14ac:dyDescent="0.25">
      <c r="A89" s="673" t="s">
        <v>1846</v>
      </c>
      <c r="B89" s="674">
        <v>0.04</v>
      </c>
      <c r="D89"/>
      <c r="E89"/>
    </row>
    <row r="90" spans="1:5" ht="17" thickBot="1" x14ac:dyDescent="0.25">
      <c r="A90" s="673" t="s">
        <v>1847</v>
      </c>
      <c r="B90" s="674">
        <v>0.03</v>
      </c>
      <c r="D90"/>
      <c r="E90"/>
    </row>
    <row r="91" spans="1:5" ht="17" thickBot="1" x14ac:dyDescent="0.25">
      <c r="A91" s="673" t="s">
        <v>1848</v>
      </c>
      <c r="B91" s="674">
        <v>0.04</v>
      </c>
      <c r="D91"/>
      <c r="E91"/>
    </row>
    <row r="92" spans="1:5" ht="17" thickBot="1" x14ac:dyDescent="0.25">
      <c r="A92" s="673" t="s">
        <v>1849</v>
      </c>
      <c r="B92" s="674">
        <v>0.04</v>
      </c>
      <c r="D92"/>
      <c r="E92"/>
    </row>
    <row r="93" spans="1:5" ht="17" thickBot="1" x14ac:dyDescent="0.25">
      <c r="A93" s="673" t="s">
        <v>1850</v>
      </c>
      <c r="B93" s="674">
        <v>0.04</v>
      </c>
      <c r="D93"/>
      <c r="E93"/>
    </row>
    <row r="94" spans="1:5" ht="17" thickBot="1" x14ac:dyDescent="0.25">
      <c r="A94" s="673" t="s">
        <v>1851</v>
      </c>
      <c r="B94" s="674">
        <v>0.04</v>
      </c>
      <c r="D94"/>
      <c r="E94"/>
    </row>
    <row r="95" spans="1:5" ht="17" thickBot="1" x14ac:dyDescent="0.25">
      <c r="A95" s="673" t="s">
        <v>1852</v>
      </c>
      <c r="B95" s="674">
        <v>0.04</v>
      </c>
      <c r="D95"/>
      <c r="E95"/>
    </row>
    <row r="96" spans="1:5" ht="17" thickBot="1" x14ac:dyDescent="0.25">
      <c r="A96" s="673" t="s">
        <v>1853</v>
      </c>
      <c r="B96" s="674">
        <v>0.04</v>
      </c>
      <c r="D96"/>
      <c r="E96"/>
    </row>
    <row r="97" spans="1:5" ht="17" thickBot="1" x14ac:dyDescent="0.25">
      <c r="A97" s="673" t="s">
        <v>1854</v>
      </c>
      <c r="B97" s="674">
        <v>0.04</v>
      </c>
      <c r="D97"/>
      <c r="E97"/>
    </row>
    <row r="98" spans="1:5" ht="17" thickBot="1" x14ac:dyDescent="0.25">
      <c r="A98" s="673" t="s">
        <v>1855</v>
      </c>
      <c r="B98" s="674">
        <v>0.04</v>
      </c>
      <c r="D98"/>
      <c r="E98"/>
    </row>
    <row r="99" spans="1:5" ht="17" thickBot="1" x14ac:dyDescent="0.25">
      <c r="A99" s="673" t="s">
        <v>1856</v>
      </c>
      <c r="B99" s="674">
        <v>0.03</v>
      </c>
      <c r="D99"/>
      <c r="E99"/>
    </row>
    <row r="100" spans="1:5" ht="17" thickBot="1" x14ac:dyDescent="0.25">
      <c r="A100" s="673" t="s">
        <v>1857</v>
      </c>
      <c r="B100" s="674">
        <v>0.04</v>
      </c>
      <c r="D100"/>
      <c r="E100"/>
    </row>
    <row r="101" spans="1:5" ht="17" thickBot="1" x14ac:dyDescent="0.25">
      <c r="A101" s="673" t="s">
        <v>1858</v>
      </c>
      <c r="B101" s="674">
        <v>0.04</v>
      </c>
      <c r="D101"/>
      <c r="E101"/>
    </row>
    <row r="102" spans="1:5" ht="17" thickBot="1" x14ac:dyDescent="0.25">
      <c r="A102" s="673" t="s">
        <v>1859</v>
      </c>
      <c r="B102" s="674">
        <v>0.04</v>
      </c>
      <c r="D102"/>
      <c r="E102"/>
    </row>
    <row r="103" spans="1:5" ht="17" thickBot="1" x14ac:dyDescent="0.25">
      <c r="A103" s="673" t="s">
        <v>1860</v>
      </c>
      <c r="B103" s="674">
        <v>0.04</v>
      </c>
      <c r="D103"/>
      <c r="E103"/>
    </row>
    <row r="104" spans="1:5" ht="17" thickBot="1" x14ac:dyDescent="0.25">
      <c r="A104" s="673" t="s">
        <v>1861</v>
      </c>
      <c r="B104" s="674">
        <v>0.04</v>
      </c>
      <c r="D104"/>
      <c r="E104"/>
    </row>
    <row r="105" spans="1:5" ht="17" thickBot="1" x14ac:dyDescent="0.25">
      <c r="A105" s="673" t="s">
        <v>1862</v>
      </c>
      <c r="B105" s="674">
        <v>0.04</v>
      </c>
      <c r="D105"/>
      <c r="E105"/>
    </row>
    <row r="106" spans="1:5" ht="17" thickBot="1" x14ac:dyDescent="0.25">
      <c r="A106" s="673" t="s">
        <v>1863</v>
      </c>
      <c r="B106" s="674">
        <v>0.04</v>
      </c>
      <c r="D106"/>
      <c r="E106"/>
    </row>
    <row r="107" spans="1:5" ht="17" thickBot="1" x14ac:dyDescent="0.25">
      <c r="A107" s="673" t="s">
        <v>1864</v>
      </c>
      <c r="B107" s="674">
        <v>4.9999999999999996E-2</v>
      </c>
      <c r="D107"/>
      <c r="E107"/>
    </row>
    <row r="108" spans="1:5" ht="17" thickBot="1" x14ac:dyDescent="0.25">
      <c r="A108" s="673" t="s">
        <v>1865</v>
      </c>
      <c r="B108" s="674">
        <v>0.03</v>
      </c>
      <c r="D108"/>
      <c r="E108"/>
    </row>
    <row r="109" spans="1:5" ht="17" thickBot="1" x14ac:dyDescent="0.25">
      <c r="A109" s="673" t="s">
        <v>1866</v>
      </c>
      <c r="B109" s="674">
        <v>0.04</v>
      </c>
      <c r="D109"/>
      <c r="E109"/>
    </row>
    <row r="110" spans="1:5" ht="17" thickBot="1" x14ac:dyDescent="0.25">
      <c r="A110" s="673" t="s">
        <v>1867</v>
      </c>
      <c r="B110" s="674">
        <v>0.04</v>
      </c>
      <c r="D110"/>
      <c r="E110"/>
    </row>
    <row r="111" spans="1:5" ht="17" thickBot="1" x14ac:dyDescent="0.25">
      <c r="A111" s="673" t="s">
        <v>1868</v>
      </c>
      <c r="B111" s="674">
        <v>3.0000000000000006E-2</v>
      </c>
      <c r="D111"/>
      <c r="E111"/>
    </row>
    <row r="112" spans="1:5" ht="17" thickBot="1" x14ac:dyDescent="0.25">
      <c r="A112" s="673" t="s">
        <v>1869</v>
      </c>
      <c r="B112" s="674">
        <v>0.04</v>
      </c>
      <c r="D112"/>
      <c r="E112"/>
    </row>
    <row r="113" spans="1:5" ht="17" thickBot="1" x14ac:dyDescent="0.25">
      <c r="A113" s="673" t="s">
        <v>1870</v>
      </c>
      <c r="B113" s="674">
        <v>3.0000000000000006E-2</v>
      </c>
      <c r="D113"/>
      <c r="E113"/>
    </row>
    <row r="114" spans="1:5" ht="17" thickBot="1" x14ac:dyDescent="0.25">
      <c r="A114" s="673" t="s">
        <v>1871</v>
      </c>
      <c r="B114" s="674">
        <v>0.04</v>
      </c>
      <c r="D114"/>
      <c r="E114"/>
    </row>
    <row r="115" spans="1:5" ht="17" thickBot="1" x14ac:dyDescent="0.25">
      <c r="A115" s="673" t="s">
        <v>1872</v>
      </c>
      <c r="B115" s="674">
        <v>0.03</v>
      </c>
      <c r="D115"/>
      <c r="E115"/>
    </row>
    <row r="116" spans="1:5" ht="17" thickBot="1" x14ac:dyDescent="0.25">
      <c r="A116" s="673" t="s">
        <v>1873</v>
      </c>
      <c r="B116" s="674">
        <v>0.03</v>
      </c>
      <c r="D116"/>
      <c r="E116"/>
    </row>
    <row r="117" spans="1:5" ht="17" thickBot="1" x14ac:dyDescent="0.25">
      <c r="A117" s="673" t="s">
        <v>1874</v>
      </c>
      <c r="B117" s="674">
        <v>0.04</v>
      </c>
      <c r="D117"/>
      <c r="E117"/>
    </row>
    <row r="118" spans="1:5" ht="17" thickBot="1" x14ac:dyDescent="0.25">
      <c r="A118" s="673" t="s">
        <v>1875</v>
      </c>
      <c r="B118" s="674">
        <v>0.03</v>
      </c>
      <c r="D118"/>
      <c r="E118"/>
    </row>
    <row r="119" spans="1:5" ht="17" thickBot="1" x14ac:dyDescent="0.25">
      <c r="A119" s="673" t="s">
        <v>1876</v>
      </c>
      <c r="B119" s="674">
        <v>0.04</v>
      </c>
      <c r="D119"/>
      <c r="E119"/>
    </row>
    <row r="120" spans="1:5" ht="17" thickBot="1" x14ac:dyDescent="0.25">
      <c r="A120" s="673" t="s">
        <v>1877</v>
      </c>
      <c r="B120" s="674">
        <v>0.03</v>
      </c>
      <c r="D120"/>
      <c r="E120"/>
    </row>
    <row r="121" spans="1:5" ht="17" thickBot="1" x14ac:dyDescent="0.25">
      <c r="A121" s="673" t="s">
        <v>1878</v>
      </c>
      <c r="B121" s="674">
        <v>0.04</v>
      </c>
      <c r="D121"/>
      <c r="E121"/>
    </row>
    <row r="122" spans="1:5" ht="17" thickBot="1" x14ac:dyDescent="0.25">
      <c r="A122" s="673" t="s">
        <v>1879</v>
      </c>
      <c r="B122" s="674">
        <v>4.4999999999999998E-2</v>
      </c>
      <c r="D122"/>
      <c r="E122"/>
    </row>
    <row r="123" spans="1:5" ht="17" thickBot="1" x14ac:dyDescent="0.25">
      <c r="A123" s="673" t="s">
        <v>1880</v>
      </c>
      <c r="B123" s="674">
        <v>0.03</v>
      </c>
      <c r="D123"/>
      <c r="E123"/>
    </row>
    <row r="124" spans="1:5" ht="17" thickBot="1" x14ac:dyDescent="0.25">
      <c r="A124" s="673" t="s">
        <v>1881</v>
      </c>
      <c r="B124" s="674">
        <v>0.04</v>
      </c>
      <c r="D124"/>
      <c r="E124"/>
    </row>
    <row r="125" spans="1:5" ht="17" thickBot="1" x14ac:dyDescent="0.25">
      <c r="A125" s="673" t="s">
        <v>1882</v>
      </c>
      <c r="B125" s="674">
        <v>0.04</v>
      </c>
      <c r="D125"/>
      <c r="E125"/>
    </row>
    <row r="126" spans="1:5" ht="17" thickBot="1" x14ac:dyDescent="0.25">
      <c r="A126" s="673" t="s">
        <v>1883</v>
      </c>
      <c r="B126" s="674">
        <v>0.04</v>
      </c>
      <c r="D126"/>
      <c r="E126"/>
    </row>
    <row r="127" spans="1:5" ht="17" thickBot="1" x14ac:dyDescent="0.25">
      <c r="A127" s="673" t="s">
        <v>1884</v>
      </c>
      <c r="B127" s="674">
        <v>0.03</v>
      </c>
      <c r="D127"/>
      <c r="E127"/>
    </row>
    <row r="128" spans="1:5" ht="17" thickBot="1" x14ac:dyDescent="0.25">
      <c r="A128" s="673" t="s">
        <v>1885</v>
      </c>
      <c r="B128" s="674">
        <v>0.03</v>
      </c>
      <c r="D128"/>
      <c r="E128"/>
    </row>
    <row r="129" spans="1:5" ht="17" thickBot="1" x14ac:dyDescent="0.25">
      <c r="A129" s="673" t="s">
        <v>1886</v>
      </c>
      <c r="B129" s="674">
        <v>0.04</v>
      </c>
      <c r="D129"/>
      <c r="E129"/>
    </row>
    <row r="130" spans="1:5" ht="17" thickBot="1" x14ac:dyDescent="0.25">
      <c r="A130" s="673" t="s">
        <v>1887</v>
      </c>
      <c r="B130" s="674">
        <v>0.04</v>
      </c>
      <c r="D130"/>
      <c r="E130"/>
    </row>
    <row r="131" spans="1:5" ht="17" thickBot="1" x14ac:dyDescent="0.25">
      <c r="A131" s="673" t="s">
        <v>1888</v>
      </c>
      <c r="B131" s="674">
        <v>0.4</v>
      </c>
      <c r="D131"/>
      <c r="E131"/>
    </row>
    <row r="132" spans="1:5" ht="17" thickBot="1" x14ac:dyDescent="0.25">
      <c r="A132" s="673" t="s">
        <v>1889</v>
      </c>
      <c r="B132" s="674">
        <v>0.04</v>
      </c>
      <c r="D132"/>
      <c r="E132"/>
    </row>
    <row r="133" spans="1:5" ht="17" thickBot="1" x14ac:dyDescent="0.25">
      <c r="A133" s="673" t="s">
        <v>1890</v>
      </c>
      <c r="B133" s="674">
        <v>0.04</v>
      </c>
      <c r="D133"/>
      <c r="E133"/>
    </row>
    <row r="134" spans="1:5" ht="17" thickBot="1" x14ac:dyDescent="0.25">
      <c r="A134" s="673" t="s">
        <v>1891</v>
      </c>
      <c r="B134" s="674">
        <v>0.04</v>
      </c>
      <c r="D134"/>
      <c r="E134"/>
    </row>
    <row r="135" spans="1:5" ht="17" thickBot="1" x14ac:dyDescent="0.25">
      <c r="A135" s="673" t="s">
        <v>1892</v>
      </c>
      <c r="B135" s="674">
        <v>0.04</v>
      </c>
      <c r="D135"/>
      <c r="E135"/>
    </row>
    <row r="136" spans="1:5" ht="17" thickBot="1" x14ac:dyDescent="0.25">
      <c r="A136" s="673" t="s">
        <v>1893</v>
      </c>
      <c r="B136" s="674">
        <v>0.04</v>
      </c>
      <c r="D136"/>
      <c r="E136"/>
    </row>
    <row r="137" spans="1:5" ht="17" thickBot="1" x14ac:dyDescent="0.25">
      <c r="A137" s="673" t="s">
        <v>1894</v>
      </c>
      <c r="B137" s="674">
        <v>0.04</v>
      </c>
      <c r="D137"/>
      <c r="E137"/>
    </row>
    <row r="138" spans="1:5" ht="17" thickBot="1" x14ac:dyDescent="0.25">
      <c r="A138" s="673" t="s">
        <v>1895</v>
      </c>
      <c r="B138" s="674">
        <v>0.04</v>
      </c>
      <c r="D138"/>
      <c r="E138"/>
    </row>
    <row r="139" spans="1:5" ht="17" thickBot="1" x14ac:dyDescent="0.25">
      <c r="A139" s="673" t="s">
        <v>1896</v>
      </c>
      <c r="B139" s="674">
        <v>0.04</v>
      </c>
      <c r="D139"/>
      <c r="E139"/>
    </row>
    <row r="140" spans="1:5" ht="17" thickBot="1" x14ac:dyDescent="0.25">
      <c r="A140" s="673" t="s">
        <v>1897</v>
      </c>
      <c r="B140" s="674">
        <v>0.04</v>
      </c>
      <c r="D140"/>
      <c r="E140"/>
    </row>
    <row r="141" spans="1:5" ht="17" thickBot="1" x14ac:dyDescent="0.25">
      <c r="A141" s="673" t="s">
        <v>1898</v>
      </c>
      <c r="B141" s="674">
        <v>0.04</v>
      </c>
      <c r="D141"/>
      <c r="E141"/>
    </row>
    <row r="142" spans="1:5" ht="17" thickBot="1" x14ac:dyDescent="0.25">
      <c r="A142" s="673" t="s">
        <v>1899</v>
      </c>
      <c r="B142" s="674">
        <v>0.03</v>
      </c>
      <c r="D142"/>
      <c r="E142"/>
    </row>
    <row r="143" spans="1:5" ht="17" thickBot="1" x14ac:dyDescent="0.25">
      <c r="A143" s="673" t="s">
        <v>1900</v>
      </c>
      <c r="B143" s="674">
        <v>0.04</v>
      </c>
      <c r="D143"/>
      <c r="E143"/>
    </row>
    <row r="144" spans="1:5" ht="17" thickBot="1" x14ac:dyDescent="0.25">
      <c r="A144" s="673" t="s">
        <v>1901</v>
      </c>
      <c r="B144" s="674">
        <v>0.04</v>
      </c>
      <c r="D144"/>
      <c r="E144"/>
    </row>
    <row r="145" spans="1:5" ht="17" thickBot="1" x14ac:dyDescent="0.25">
      <c r="A145" s="673" t="s">
        <v>1902</v>
      </c>
      <c r="B145" s="674">
        <v>0.03</v>
      </c>
      <c r="D145"/>
      <c r="E145"/>
    </row>
    <row r="146" spans="1:5" ht="17" thickBot="1" x14ac:dyDescent="0.25">
      <c r="A146" s="673" t="s">
        <v>1903</v>
      </c>
      <c r="B146" s="674">
        <v>0.04</v>
      </c>
      <c r="D146"/>
      <c r="E146"/>
    </row>
    <row r="147" spans="1:5" ht="17" thickBot="1" x14ac:dyDescent="0.25">
      <c r="A147" s="673" t="s">
        <v>1904</v>
      </c>
      <c r="B147" s="674">
        <v>0.04</v>
      </c>
      <c r="D147"/>
      <c r="E147"/>
    </row>
    <row r="148" spans="1:5" ht="17" thickBot="1" x14ac:dyDescent="0.25">
      <c r="A148" s="673" t="s">
        <v>1905</v>
      </c>
      <c r="B148" s="674">
        <v>0.03</v>
      </c>
      <c r="D148"/>
      <c r="E148"/>
    </row>
    <row r="149" spans="1:5" ht="17" thickBot="1" x14ac:dyDescent="0.25">
      <c r="A149" s="673" t="s">
        <v>1906</v>
      </c>
      <c r="B149" s="674">
        <v>0.04</v>
      </c>
      <c r="D149"/>
      <c r="E149"/>
    </row>
    <row r="150" spans="1:5" ht="17" thickBot="1" x14ac:dyDescent="0.25">
      <c r="A150" s="673" t="s">
        <v>1907</v>
      </c>
      <c r="B150" s="674">
        <v>0.04</v>
      </c>
      <c r="D150"/>
      <c r="E150"/>
    </row>
    <row r="151" spans="1:5" ht="17" thickBot="1" x14ac:dyDescent="0.25">
      <c r="A151" s="673" t="s">
        <v>1671</v>
      </c>
      <c r="B151" s="674">
        <v>0.04</v>
      </c>
      <c r="D151"/>
      <c r="E151"/>
    </row>
    <row r="152" spans="1:5" ht="17" thickBot="1" x14ac:dyDescent="0.25">
      <c r="A152" s="673" t="s">
        <v>1908</v>
      </c>
      <c r="B152" s="674">
        <v>0.04</v>
      </c>
      <c r="D152"/>
      <c r="E152"/>
    </row>
    <row r="153" spans="1:5" ht="17" thickBot="1" x14ac:dyDescent="0.25">
      <c r="A153" s="673" t="s">
        <v>1909</v>
      </c>
      <c r="B153" s="674">
        <v>0.04</v>
      </c>
      <c r="D153"/>
      <c r="E153"/>
    </row>
    <row r="154" spans="1:5" ht="17" thickBot="1" x14ac:dyDescent="0.25">
      <c r="A154" s="673" t="s">
        <v>1910</v>
      </c>
      <c r="B154" s="674">
        <v>0.04</v>
      </c>
      <c r="D154"/>
      <c r="E154"/>
    </row>
    <row r="155" spans="1:5" ht="17" thickBot="1" x14ac:dyDescent="0.25">
      <c r="A155" s="673" t="s">
        <v>1911</v>
      </c>
      <c r="B155" s="674">
        <v>0.03</v>
      </c>
      <c r="D155"/>
      <c r="E155"/>
    </row>
    <row r="156" spans="1:5" ht="17" thickBot="1" x14ac:dyDescent="0.25">
      <c r="A156" s="673" t="s">
        <v>1912</v>
      </c>
      <c r="B156" s="674">
        <v>0.03</v>
      </c>
      <c r="D156"/>
      <c r="E156"/>
    </row>
    <row r="157" spans="1:5" ht="17" thickBot="1" x14ac:dyDescent="0.25">
      <c r="A157" s="673" t="s">
        <v>1913</v>
      </c>
      <c r="B157" s="674">
        <v>0.04</v>
      </c>
      <c r="D157"/>
      <c r="E157"/>
    </row>
    <row r="158" spans="1:5" ht="17" thickBot="1" x14ac:dyDescent="0.25">
      <c r="A158" s="673" t="s">
        <v>1914</v>
      </c>
      <c r="B158" s="674">
        <v>0.04</v>
      </c>
      <c r="D158"/>
      <c r="E158"/>
    </row>
    <row r="159" spans="1:5" ht="17" thickBot="1" x14ac:dyDescent="0.25">
      <c r="A159" s="673" t="s">
        <v>1915</v>
      </c>
      <c r="B159" s="674">
        <v>0.03</v>
      </c>
      <c r="D159"/>
      <c r="E159"/>
    </row>
    <row r="160" spans="1:5" ht="17" thickBot="1" x14ac:dyDescent="0.25">
      <c r="A160" s="673" t="s">
        <v>1916</v>
      </c>
      <c r="B160" s="674">
        <v>0.04</v>
      </c>
      <c r="D160"/>
      <c r="E160"/>
    </row>
  </sheetData>
  <pageMargins left="0" right="0" top="0" bottom="0" header="0" footer="0"/>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56"/>
  <sheetViews>
    <sheetView workbookViewId="0">
      <selection activeCell="A6" sqref="A6"/>
    </sheetView>
  </sheetViews>
  <sheetFormatPr baseColWidth="10" defaultColWidth="8.5" defaultRowHeight="15" x14ac:dyDescent="0.2"/>
  <cols>
    <col min="1" max="1" width="16.33203125" style="675" customWidth="1"/>
    <col min="2" max="2" width="16.33203125" style="676" customWidth="1"/>
    <col min="3" max="3" width="18.5" style="675" customWidth="1"/>
    <col min="4" max="4" width="20" style="675" customWidth="1"/>
    <col min="5" max="5" width="20.5" style="675" customWidth="1"/>
    <col min="6" max="6" width="10.5" style="675" customWidth="1"/>
    <col min="7" max="7" width="12.33203125" style="677" customWidth="1"/>
    <col min="8" max="8" width="15.5" style="675" customWidth="1"/>
    <col min="9" max="9" width="25.5" style="675" customWidth="1"/>
    <col min="10" max="10" width="8.5" style="675"/>
    <col min="11" max="15" width="13" style="675" customWidth="1"/>
    <col min="16" max="16" width="14" style="675" customWidth="1"/>
    <col min="17" max="18" width="16" style="675" customWidth="1"/>
    <col min="19" max="19" width="14" style="675" customWidth="1"/>
    <col min="20" max="20" width="8.5" style="675"/>
    <col min="21" max="21" width="17" style="675" customWidth="1"/>
    <col min="22" max="22" width="15" style="675" customWidth="1"/>
    <col min="23" max="23" width="14.5" style="675" customWidth="1"/>
    <col min="24" max="24" width="15.5" style="675" customWidth="1"/>
    <col min="25" max="25" width="14" style="675" customWidth="1"/>
    <col min="26" max="26" width="14.5" style="675" customWidth="1"/>
    <col min="27" max="27" width="11.5" style="675" customWidth="1"/>
    <col min="28" max="28" width="8.5" style="678"/>
    <col min="29" max="16384" width="8.5" style="675"/>
  </cols>
  <sheetData>
    <row r="1" spans="1:33" s="15" customFormat="1" ht="48" x14ac:dyDescent="0.2">
      <c r="A1" s="15" t="s">
        <v>1917</v>
      </c>
      <c r="B1" s="679" t="s">
        <v>1918</v>
      </c>
      <c r="G1" s="680"/>
      <c r="P1" s="15" t="s">
        <v>264</v>
      </c>
      <c r="Q1" s="15" t="s">
        <v>265</v>
      </c>
      <c r="R1" s="15" t="s">
        <v>266</v>
      </c>
      <c r="S1" s="15" t="s">
        <v>261</v>
      </c>
      <c r="T1" s="15" t="s">
        <v>262</v>
      </c>
      <c r="U1" s="15" t="s">
        <v>263</v>
      </c>
      <c r="V1" s="15" t="s">
        <v>1919</v>
      </c>
      <c r="W1" s="15" t="s">
        <v>1920</v>
      </c>
      <c r="X1" s="15" t="s">
        <v>1921</v>
      </c>
      <c r="Y1" s="15" t="s">
        <v>1922</v>
      </c>
      <c r="Z1" s="15" t="s">
        <v>1923</v>
      </c>
      <c r="AA1" s="15" t="s">
        <v>1924</v>
      </c>
      <c r="AB1" s="681" t="s">
        <v>1925</v>
      </c>
      <c r="AC1" s="15" t="s">
        <v>1926</v>
      </c>
      <c r="AD1" s="15" t="s">
        <v>1927</v>
      </c>
      <c r="AE1" s="15" t="s">
        <v>1928</v>
      </c>
      <c r="AF1" s="15" t="s">
        <v>1929</v>
      </c>
      <c r="AG1" s="15" t="s">
        <v>1930</v>
      </c>
    </row>
    <row r="2" spans="1:33" ht="22" x14ac:dyDescent="0.3">
      <c r="A2" s="675" t="s">
        <v>1931</v>
      </c>
      <c r="B2" s="682" t="s">
        <v>1220</v>
      </c>
      <c r="C2" s="675" t="s">
        <v>1932</v>
      </c>
      <c r="D2" s="675" t="s">
        <v>1933</v>
      </c>
      <c r="E2" s="675" t="s">
        <v>1931</v>
      </c>
      <c r="F2" s="675" t="s">
        <v>490</v>
      </c>
      <c r="G2" s="677" t="s">
        <v>1934</v>
      </c>
      <c r="H2" s="675" t="s">
        <v>1753</v>
      </c>
      <c r="I2" s="675" t="s">
        <v>1935</v>
      </c>
      <c r="J2" s="1151" t="s">
        <v>1936</v>
      </c>
      <c r="K2" s="1151"/>
      <c r="L2" s="1151"/>
      <c r="M2" s="1151"/>
      <c r="N2" s="1151"/>
      <c r="O2" s="1151"/>
      <c r="P2" s="683">
        <v>2000</v>
      </c>
      <c r="Q2" s="683">
        <v>5000</v>
      </c>
      <c r="R2" s="683">
        <v>10000</v>
      </c>
      <c r="S2" s="684">
        <v>48</v>
      </c>
      <c r="T2" s="684">
        <v>60</v>
      </c>
      <c r="U2" s="684">
        <v>72</v>
      </c>
      <c r="V2" s="685">
        <v>0.05</v>
      </c>
      <c r="W2" s="685">
        <v>0.06</v>
      </c>
      <c r="X2" s="685">
        <v>6.5000000000000002E-2</v>
      </c>
      <c r="Y2" s="685">
        <v>9.9000000000000005E-2</v>
      </c>
      <c r="Z2" s="685">
        <v>0.109</v>
      </c>
      <c r="AA2" s="685">
        <v>0.114</v>
      </c>
      <c r="AB2" s="686">
        <v>9.9000000000000005E-2</v>
      </c>
      <c r="AC2" s="685">
        <v>9.9000000000000005E-2</v>
      </c>
      <c r="AD2" s="685">
        <v>9.9000000000000005E-2</v>
      </c>
      <c r="AE2" s="685">
        <v>0.14899999999999999</v>
      </c>
      <c r="AF2" s="685">
        <v>0.159</v>
      </c>
      <c r="AG2" s="685">
        <v>0.16900000000000001</v>
      </c>
    </row>
    <row r="3" spans="1:33" ht="22" x14ac:dyDescent="0.3">
      <c r="A3" s="675" t="s">
        <v>1937</v>
      </c>
      <c r="B3" s="682" t="s">
        <v>1938</v>
      </c>
      <c r="C3" s="675" t="s">
        <v>1939</v>
      </c>
      <c r="D3" s="675" t="s">
        <v>1940</v>
      </c>
      <c r="E3" s="675" t="s">
        <v>1937</v>
      </c>
      <c r="F3" s="675" t="s">
        <v>490</v>
      </c>
      <c r="G3" s="677" t="s">
        <v>1941</v>
      </c>
      <c r="H3" s="675" t="s">
        <v>1723</v>
      </c>
      <c r="I3" s="675" t="s">
        <v>1942</v>
      </c>
      <c r="J3" s="1151" t="s">
        <v>1943</v>
      </c>
      <c r="K3" s="1151"/>
      <c r="L3" s="1151"/>
      <c r="M3" s="1151"/>
      <c r="N3" s="1151"/>
      <c r="O3" s="1151"/>
      <c r="P3" s="683">
        <v>2000</v>
      </c>
      <c r="Q3" s="683">
        <v>5000</v>
      </c>
      <c r="R3" s="683">
        <v>10000</v>
      </c>
      <c r="S3" s="684">
        <v>48</v>
      </c>
      <c r="T3" s="684">
        <v>60</v>
      </c>
      <c r="U3" s="684">
        <v>72</v>
      </c>
      <c r="V3" s="685">
        <v>0.05</v>
      </c>
      <c r="W3" s="685">
        <v>0.06</v>
      </c>
      <c r="X3" s="685">
        <v>6.5000000000000002E-2</v>
      </c>
      <c r="Y3" s="685">
        <v>9.9000000000000005E-2</v>
      </c>
      <c r="Z3" s="685">
        <v>0.109</v>
      </c>
      <c r="AA3" s="685">
        <v>0.114</v>
      </c>
      <c r="AB3" s="686">
        <v>9.9000000000000005E-2</v>
      </c>
      <c r="AC3" s="685">
        <v>9.9000000000000005E-2</v>
      </c>
      <c r="AD3" s="685">
        <v>9.9000000000000005E-2</v>
      </c>
      <c r="AE3" s="685">
        <v>0.14899999999999999</v>
      </c>
      <c r="AF3" s="685">
        <v>0.159</v>
      </c>
      <c r="AG3" s="685">
        <v>0.16900000000000001</v>
      </c>
    </row>
    <row r="4" spans="1:33" ht="22" x14ac:dyDescent="0.3">
      <c r="A4" s="675" t="s">
        <v>1944</v>
      </c>
      <c r="B4" s="682" t="s">
        <v>1526</v>
      </c>
      <c r="C4" s="675" t="s">
        <v>1945</v>
      </c>
      <c r="D4" s="675" t="s">
        <v>1946</v>
      </c>
      <c r="E4" s="675" t="s">
        <v>1944</v>
      </c>
      <c r="F4" s="675" t="s">
        <v>490</v>
      </c>
      <c r="G4" s="677" t="s">
        <v>1947</v>
      </c>
      <c r="H4" s="675" t="s">
        <v>1726</v>
      </c>
      <c r="I4" s="675" t="s">
        <v>1948</v>
      </c>
      <c r="J4" s="1151" t="s">
        <v>1949</v>
      </c>
      <c r="K4" s="1151"/>
      <c r="L4" s="1151"/>
      <c r="M4" s="1151"/>
      <c r="N4" s="1151"/>
      <c r="O4" s="1151"/>
      <c r="P4" s="683">
        <v>2000</v>
      </c>
      <c r="Q4" s="683">
        <v>5000</v>
      </c>
      <c r="R4" s="683">
        <v>10000</v>
      </c>
      <c r="S4" s="684">
        <v>48</v>
      </c>
      <c r="T4" s="684">
        <v>60</v>
      </c>
      <c r="U4" s="684">
        <v>72</v>
      </c>
      <c r="V4" s="685">
        <v>0.05</v>
      </c>
      <c r="W4" s="685">
        <v>0.06</v>
      </c>
      <c r="X4" s="685">
        <v>6.5000000000000002E-2</v>
      </c>
      <c r="Y4" s="685">
        <v>9.9000000000000005E-2</v>
      </c>
      <c r="Z4" s="685">
        <v>0.109</v>
      </c>
      <c r="AA4" s="685">
        <v>0.114</v>
      </c>
      <c r="AB4" s="686">
        <v>9.9000000000000005E-2</v>
      </c>
      <c r="AC4" s="685">
        <v>9.9000000000000005E-2</v>
      </c>
      <c r="AD4" s="685">
        <v>9.9000000000000005E-2</v>
      </c>
      <c r="AE4" s="685">
        <v>0.14899999999999999</v>
      </c>
      <c r="AF4" s="685">
        <v>0.159</v>
      </c>
      <c r="AG4" s="685">
        <v>0.16900000000000001</v>
      </c>
    </row>
    <row r="5" spans="1:33" ht="22" x14ac:dyDescent="0.3">
      <c r="A5" s="675" t="s">
        <v>2264</v>
      </c>
      <c r="B5" s="682" t="s">
        <v>1950</v>
      </c>
      <c r="C5" s="675" t="s">
        <v>2265</v>
      </c>
      <c r="D5" s="675" t="s">
        <v>2266</v>
      </c>
      <c r="E5" s="675" t="s">
        <v>2264</v>
      </c>
      <c r="F5" s="675" t="s">
        <v>490</v>
      </c>
      <c r="G5" s="677">
        <v>32220</v>
      </c>
      <c r="H5" s="675" t="s">
        <v>1703</v>
      </c>
      <c r="I5" s="675" t="s">
        <v>2267</v>
      </c>
      <c r="J5" s="1151" t="s">
        <v>2268</v>
      </c>
      <c r="K5" s="1151"/>
      <c r="L5" s="1151"/>
      <c r="M5" s="1151"/>
      <c r="N5" s="1151"/>
      <c r="O5" s="1151"/>
      <c r="P5" s="683">
        <v>2000</v>
      </c>
      <c r="Q5" s="683">
        <v>5000</v>
      </c>
      <c r="R5" s="683">
        <v>10000</v>
      </c>
      <c r="S5" s="684">
        <v>48</v>
      </c>
      <c r="T5" s="684">
        <v>60</v>
      </c>
      <c r="U5" s="684">
        <v>72</v>
      </c>
      <c r="V5" s="685">
        <v>0.05</v>
      </c>
      <c r="W5" s="685">
        <v>0.06</v>
      </c>
      <c r="X5" s="685">
        <v>6.5000000000000002E-2</v>
      </c>
      <c r="Y5" s="685">
        <v>9.9000000000000005E-2</v>
      </c>
      <c r="Z5" s="685">
        <v>0.109</v>
      </c>
      <c r="AA5" s="685">
        <v>0.114</v>
      </c>
      <c r="AB5" s="686">
        <v>9.9000000000000005E-2</v>
      </c>
      <c r="AC5" s="685">
        <v>9.9000000000000005E-2</v>
      </c>
      <c r="AD5" s="685">
        <v>9.9000000000000005E-2</v>
      </c>
      <c r="AE5" s="685">
        <v>0.14899999999999999</v>
      </c>
      <c r="AF5" s="685">
        <v>0.159</v>
      </c>
      <c r="AG5" s="685">
        <v>0.16900000000000001</v>
      </c>
    </row>
    <row r="6" spans="1:33" ht="22" x14ac:dyDescent="0.3">
      <c r="A6" s="675" t="s">
        <v>1951</v>
      </c>
      <c r="B6" s="682" t="s">
        <v>1952</v>
      </c>
      <c r="C6" s="675" t="s">
        <v>1953</v>
      </c>
      <c r="D6" s="675" t="s">
        <v>1954</v>
      </c>
      <c r="E6" s="675" t="s">
        <v>1951</v>
      </c>
      <c r="F6" s="675" t="s">
        <v>490</v>
      </c>
      <c r="G6" s="677" t="s">
        <v>1955</v>
      </c>
      <c r="H6" s="675" t="s">
        <v>1747</v>
      </c>
      <c r="I6" s="675" t="s">
        <v>1956</v>
      </c>
      <c r="J6" s="1151" t="s">
        <v>1957</v>
      </c>
      <c r="K6" s="1151"/>
      <c r="L6" s="1151"/>
      <c r="M6" s="1151"/>
      <c r="N6" s="1151"/>
      <c r="O6" s="1151"/>
      <c r="P6" s="683">
        <v>2000</v>
      </c>
      <c r="Q6" s="683">
        <v>5000</v>
      </c>
      <c r="R6" s="683">
        <v>10000</v>
      </c>
      <c r="S6" s="684">
        <v>48</v>
      </c>
      <c r="T6" s="684">
        <v>60</v>
      </c>
      <c r="U6" s="684">
        <v>72</v>
      </c>
      <c r="V6" s="685">
        <v>0.05</v>
      </c>
      <c r="W6" s="685">
        <v>0.06</v>
      </c>
      <c r="X6" s="685">
        <v>6.5000000000000002E-2</v>
      </c>
      <c r="Y6" s="685">
        <v>9.9000000000000005E-2</v>
      </c>
      <c r="Z6" s="685">
        <v>0.109</v>
      </c>
      <c r="AA6" s="685">
        <v>0.114</v>
      </c>
      <c r="AB6" s="686">
        <v>9.9000000000000005E-2</v>
      </c>
      <c r="AC6" s="685">
        <v>9.9000000000000005E-2</v>
      </c>
      <c r="AD6" s="685">
        <v>9.9000000000000005E-2</v>
      </c>
      <c r="AE6" s="685">
        <v>0.14899999999999999</v>
      </c>
      <c r="AF6" s="685">
        <v>0.159</v>
      </c>
      <c r="AG6" s="685">
        <v>0.16900000000000001</v>
      </c>
    </row>
    <row r="7" spans="1:33" ht="22" x14ac:dyDescent="0.3">
      <c r="A7" s="675" t="s">
        <v>1728</v>
      </c>
      <c r="B7" s="682" t="s">
        <v>1958</v>
      </c>
      <c r="C7" s="675" t="s">
        <v>1959</v>
      </c>
      <c r="D7" s="675" t="s">
        <v>1960</v>
      </c>
      <c r="E7" s="675" t="s">
        <v>1728</v>
      </c>
      <c r="F7" s="675" t="s">
        <v>490</v>
      </c>
      <c r="G7" s="677" t="s">
        <v>1961</v>
      </c>
      <c r="H7" s="675" t="s">
        <v>1728</v>
      </c>
      <c r="I7" s="675" t="s">
        <v>1962</v>
      </c>
      <c r="J7" s="1151" t="s">
        <v>1963</v>
      </c>
      <c r="K7" s="1151"/>
      <c r="L7" s="1151"/>
      <c r="M7" s="1151"/>
      <c r="N7" s="1151"/>
      <c r="O7" s="1151"/>
      <c r="P7" s="683">
        <v>2000</v>
      </c>
      <c r="Q7" s="683">
        <v>5000</v>
      </c>
      <c r="R7" s="683">
        <v>10000</v>
      </c>
      <c r="S7" s="684">
        <v>48</v>
      </c>
      <c r="T7" s="684">
        <v>60</v>
      </c>
      <c r="U7" s="684">
        <v>72</v>
      </c>
      <c r="V7" s="685">
        <v>0.05</v>
      </c>
      <c r="W7" s="685">
        <v>0.06</v>
      </c>
      <c r="X7" s="685">
        <v>6.5000000000000002E-2</v>
      </c>
      <c r="Y7" s="685">
        <v>9.9000000000000005E-2</v>
      </c>
      <c r="Z7" s="685">
        <v>0.109</v>
      </c>
      <c r="AA7" s="685">
        <v>0.114</v>
      </c>
      <c r="AB7" s="686">
        <v>9.9000000000000005E-2</v>
      </c>
      <c r="AC7" s="685">
        <v>9.9000000000000005E-2</v>
      </c>
      <c r="AD7" s="685">
        <v>9.9000000000000005E-2</v>
      </c>
      <c r="AE7" s="685">
        <v>0.14899999999999999</v>
      </c>
      <c r="AF7" s="685">
        <v>0.159</v>
      </c>
      <c r="AG7" s="685">
        <v>0.16900000000000001</v>
      </c>
    </row>
    <row r="8" spans="1:33" ht="22" x14ac:dyDescent="0.3">
      <c r="A8" s="675" t="s">
        <v>1964</v>
      </c>
      <c r="B8" s="682" t="s">
        <v>1965</v>
      </c>
      <c r="C8" s="675" t="s">
        <v>1966</v>
      </c>
      <c r="D8" s="675" t="s">
        <v>1967</v>
      </c>
      <c r="E8" s="675" t="s">
        <v>1964</v>
      </c>
      <c r="F8" s="675" t="s">
        <v>490</v>
      </c>
      <c r="G8" s="677" t="s">
        <v>1968</v>
      </c>
      <c r="H8" s="675" t="s">
        <v>1690</v>
      </c>
      <c r="I8" s="675" t="s">
        <v>1969</v>
      </c>
      <c r="J8" s="1151" t="s">
        <v>1970</v>
      </c>
      <c r="K8" s="1151"/>
      <c r="L8" s="1151"/>
      <c r="M8" s="1151"/>
      <c r="N8" s="1151"/>
      <c r="O8" s="1151"/>
      <c r="P8" s="683">
        <v>2000</v>
      </c>
      <c r="Q8" s="683">
        <v>5000</v>
      </c>
      <c r="R8" s="683">
        <v>10000</v>
      </c>
      <c r="S8" s="684">
        <v>48</v>
      </c>
      <c r="T8" s="684">
        <v>60</v>
      </c>
      <c r="U8" s="684">
        <v>72</v>
      </c>
      <c r="V8" s="685">
        <v>0.05</v>
      </c>
      <c r="W8" s="685">
        <v>0.06</v>
      </c>
      <c r="X8" s="685">
        <v>6.5000000000000002E-2</v>
      </c>
      <c r="Y8" s="685">
        <v>9.9000000000000005E-2</v>
      </c>
      <c r="Z8" s="685">
        <v>0.109</v>
      </c>
      <c r="AA8" s="685">
        <v>0.114</v>
      </c>
      <c r="AB8" s="686">
        <v>9.9000000000000005E-2</v>
      </c>
      <c r="AC8" s="685">
        <v>9.9000000000000005E-2</v>
      </c>
      <c r="AD8" s="685">
        <v>9.9000000000000005E-2</v>
      </c>
      <c r="AE8" s="685">
        <v>0.14899999999999999</v>
      </c>
      <c r="AF8" s="685">
        <v>0.159</v>
      </c>
      <c r="AG8" s="685">
        <v>0.16900000000000001</v>
      </c>
    </row>
    <row r="9" spans="1:33" ht="22" x14ac:dyDescent="0.3">
      <c r="A9" s="675" t="s">
        <v>1971</v>
      </c>
      <c r="B9" s="682" t="s">
        <v>1533</v>
      </c>
      <c r="C9" s="675" t="s">
        <v>1972</v>
      </c>
      <c r="D9" s="675" t="s">
        <v>1973</v>
      </c>
      <c r="E9" s="675" t="s">
        <v>1974</v>
      </c>
      <c r="F9" s="675" t="s">
        <v>1578</v>
      </c>
      <c r="G9" s="677" t="s">
        <v>1975</v>
      </c>
      <c r="H9" s="675" t="s">
        <v>1976</v>
      </c>
      <c r="I9" s="675" t="s">
        <v>1977</v>
      </c>
      <c r="J9" s="1151" t="s">
        <v>1978</v>
      </c>
      <c r="K9" s="1151"/>
      <c r="L9" s="1151"/>
      <c r="M9" s="1151"/>
      <c r="N9" s="1151"/>
      <c r="O9" s="1151"/>
      <c r="P9" s="683">
        <v>2000</v>
      </c>
      <c r="Q9" s="683">
        <v>5000</v>
      </c>
      <c r="R9" s="683">
        <v>10000</v>
      </c>
      <c r="S9" s="684">
        <v>48</v>
      </c>
      <c r="T9" s="684">
        <v>60</v>
      </c>
      <c r="U9" s="684">
        <v>72</v>
      </c>
      <c r="V9" s="685">
        <v>0.05</v>
      </c>
      <c r="W9" s="685">
        <v>0.06</v>
      </c>
      <c r="X9" s="685">
        <v>6.5000000000000002E-2</v>
      </c>
      <c r="Y9" s="685">
        <v>9.9000000000000005E-2</v>
      </c>
      <c r="Z9" s="685">
        <v>0.109</v>
      </c>
      <c r="AA9" s="685">
        <v>0.114</v>
      </c>
      <c r="AB9" s="686">
        <v>9.9000000000000005E-2</v>
      </c>
      <c r="AC9" s="685">
        <v>9.9000000000000005E-2</v>
      </c>
      <c r="AD9" s="685">
        <v>9.9000000000000005E-2</v>
      </c>
      <c r="AE9" s="685">
        <v>0.14899999999999999</v>
      </c>
      <c r="AF9" s="685">
        <v>0.159</v>
      </c>
      <c r="AG9" s="685">
        <v>0.16900000000000001</v>
      </c>
    </row>
    <row r="10" spans="1:33" ht="22" x14ac:dyDescent="0.3">
      <c r="A10" s="675" t="s">
        <v>1979</v>
      </c>
      <c r="B10" s="682" t="s">
        <v>1980</v>
      </c>
      <c r="C10" s="675" t="s">
        <v>1981</v>
      </c>
      <c r="D10" s="675" t="s">
        <v>1982</v>
      </c>
      <c r="E10" s="675" t="s">
        <v>1979</v>
      </c>
      <c r="F10" s="675" t="s">
        <v>490</v>
      </c>
      <c r="G10" s="677" t="s">
        <v>1983</v>
      </c>
      <c r="H10" s="675" t="s">
        <v>1725</v>
      </c>
      <c r="I10" s="675" t="s">
        <v>1984</v>
      </c>
      <c r="J10" s="1151" t="s">
        <v>1985</v>
      </c>
      <c r="K10" s="1151"/>
      <c r="L10" s="1151"/>
      <c r="M10" s="1151"/>
      <c r="N10" s="1151"/>
      <c r="O10" s="1151"/>
      <c r="P10" s="683">
        <v>2000</v>
      </c>
      <c r="Q10" s="683">
        <v>5000</v>
      </c>
      <c r="R10" s="683">
        <v>10000</v>
      </c>
      <c r="S10" s="684">
        <v>48</v>
      </c>
      <c r="T10" s="684">
        <v>60</v>
      </c>
      <c r="U10" s="684">
        <v>72</v>
      </c>
      <c r="V10" s="685">
        <v>0.05</v>
      </c>
      <c r="W10" s="685">
        <v>0.06</v>
      </c>
      <c r="X10" s="685">
        <v>6.5000000000000002E-2</v>
      </c>
      <c r="Y10" s="685">
        <v>9.9000000000000005E-2</v>
      </c>
      <c r="Z10" s="685">
        <v>0.109</v>
      </c>
      <c r="AA10" s="685">
        <v>0.114</v>
      </c>
      <c r="AB10" s="686">
        <v>9.9000000000000005E-2</v>
      </c>
      <c r="AC10" s="685">
        <v>9.9000000000000005E-2</v>
      </c>
      <c r="AD10" s="685">
        <v>9.9000000000000005E-2</v>
      </c>
      <c r="AE10" s="685">
        <v>0.14899999999999999</v>
      </c>
      <c r="AF10" s="685">
        <v>0.159</v>
      </c>
      <c r="AG10" s="685">
        <v>0.16900000000000001</v>
      </c>
    </row>
    <row r="11" spans="1:33" ht="22" x14ac:dyDescent="0.3">
      <c r="A11" s="675" t="s">
        <v>1986</v>
      </c>
      <c r="B11" s="682" t="s">
        <v>1987</v>
      </c>
      <c r="C11" s="675" t="s">
        <v>1988</v>
      </c>
      <c r="D11" s="675" t="s">
        <v>1989</v>
      </c>
      <c r="E11" s="675" t="s">
        <v>1986</v>
      </c>
      <c r="F11" s="675" t="s">
        <v>490</v>
      </c>
      <c r="G11" s="677" t="s">
        <v>1990</v>
      </c>
      <c r="H11" s="675" t="s">
        <v>1714</v>
      </c>
      <c r="I11" s="675" t="s">
        <v>1991</v>
      </c>
      <c r="J11" s="1151" t="s">
        <v>1992</v>
      </c>
      <c r="K11" s="1151"/>
      <c r="L11" s="1151"/>
      <c r="M11" s="1151"/>
      <c r="N11" s="1151"/>
      <c r="O11" s="1151"/>
      <c r="P11" s="683">
        <v>2000</v>
      </c>
      <c r="Q11" s="683">
        <v>5000</v>
      </c>
      <c r="R11" s="683">
        <v>10000</v>
      </c>
      <c r="S11" s="684">
        <v>48</v>
      </c>
      <c r="T11" s="684">
        <v>60</v>
      </c>
      <c r="U11" s="684">
        <v>72</v>
      </c>
      <c r="V11" s="685">
        <v>0.05</v>
      </c>
      <c r="W11" s="685">
        <v>0.06</v>
      </c>
      <c r="X11" s="685">
        <v>6.5000000000000002E-2</v>
      </c>
      <c r="Y11" s="685">
        <v>9.9000000000000005E-2</v>
      </c>
      <c r="Z11" s="685">
        <v>0.109</v>
      </c>
      <c r="AA11" s="685">
        <v>0.114</v>
      </c>
      <c r="AB11" s="686">
        <v>9.9000000000000005E-2</v>
      </c>
      <c r="AC11" s="685">
        <v>9.9000000000000005E-2</v>
      </c>
      <c r="AD11" s="685">
        <v>9.9000000000000005E-2</v>
      </c>
      <c r="AE11" s="685">
        <v>0.14899999999999999</v>
      </c>
      <c r="AF11" s="685">
        <v>0.159</v>
      </c>
      <c r="AG11" s="685">
        <v>0.16900000000000001</v>
      </c>
    </row>
    <row r="12" spans="1:33" ht="22" x14ac:dyDescent="0.3">
      <c r="A12" s="675" t="s">
        <v>1993</v>
      </c>
      <c r="B12" s="682" t="s">
        <v>1994</v>
      </c>
      <c r="C12" s="675" t="s">
        <v>1995</v>
      </c>
      <c r="D12" s="675" t="s">
        <v>1996</v>
      </c>
      <c r="E12" s="675" t="s">
        <v>1993</v>
      </c>
      <c r="F12" s="675" t="s">
        <v>490</v>
      </c>
      <c r="G12" s="677" t="s">
        <v>1997</v>
      </c>
      <c r="H12" s="675" t="s">
        <v>1696</v>
      </c>
      <c r="I12" s="675" t="s">
        <v>1998</v>
      </c>
      <c r="J12" s="1151" t="s">
        <v>1999</v>
      </c>
      <c r="K12" s="1151"/>
      <c r="L12" s="1151"/>
      <c r="M12" s="1151"/>
      <c r="N12" s="1151"/>
      <c r="O12" s="1151"/>
      <c r="P12" s="683">
        <v>2000</v>
      </c>
      <c r="Q12" s="683">
        <v>5000</v>
      </c>
      <c r="R12" s="683">
        <v>10000</v>
      </c>
      <c r="S12" s="684">
        <v>48</v>
      </c>
      <c r="T12" s="684">
        <v>60</v>
      </c>
      <c r="U12" s="684">
        <v>72</v>
      </c>
      <c r="V12" s="685">
        <v>0.05</v>
      </c>
      <c r="W12" s="685">
        <v>0.06</v>
      </c>
      <c r="X12" s="685">
        <v>6.5000000000000002E-2</v>
      </c>
      <c r="Y12" s="685">
        <v>9.9000000000000005E-2</v>
      </c>
      <c r="Z12" s="685">
        <v>0.109</v>
      </c>
      <c r="AA12" s="685">
        <v>0.114</v>
      </c>
      <c r="AB12" s="686">
        <v>9.9000000000000005E-2</v>
      </c>
      <c r="AC12" s="685">
        <v>9.9000000000000005E-2</v>
      </c>
      <c r="AD12" s="685">
        <v>9.9000000000000005E-2</v>
      </c>
      <c r="AE12" s="685">
        <v>0.14899999999999999</v>
      </c>
      <c r="AF12" s="685">
        <v>0.159</v>
      </c>
      <c r="AG12" s="685">
        <v>0.16900000000000001</v>
      </c>
    </row>
    <row r="13" spans="1:33" ht="22" x14ac:dyDescent="0.3">
      <c r="A13" s="675" t="s">
        <v>2000</v>
      </c>
      <c r="B13" s="682" t="s">
        <v>2001</v>
      </c>
      <c r="C13" s="675" t="s">
        <v>2002</v>
      </c>
      <c r="D13" s="675" t="s">
        <v>2003</v>
      </c>
      <c r="E13" s="675" t="s">
        <v>2000</v>
      </c>
      <c r="F13" s="675" t="s">
        <v>490</v>
      </c>
      <c r="G13" s="677" t="s">
        <v>2004</v>
      </c>
      <c r="H13" s="675" t="s">
        <v>1730</v>
      </c>
      <c r="I13" s="675" t="s">
        <v>2005</v>
      </c>
      <c r="J13" s="1151" t="s">
        <v>2006</v>
      </c>
      <c r="K13" s="1151"/>
      <c r="L13" s="1151"/>
      <c r="M13" s="1151"/>
      <c r="N13" s="1151"/>
      <c r="O13" s="1151"/>
      <c r="P13" s="683">
        <v>2000</v>
      </c>
      <c r="Q13" s="683">
        <v>5000</v>
      </c>
      <c r="R13" s="683">
        <v>10000</v>
      </c>
      <c r="S13" s="684">
        <v>48</v>
      </c>
      <c r="T13" s="684">
        <v>60</v>
      </c>
      <c r="U13" s="684">
        <v>72</v>
      </c>
      <c r="V13" s="685">
        <v>0.05</v>
      </c>
      <c r="W13" s="685">
        <v>0.06</v>
      </c>
      <c r="X13" s="685">
        <v>6.5000000000000002E-2</v>
      </c>
      <c r="Y13" s="685">
        <v>9.9000000000000005E-2</v>
      </c>
      <c r="Z13" s="685">
        <v>0.109</v>
      </c>
      <c r="AA13" s="685">
        <v>0.114</v>
      </c>
      <c r="AB13" s="686">
        <v>9.9000000000000005E-2</v>
      </c>
      <c r="AC13" s="685">
        <v>9.9000000000000005E-2</v>
      </c>
      <c r="AD13" s="685">
        <v>9.9000000000000005E-2</v>
      </c>
      <c r="AE13" s="685">
        <v>0.14899999999999999</v>
      </c>
      <c r="AF13" s="685">
        <v>0.159</v>
      </c>
      <c r="AG13" s="685">
        <v>0.16900000000000001</v>
      </c>
    </row>
    <row r="14" spans="1:33" ht="22" x14ac:dyDescent="0.3">
      <c r="A14" s="675" t="s">
        <v>2007</v>
      </c>
      <c r="B14" s="682" t="s">
        <v>2008</v>
      </c>
      <c r="C14" s="675" t="s">
        <v>2009</v>
      </c>
      <c r="D14" s="675" t="s">
        <v>2010</v>
      </c>
      <c r="E14" s="675" t="s">
        <v>2011</v>
      </c>
      <c r="F14" s="675" t="s">
        <v>490</v>
      </c>
      <c r="G14" s="677" t="s">
        <v>2012</v>
      </c>
      <c r="H14" s="675" t="s">
        <v>1691</v>
      </c>
      <c r="I14" s="675" t="s">
        <v>2013</v>
      </c>
      <c r="J14" s="1151" t="s">
        <v>2014</v>
      </c>
      <c r="K14" s="1151"/>
      <c r="L14" s="1151"/>
      <c r="M14" s="1151"/>
      <c r="N14" s="1151"/>
      <c r="O14" s="1151"/>
      <c r="P14" s="683">
        <v>2000</v>
      </c>
      <c r="Q14" s="683">
        <v>5000</v>
      </c>
      <c r="R14" s="683">
        <v>10000</v>
      </c>
      <c r="S14" s="684">
        <v>48</v>
      </c>
      <c r="T14" s="684">
        <v>60</v>
      </c>
      <c r="U14" s="684">
        <v>72</v>
      </c>
      <c r="V14" s="685">
        <v>0.05</v>
      </c>
      <c r="W14" s="685">
        <v>0.06</v>
      </c>
      <c r="X14" s="685">
        <v>6.5000000000000002E-2</v>
      </c>
      <c r="Y14" s="685">
        <v>9.9000000000000005E-2</v>
      </c>
      <c r="Z14" s="685">
        <v>0.109</v>
      </c>
      <c r="AA14" s="685">
        <v>0.114</v>
      </c>
      <c r="AB14" s="686">
        <v>9.9000000000000005E-2</v>
      </c>
      <c r="AC14" s="685">
        <v>9.9000000000000005E-2</v>
      </c>
      <c r="AD14" s="685">
        <v>9.9000000000000005E-2</v>
      </c>
      <c r="AE14" s="685">
        <v>0.14899999999999999</v>
      </c>
      <c r="AF14" s="685">
        <v>0.159</v>
      </c>
      <c r="AG14" s="685">
        <v>0.16900000000000001</v>
      </c>
    </row>
    <row r="15" spans="1:33" ht="22" x14ac:dyDescent="0.3">
      <c r="A15" s="675" t="s">
        <v>2015</v>
      </c>
      <c r="B15" s="682" t="s">
        <v>2016</v>
      </c>
      <c r="C15" s="675" t="s">
        <v>2017</v>
      </c>
      <c r="D15" s="675" t="s">
        <v>2018</v>
      </c>
      <c r="E15" s="675" t="s">
        <v>2015</v>
      </c>
      <c r="F15" s="675" t="s">
        <v>490</v>
      </c>
      <c r="G15" s="677" t="s">
        <v>2019</v>
      </c>
      <c r="H15" s="675" t="s">
        <v>1743</v>
      </c>
      <c r="I15" s="675" t="s">
        <v>2020</v>
      </c>
      <c r="J15" s="1151" t="s">
        <v>2021</v>
      </c>
      <c r="K15" s="1151"/>
      <c r="L15" s="1151"/>
      <c r="M15" s="1151"/>
      <c r="N15" s="1151"/>
      <c r="O15" s="1151"/>
      <c r="P15" s="683">
        <v>2000</v>
      </c>
      <c r="Q15" s="683">
        <v>5000</v>
      </c>
      <c r="R15" s="683">
        <v>10000</v>
      </c>
      <c r="S15" s="684">
        <v>48</v>
      </c>
      <c r="T15" s="684">
        <v>60</v>
      </c>
      <c r="U15" s="684">
        <v>72</v>
      </c>
      <c r="V15" s="685">
        <v>0.05</v>
      </c>
      <c r="W15" s="685">
        <v>0.06</v>
      </c>
      <c r="X15" s="685">
        <v>6.5000000000000002E-2</v>
      </c>
      <c r="Y15" s="685">
        <v>9.9000000000000005E-2</v>
      </c>
      <c r="Z15" s="685">
        <v>0.109</v>
      </c>
      <c r="AA15" s="685">
        <v>0.114</v>
      </c>
      <c r="AB15" s="686">
        <v>9.9000000000000005E-2</v>
      </c>
      <c r="AC15" s="685">
        <v>9.9000000000000005E-2</v>
      </c>
      <c r="AD15" s="685">
        <v>9.9000000000000005E-2</v>
      </c>
      <c r="AE15" s="685">
        <v>0.14899999999999999</v>
      </c>
      <c r="AF15" s="685">
        <v>0.159</v>
      </c>
      <c r="AG15" s="685">
        <v>0.16900000000000001</v>
      </c>
    </row>
    <row r="16" spans="1:33" ht="22" x14ac:dyDescent="0.3">
      <c r="A16" s="675" t="s">
        <v>2022</v>
      </c>
      <c r="B16" s="682" t="s">
        <v>2023</v>
      </c>
      <c r="C16" s="675" t="s">
        <v>2024</v>
      </c>
      <c r="D16" s="675" t="s">
        <v>2025</v>
      </c>
      <c r="E16" s="675" t="s">
        <v>2022</v>
      </c>
      <c r="F16" s="675" t="s">
        <v>490</v>
      </c>
      <c r="G16" s="677">
        <v>32060</v>
      </c>
      <c r="H16" s="675" t="s">
        <v>2026</v>
      </c>
      <c r="I16" s="675" t="s">
        <v>2027</v>
      </c>
      <c r="J16" s="1151" t="s">
        <v>2028</v>
      </c>
      <c r="K16" s="1151"/>
      <c r="L16" s="1151"/>
      <c r="M16" s="1151"/>
      <c r="N16" s="1151"/>
      <c r="O16" s="1151"/>
      <c r="P16" s="683">
        <v>2000</v>
      </c>
      <c r="Q16" s="683">
        <v>5000</v>
      </c>
      <c r="R16" s="683">
        <v>10000</v>
      </c>
      <c r="S16" s="684">
        <v>48</v>
      </c>
      <c r="T16" s="684">
        <v>60</v>
      </c>
      <c r="U16" s="684">
        <v>72</v>
      </c>
      <c r="V16" s="685">
        <v>0.05</v>
      </c>
      <c r="W16" s="685">
        <v>0.06</v>
      </c>
      <c r="X16" s="685">
        <v>6.5000000000000002E-2</v>
      </c>
      <c r="Y16" s="685">
        <v>9.9000000000000005E-2</v>
      </c>
      <c r="Z16" s="685">
        <v>0.109</v>
      </c>
      <c r="AA16" s="685">
        <v>0.114</v>
      </c>
      <c r="AB16" s="686">
        <v>9.9000000000000005E-2</v>
      </c>
      <c r="AC16" s="685">
        <v>9.9000000000000005E-2</v>
      </c>
      <c r="AD16" s="685">
        <v>9.9000000000000005E-2</v>
      </c>
      <c r="AE16" s="685">
        <v>0.14899999999999999</v>
      </c>
      <c r="AF16" s="685">
        <v>0.159</v>
      </c>
      <c r="AG16" s="685">
        <v>0.16900000000000001</v>
      </c>
    </row>
    <row r="17" spans="1:33" ht="22" x14ac:dyDescent="0.3">
      <c r="A17" s="675" t="s">
        <v>2283</v>
      </c>
      <c r="B17" s="687">
        <v>18</v>
      </c>
      <c r="E17" s="675" t="s">
        <v>2283</v>
      </c>
      <c r="F17" s="675" t="s">
        <v>490</v>
      </c>
      <c r="H17" s="675" t="s">
        <v>2284</v>
      </c>
      <c r="I17" s="675" t="s">
        <v>2285</v>
      </c>
      <c r="J17" s="1151" t="s">
        <v>2286</v>
      </c>
      <c r="K17" s="1151"/>
      <c r="L17" s="1151"/>
      <c r="M17" s="1151"/>
      <c r="N17" s="1151"/>
      <c r="O17" s="1151"/>
      <c r="T17"/>
      <c r="U17"/>
      <c r="V17"/>
      <c r="W17"/>
      <c r="X17"/>
      <c r="Y17"/>
    </row>
    <row r="18" spans="1:33" ht="22" x14ac:dyDescent="0.3">
      <c r="A18" s="675" t="s">
        <v>2029</v>
      </c>
      <c r="B18" s="687">
        <v>17</v>
      </c>
      <c r="C18" s="675" t="s">
        <v>2030</v>
      </c>
      <c r="D18" s="675" t="s">
        <v>2031</v>
      </c>
      <c r="E18" s="675" t="s">
        <v>2029</v>
      </c>
      <c r="F18" s="675" t="s">
        <v>490</v>
      </c>
      <c r="G18" s="677">
        <v>34461</v>
      </c>
      <c r="H18" s="675" t="s">
        <v>1696</v>
      </c>
      <c r="I18" s="675" t="s">
        <v>2032</v>
      </c>
      <c r="J18" s="1151" t="s">
        <v>2033</v>
      </c>
      <c r="K18" s="1151"/>
      <c r="L18" s="1151"/>
      <c r="M18" s="1151"/>
      <c r="N18" s="1151"/>
      <c r="O18" s="1151"/>
      <c r="P18" s="683">
        <v>2000</v>
      </c>
      <c r="Q18" s="683">
        <v>5000</v>
      </c>
      <c r="R18" s="683">
        <v>10000</v>
      </c>
      <c r="S18" s="684">
        <v>48</v>
      </c>
      <c r="T18" s="684">
        <v>60</v>
      </c>
      <c r="U18" s="684">
        <v>72</v>
      </c>
      <c r="V18" s="685">
        <v>0.05</v>
      </c>
      <c r="W18" s="685">
        <v>0.06</v>
      </c>
      <c r="X18" s="685">
        <v>6.5000000000000002E-2</v>
      </c>
      <c r="Y18" s="685">
        <v>9.9000000000000005E-2</v>
      </c>
      <c r="Z18" s="685">
        <v>0.109</v>
      </c>
      <c r="AA18" s="685">
        <v>0.114</v>
      </c>
      <c r="AB18" s="686">
        <v>9.9000000000000005E-2</v>
      </c>
      <c r="AC18" s="685">
        <v>9.9000000000000005E-2</v>
      </c>
      <c r="AD18" s="685">
        <v>9.9000000000000005E-2</v>
      </c>
      <c r="AE18" s="685">
        <v>0.14899999999999999</v>
      </c>
      <c r="AF18" s="685">
        <v>0.159</v>
      </c>
      <c r="AG18" s="685">
        <v>0.16900000000000001</v>
      </c>
    </row>
    <row r="19" spans="1:33" ht="22" x14ac:dyDescent="0.3">
      <c r="A19" s="675" t="s">
        <v>2034</v>
      </c>
      <c r="B19" s="688" t="s">
        <v>482</v>
      </c>
      <c r="C19" s="675" t="s">
        <v>2035</v>
      </c>
      <c r="D19" s="675" t="s">
        <v>2036</v>
      </c>
      <c r="E19" s="675" t="s">
        <v>1714</v>
      </c>
      <c r="F19" s="675" t="s">
        <v>490</v>
      </c>
      <c r="G19" s="677">
        <v>34442</v>
      </c>
      <c r="H19" s="675" t="s">
        <v>1696</v>
      </c>
      <c r="I19" s="675" t="s">
        <v>2037</v>
      </c>
      <c r="J19" s="1151" t="s">
        <v>2038</v>
      </c>
      <c r="K19" s="1151"/>
      <c r="L19" s="1151"/>
      <c r="M19" s="1151"/>
      <c r="N19" s="1151"/>
      <c r="O19" s="1151"/>
      <c r="T19"/>
      <c r="U19"/>
      <c r="V19"/>
      <c r="W19"/>
      <c r="X19"/>
      <c r="Y19"/>
    </row>
    <row r="20" spans="1:33" ht="16" x14ac:dyDescent="0.2">
      <c r="T20"/>
      <c r="U20"/>
      <c r="V20"/>
      <c r="W20"/>
      <c r="X20"/>
      <c r="Y20"/>
    </row>
    <row r="21" spans="1:33" ht="16" x14ac:dyDescent="0.2">
      <c r="T21"/>
      <c r="U21"/>
      <c r="V21"/>
      <c r="W21"/>
      <c r="X21"/>
      <c r="Y21"/>
    </row>
    <row r="22" spans="1:33" ht="16" x14ac:dyDescent="0.2">
      <c r="T22"/>
      <c r="U22"/>
      <c r="V22"/>
      <c r="W22"/>
      <c r="X22"/>
      <c r="Y22"/>
    </row>
    <row r="23" spans="1:33" ht="16" x14ac:dyDescent="0.2">
      <c r="T23"/>
      <c r="U23"/>
      <c r="V23"/>
      <c r="W23"/>
      <c r="X23"/>
      <c r="Y23"/>
    </row>
    <row r="24" spans="1:33" ht="16" x14ac:dyDescent="0.2">
      <c r="T24"/>
      <c r="U24"/>
      <c r="V24"/>
      <c r="W24"/>
      <c r="X24"/>
      <c r="Y24"/>
    </row>
    <row r="25" spans="1:33" ht="16" x14ac:dyDescent="0.2">
      <c r="T25"/>
      <c r="U25"/>
      <c r="V25"/>
      <c r="W25"/>
      <c r="X25"/>
      <c r="Y25"/>
    </row>
    <row r="26" spans="1:33" ht="16" x14ac:dyDescent="0.2">
      <c r="T26"/>
      <c r="U26"/>
      <c r="V26"/>
      <c r="W26"/>
      <c r="X26"/>
      <c r="Y26"/>
    </row>
    <row r="27" spans="1:33" ht="16" x14ac:dyDescent="0.2">
      <c r="T27"/>
      <c r="U27"/>
      <c r="V27"/>
      <c r="W27"/>
      <c r="X27"/>
      <c r="Y27"/>
    </row>
    <row r="56" spans="4:4" ht="16" x14ac:dyDescent="0.2">
      <c r="D56" s="689"/>
    </row>
  </sheetData>
  <mergeCells count="18">
    <mergeCell ref="J2:O2"/>
    <mergeCell ref="J3:O3"/>
    <mergeCell ref="J4:O4"/>
    <mergeCell ref="J5:O5"/>
    <mergeCell ref="J6:O6"/>
    <mergeCell ref="J11:O11"/>
    <mergeCell ref="J12:O12"/>
    <mergeCell ref="J13:O13"/>
    <mergeCell ref="J19:O19"/>
    <mergeCell ref="J7:O7"/>
    <mergeCell ref="J18:O18"/>
    <mergeCell ref="J14:O14"/>
    <mergeCell ref="J15:O15"/>
    <mergeCell ref="J16:O16"/>
    <mergeCell ref="J8:O8"/>
    <mergeCell ref="J9:O9"/>
    <mergeCell ref="J10:O10"/>
    <mergeCell ref="J17:O17"/>
  </mergeCells>
  <pageMargins left="0" right="0" top="0" bottom="0" header="0" footer="0"/>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D55"/>
  <sheetViews>
    <sheetView workbookViewId="0">
      <selection activeCell="D9" sqref="D9"/>
    </sheetView>
  </sheetViews>
  <sheetFormatPr baseColWidth="10" defaultColWidth="7.5" defaultRowHeight="13" x14ac:dyDescent="0.2"/>
  <cols>
    <col min="1" max="1" width="21.5" style="690" customWidth="1"/>
    <col min="2" max="2" width="110.5" style="690" customWidth="1"/>
    <col min="3" max="16384" width="7.5" style="691"/>
  </cols>
  <sheetData>
    <row r="2" spans="1:2" ht="28" x14ac:dyDescent="0.2">
      <c r="A2" s="690" t="s">
        <v>2039</v>
      </c>
      <c r="B2" s="690" t="s">
        <v>2040</v>
      </c>
    </row>
    <row r="3" spans="1:2" ht="28" x14ac:dyDescent="0.2">
      <c r="A3" s="690" t="s">
        <v>2041</v>
      </c>
      <c r="B3" s="690" t="s">
        <v>2042</v>
      </c>
    </row>
    <row r="4" spans="1:2" ht="56" x14ac:dyDescent="0.2">
      <c r="A4" s="690" t="s">
        <v>2043</v>
      </c>
      <c r="B4" s="690" t="s">
        <v>2044</v>
      </c>
    </row>
    <row r="5" spans="1:2" ht="28" x14ac:dyDescent="0.2">
      <c r="A5" s="690" t="s">
        <v>2045</v>
      </c>
      <c r="B5" s="690" t="s">
        <v>2046</v>
      </c>
    </row>
    <row r="6" spans="1:2" ht="56" x14ac:dyDescent="0.2">
      <c r="A6" s="690" t="s">
        <v>2047</v>
      </c>
      <c r="B6" s="690" t="s">
        <v>2269</v>
      </c>
    </row>
    <row r="7" spans="1:2" ht="28" x14ac:dyDescent="0.2">
      <c r="A7" s="690" t="s">
        <v>2048</v>
      </c>
      <c r="B7" s="690" t="s">
        <v>2049</v>
      </c>
    </row>
    <row r="8" spans="1:2" ht="42" x14ac:dyDescent="0.2">
      <c r="A8" s="690" t="s">
        <v>2050</v>
      </c>
      <c r="B8" s="690" t="s">
        <v>2051</v>
      </c>
    </row>
    <row r="9" spans="1:2" ht="75" x14ac:dyDescent="0.2">
      <c r="A9" s="690" t="s">
        <v>2052</v>
      </c>
      <c r="B9" s="692" t="s">
        <v>2053</v>
      </c>
    </row>
    <row r="10" spans="1:2" ht="49" x14ac:dyDescent="0.2">
      <c r="A10" s="690" t="s">
        <v>2054</v>
      </c>
      <c r="B10" s="692" t="s">
        <v>2055</v>
      </c>
    </row>
    <row r="11" spans="1:2" ht="49" x14ac:dyDescent="0.2">
      <c r="A11" s="690" t="s">
        <v>2056</v>
      </c>
      <c r="B11" s="692" t="s">
        <v>2057</v>
      </c>
    </row>
    <row r="12" spans="1:2" ht="28" x14ac:dyDescent="0.2">
      <c r="A12" s="690" t="s">
        <v>2058</v>
      </c>
      <c r="B12" s="692" t="s">
        <v>2059</v>
      </c>
    </row>
    <row r="13" spans="1:2" ht="85" customHeight="1" x14ac:dyDescent="0.2">
      <c r="A13" s="690" t="s">
        <v>2060</v>
      </c>
      <c r="B13" s="693" t="s">
        <v>2061</v>
      </c>
    </row>
    <row r="14" spans="1:2" ht="72" customHeight="1" x14ac:dyDescent="0.2">
      <c r="A14" s="690" t="s">
        <v>2062</v>
      </c>
      <c r="B14" s="694" t="s">
        <v>2063</v>
      </c>
    </row>
    <row r="15" spans="1:2" ht="13" customHeight="1" x14ac:dyDescent="0.2">
      <c r="B15" s="693"/>
    </row>
    <row r="16" spans="1:2" ht="13" customHeight="1" x14ac:dyDescent="0.2">
      <c r="B16" s="693"/>
    </row>
    <row r="17" spans="2:2" ht="13" customHeight="1" x14ac:dyDescent="0.2">
      <c r="B17" s="693"/>
    </row>
    <row r="55" spans="4:4" ht="16" x14ac:dyDescent="0.2">
      <c r="D55" s="695"/>
    </row>
  </sheetData>
  <pageMargins left="0" right="0" top="0" bottom="0" header="0" footer="0"/>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55"/>
  <sheetViews>
    <sheetView topLeftCell="A17" workbookViewId="0">
      <selection activeCell="H45" sqref="H45"/>
    </sheetView>
  </sheetViews>
  <sheetFormatPr baseColWidth="10" defaultColWidth="8.5" defaultRowHeight="13" x14ac:dyDescent="0.15"/>
  <cols>
    <col min="1" max="1" width="14.33203125" style="696" customWidth="1"/>
    <col min="2" max="2" width="19.5" style="696" customWidth="1"/>
    <col min="3" max="6" width="8.5" style="696"/>
    <col min="7" max="8" width="0" style="696" hidden="1" customWidth="1"/>
    <col min="9" max="9" width="31" style="696" hidden="1" customWidth="1"/>
    <col min="10" max="16384" width="8.5" style="696"/>
  </cols>
  <sheetData>
    <row r="1" spans="1:9" ht="42" x14ac:dyDescent="0.15">
      <c r="A1" s="697" t="s">
        <v>64</v>
      </c>
      <c r="B1" s="697" t="s">
        <v>2064</v>
      </c>
      <c r="C1" s="697" t="s">
        <v>2065</v>
      </c>
      <c r="D1" s="697" t="s">
        <v>2066</v>
      </c>
      <c r="E1" s="697" t="s">
        <v>454</v>
      </c>
      <c r="F1" s="697" t="s">
        <v>2067</v>
      </c>
      <c r="G1" s="697" t="s">
        <v>2068</v>
      </c>
      <c r="H1" s="697" t="s">
        <v>2069</v>
      </c>
    </row>
    <row r="2" spans="1:9" ht="28" x14ac:dyDescent="0.15">
      <c r="A2" s="697" t="s">
        <v>2070</v>
      </c>
      <c r="B2" s="697" t="s">
        <v>2071</v>
      </c>
      <c r="C2" s="697" t="s">
        <v>2072</v>
      </c>
      <c r="D2" s="697" t="s">
        <v>2073</v>
      </c>
      <c r="E2" s="697" t="s">
        <v>2071</v>
      </c>
      <c r="F2" s="698" t="s">
        <v>2074</v>
      </c>
      <c r="G2" s="696" t="s">
        <v>2075</v>
      </c>
      <c r="H2" s="696" t="s">
        <v>2075</v>
      </c>
    </row>
    <row r="3" spans="1:9" ht="42" x14ac:dyDescent="0.15">
      <c r="A3" s="697" t="s">
        <v>2076</v>
      </c>
      <c r="B3" s="697" t="s">
        <v>2077</v>
      </c>
      <c r="C3" s="697" t="s">
        <v>2072</v>
      </c>
      <c r="D3" s="697" t="s">
        <v>2078</v>
      </c>
      <c r="E3" s="697" t="s">
        <v>2077</v>
      </c>
      <c r="F3" s="698" t="s">
        <v>2079</v>
      </c>
    </row>
    <row r="4" spans="1:9" ht="42" x14ac:dyDescent="0.15">
      <c r="A4" s="697" t="s">
        <v>2080</v>
      </c>
      <c r="B4" s="697" t="s">
        <v>2081</v>
      </c>
      <c r="C4" s="697" t="s">
        <v>2082</v>
      </c>
      <c r="D4" s="697" t="s">
        <v>2078</v>
      </c>
      <c r="E4" s="697" t="s">
        <v>2083</v>
      </c>
      <c r="F4" s="698" t="s">
        <v>2084</v>
      </c>
    </row>
    <row r="5" spans="1:9" ht="42" x14ac:dyDescent="0.15">
      <c r="A5" s="697" t="s">
        <v>2085</v>
      </c>
      <c r="B5" s="697" t="s">
        <v>2086</v>
      </c>
      <c r="C5" s="697" t="s">
        <v>2087</v>
      </c>
      <c r="D5" s="697" t="s">
        <v>2088</v>
      </c>
      <c r="E5" s="697" t="s">
        <v>2086</v>
      </c>
      <c r="F5" s="698" t="s">
        <v>2089</v>
      </c>
      <c r="G5" s="697" t="s">
        <v>2075</v>
      </c>
      <c r="I5" s="697" t="s">
        <v>2090</v>
      </c>
    </row>
    <row r="6" spans="1:9" ht="42" x14ac:dyDescent="0.15">
      <c r="A6" s="697" t="s">
        <v>2091</v>
      </c>
      <c r="B6" s="697" t="s">
        <v>2092</v>
      </c>
      <c r="C6" s="697" t="s">
        <v>2093</v>
      </c>
      <c r="D6" s="697" t="s">
        <v>2088</v>
      </c>
      <c r="E6" s="697" t="s">
        <v>2092</v>
      </c>
      <c r="F6" s="698" t="s">
        <v>2094</v>
      </c>
      <c r="G6" s="696" t="s">
        <v>2075</v>
      </c>
    </row>
    <row r="7" spans="1:9" ht="42" x14ac:dyDescent="0.15">
      <c r="A7" s="697" t="s">
        <v>2095</v>
      </c>
      <c r="B7" s="697" t="s">
        <v>2096</v>
      </c>
      <c r="C7" s="697" t="s">
        <v>2097</v>
      </c>
      <c r="D7" s="697" t="s">
        <v>2098</v>
      </c>
      <c r="E7" s="697" t="s">
        <v>2099</v>
      </c>
      <c r="F7" s="698" t="s">
        <v>2100</v>
      </c>
      <c r="G7" s="696" t="s">
        <v>2075</v>
      </c>
    </row>
    <row r="8" spans="1:9" ht="56" x14ac:dyDescent="0.15">
      <c r="A8" s="697" t="s">
        <v>2101</v>
      </c>
      <c r="B8" s="697" t="s">
        <v>2102</v>
      </c>
      <c r="C8" s="697" t="s">
        <v>2103</v>
      </c>
      <c r="D8" s="697" t="s">
        <v>2088</v>
      </c>
      <c r="E8" s="697" t="s">
        <v>2102</v>
      </c>
      <c r="F8" s="698" t="s">
        <v>2104</v>
      </c>
    </row>
    <row r="9" spans="1:9" ht="56" x14ac:dyDescent="0.15">
      <c r="A9" s="697" t="s">
        <v>2105</v>
      </c>
      <c r="B9" s="697" t="s">
        <v>2106</v>
      </c>
      <c r="C9" s="697" t="s">
        <v>2072</v>
      </c>
      <c r="D9" s="697" t="s">
        <v>2107</v>
      </c>
      <c r="E9" s="697" t="s">
        <v>2106</v>
      </c>
      <c r="F9" s="698" t="s">
        <v>2108</v>
      </c>
      <c r="G9" s="696" t="s">
        <v>2075</v>
      </c>
      <c r="H9" s="696" t="s">
        <v>2075</v>
      </c>
      <c r="I9" s="696" t="s">
        <v>2109</v>
      </c>
    </row>
    <row r="10" spans="1:9" ht="42" x14ac:dyDescent="0.15">
      <c r="A10" s="697" t="s">
        <v>2110</v>
      </c>
      <c r="B10" s="697" t="s">
        <v>2111</v>
      </c>
      <c r="C10" s="697" t="s">
        <v>2112</v>
      </c>
      <c r="D10" s="697" t="s">
        <v>2088</v>
      </c>
      <c r="E10" s="697" t="s">
        <v>2111</v>
      </c>
      <c r="F10" s="698" t="s">
        <v>2113</v>
      </c>
    </row>
    <row r="11" spans="1:9" ht="42" x14ac:dyDescent="0.15">
      <c r="A11" s="697" t="s">
        <v>2114</v>
      </c>
      <c r="B11" s="697" t="s">
        <v>2115</v>
      </c>
      <c r="C11" s="697" t="s">
        <v>2116</v>
      </c>
      <c r="D11" s="697" t="s">
        <v>2088</v>
      </c>
      <c r="E11" s="697" t="s">
        <v>2115</v>
      </c>
      <c r="F11" s="698" t="s">
        <v>2117</v>
      </c>
      <c r="G11" s="696" t="s">
        <v>2075</v>
      </c>
    </row>
    <row r="12" spans="1:9" ht="28" x14ac:dyDescent="0.15">
      <c r="A12" s="697" t="s">
        <v>2118</v>
      </c>
      <c r="B12" s="697" t="s">
        <v>2119</v>
      </c>
      <c r="C12" s="697"/>
      <c r="D12" s="697" t="s">
        <v>2088</v>
      </c>
      <c r="E12" s="697" t="s">
        <v>2119</v>
      </c>
      <c r="F12" s="698" t="s">
        <v>2120</v>
      </c>
    </row>
    <row r="13" spans="1:9" ht="42" x14ac:dyDescent="0.15">
      <c r="A13" s="697" t="s">
        <v>2121</v>
      </c>
      <c r="B13" s="697" t="s">
        <v>2122</v>
      </c>
      <c r="C13" s="697" t="s">
        <v>2123</v>
      </c>
      <c r="D13" s="697" t="s">
        <v>2124</v>
      </c>
      <c r="E13" s="697" t="s">
        <v>2125</v>
      </c>
      <c r="F13" s="698" t="s">
        <v>2126</v>
      </c>
      <c r="G13" s="696" t="s">
        <v>2075</v>
      </c>
      <c r="H13" s="697" t="s">
        <v>2075</v>
      </c>
    </row>
    <row r="14" spans="1:9" ht="42" x14ac:dyDescent="0.15">
      <c r="A14" s="697" t="s">
        <v>2127</v>
      </c>
      <c r="B14" s="697" t="s">
        <v>2128</v>
      </c>
      <c r="C14" s="697" t="s">
        <v>2129</v>
      </c>
      <c r="D14" s="697" t="s">
        <v>2088</v>
      </c>
      <c r="E14" s="697" t="s">
        <v>2128</v>
      </c>
      <c r="F14" s="698" t="s">
        <v>2130</v>
      </c>
      <c r="G14" s="696" t="s">
        <v>2075</v>
      </c>
    </row>
    <row r="15" spans="1:9" ht="56" x14ac:dyDescent="0.15">
      <c r="A15" s="697" t="s">
        <v>2131</v>
      </c>
      <c r="B15" s="697" t="s">
        <v>2132</v>
      </c>
      <c r="C15" s="697" t="s">
        <v>2133</v>
      </c>
      <c r="D15" s="697" t="s">
        <v>2098</v>
      </c>
      <c r="E15" s="697" t="s">
        <v>2134</v>
      </c>
      <c r="F15" s="698" t="s">
        <v>2135</v>
      </c>
      <c r="I15" s="696" t="s">
        <v>2136</v>
      </c>
    </row>
    <row r="16" spans="1:9" ht="42" x14ac:dyDescent="0.15">
      <c r="A16" s="697" t="s">
        <v>2137</v>
      </c>
      <c r="B16" s="697" t="s">
        <v>2138</v>
      </c>
      <c r="C16" s="697" t="s">
        <v>2139</v>
      </c>
      <c r="D16" s="697" t="s">
        <v>2088</v>
      </c>
      <c r="E16" s="697" t="s">
        <v>2138</v>
      </c>
      <c r="F16" s="698" t="s">
        <v>2140</v>
      </c>
      <c r="G16" s="697" t="s">
        <v>2075</v>
      </c>
      <c r="H16" s="697" t="s">
        <v>2075</v>
      </c>
      <c r="I16" s="697" t="s">
        <v>2141</v>
      </c>
    </row>
    <row r="17" spans="1:9" ht="28" x14ac:dyDescent="0.15">
      <c r="A17" s="697" t="s">
        <v>2142</v>
      </c>
      <c r="B17" s="697" t="s">
        <v>2143</v>
      </c>
      <c r="C17" s="697" t="s">
        <v>2144</v>
      </c>
    </row>
    <row r="18" spans="1:9" ht="42" x14ac:dyDescent="0.15">
      <c r="A18" s="697" t="s">
        <v>2145</v>
      </c>
      <c r="B18" s="697" t="s">
        <v>2146</v>
      </c>
      <c r="C18" s="697" t="s">
        <v>2147</v>
      </c>
      <c r="D18" s="697" t="s">
        <v>2078</v>
      </c>
      <c r="E18" s="697" t="s">
        <v>2148</v>
      </c>
      <c r="F18" s="698" t="s">
        <v>2149</v>
      </c>
      <c r="G18" s="697" t="s">
        <v>2075</v>
      </c>
      <c r="I18" s="697" t="s">
        <v>2150</v>
      </c>
    </row>
    <row r="19" spans="1:9" ht="42" x14ac:dyDescent="0.15">
      <c r="A19" s="697" t="s">
        <v>2151</v>
      </c>
      <c r="B19" s="697" t="s">
        <v>2152</v>
      </c>
      <c r="C19" s="697" t="s">
        <v>2153</v>
      </c>
      <c r="D19" s="697" t="s">
        <v>2088</v>
      </c>
      <c r="E19" s="697" t="s">
        <v>2152</v>
      </c>
      <c r="F19" s="698" t="s">
        <v>2154</v>
      </c>
    </row>
    <row r="20" spans="1:9" ht="42" x14ac:dyDescent="0.15">
      <c r="A20" s="697" t="s">
        <v>2155</v>
      </c>
      <c r="B20" s="697" t="s">
        <v>2156</v>
      </c>
      <c r="C20" s="697" t="s">
        <v>2157</v>
      </c>
      <c r="D20" s="697" t="s">
        <v>2088</v>
      </c>
      <c r="E20" s="697" t="s">
        <v>2156</v>
      </c>
      <c r="F20" s="698" t="s">
        <v>2158</v>
      </c>
    </row>
    <row r="21" spans="1:9" ht="56" x14ac:dyDescent="0.15">
      <c r="A21" s="697" t="s">
        <v>2159</v>
      </c>
      <c r="B21" s="697" t="s">
        <v>2160</v>
      </c>
      <c r="C21" s="697" t="s">
        <v>2161</v>
      </c>
      <c r="D21" s="697" t="s">
        <v>2162</v>
      </c>
      <c r="E21" s="697" t="s">
        <v>2163</v>
      </c>
      <c r="F21" s="698" t="s">
        <v>2164</v>
      </c>
      <c r="H21" s="696" t="s">
        <v>2075</v>
      </c>
    </row>
    <row r="22" spans="1:9" ht="42" x14ac:dyDescent="0.15">
      <c r="A22" s="697" t="s">
        <v>2165</v>
      </c>
      <c r="B22" s="697" t="s">
        <v>2166</v>
      </c>
      <c r="C22" s="697" t="s">
        <v>2072</v>
      </c>
      <c r="D22" s="697" t="s">
        <v>2167</v>
      </c>
      <c r="E22" s="697" t="s">
        <v>2166</v>
      </c>
      <c r="F22" s="698" t="s">
        <v>2168</v>
      </c>
      <c r="G22" s="696" t="s">
        <v>2075</v>
      </c>
    </row>
    <row r="23" spans="1:9" ht="56" x14ac:dyDescent="0.15">
      <c r="A23" s="697" t="s">
        <v>2169</v>
      </c>
      <c r="B23" s="697" t="s">
        <v>2170</v>
      </c>
      <c r="C23" s="697" t="s">
        <v>2072</v>
      </c>
      <c r="D23" s="697" t="s">
        <v>2171</v>
      </c>
      <c r="E23" s="697" t="s">
        <v>2170</v>
      </c>
      <c r="F23" s="697" t="s">
        <v>2172</v>
      </c>
    </row>
    <row r="24" spans="1:9" ht="56" x14ac:dyDescent="0.15">
      <c r="A24" s="697" t="s">
        <v>2173</v>
      </c>
      <c r="B24" s="697" t="s">
        <v>2174</v>
      </c>
      <c r="C24" s="697" t="s">
        <v>2175</v>
      </c>
      <c r="D24" s="697"/>
      <c r="E24" s="697" t="s">
        <v>2174</v>
      </c>
      <c r="F24" s="699" t="s">
        <v>2176</v>
      </c>
    </row>
    <row r="25" spans="1:9" ht="42" x14ac:dyDescent="0.15">
      <c r="A25" s="697" t="s">
        <v>2177</v>
      </c>
      <c r="B25" s="697" t="s">
        <v>2178</v>
      </c>
      <c r="C25" s="697" t="s">
        <v>2179</v>
      </c>
      <c r="D25" s="697" t="s">
        <v>2180</v>
      </c>
      <c r="E25" s="697" t="s">
        <v>2178</v>
      </c>
      <c r="F25" s="698" t="s">
        <v>2181</v>
      </c>
      <c r="G25" s="696" t="s">
        <v>2075</v>
      </c>
    </row>
    <row r="26" spans="1:9" ht="56" x14ac:dyDescent="0.15">
      <c r="A26" s="697" t="s">
        <v>2182</v>
      </c>
      <c r="B26" s="697" t="s">
        <v>2183</v>
      </c>
      <c r="C26" s="697" t="s">
        <v>2184</v>
      </c>
      <c r="D26" s="697" t="s">
        <v>2088</v>
      </c>
      <c r="E26" s="697" t="s">
        <v>2185</v>
      </c>
      <c r="F26" s="698" t="s">
        <v>2186</v>
      </c>
    </row>
    <row r="27" spans="1:9" ht="14" x14ac:dyDescent="0.15">
      <c r="A27" s="697" t="s">
        <v>2187</v>
      </c>
      <c r="B27" s="697" t="s">
        <v>2178</v>
      </c>
    </row>
    <row r="55" spans="4:4" ht="16" x14ac:dyDescent="0.2">
      <c r="D55" s="700"/>
    </row>
  </sheetData>
  <hyperlinks>
    <hyperlink ref="F24" r:id="rId1" xr:uid="{00000000-0004-0000-1E00-000000000000}"/>
  </hyperlinks>
  <pageMargins left="0" right="0" top="0" bottom="0" header="0" footer="0"/>
  <pageSetup orientation="portrait" copies="2"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76"/>
  <sheetViews>
    <sheetView zoomScale="118" zoomScaleNormal="118" workbookViewId="0">
      <selection activeCell="A76" sqref="A76"/>
    </sheetView>
  </sheetViews>
  <sheetFormatPr baseColWidth="10" defaultColWidth="11" defaultRowHeight="16" x14ac:dyDescent="0.2"/>
  <cols>
    <col min="1" max="1" width="41" customWidth="1"/>
  </cols>
  <sheetData>
    <row r="1" spans="1:3" x14ac:dyDescent="0.2">
      <c r="A1" s="701" t="s">
        <v>2188</v>
      </c>
      <c r="B1" s="701"/>
      <c r="C1" s="701"/>
    </row>
    <row r="2" spans="1:3" x14ac:dyDescent="0.2">
      <c r="A2" s="701" t="s">
        <v>2189</v>
      </c>
      <c r="B2" s="701"/>
      <c r="C2" s="701"/>
    </row>
    <row r="3" spans="1:3" x14ac:dyDescent="0.2">
      <c r="A3" s="701" t="s">
        <v>2190</v>
      </c>
      <c r="B3" s="701"/>
      <c r="C3" s="701"/>
    </row>
    <row r="4" spans="1:3" x14ac:dyDescent="0.2">
      <c r="A4" s="701" t="s">
        <v>2191</v>
      </c>
      <c r="B4" s="701"/>
      <c r="C4" s="701"/>
    </row>
    <row r="5" spans="1:3" x14ac:dyDescent="0.2">
      <c r="A5" s="701" t="s">
        <v>2192</v>
      </c>
      <c r="B5" s="701"/>
      <c r="C5" s="701"/>
    </row>
    <row r="6" spans="1:3" x14ac:dyDescent="0.2">
      <c r="A6" s="701" t="s">
        <v>2193</v>
      </c>
      <c r="B6" s="701"/>
      <c r="C6" s="701"/>
    </row>
    <row r="7" spans="1:3" x14ac:dyDescent="0.2">
      <c r="A7" s="701" t="s">
        <v>2194</v>
      </c>
      <c r="B7" s="701"/>
      <c r="C7" s="701"/>
    </row>
    <row r="8" spans="1:3" x14ac:dyDescent="0.2">
      <c r="A8" s="701" t="s">
        <v>2195</v>
      </c>
      <c r="B8" s="701"/>
      <c r="C8" s="701"/>
    </row>
    <row r="9" spans="1:3" x14ac:dyDescent="0.2">
      <c r="A9" s="701" t="s">
        <v>2196</v>
      </c>
      <c r="B9" s="701"/>
      <c r="C9" s="701"/>
    </row>
    <row r="10" spans="1:3" x14ac:dyDescent="0.2">
      <c r="A10" s="701" t="s">
        <v>2197</v>
      </c>
      <c r="B10" s="701"/>
      <c r="C10" s="701"/>
    </row>
    <row r="11" spans="1:3" x14ac:dyDescent="0.2">
      <c r="A11" s="701" t="s">
        <v>2198</v>
      </c>
      <c r="B11" s="701"/>
      <c r="C11" s="701"/>
    </row>
    <row r="12" spans="1:3" x14ac:dyDescent="0.2">
      <c r="A12" s="701" t="s">
        <v>2199</v>
      </c>
      <c r="B12" s="701"/>
      <c r="C12" s="701"/>
    </row>
    <row r="13" spans="1:3" x14ac:dyDescent="0.2">
      <c r="A13" s="701" t="s">
        <v>2200</v>
      </c>
      <c r="B13" s="701"/>
      <c r="C13" s="701"/>
    </row>
    <row r="14" spans="1:3" x14ac:dyDescent="0.2">
      <c r="A14" s="701" t="s">
        <v>2201</v>
      </c>
      <c r="B14" s="701"/>
      <c r="C14" s="701"/>
    </row>
    <row r="15" spans="1:3" x14ac:dyDescent="0.2">
      <c r="A15" s="701" t="s">
        <v>2202</v>
      </c>
      <c r="B15" s="701"/>
      <c r="C15" s="701"/>
    </row>
    <row r="16" spans="1:3" x14ac:dyDescent="0.2">
      <c r="A16" s="701" t="s">
        <v>2203</v>
      </c>
      <c r="B16" s="701"/>
      <c r="C16" s="701"/>
    </row>
    <row r="17" spans="1:3" x14ac:dyDescent="0.2">
      <c r="A17" s="701" t="s">
        <v>2204</v>
      </c>
      <c r="B17" s="701"/>
      <c r="C17" s="701"/>
    </row>
    <row r="18" spans="1:3" x14ac:dyDescent="0.2">
      <c r="A18" s="701" t="s">
        <v>2205</v>
      </c>
      <c r="B18" s="701"/>
      <c r="C18" s="701"/>
    </row>
    <row r="19" spans="1:3" x14ac:dyDescent="0.2">
      <c r="A19" s="701" t="s">
        <v>2206</v>
      </c>
      <c r="B19" s="701"/>
      <c r="C19" s="701"/>
    </row>
    <row r="20" spans="1:3" x14ac:dyDescent="0.2">
      <c r="A20" s="701" t="s">
        <v>2207</v>
      </c>
      <c r="B20" s="701"/>
      <c r="C20" s="701"/>
    </row>
    <row r="21" spans="1:3" x14ac:dyDescent="0.2">
      <c r="A21" s="701" t="s">
        <v>2208</v>
      </c>
      <c r="B21" s="701"/>
      <c r="C21" s="701"/>
    </row>
    <row r="22" spans="1:3" x14ac:dyDescent="0.2">
      <c r="A22" s="701" t="s">
        <v>2209</v>
      </c>
      <c r="B22" s="701"/>
      <c r="C22" s="701"/>
    </row>
    <row r="23" spans="1:3" x14ac:dyDescent="0.2">
      <c r="A23" s="701" t="s">
        <v>2210</v>
      </c>
      <c r="B23" s="701"/>
      <c r="C23" s="701"/>
    </row>
    <row r="24" spans="1:3" x14ac:dyDescent="0.2">
      <c r="A24" s="701" t="s">
        <v>2211</v>
      </c>
      <c r="B24" s="701"/>
      <c r="C24" s="701"/>
    </row>
    <row r="25" spans="1:3" x14ac:dyDescent="0.2">
      <c r="A25" s="701" t="s">
        <v>2212</v>
      </c>
    </row>
    <row r="26" spans="1:3" x14ac:dyDescent="0.2">
      <c r="A26" s="701" t="s">
        <v>2213</v>
      </c>
    </row>
    <row r="27" spans="1:3" x14ac:dyDescent="0.2">
      <c r="A27" s="701" t="s">
        <v>2214</v>
      </c>
    </row>
    <row r="28" spans="1:3" x14ac:dyDescent="0.2">
      <c r="A28" s="701" t="s">
        <v>2215</v>
      </c>
    </row>
    <row r="29" spans="1:3" x14ac:dyDescent="0.2">
      <c r="A29" s="701" t="s">
        <v>2216</v>
      </c>
    </row>
    <row r="30" spans="1:3" x14ac:dyDescent="0.2">
      <c r="A30" s="701" t="s">
        <v>2217</v>
      </c>
    </row>
    <row r="31" spans="1:3" x14ac:dyDescent="0.2">
      <c r="A31" s="701" t="s">
        <v>2218</v>
      </c>
    </row>
    <row r="32" spans="1:3" x14ac:dyDescent="0.2">
      <c r="A32" s="701" t="s">
        <v>2219</v>
      </c>
    </row>
    <row r="33" spans="1:1" x14ac:dyDescent="0.2">
      <c r="A33" s="701" t="s">
        <v>2220</v>
      </c>
    </row>
    <row r="34" spans="1:1" x14ac:dyDescent="0.2">
      <c r="A34" s="701" t="s">
        <v>2221</v>
      </c>
    </row>
    <row r="35" spans="1:1" x14ac:dyDescent="0.2">
      <c r="A35" s="701" t="s">
        <v>2222</v>
      </c>
    </row>
    <row r="36" spans="1:1" x14ac:dyDescent="0.2">
      <c r="A36" s="701" t="s">
        <v>2223</v>
      </c>
    </row>
    <row r="37" spans="1:1" x14ac:dyDescent="0.2">
      <c r="A37" s="701" t="s">
        <v>2224</v>
      </c>
    </row>
    <row r="38" spans="1:1" x14ac:dyDescent="0.2">
      <c r="A38" s="701" t="s">
        <v>2225</v>
      </c>
    </row>
    <row r="39" spans="1:1" x14ac:dyDescent="0.2">
      <c r="A39" s="701" t="s">
        <v>2226</v>
      </c>
    </row>
    <row r="40" spans="1:1" x14ac:dyDescent="0.2">
      <c r="A40" s="701" t="s">
        <v>2227</v>
      </c>
    </row>
    <row r="41" spans="1:1" x14ac:dyDescent="0.2">
      <c r="A41" s="701" t="s">
        <v>2228</v>
      </c>
    </row>
    <row r="42" spans="1:1" x14ac:dyDescent="0.2">
      <c r="A42" s="701" t="s">
        <v>2229</v>
      </c>
    </row>
    <row r="43" spans="1:1" x14ac:dyDescent="0.2">
      <c r="A43" s="701" t="s">
        <v>2230</v>
      </c>
    </row>
    <row r="44" spans="1:1" x14ac:dyDescent="0.2">
      <c r="A44" s="701" t="s">
        <v>2231</v>
      </c>
    </row>
    <row r="45" spans="1:1" x14ac:dyDescent="0.2">
      <c r="A45" s="701" t="s">
        <v>2232</v>
      </c>
    </row>
    <row r="46" spans="1:1" x14ac:dyDescent="0.2">
      <c r="A46" s="701" t="s">
        <v>2233</v>
      </c>
    </row>
    <row r="47" spans="1:1" x14ac:dyDescent="0.2">
      <c r="A47" s="701" t="s">
        <v>2234</v>
      </c>
    </row>
    <row r="48" spans="1:1" x14ac:dyDescent="0.2">
      <c r="A48" s="701" t="s">
        <v>2235</v>
      </c>
    </row>
    <row r="49" spans="1:1" x14ac:dyDescent="0.2">
      <c r="A49" s="701" t="s">
        <v>2236</v>
      </c>
    </row>
    <row r="50" spans="1:1" x14ac:dyDescent="0.2">
      <c r="A50" s="701" t="s">
        <v>2237</v>
      </c>
    </row>
    <row r="51" spans="1:1" x14ac:dyDescent="0.2">
      <c r="A51" s="701" t="s">
        <v>2238</v>
      </c>
    </row>
    <row r="52" spans="1:1" x14ac:dyDescent="0.2">
      <c r="A52" s="701" t="s">
        <v>2239</v>
      </c>
    </row>
    <row r="53" spans="1:1" x14ac:dyDescent="0.2">
      <c r="A53" s="701" t="s">
        <v>2240</v>
      </c>
    </row>
    <row r="54" spans="1:1" x14ac:dyDescent="0.2">
      <c r="A54" s="701" t="s">
        <v>2241</v>
      </c>
    </row>
    <row r="55" spans="1:1" x14ac:dyDescent="0.2">
      <c r="A55" s="701" t="s">
        <v>2242</v>
      </c>
    </row>
    <row r="56" spans="1:1" x14ac:dyDescent="0.2">
      <c r="A56" s="701" t="s">
        <v>2243</v>
      </c>
    </row>
    <row r="57" spans="1:1" x14ac:dyDescent="0.2">
      <c r="A57" s="701" t="s">
        <v>2244</v>
      </c>
    </row>
    <row r="58" spans="1:1" x14ac:dyDescent="0.2">
      <c r="A58" s="701" t="s">
        <v>2245</v>
      </c>
    </row>
    <row r="59" spans="1:1" x14ac:dyDescent="0.2">
      <c r="A59" s="701" t="s">
        <v>2246</v>
      </c>
    </row>
    <row r="60" spans="1:1" x14ac:dyDescent="0.2">
      <c r="A60" s="701" t="s">
        <v>2247</v>
      </c>
    </row>
    <row r="61" spans="1:1" x14ac:dyDescent="0.2">
      <c r="A61" s="701" t="s">
        <v>2248</v>
      </c>
    </row>
    <row r="62" spans="1:1" x14ac:dyDescent="0.2">
      <c r="A62" s="701" t="s">
        <v>2249</v>
      </c>
    </row>
    <row r="63" spans="1:1" x14ac:dyDescent="0.2">
      <c r="A63" s="701" t="s">
        <v>2250</v>
      </c>
    </row>
    <row r="64" spans="1:1" x14ac:dyDescent="0.2">
      <c r="A64" s="701" t="s">
        <v>2251</v>
      </c>
    </row>
    <row r="65" spans="1:1" x14ac:dyDescent="0.2">
      <c r="A65" s="701" t="s">
        <v>2252</v>
      </c>
    </row>
    <row r="66" spans="1:1" x14ac:dyDescent="0.2">
      <c r="A66" s="701" t="s">
        <v>2253</v>
      </c>
    </row>
    <row r="67" spans="1:1" x14ac:dyDescent="0.2">
      <c r="A67" s="701" t="s">
        <v>2254</v>
      </c>
    </row>
    <row r="68" spans="1:1" x14ac:dyDescent="0.2">
      <c r="A68" s="701" t="s">
        <v>2255</v>
      </c>
    </row>
    <row r="69" spans="1:1" x14ac:dyDescent="0.2">
      <c r="A69" s="701" t="s">
        <v>2256</v>
      </c>
    </row>
    <row r="70" spans="1:1" x14ac:dyDescent="0.2">
      <c r="A70" s="701" t="s">
        <v>2257</v>
      </c>
    </row>
    <row r="71" spans="1:1" x14ac:dyDescent="0.2">
      <c r="A71" s="701" t="s">
        <v>2258</v>
      </c>
    </row>
    <row r="72" spans="1:1" x14ac:dyDescent="0.2">
      <c r="A72" s="701" t="s">
        <v>2259</v>
      </c>
    </row>
    <row r="73" spans="1:1" x14ac:dyDescent="0.2">
      <c r="A73" s="701" t="s">
        <v>2260</v>
      </c>
    </row>
    <row r="74" spans="1:1" x14ac:dyDescent="0.2">
      <c r="A74" s="701" t="s">
        <v>2261</v>
      </c>
    </row>
    <row r="75" spans="1:1" x14ac:dyDescent="0.2">
      <c r="A75" s="701" t="s">
        <v>2262</v>
      </c>
    </row>
    <row r="76" spans="1:1" x14ac:dyDescent="0.2">
      <c r="A76" s="701" t="s">
        <v>2263</v>
      </c>
    </row>
  </sheetData>
  <pageMargins left="0" right="0" top="0" bottom="0"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34</vt:i4>
      </vt:variant>
      <vt:variant>
        <vt:lpstr>Named Ranges</vt:lpstr>
      </vt:variant>
      <vt:variant>
        <vt:i4>12</vt:i4>
      </vt:variant>
    </vt:vector>
  </HeadingPairs>
  <TitlesOfParts>
    <vt:vector size="46" baseType="lpstr">
      <vt:lpstr>Customer Input Screen</vt:lpstr>
      <vt:lpstr>Inventory Look UP</vt:lpstr>
      <vt:lpstr>Sales Input Sheet</vt:lpstr>
      <vt:lpstr>Costing Sheet</vt:lpstr>
      <vt:lpstr>Finance Manager Input Sheet</vt:lpstr>
      <vt:lpstr>Admin Input Sheet</vt:lpstr>
      <vt:lpstr>Rates for Quote</vt:lpstr>
      <vt:lpstr>Quote</vt:lpstr>
      <vt:lpstr>Additional Items</vt:lpstr>
      <vt:lpstr>Work a Quote</vt:lpstr>
      <vt:lpstr>Agreed Terms to Finance</vt:lpstr>
      <vt:lpstr>Pre-Invoice</vt:lpstr>
      <vt:lpstr>Invoice</vt:lpstr>
      <vt:lpstr>KUB INV</vt:lpstr>
      <vt:lpstr>Tax Exemption Form</vt:lpstr>
      <vt:lpstr>We Owe</vt:lpstr>
      <vt:lpstr>Finance Menu</vt:lpstr>
      <vt:lpstr>Finance Declination</vt:lpstr>
      <vt:lpstr>Delayed Payment Agmt</vt:lpstr>
      <vt:lpstr>Recap</vt:lpstr>
      <vt:lpstr>Extra Cells Not used</vt:lpstr>
      <vt:lpstr>Customer List</vt:lpstr>
      <vt:lpstr>Calculations</vt:lpstr>
      <vt:lpstr>Descriptions</vt:lpstr>
      <vt:lpstr>Sales People</vt:lpstr>
      <vt:lpstr>Brands</vt:lpstr>
      <vt:lpstr>Inventory Data</vt:lpstr>
      <vt:lpstr>States</vt:lpstr>
      <vt:lpstr>FlSalesSurtaxRates</vt:lpstr>
      <vt:lpstr>GA DISC TAX</vt:lpstr>
      <vt:lpstr>Store LOCATIONS</vt:lpstr>
      <vt:lpstr>Tax Exemption Cert table</vt:lpstr>
      <vt:lpstr>Lender List</vt:lpstr>
      <vt:lpstr>End User </vt:lpstr>
      <vt:lpstr>'Additional Items'!Print_Area</vt:lpstr>
      <vt:lpstr>'Agreed Terms to Finance'!Print_Area</vt:lpstr>
      <vt:lpstr>'Delayed Payment Agmt'!Print_Area</vt:lpstr>
      <vt:lpstr>'Finance Declination'!Print_Area</vt:lpstr>
      <vt:lpstr>'Finance Menu'!Print_Area</vt:lpstr>
      <vt:lpstr>Invoice!Print_Area</vt:lpstr>
      <vt:lpstr>'KUB INV'!Print_Area</vt:lpstr>
      <vt:lpstr>'Pre-Invoice'!Print_Area</vt:lpstr>
      <vt:lpstr>Quote!Print_Area</vt:lpstr>
      <vt:lpstr>Recap!Print_Area</vt:lpstr>
      <vt:lpstr>'Tax Exemption Form'!Print_Area</vt:lpstr>
      <vt:lpstr>'We Owe'!Print_Area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 uiterwyk</dc:creator>
  <cp:keywords/>
  <dc:description/>
  <cp:lastModifiedBy>Steven uiterwyk</cp:lastModifiedBy>
  <cp:revision/>
  <cp:lastPrinted>2025-09-12T14:42:42Z</cp:lastPrinted>
  <dcterms:created xsi:type="dcterms:W3CDTF">2024-06-20T13:23:50Z</dcterms:created>
  <dcterms:modified xsi:type="dcterms:W3CDTF">2025-11-06T19:47:59Z</dcterms:modified>
  <cp:category/>
  <cp:contentStatus/>
</cp:coreProperties>
</file>